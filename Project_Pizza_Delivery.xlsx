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4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5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6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7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8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9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10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12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13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14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/>
  <mc:AlternateContent xmlns:mc="http://schemas.openxmlformats.org/markup-compatibility/2006">
    <mc:Choice Requires="x15">
      <x15ac:absPath xmlns:x15ac="http://schemas.microsoft.com/office/spreadsheetml/2010/11/ac" url="/Users/aunderella/Downloads/untitled folder 16/"/>
    </mc:Choice>
  </mc:AlternateContent>
  <xr:revisionPtr revIDLastSave="0" documentId="8_{F4617D5C-C0F5-4943-B9A2-F100A67253ED}" xr6:coauthVersionLast="47" xr6:coauthVersionMax="47" xr10:uidLastSave="{00000000-0000-0000-0000-000000000000}"/>
  <bookViews>
    <workbookView xWindow="0" yWindow="500" windowWidth="28800" windowHeight="15580" activeTab="1" xr2:uid="{037E1C65-CBCF-40AD-8312-5A7E87B1B75B}"/>
  </bookViews>
  <sheets>
    <sheet name="Pizza Delivery Project" sheetId="13" r:id="rId1"/>
    <sheet name="Data Dictionary" sheetId="14" r:id="rId2"/>
    <sheet name="Pizza Delivery Table" sheetId="3" r:id="rId3"/>
    <sheet name="Descriptive Statistics and EDA " sheetId="4" r:id="rId4"/>
    <sheet name="Pivot Table_EDA" sheetId="10" r:id="rId5"/>
    <sheet name="Corelation" sheetId="7" r:id="rId6"/>
    <sheet name="Correlation Heatmap" sheetId="16" r:id="rId7"/>
    <sheet name="Sheet2" sheetId="2" state="hidden" r:id="rId8"/>
  </sheets>
  <definedNames>
    <definedName name="_xlnm._FilterDatabase" localSheetId="7" hidden="1">Sheet2!$A$1:$Y$1005</definedName>
    <definedName name="_xlchart.v1.0" hidden="1">'Pizza Delivery Table'!$H$1</definedName>
    <definedName name="_xlchart.v1.1" hidden="1">'Pizza Delivery Table'!$H$2:$H$1005</definedName>
    <definedName name="_xlchart.v1.10" hidden="1">'Pizza Delivery Table'!$B$2:$B$1005</definedName>
    <definedName name="_xlchart.v1.11" hidden="1">'Pizza Delivery Table'!$Z$1</definedName>
    <definedName name="_xlchart.v1.12" hidden="1">'Pizza Delivery Table'!$Z$2:$Z$1005</definedName>
    <definedName name="_xlchart.v1.13" hidden="1">'Pizza Delivery Table'!$B$2:$B$1005</definedName>
    <definedName name="_xlchart.v1.14" hidden="1">'Pizza Delivery Table'!$Y$1</definedName>
    <definedName name="_xlchart.v1.15" hidden="1">'Pizza Delivery Table'!$Y$2:$Y$1005</definedName>
    <definedName name="_xlchart.v1.16" hidden="1">'Pizza Delivery Table'!$B$2:$B$1005</definedName>
    <definedName name="_xlchart.v1.17" hidden="1">'Pizza Delivery Table'!$L$1</definedName>
    <definedName name="_xlchart.v1.18" hidden="1">'Pizza Delivery Table'!$L$2:$L$1005</definedName>
    <definedName name="_xlchart.v1.19" hidden="1">'Pizza Delivery Table'!$Z$1</definedName>
    <definedName name="_xlchart.v1.2" hidden="1">'Pizza Delivery Table'!$L$1</definedName>
    <definedName name="_xlchart.v1.20" hidden="1">'Pizza Delivery Table'!$Z$2:$Z$1005</definedName>
    <definedName name="_xlchart.v1.21" hidden="1">'Pizza Delivery Table'!$Y$1</definedName>
    <definedName name="_xlchart.v1.22" hidden="1">'Pizza Delivery Table'!$Y$2:$Y$1005</definedName>
    <definedName name="_xlchart.v1.23" hidden="1">'Pizza Delivery Table'!$B$2:$B$1005</definedName>
    <definedName name="_xlchart.v1.24" hidden="1">'Pizza Delivery Table'!$H$1</definedName>
    <definedName name="_xlchart.v1.25" hidden="1">'Pizza Delivery Table'!$H$2:$H$1005</definedName>
    <definedName name="_xlchart.v1.26" hidden="1">'Pizza Delivery Table'!$Z$1</definedName>
    <definedName name="_xlchart.v1.27" hidden="1">'Pizza Delivery Table'!$Z$2:$Z$1005</definedName>
    <definedName name="_xlchart.v1.28" hidden="1">'Pizza Delivery Table'!$Y$1</definedName>
    <definedName name="_xlchart.v1.29" hidden="1">'Pizza Delivery Table'!$Y$2:$Y$1005</definedName>
    <definedName name="_xlchart.v1.3" hidden="1">'Pizza Delivery Table'!$L$2:$L$1005</definedName>
    <definedName name="_xlchart.v1.30" hidden="1">'Pizza Delivery Table'!$B$2:$B$1005</definedName>
    <definedName name="_xlchart.v1.31" hidden="1">'Pizza Delivery Table'!$K$1</definedName>
    <definedName name="_xlchart.v1.32" hidden="1">'Pizza Delivery Table'!$K$2:$K$1005</definedName>
    <definedName name="_xlchart.v1.33" hidden="1">'Pizza Delivery Table'!$H$1</definedName>
    <definedName name="_xlchart.v1.34" hidden="1">'Pizza Delivery Table'!$H$2:$H$1005</definedName>
    <definedName name="_xlchart.v1.35" hidden="1">'Pizza Delivery Table'!$H$1</definedName>
    <definedName name="_xlchart.v1.36" hidden="1">'Pizza Delivery Table'!$H$2:$H$1005</definedName>
    <definedName name="_xlchart.v1.4" hidden="1">'Pizza Delivery Table'!$K$1</definedName>
    <definedName name="_xlchart.v1.5" hidden="1">'Pizza Delivery Table'!$K$2:$K$1005</definedName>
    <definedName name="_xlchart.v1.6" hidden="1">'Pizza Delivery Table'!$K$1</definedName>
    <definedName name="_xlchart.v1.7" hidden="1">'Pizza Delivery Table'!$K$2:$K$1005</definedName>
    <definedName name="_xlchart.v1.8" hidden="1">'Pizza Delivery Table'!$L$1</definedName>
    <definedName name="_xlchart.v1.9" hidden="1">'Pizza Delivery Table'!$L$2:$L$1005</definedName>
    <definedName name="ExternalData_1" localSheetId="2" hidden="1">'Pizza Delivery Table'!$A$1:$AA$1005</definedName>
  </definedNames>
  <calcPr calcId="191028"/>
  <pivotCaches>
    <pivotCache cacheId="21" r:id="rId9"/>
    <pivotCache cacheId="22" r:id="rId10"/>
    <pivotCache cacheId="2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7" l="1"/>
  <c r="L73" i="7"/>
  <c r="L52" i="7"/>
  <c r="L13" i="7"/>
  <c r="AB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AB952" i="3"/>
  <c r="AB953" i="3"/>
  <c r="AB954" i="3"/>
  <c r="AB955" i="3"/>
  <c r="AB956" i="3"/>
  <c r="AB957" i="3"/>
  <c r="AB958" i="3"/>
  <c r="AB959" i="3"/>
  <c r="AB960" i="3"/>
  <c r="AB961" i="3"/>
  <c r="AB962" i="3"/>
  <c r="AB963" i="3"/>
  <c r="AB964" i="3"/>
  <c r="AB965" i="3"/>
  <c r="AB966" i="3"/>
  <c r="AB967" i="3"/>
  <c r="AB968" i="3"/>
  <c r="AB969" i="3"/>
  <c r="AB970" i="3"/>
  <c r="AB971" i="3"/>
  <c r="AB972" i="3"/>
  <c r="AB973" i="3"/>
  <c r="AB974" i="3"/>
  <c r="AB975" i="3"/>
  <c r="AB976" i="3"/>
  <c r="AB977" i="3"/>
  <c r="AB978" i="3"/>
  <c r="AB979" i="3"/>
  <c r="AB980" i="3"/>
  <c r="AB981" i="3"/>
  <c r="AB982" i="3"/>
  <c r="AB983" i="3"/>
  <c r="AB984" i="3"/>
  <c r="AB985" i="3"/>
  <c r="AB986" i="3"/>
  <c r="AB987" i="3"/>
  <c r="AB988" i="3"/>
  <c r="AB989" i="3"/>
  <c r="AB990" i="3"/>
  <c r="AB991" i="3"/>
  <c r="AB992" i="3"/>
  <c r="AB993" i="3"/>
  <c r="AB994" i="3"/>
  <c r="AB995" i="3"/>
  <c r="AB996" i="3"/>
  <c r="AB997" i="3"/>
  <c r="AB998" i="3"/>
  <c r="AB999" i="3"/>
  <c r="AB1000" i="3"/>
  <c r="AB1001" i="3"/>
  <c r="AB1002" i="3"/>
  <c r="AB1003" i="3"/>
  <c r="AB1004" i="3"/>
  <c r="AB100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F393CF-4387-4E0A-9AFA-F258D6F20455}" keepAlive="1" name="Query - PizzaDelivery" description="Connection to the 'PizzaDelivery' query in the workbook." type="5" refreshedVersion="8" background="1" saveData="1">
    <dbPr connection="Provider=Microsoft.Mashup.OleDb.1;Data Source=$Workbook$;Location=PizzaDelivery;Extended Properties=&quot;&quot;" command="SELECT * FROM [PizzaDelivery]"/>
  </connection>
  <connection id="2" xr16:uid="{F97AD2CB-7C1A-5C4C-A5D8-2415C94B6F22}" keepAlive="1" name="Query - PizzaDelivery (2)" description="Connection to the 'PizzaDelivery (2)' query in the workbook." type="5" refreshedVersion="8" background="1" saveData="1">
    <dbPr connection="Provider=Microsoft.Mashup.OleDb.1;Data Source=$Workbook$;Location=&quot;PizzaDelivery (2)&quot;;Extended Properties=&quot;&quot;" command="SELECT * FROM [PizzaDelivery (2)]"/>
  </connection>
  <connection id="3" xr16:uid="{FFD3AA72-161F-1649-8373-DF9166125EF9}" keepAlive="1" name="Query - PizzaDelivery (3)" description="Connection to the 'PizzaDelivery (3)' query in the workbook." type="5" refreshedVersion="8" background="1" saveData="1">
    <dbPr connection="Provider=Microsoft.Mashup.OleDb.1;Data Source=$Workbook$;Location=&quot;PizzaDelivery (3)&quot;;Extended Properties=&quot;&quot;" command="SELECT * FROM [PizzaDelivery (3)]"/>
  </connection>
  <connection id="4" xr16:uid="{A00BB546-F52A-7F47-9D63-C71F171C5524}" keepAlive="1" name="Query - PizzaDelivery (4)" description="Connection to the 'PizzaDelivery (4)' query in the workbook." type="5" refreshedVersion="8" background="1" saveData="1">
    <dbPr connection="Provider=Microsoft.Mashup.OleDb.1;Data Source=$Workbook$;Location=&quot;PizzaDelivery (4)&quot;;Extended Properties=&quot;&quot;" command="SELECT * FROM [PizzaDelivery (4)]"/>
  </connection>
</connections>
</file>

<file path=xl/sharedStrings.xml><?xml version="1.0" encoding="utf-8"?>
<sst xmlns="http://schemas.openxmlformats.org/spreadsheetml/2006/main" count="18852" uniqueCount="1620">
  <si>
    <t>การวิเคราะห์ปัจจัยที่ส่งผลให้ออเดอร์เกิดการจัดส่งล่าช้า (Delay) และทำนายโอกาสในการเกิด Order Delay</t>
  </si>
  <si>
    <t>สมาชิก</t>
  </si>
  <si>
    <t>No</t>
  </si>
  <si>
    <t>ID</t>
  </si>
  <si>
    <t>Name</t>
  </si>
  <si>
    <t>วรทัย เลิศมั่นคงเดช</t>
  </si>
  <si>
    <t>ธนภรณ์ เรืองแก้วมณี</t>
  </si>
  <si>
    <t>อัญวิกา เกศวรกุล</t>
  </si>
  <si>
    <t>Problem</t>
  </si>
  <si>
    <t xml:space="preserve">     เวลาการส่งพิซซ่า (Delivery Duration) แตกต่างกันในแต่ละร้าน และบางร้านใช้เวลาส่งเกินมาตรฐาน (มากกว่า 30 นาที) ทำให้เกิดปัญหาความไม่พอใจของลูกค้า ต้องการทราบปัจจัยที่มีผลต่อการส่งล่าช้า เพื่อปรับปรุงคุณภาพบริการ เพิ่มความเร็วในการส่ง และวางแผนกำลังคนอย่างเหมาะสมทั้งในครัวและส่วน Delivery</t>
  </si>
  <si>
    <t>SMART Objectives</t>
  </si>
  <si>
    <t xml:space="preserve">     ลดเปอร์เซ็นต์การส่งล่าช้าจาก 20% ให้เหลือ 10% ภายใน 3 เดือน ​โดยวิเคราะห์ปัจจัยที่มีผลต่อการ Delay เพื่อยกระดับคุณภาพบริการและเพิ่มประสิทธิภาพการวางแผนกำลังคน​</t>
  </si>
  <si>
    <t xml:space="preserve">Data Cleansing </t>
  </si>
  <si>
    <t>- แก้ชื่อร้านจาก Marco’s Pizza เป็น Marco's Pizza</t>
  </si>
  <si>
    <t>- แยก Column DeliveryDateTime เป็น DeliveryDate กับ DeliveryTime</t>
  </si>
  <si>
    <t>- แยก Column OrderDateTime เป็น OrderDate กับ OrderTime</t>
  </si>
  <si>
    <t>- แก้ไขข้อมูลที่ปีเป็น 2026 ให้เป็น 2025</t>
  </si>
  <si>
    <t>Analyze Data using Excel</t>
  </si>
  <si>
    <t>- Exploratory Data Analysis (EDA)</t>
  </si>
  <si>
    <t>- Descriptive Statistics</t>
  </si>
  <si>
    <t>- Correlational</t>
  </si>
  <si>
    <t>- Pivot Table</t>
  </si>
  <si>
    <t>Attribute</t>
  </si>
  <si>
    <t>Description (EN)</t>
  </si>
  <si>
    <t>Description (TH)</t>
  </si>
  <si>
    <t>Data Type</t>
  </si>
  <si>
    <t>Valid Range/Example</t>
  </si>
  <si>
    <t>Order ID</t>
  </si>
  <si>
    <t>Unique identifier for each pizza order</t>
  </si>
  <si>
    <t>รหัสออเดอร์ที่ใช้ระบุออเดอร์พิซซ่าแต่ละรายการ</t>
  </si>
  <si>
    <t>Ordinal</t>
  </si>
  <si>
    <t>ORD001, ORD050</t>
  </si>
  <si>
    <t>Restaurant Name</t>
  </si>
  <si>
    <t>Name of the restaurant</t>
  </si>
  <si>
    <t>ชื่อของร้านอาหาร</t>
  </si>
  <si>
    <t>Nominal</t>
  </si>
  <si>
    <t>Domino’s, Pizza Hut, Papa John’s</t>
  </si>
  <si>
    <t>Location</t>
  </si>
  <si>
    <t>City and state of the restaurant</t>
  </si>
  <si>
    <t>เมืองและรัฐที่ตั้งของร้านอาหาร</t>
  </si>
  <si>
    <t>New York, NY</t>
  </si>
  <si>
    <t>Order Date</t>
  </si>
  <si>
    <t>Date when the order was placed</t>
  </si>
  <si>
    <t>วันที่มีการสั่งออเดอร์</t>
  </si>
  <si>
    <t>Interval (Date)</t>
  </si>
  <si>
    <t>Order Time</t>
  </si>
  <si>
    <t>Time when the order was placed</t>
  </si>
  <si>
    <t>เวลาที่มีการสั่งออเดอร์</t>
  </si>
  <si>
    <t>Interval (Time)</t>
  </si>
  <si>
    <t>Delivery Date</t>
  </si>
  <si>
    <t>Date of delivery</t>
  </si>
  <si>
    <t>วันที่จัดส่งสินค้า</t>
  </si>
  <si>
    <t>21/3/2024</t>
  </si>
  <si>
    <t>Delivery Time</t>
  </si>
  <si>
    <t>Time when the order was delivered</t>
  </si>
  <si>
    <t>เวลาที่จัดส่งสินค้า</t>
  </si>
  <si>
    <t>Delivery Duration (min)</t>
  </si>
  <si>
    <t>Time taken for the delivery in minutes</t>
  </si>
  <si>
    <t>ระยะเวลาในการจัดส่ง (นาที)</t>
  </si>
  <si>
    <t>Ratio (Continuous)</t>
  </si>
  <si>
    <t>15, 20, 25, 30</t>
  </si>
  <si>
    <t>Pizza Size</t>
  </si>
  <si>
    <t>Size of the pizza ordered</t>
  </si>
  <si>
    <t>ขนาดของพิซซ่าที่สั่ง</t>
  </si>
  <si>
    <t>Small, Medium, Large, XL</t>
  </si>
  <si>
    <t>Pizza Type</t>
  </si>
  <si>
    <t>Type of pizza based on ingredients</t>
  </si>
  <si>
    <t>ประเภทของพิซซ่าตามส่วนผสม</t>
  </si>
  <si>
    <t>Veg, Non-Veg, Vegan, Cheese Burst</t>
  </si>
  <si>
    <t>Toppings Count</t>
  </si>
  <si>
    <t>Number of toppings added</t>
  </si>
  <si>
    <t>จำนวนหน้า (Toppings) ที่เพิ่มเข้ามา</t>
  </si>
  <si>
    <t>Ratio (Discrete)</t>
  </si>
  <si>
    <t>0, 1, 2, 3, 4, 5</t>
  </si>
  <si>
    <t>Distance (km)</t>
  </si>
  <si>
    <t>Distance from restaurant to delivery location</t>
  </si>
  <si>
    <t>ระยะทางจากร้านถึงสถานที่จัดส่ง</t>
  </si>
  <si>
    <t>[0, Infinity)</t>
  </si>
  <si>
    <t>Traffic Level</t>
  </si>
  <si>
    <t>Level of traffic during delivery</t>
  </si>
  <si>
    <t>ระดับความหนาแน่นของการจราจรระหว่างการจัดส่ง</t>
  </si>
  <si>
    <t>Low, Medium, High</t>
  </si>
  <si>
    <t>Payment Method</t>
  </si>
  <si>
    <t>Method used for payment</t>
  </si>
  <si>
    <t>วิธีการชำระเงิน</t>
  </si>
  <si>
    <t>Cash, Card, Wallet, UPI</t>
  </si>
  <si>
    <t>Is Peak Hour</t>
  </si>
  <si>
    <t>Whether the order was placed during peak hours</t>
  </si>
  <si>
    <t>ออเดอร์นี้เป็นช่วงเวลาเร่งด่วนหรือไม่</t>
  </si>
  <si>
    <t>Nominal (Binary)</t>
  </si>
  <si>
    <t>TRUE / FALSE</t>
  </si>
  <si>
    <t>Is Weekend</t>
  </si>
  <si>
    <t>Whether the order was placed on a weekend</t>
  </si>
  <si>
    <t>ออเดอร์นี้เป็นวันหยุดสุดสัปดาห์หรือไม่</t>
  </si>
  <si>
    <t>Delivery Efficiency (min/km)</t>
  </si>
  <si>
    <t>Delivery time efficiency per km</t>
  </si>
  <si>
    <t>ประสิทธิภาพในการจัดส่งต่อกิโลเมตร (นาที/กม.)</t>
  </si>
  <si>
    <t>Topping Density</t>
  </si>
  <si>
    <t>Ratio of toppings count per distance</t>
  </si>
  <si>
    <t>อัตราส่วนจำนวนท็อปปิ้งต่อระยะทาง</t>
  </si>
  <si>
    <t>0.5, 1</t>
  </si>
  <si>
    <t>Order Month</t>
  </si>
  <si>
    <t>Month in which the order was placed</t>
  </si>
  <si>
    <t>เดือนที่มีการสั่งออเดอร์</t>
  </si>
  <si>
    <t>January, February</t>
  </si>
  <si>
    <t>Payment Category</t>
  </si>
  <si>
    <t>Online or offline mode of payment</t>
  </si>
  <si>
    <t>ประเภทช่องทางการชำระเงิน (ออนไลน์/ออฟไลน์)</t>
  </si>
  <si>
    <t>Online, Offline</t>
  </si>
  <si>
    <t>Estimated Duration (min)</t>
  </si>
  <si>
    <t>Predicted delivery time</t>
  </si>
  <si>
    <t>เวลาที่คาดการณ์ว่าจะจัดส่งสำเร็จ</t>
  </si>
  <si>
    <t>Delay (min)</t>
  </si>
  <si>
    <t>Extra minutes beyond estimated time</t>
  </si>
  <si>
    <t>จำนวนนาทีที่ล่าช้าจากเวลาที่คาดการณ์</t>
  </si>
  <si>
    <t>Is Delayed</t>
  </si>
  <si>
    <t>Whether the order was delayed</t>
  </si>
  <si>
    <t>ออเดอร์นี้ส่งล่าช้าหรือไม่</t>
  </si>
  <si>
    <t>Pizza Complexity</t>
  </si>
  <si>
    <t>Complexity score of pizza</t>
  </si>
  <si>
    <t>คะแนนความซับซ้อนของพิซซ่า</t>
  </si>
  <si>
    <t>2, 6, 12, 20</t>
  </si>
  <si>
    <t>Traffic Impact</t>
  </si>
  <si>
    <t>Traffic influence on delivery time (scale 1–3)</t>
  </si>
  <si>
    <t>ผลกระทบของการจราจรต่อเวลาจัดส่ง (สเกล 1-3)</t>
  </si>
  <si>
    <t>1, 2, 3</t>
  </si>
  <si>
    <t>Order Hour</t>
  </si>
  <si>
    <t>Hour of the day when the order was placed</t>
  </si>
  <si>
    <t>ชั่วโมงที่ทำการสั่งซื้อ</t>
  </si>
  <si>
    <t>18, 19, 20</t>
  </si>
  <si>
    <t>Restaurant Avg Time</t>
  </si>
  <si>
    <t>Average time taken by the restaurant for delivery</t>
  </si>
  <si>
    <t>ค่าเฉลี่ยเวลาการจัดส่งของร้านอาหาร</t>
  </si>
  <si>
    <t>IsDelayedNum</t>
  </si>
  <si>
    <t>Is Delayed Numerical Variable</t>
  </si>
  <si>
    <t>ตัวแปรเชิงสถานะที่ระบุว่าออเดอร์มีการส่งล่าช้าหรือไม่</t>
  </si>
  <si>
    <t>0, 1</t>
  </si>
  <si>
    <t>OrderDate</t>
  </si>
  <si>
    <t>OrderTime</t>
  </si>
  <si>
    <t>DeliveryDate</t>
  </si>
  <si>
    <t>DeliveryTime</t>
  </si>
  <si>
    <t>ORD001</t>
  </si>
  <si>
    <t>Domino's</t>
  </si>
  <si>
    <t>Medium</t>
  </si>
  <si>
    <t>Veg</t>
  </si>
  <si>
    <t>Card</t>
  </si>
  <si>
    <t>January</t>
  </si>
  <si>
    <t>Online</t>
  </si>
  <si>
    <t>ORD002</t>
  </si>
  <si>
    <t>Papa John's</t>
  </si>
  <si>
    <t>Los Angeles, CA</t>
  </si>
  <si>
    <t>Large</t>
  </si>
  <si>
    <t>Non-Veg</t>
  </si>
  <si>
    <t>High</t>
  </si>
  <si>
    <t>Wallet</t>
  </si>
  <si>
    <t>February</t>
  </si>
  <si>
    <t>ORD003</t>
  </si>
  <si>
    <t>Little Caesars</t>
  </si>
  <si>
    <t>Chicago, IL</t>
  </si>
  <si>
    <t>Small</t>
  </si>
  <si>
    <t>Vegan</t>
  </si>
  <si>
    <t>Low</t>
  </si>
  <si>
    <t>UPI</t>
  </si>
  <si>
    <t>March</t>
  </si>
  <si>
    <t>ORD004</t>
  </si>
  <si>
    <t>Pizza Hut</t>
  </si>
  <si>
    <t>Miami, FL</t>
  </si>
  <si>
    <t>XL</t>
  </si>
  <si>
    <t>Cheese Burst</t>
  </si>
  <si>
    <t>Cash</t>
  </si>
  <si>
    <t>April</t>
  </si>
  <si>
    <t>Offline</t>
  </si>
  <si>
    <t>ORD005</t>
  </si>
  <si>
    <t>Marco's Pizza</t>
  </si>
  <si>
    <t>Dallas, TX</t>
  </si>
  <si>
    <t>May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</si>
  <si>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</si>
  <si>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</si>
  <si>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</si>
  <si>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</si>
  <si>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</si>
  <si>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</si>
  <si>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</si>
  <si>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</si>
  <si>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</si>
  <si>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</si>
  <si>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</si>
  <si>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</si>
  <si>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</si>
  <si>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</si>
  <si>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</si>
  <si>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</si>
  <si>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</si>
  <si>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</si>
  <si>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</si>
  <si>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</si>
  <si>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</si>
  <si>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</si>
  <si>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</si>
  <si>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</si>
  <si>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</si>
  <si>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</si>
  <si>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</si>
  <si>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</si>
  <si>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</si>
  <si>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</si>
  <si>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</si>
  <si>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</si>
  <si>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</si>
  <si>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</si>
  <si>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</si>
  <si>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</si>
  <si>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</si>
  <si>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</si>
  <si>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</si>
  <si>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</si>
  <si>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</si>
  <si>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</si>
  <si>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</si>
  <si>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</si>
  <si>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</si>
  <si>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</si>
  <si>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</si>
  <si>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</si>
  <si>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</si>
  <si>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</si>
  <si>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</si>
  <si>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</si>
  <si>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</si>
  <si>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</si>
  <si>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</si>
  <si>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</si>
  <si>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</si>
  <si>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</si>
  <si>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</si>
  <si>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</si>
  <si>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</si>
  <si>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</si>
  <si>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</si>
  <si>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</si>
  <si>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</si>
  <si>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</si>
  <si>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</si>
  <si>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</si>
  <si>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</si>
  <si>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</si>
  <si>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</si>
  <si>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</si>
  <si>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</si>
  <si>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</si>
  <si>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</si>
  <si>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</si>
  <si>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</si>
  <si>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</si>
  <si>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</si>
  <si>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</si>
  <si>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</si>
  <si>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</si>
  <si>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</si>
  <si>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</si>
  <si>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</si>
  <si>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</si>
  <si>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</si>
  <si>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</si>
  <si>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</si>
  <si>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</si>
  <si>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</si>
  <si>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</si>
  <si>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</si>
  <si>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</si>
  <si>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</si>
  <si>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</si>
  <si>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</si>
  <si>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</si>
  <si>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</si>
  <si>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</si>
  <si>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</si>
  <si>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</si>
  <si>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</si>
  <si>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</si>
  <si>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</si>
  <si>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</si>
  <si>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</si>
  <si>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</si>
  <si>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</si>
  <si>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</si>
  <si>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</si>
  <si>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</si>
  <si>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</si>
  <si>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</si>
  <si>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</si>
  <si>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</si>
  <si>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</si>
  <si>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</si>
  <si>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</si>
  <si>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</si>
  <si>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</si>
  <si>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</si>
  <si>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</si>
  <si>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</si>
  <si>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</si>
  <si>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</si>
  <si>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</si>
  <si>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</si>
  <si>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August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</si>
  <si>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</si>
  <si>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</si>
  <si>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</si>
  <si>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</si>
  <si>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</si>
  <si>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</si>
  <si>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</si>
  <si>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</si>
  <si>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</si>
  <si>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</si>
  <si>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</si>
  <si>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</si>
  <si>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</si>
  <si>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</si>
  <si>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</si>
  <si>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</si>
  <si>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</si>
  <si>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</si>
  <si>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</si>
  <si>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</si>
  <si>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</si>
  <si>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</si>
  <si>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</si>
  <si>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</si>
  <si>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</si>
  <si>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</si>
  <si>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</si>
  <si>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</si>
  <si>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</si>
  <si>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</si>
  <si>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</si>
  <si>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</si>
  <si>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</si>
  <si>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</si>
  <si>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</si>
  <si>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</si>
  <si>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</si>
  <si>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Domino's Cash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</si>
  <si>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</si>
  <si>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</si>
  <si>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</si>
  <si>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</si>
  <si>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</si>
  <si>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</si>
  <si>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</si>
  <si>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</si>
  <si>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</si>
  <si>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</si>
  <si>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</si>
  <si>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</si>
  <si>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</si>
  <si>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</si>
  <si>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</si>
  <si>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</si>
  <si>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</si>
  <si>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</si>
  <si>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</si>
  <si>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</si>
  <si>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</si>
  <si>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</si>
  <si>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</si>
  <si>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</si>
  <si>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June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</si>
  <si>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</si>
  <si>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</si>
  <si>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</si>
  <si>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</si>
  <si>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</si>
  <si>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</si>
  <si>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</si>
  <si>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</si>
  <si>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</si>
  <si>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</si>
  <si>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</si>
  <si>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July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</si>
  <si>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</si>
  <si>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</si>
  <si>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</si>
  <si>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</si>
  <si>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</si>
  <si>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</si>
  <si>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</si>
  <si>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</si>
  <si>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</si>
  <si>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</si>
  <si>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</si>
  <si>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</si>
  <si>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</si>
  <si>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</si>
  <si>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</si>
  <si>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</si>
  <si>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</si>
  <si>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</si>
  <si>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</si>
  <si>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</si>
  <si>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</si>
  <si>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</si>
  <si>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</si>
  <si>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</si>
  <si>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</si>
  <si>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</si>
  <si>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</si>
  <si>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</si>
  <si>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</si>
  <si>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</si>
  <si>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</si>
  <si>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</si>
  <si>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</si>
  <si>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</si>
  <si>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</si>
  <si>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</si>
  <si>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</si>
  <si>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</si>
  <si>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</si>
  <si>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</si>
  <si>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</si>
  <si>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</si>
  <si>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</si>
  <si>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</si>
  <si>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</si>
  <si>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</si>
  <si>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</si>
  <si>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</si>
  <si>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</si>
  <si>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</si>
  <si>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</si>
  <si>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</si>
  <si>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</si>
  <si>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</si>
  <si>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</si>
  <si>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</si>
  <si>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</si>
  <si>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</si>
  <si>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</si>
  <si>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</si>
  <si>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</si>
  <si>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</si>
  <si>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September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</si>
  <si>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</si>
  <si>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</si>
  <si>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</si>
  <si>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</si>
  <si>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</si>
  <si>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</si>
  <si>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</si>
  <si>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</si>
  <si>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</si>
  <si>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</si>
  <si>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</si>
  <si>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</si>
  <si>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</si>
  <si>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</si>
  <si>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</si>
  <si>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</si>
  <si>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</si>
  <si>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</si>
  <si>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</si>
  <si>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</si>
  <si>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</si>
  <si>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</si>
  <si>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</si>
  <si>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</si>
  <si>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</si>
  <si>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</si>
  <si>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</si>
  <si>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</si>
  <si>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</si>
  <si>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</si>
  <si>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</si>
  <si>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</si>
  <si>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</si>
  <si>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</si>
  <si>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</si>
  <si>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</si>
  <si>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</si>
  <si>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</si>
  <si>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</si>
  <si>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</si>
  <si>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</si>
  <si>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</si>
  <si>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</si>
  <si>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</si>
  <si>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</si>
  <si>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October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</si>
  <si>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</si>
  <si>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</si>
  <si>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</si>
  <si>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</si>
  <si>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</si>
  <si>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</si>
  <si>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</si>
  <si>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</si>
  <si>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</si>
  <si>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</si>
  <si>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</si>
  <si>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</si>
  <si>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</si>
  <si>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</si>
  <si>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</si>
  <si>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Hut Points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</si>
  <si>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</si>
  <si>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</si>
  <si>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</si>
  <si>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</si>
  <si>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</si>
  <si>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</si>
  <si>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</si>
  <si>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</si>
  <si>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</si>
  <si>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</si>
  <si>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</si>
  <si>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</si>
  <si>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</si>
  <si>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</si>
  <si>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</si>
  <si>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</si>
  <si>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</si>
  <si>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</si>
  <si>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</si>
  <si>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</si>
  <si>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</si>
  <si>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</si>
  <si>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</si>
  <si>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</si>
  <si>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</si>
  <si>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</si>
  <si>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</si>
  <si>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</si>
  <si>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</si>
  <si>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</si>
  <si>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</si>
  <si>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</si>
  <si>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</si>
  <si>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</si>
  <si>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</si>
  <si>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</si>
  <si>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</si>
  <si>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</si>
  <si>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</si>
  <si>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</si>
  <si>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</si>
  <si>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</si>
  <si>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</si>
  <si>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</si>
  <si>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</si>
  <si>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</si>
  <si>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</si>
  <si>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</si>
  <si>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</si>
  <si>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</si>
  <si>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</si>
  <si>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</si>
  <si>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</si>
  <si>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</si>
  <si>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</si>
  <si>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</si>
  <si>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</si>
  <si>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</si>
  <si>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</si>
  <si>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</si>
  <si>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</si>
  <si>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</si>
  <si>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</si>
  <si>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</si>
  <si>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</si>
  <si>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November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</si>
  <si>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</si>
  <si>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</si>
  <si>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</si>
  <si>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</si>
  <si>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</si>
  <si>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</si>
  <si>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</si>
  <si>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</si>
  <si>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</si>
  <si>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</si>
  <si>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</si>
  <si>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</si>
  <si>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</si>
  <si>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</si>
  <si>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</si>
  <si>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</si>
  <si>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</si>
  <si>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</si>
  <si>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</si>
  <si>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</si>
  <si>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Gluten-Free</t>
  </si>
  <si>
    <t>ORD395</t>
  </si>
  <si>
    <t>ORD396</t>
  </si>
  <si>
    <t>Stuffed Crust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</si>
  <si>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</si>
  <si>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</si>
  <si>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</si>
  <si>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</si>
  <si>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</si>
  <si>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</si>
  <si>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</si>
  <si>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</si>
  <si>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December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</si>
  <si>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</si>
  <si>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</si>
  <si>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</si>
  <si>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</si>
  <si>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</si>
  <si>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</si>
  <si>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</si>
  <si>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</si>
  <si>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</si>
  <si>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</si>
  <si>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</si>
  <si>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Thin Crust</t>
  </si>
  <si>
    <t>ORD416</t>
  </si>
  <si>
    <t>Deep Dish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</si>
  <si>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</si>
  <si>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</si>
  <si>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</si>
  <si>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</si>
  <si>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</si>
  <si>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</si>
  <si>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</si>
  <si>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</si>
  <si>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</si>
  <si>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</si>
  <si>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</si>
  <si>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</si>
  <si>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</si>
  <si>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</si>
  <si>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</si>
  <si>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</si>
  <si>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</si>
  <si>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</si>
  <si>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</si>
  <si>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</si>
  <si>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</si>
  <si>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</si>
  <si>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</si>
  <si>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</si>
  <si>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</si>
  <si>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</si>
  <si>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</si>
  <si>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</si>
  <si>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</si>
  <si>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</si>
  <si>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</si>
  <si>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</si>
  <si>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</si>
  <si>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</si>
  <si>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</si>
  <si>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</si>
  <si>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</si>
  <si>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Thai Chicken</t>
  </si>
  <si>
    <t>ORD454</t>
  </si>
  <si>
    <t>Sicilian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</si>
  <si>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</si>
  <si>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</si>
  <si>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</si>
  <si>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</si>
  <si>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</si>
  <si>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</si>
  <si>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</si>
  <si>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</si>
  <si>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</si>
  <si>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</si>
  <si>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</si>
  <si>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</si>
  <si>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</si>
  <si>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</si>
  <si>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</si>
  <si>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</si>
  <si>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</si>
  <si>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</si>
  <si>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</si>
  <si>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</si>
  <si>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</si>
  <si>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</si>
  <si>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</si>
  <si>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</si>
  <si>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</si>
  <si>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</si>
  <si>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</si>
  <si>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</si>
  <si>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</si>
  <si>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</si>
  <si>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</si>
  <si>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</si>
  <si>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</si>
  <si>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</si>
  <si>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</si>
  <si>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</si>
  <si>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</si>
  <si>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</si>
  <si>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</si>
  <si>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</si>
  <si>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</si>
  <si>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</si>
  <si>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</si>
  <si>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</si>
  <si>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</si>
  <si>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</si>
  <si>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</si>
  <si>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</si>
  <si>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</si>
  <si>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</si>
  <si>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</si>
  <si>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</si>
  <si>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</si>
  <si>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</si>
  <si>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</si>
  <si>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</si>
  <si>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</si>
  <si>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</si>
  <si>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</si>
  <si>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</si>
  <si>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</si>
  <si>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</si>
  <si>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</si>
  <si>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</si>
  <si>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</si>
  <si>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</si>
  <si>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</si>
  <si>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</si>
  <si>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</si>
  <si>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</si>
  <si>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</si>
  <si>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</si>
  <si>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</si>
  <si>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</si>
  <si>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</si>
  <si>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</si>
  <si>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</si>
  <si>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</si>
  <si>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</si>
  <si>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</si>
  <si>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</si>
  <si>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</si>
  <si>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</si>
  <si>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</si>
  <si>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</si>
  <si>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</si>
  <si>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</si>
  <si>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</si>
  <si>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</si>
  <si>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</si>
  <si>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</si>
  <si>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</si>
  <si>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</si>
  <si>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</si>
  <si>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</si>
  <si>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</si>
  <si>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</si>
  <si>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</si>
  <si>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</si>
  <si>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</si>
  <si>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</si>
  <si>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</si>
  <si>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</si>
  <si>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</si>
  <si>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</si>
  <si>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</si>
  <si>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</si>
  <si>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</si>
  <si>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</si>
  <si>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</si>
  <si>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</si>
  <si>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</si>
  <si>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</si>
  <si>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</si>
  <si>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</si>
  <si>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</si>
  <si>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</si>
  <si>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</si>
  <si>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</si>
  <si>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</si>
  <si>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</si>
  <si>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</si>
  <si>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</si>
  <si>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</si>
  <si>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</si>
  <si>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</si>
  <si>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</si>
  <si>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</si>
  <si>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</si>
  <si>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</si>
  <si>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</si>
  <si>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</si>
  <si>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</si>
  <si>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</si>
  <si>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</si>
  <si>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</si>
  <si>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</si>
  <si>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</si>
  <si>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</si>
  <si>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</si>
  <si>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</si>
  <si>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</si>
  <si>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</si>
  <si>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</si>
  <si>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</si>
  <si>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</si>
  <si>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</si>
  <si>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</si>
  <si>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</si>
  <si>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</si>
  <si>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</si>
  <si>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</si>
  <si>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</si>
  <si>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</si>
  <si>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</si>
  <si>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</si>
  <si>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</si>
  <si>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</si>
  <si>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</si>
  <si>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</si>
  <si>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</si>
  <si>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</si>
  <si>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</si>
  <si>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</si>
  <si>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</si>
  <si>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</si>
  <si>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</si>
  <si>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</si>
  <si>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</si>
  <si>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</si>
  <si>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</si>
  <si>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</si>
  <si>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</si>
  <si>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</si>
  <si>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</si>
  <si>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</si>
  <si>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</si>
  <si>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</si>
  <si>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</si>
  <si>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</si>
  <si>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</si>
  <si>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</si>
  <si>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</si>
  <si>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</si>
  <si>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</si>
  <si>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</si>
  <si>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</si>
  <si>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</si>
  <si>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</si>
  <si>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</si>
  <si>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</si>
  <si>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</si>
  <si>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</si>
  <si>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</si>
  <si>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</si>
  <si>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</si>
  <si>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</si>
  <si>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</si>
  <si>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</si>
  <si>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</si>
  <si>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</si>
  <si>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</si>
  <si>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</si>
  <si>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</si>
  <si>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</si>
  <si>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</si>
  <si>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</si>
  <si>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</si>
  <si>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</si>
  <si>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</si>
  <si>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</si>
  <si>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</si>
  <si>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</si>
  <si>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</si>
  <si>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</si>
  <si>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</si>
  <si>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</si>
  <si>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</si>
  <si>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</si>
  <si>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</si>
  <si>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</si>
  <si>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</si>
  <si>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</si>
  <si>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</si>
  <si>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</si>
  <si>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</si>
  <si>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</si>
  <si>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</si>
  <si>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</si>
  <si>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</si>
  <si>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</si>
  <si>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</si>
  <si>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</si>
  <si>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</si>
  <si>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</si>
  <si>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</si>
  <si>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</si>
  <si>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</si>
  <si>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</si>
  <si>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</si>
  <si>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</si>
  <si>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</si>
  <si>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</si>
  <si>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</si>
  <si>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</si>
  <si>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</si>
  <si>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</si>
  <si>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</si>
  <si>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</si>
  <si>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</si>
  <si>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</si>
  <si>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</si>
  <si>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</si>
  <si>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</si>
  <si>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</si>
  <si>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</si>
  <si>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</si>
  <si>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</si>
  <si>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</si>
  <si>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</si>
  <si>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</si>
  <si>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</si>
  <si>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</si>
  <si>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</si>
  <si>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</si>
  <si>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</si>
  <si>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</si>
  <si>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</si>
  <si>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</si>
  <si>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</si>
  <si>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</si>
  <si>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</si>
  <si>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</si>
  <si>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</si>
  <si>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</si>
  <si>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</si>
  <si>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</si>
  <si>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</si>
  <si>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</si>
  <si>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</si>
  <si>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</si>
  <si>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</si>
  <si>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</si>
  <si>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</si>
  <si>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</si>
  <si>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</si>
  <si>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</si>
  <si>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</si>
  <si>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</si>
  <si>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</si>
  <si>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</si>
  <si>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</si>
  <si>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</si>
  <si>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</si>
  <si>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</si>
  <si>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</si>
  <si>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</si>
  <si>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</si>
  <si>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</si>
  <si>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</si>
  <si>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</si>
  <si>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</si>
  <si>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</si>
  <si>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</si>
  <si>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</si>
  <si>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</si>
  <si>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</si>
  <si>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</si>
  <si>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</si>
  <si>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</si>
  <si>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</si>
  <si>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</si>
  <si>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</si>
  <si>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</si>
  <si>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</si>
  <si>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</si>
  <si>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</si>
  <si>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</si>
  <si>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</si>
  <si>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</si>
  <si>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</si>
  <si>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</si>
  <si>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</si>
  <si>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</si>
  <si>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</si>
  <si>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</si>
  <si>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</si>
  <si>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</si>
  <si>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</si>
  <si>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</si>
  <si>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</si>
  <si>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</si>
  <si>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</si>
  <si>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</si>
  <si>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</si>
  <si>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</si>
  <si>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</si>
  <si>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</si>
  <si>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</si>
  <si>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</si>
  <si>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</si>
  <si>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</si>
  <si>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</si>
  <si>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</si>
  <si>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</si>
  <si>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</si>
  <si>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</si>
  <si>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</si>
  <si>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</si>
  <si>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</si>
  <si>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</si>
  <si>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</si>
  <si>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</si>
  <si>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</si>
  <si>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</si>
  <si>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</si>
  <si>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</si>
  <si>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</si>
  <si>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</si>
  <si>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</si>
  <si>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BBQ Chicken</t>
  </si>
  <si>
    <t>ORD755</t>
  </si>
  <si>
    <t>ORD756</t>
  </si>
  <si>
    <t>Margarita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</si>
  <si>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</si>
  <si>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</si>
  <si>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</si>
  <si>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</si>
  <si>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</si>
  <si>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</si>
  <si>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</si>
  <si>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</si>
  <si>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</si>
  <si>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</si>
  <si>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</si>
  <si>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</si>
  <si>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</si>
  <si>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</si>
  <si>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</si>
  <si>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</si>
  <si>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</si>
  <si>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</si>
  <si>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</si>
  <si>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</si>
  <si>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</si>
  <si>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</si>
  <si>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</si>
  <si>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</si>
  <si>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</si>
  <si>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</si>
  <si>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</si>
  <si>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</si>
  <si>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</si>
  <si>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</si>
  <si>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</si>
  <si>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</si>
  <si>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</si>
  <si>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</si>
  <si>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</si>
  <si>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</si>
  <si>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</si>
  <si>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</si>
  <si>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</si>
  <si>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</si>
  <si>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</si>
  <si>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</si>
  <si>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</si>
  <si>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</si>
  <si>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</si>
  <si>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</si>
  <si>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</si>
  <si>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</si>
  <si>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</si>
  <si>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</si>
  <si>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</si>
  <si>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</si>
  <si>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</si>
  <si>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</si>
  <si>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</si>
  <si>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</si>
  <si>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</si>
  <si>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</si>
  <si>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</si>
  <si>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</si>
  <si>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</si>
  <si>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</si>
  <si>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</si>
  <si>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</si>
  <si>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</si>
  <si>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</si>
  <si>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</si>
  <si>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</si>
  <si>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</si>
  <si>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</si>
  <si>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</si>
  <si>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</si>
  <si>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</si>
  <si>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</si>
  <si>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</si>
  <si>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</si>
  <si>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</si>
  <si>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</si>
  <si>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</si>
  <si>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</si>
  <si>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</si>
  <si>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</si>
  <si>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</si>
  <si>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</si>
  <si>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</si>
  <si>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</si>
  <si>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</si>
  <si>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</si>
  <si>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</si>
  <si>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</si>
  <si>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</si>
  <si>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</si>
  <si>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</si>
  <si>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</si>
  <si>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</si>
  <si>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</si>
  <si>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</si>
  <si>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</si>
  <si>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</si>
  <si>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</si>
  <si>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</si>
  <si>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</si>
  <si>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</si>
  <si>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</si>
  <si>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</si>
  <si>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</si>
  <si>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</si>
  <si>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</si>
  <si>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</si>
  <si>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</si>
  <si>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</si>
  <si>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</si>
  <si>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</si>
  <si>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</si>
  <si>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</si>
  <si>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</si>
  <si>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</si>
  <si>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</si>
  <si>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</si>
  <si>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</si>
  <si>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</si>
  <si>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</si>
  <si>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</si>
  <si>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</si>
  <si>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</si>
  <si>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</si>
  <si>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</si>
  <si>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</si>
  <si>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</si>
  <si>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</si>
  <si>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</si>
  <si>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</si>
  <si>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</si>
  <si>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</si>
  <si>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</si>
  <si>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</si>
  <si>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</si>
  <si>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</si>
  <si>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</si>
  <si>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</si>
  <si>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</si>
  <si>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</si>
  <si>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</si>
  <si>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</si>
  <si>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</si>
  <si>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</si>
  <si>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</si>
  <si>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</si>
  <si>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</si>
  <si>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</si>
  <si>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</si>
  <si>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</si>
  <si>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</si>
  <si>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</si>
  <si>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</si>
  <si>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</si>
  <si>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</si>
  <si>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</si>
  <si>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</si>
  <si>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</si>
  <si>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</si>
  <si>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</si>
  <si>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</si>
  <si>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</si>
  <si>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</si>
  <si>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</si>
  <si>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</si>
  <si>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</si>
  <si>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</si>
  <si>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</si>
  <si>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</si>
  <si>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</si>
  <si>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</si>
  <si>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</si>
  <si>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</si>
  <si>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</si>
  <si>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</si>
  <si>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</si>
  <si>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</si>
  <si>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</si>
  <si>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</si>
  <si>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</si>
  <si>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</si>
  <si>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</si>
  <si>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</si>
  <si>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</si>
  <si>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</si>
  <si>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</si>
  <si>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</si>
  <si>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</si>
  <si>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</si>
  <si>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</si>
  <si>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</si>
  <si>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</si>
  <si>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</si>
  <si>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</si>
  <si>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</si>
  <si>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</si>
  <si>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</si>
  <si>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</si>
  <si>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</si>
  <si>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</si>
  <si>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</si>
  <si>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</si>
  <si>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</si>
  <si>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</si>
  <si>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</si>
  <si>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</si>
  <si>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</si>
  <si>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</si>
  <si>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</si>
  <si>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</si>
  <si>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</si>
  <si>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</si>
  <si>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</si>
  <si>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</si>
  <si>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</si>
  <si>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</si>
  <si>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</si>
  <si>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</si>
  <si>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</si>
  <si>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</si>
  <si>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</si>
  <si>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</si>
  <si>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</si>
  <si>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</si>
  <si>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</si>
  <si>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</si>
  <si>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</si>
  <si>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</si>
  <si>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</si>
  <si>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</si>
  <si>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</si>
  <si>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</si>
  <si>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</si>
  <si>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</si>
  <si>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</si>
  <si>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</si>
  <si>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</si>
  <si>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</si>
  <si>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</si>
  <si>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</si>
  <si>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</si>
  <si>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</si>
  <si>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</si>
  <si>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</si>
  <si>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</si>
  <si>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</si>
  <si>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</si>
  <si>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สรุปผล</t>
  </si>
  <si>
    <t>Mean</t>
  </si>
  <si>
    <t>Mean: 29.49 นาที</t>
  </si>
  <si>
    <t>Standard Error</t>
  </si>
  <si>
    <t>Median: 30 นาที</t>
  </si>
  <si>
    <t>Median</t>
  </si>
  <si>
    <t>Mode: 30 นาที</t>
  </si>
  <si>
    <t>Mode</t>
  </si>
  <si>
    <t>SD: 7.75 นาที การกระจายปานกลาง ข้อมูลจำนวนมากอยู่ใกล้ค่าเฉลี่ย</t>
  </si>
  <si>
    <t>Standard Deviation</t>
  </si>
  <si>
    <t>Minimum: 15 นาที</t>
  </si>
  <si>
    <t>Sample Variance</t>
  </si>
  <si>
    <t>Maximum: 50 นาที</t>
  </si>
  <si>
    <t>Kurtosis</t>
  </si>
  <si>
    <t>Range: 35 นาที ความแตกต่างของเวลาส่งเร็วสุด–ช้าที่สุดค่อนข้างมาก</t>
  </si>
  <si>
    <t>Skewness</t>
  </si>
  <si>
    <t>Histogram: มีการกระจุกตัวอยู่ในช่วง 25 - 30 นาที</t>
  </si>
  <si>
    <t>Range</t>
  </si>
  <si>
    <t>Skewness: 0.798 เป็นบวกเบ้ขวา (Right-skewed)  มีบางคำสั่งซื้อที่ใช้เวลานานมาก (40–50 นาที) ทำให้หางยาวไปด้านขวา</t>
  </si>
  <si>
    <t>Minimum</t>
  </si>
  <si>
    <t>Kurtosis: 0.374 ใกล้ศูนย์ → Platykurtic (แบนกว่าปกติเล็กน้อย) distribution ใกล้เคียงปกติ   (≈ Mesokurtic)</t>
  </si>
  <si>
    <t>Maximum</t>
  </si>
  <si>
    <t>Sum</t>
  </si>
  <si>
    <t>โดยสรุป  เวลาส่งส่วนใหญ่ประมาณ 25–35 นาที และค่อนข้างคงที่ แต่มีบาง Order ที่มีระยะเวลาในการส่งถึง 40-50นาที</t>
  </si>
  <si>
    <t>Count</t>
  </si>
  <si>
    <t>Mean: 4.94 km</t>
  </si>
  <si>
    <t>Median: 4.5 km</t>
  </si>
  <si>
    <t>Mode: 4 km</t>
  </si>
  <si>
    <t>SD: 1.95 km — การกระจายปานกลาง ไม่ห่างจากค่ากลางมาก</t>
  </si>
  <si>
    <t>Minimum: 2 km</t>
  </si>
  <si>
    <t>Maximum: 10 km</t>
  </si>
  <si>
    <t>Range: 8  km มีบาง order ระยะทางไกลถึง 10 km</t>
  </si>
  <si>
    <t>Histogram: มีการกระจุกตัวอยู่ในช่วง 2-6 km</t>
  </si>
  <si>
    <t>Skewness: 0.762 → เป็น บวก = เบ้ขวา (Right-skewed) → มีบางออเดอร์ที่สั่งไกลผิดปกติ ทำให้หางขวายาวขึ้น</t>
  </si>
  <si>
    <t>Kurtosis: 0.223 โดย &lt; 3, Platykurtic (แบนกว่าปกติเล็กน้อย)  ระยะทางค่อนข้างหลากหลาย</t>
  </si>
  <si>
    <t>โดยสรุป ระยะทางส่วนใหญ่จะกระจุกตัวอยู่ในช่วง 2 - 6km</t>
  </si>
  <si>
    <t>และมีบาง order ที่มีระยะทาง 8 - 10 km</t>
  </si>
  <si>
    <t>Mean: 3.36</t>
  </si>
  <si>
    <t>Median: 3</t>
  </si>
  <si>
    <t>Mode: 3</t>
  </si>
  <si>
    <t>SD: 1.14 — การกระจายระดับปานกลาง</t>
  </si>
  <si>
    <t>Minimum: 1</t>
  </si>
  <si>
    <t>Maximum: 5</t>
  </si>
  <si>
    <t>Range: 4</t>
  </si>
  <si>
    <t>Histogram: มีการกระจุกตัวอยู่ในช่วง 3</t>
  </si>
  <si>
    <t>Skewness: -0.085 → ใกล้ 0 = สมมาตร (Symmetric)</t>
  </si>
  <si>
    <t>Kurtosis: -0.879  โดย &lt; 3, Platykurtic distribution แบนกระจายกว่าปกติ</t>
  </si>
  <si>
    <r>
      <t xml:space="preserve">โดยสรุป </t>
    </r>
    <r>
      <rPr>
        <i/>
        <sz val="14"/>
        <color theme="1"/>
        <rFont val="Aptos Narrow"/>
        <scheme val="minor"/>
      </rPr>
      <t>ส่วนใหญ่สั่งพิซซ่า 3–4 toppings ความซับซ้อนอาจเพิ่มเวลาเตรียม</t>
    </r>
  </si>
  <si>
    <t>Mean: 2.05</t>
  </si>
  <si>
    <t>Median: 2</t>
  </si>
  <si>
    <t xml:space="preserve">Mode: 2 </t>
  </si>
  <si>
    <t>SD: 0.78</t>
  </si>
  <si>
    <t>Maximum: 3</t>
  </si>
  <si>
    <t>Range: 2</t>
  </si>
  <si>
    <t>Histogram:  มีการกระจุกตัวอยู่ในช่วง 2-3</t>
  </si>
  <si>
    <t>Skewness: -0.086 → ใกล้ศูนย์ = สมมาตร</t>
  </si>
  <si>
    <t>Kurtosis: -1.332 (&lt;3) → Platykurtic → ข้อมูลแผ่ ไม่แหลม</t>
  </si>
  <si>
    <t>โดยสรุป โดยมากเป็น Traffic ระดับ 2 แต่ระดับ 3 มีผลต่อเวลาส่งเพิ่มขึ้น</t>
  </si>
  <si>
    <t>Mean: 18.69 น.</t>
  </si>
  <si>
    <t>Median: 19.00 น.</t>
  </si>
  <si>
    <t>Mode: 19.00 น.</t>
  </si>
  <si>
    <t>SD: 1.53 → กระจุกตัวสูง</t>
  </si>
  <si>
    <t>Minimum: 12.00 น.</t>
  </si>
  <si>
    <t>Maximum: 21.00 น.</t>
  </si>
  <si>
    <t>Range = 9 ชั่วโมง (12.00 - 21.00 น.)</t>
  </si>
  <si>
    <t xml:space="preserve">Histogram: มีการกระจุกตัวอยู่ในช่วง 18.00–20.00 น. เป็น peak ชัดเจน </t>
  </si>
  <si>
    <t>Skewness:-2.38 → เบ้ซ้าย (Left-skewed) ส่วนใหญ่สั่งช่วงเย็น 18.00–20.00 น.</t>
  </si>
  <si>
    <t>Kurtosis: 6.73 (&gt;3) → Leptokurtic กระจุกตัวสูงที่ peak time</t>
  </si>
  <si>
    <t xml:space="preserve">โดยสรุป ช่วงเวลาสั่งหลักคือ 18.00–20.00 น. เป็น peak ชัดเจน </t>
  </si>
  <si>
    <t xml:space="preserve">คำถาม </t>
  </si>
  <si>
    <t>ระยะเวลาในการจัดส่งเฉลี่ยในแต่ละเดือนเป็นเท่าใดบ้าง?</t>
  </si>
  <si>
    <t>Average of Delivery Duration (min)</t>
  </si>
  <si>
    <t>สรุป</t>
  </si>
  <si>
    <t>จากกราฟ Average Delivery Duration by Order Month พบว่า:</t>
  </si>
  <si>
    <r>
      <t xml:space="preserve">- เดือนที่ใช้เวลาเฉลี่ย </t>
    </r>
    <r>
      <rPr>
        <sz val="14"/>
        <color theme="1"/>
        <rFont val="Aptos Narrow (Body)"/>
      </rPr>
      <t>ต่ำสุด คือ July (26.53 นาที)</t>
    </r>
  </si>
  <si>
    <r>
      <t xml:space="preserve">- เดือนที่ใช้เวลาเฉลี่ย </t>
    </r>
    <r>
      <rPr>
        <sz val="14"/>
        <color theme="1"/>
        <rFont val="Aptos Narrow (Body)"/>
      </rPr>
      <t>สูงสุด คือ June (31.21 นาที)</t>
    </r>
  </si>
  <si>
    <r>
      <t xml:space="preserve">- เดือนที่ค่าเฉลี่ย </t>
    </r>
    <r>
      <rPr>
        <sz val="14"/>
        <color theme="1"/>
        <rFont val="Aptos Narrow (Body)"/>
      </rPr>
      <t>เกิน 30 นาที (มีแนวโน้ม Delay สูง) ได้แก่</t>
    </r>
    <r>
      <rPr>
        <sz val="14"/>
        <color rgb="FF000000"/>
        <rFont val="Aptos Narrow (Body)"/>
      </rPr>
      <t xml:space="preserve"> May (30.88), June (31.21), August (30.04), November (31.33), December (31.38)</t>
    </r>
  </si>
  <si>
    <r>
      <t xml:space="preserve">สรุปได้ว่า: </t>
    </r>
    <r>
      <rPr>
        <sz val="14"/>
        <color theme="1"/>
        <rFont val="Aptos Narrow (Body)"/>
      </rPr>
      <t>บางเดือนมีค่าเฉลี่ยสูงเกินมาตรฐาน 30 นาที ซึ่งอาจต้องหาสาเหตุเชิงปฏิบัติการเพิ่มเติม</t>
    </r>
  </si>
  <si>
    <t>สรุปภาพรวม</t>
  </si>
  <si>
    <r>
      <t xml:space="preserve">- ค่าเฉลี่ยเวลาในการจัดส่งทั่วทั้งปีอยู่ในช่วง </t>
    </r>
    <r>
      <rPr>
        <sz val="14"/>
        <color theme="1"/>
        <rFont val="Aptos Narrow (Body)"/>
      </rPr>
      <t>26–31 นาที</t>
    </r>
  </si>
  <si>
    <r>
      <t xml:space="preserve">- พบรูปแบบ </t>
    </r>
    <r>
      <rPr>
        <sz val="14"/>
        <color theme="1"/>
        <rFont val="Aptos Narrow (Body)"/>
      </rPr>
      <t>Seasonal Pattern ชัดเจน คือ</t>
    </r>
  </si>
  <si>
    <r>
      <t xml:space="preserve">     Mid-year peak</t>
    </r>
    <r>
      <rPr>
        <sz val="14"/>
        <color theme="1"/>
        <rFont val="Aptos Narrow (Body)"/>
      </rPr>
      <t>: เดือน May–June มีค่าการส่งสูงผิดปกติ</t>
    </r>
  </si>
  <si>
    <r>
      <t xml:space="preserve">     Year-end peak</t>
    </r>
    <r>
      <rPr>
        <sz val="14"/>
        <color theme="1"/>
        <rFont val="Aptos Narrow (Body)"/>
      </rPr>
      <t>: เดือน November–December สูงขึ้นอีกครั้ง</t>
    </r>
  </si>
  <si>
    <r>
      <t xml:space="preserve">- มีเพียงบางเดือนเท่านั้นที่เวลาส่งต่ำและมีประสิทธิภาพดีเป็นพิเศษ เช่น </t>
    </r>
    <r>
      <rPr>
        <sz val="14"/>
        <color theme="1"/>
        <rFont val="Aptos Narrow (Body)"/>
      </rPr>
      <t>July</t>
    </r>
  </si>
  <si>
    <t>- ภาพรวมสะท้อนว่าเวลาในการจัดส่งมีความผันผวนตามปัจจัยด้านฤดูกาล ปริมาณออเดอร์ และทรัพยากร</t>
  </si>
  <si>
    <t>TRUE</t>
  </si>
  <si>
    <t>Grand Total</t>
  </si>
  <si>
    <r>
      <t xml:space="preserve">- เดือนที่มี </t>
    </r>
    <r>
      <rPr>
        <sz val="14"/>
        <color theme="1"/>
        <rFont val="Aptos Narrow (Body)"/>
      </rPr>
      <t>การส่งล่าช้าสูงที่สุด คือ August (31 ครั้ง)</t>
    </r>
  </si>
  <si>
    <r>
      <t xml:space="preserve">- รองลงมาคือ </t>
    </r>
    <r>
      <rPr>
        <sz val="14"/>
        <color theme="1"/>
        <rFont val="Aptos Narrow (Body)"/>
      </rPr>
      <t>June (26 ครั้ง) และ September (22 ครั้ง)</t>
    </r>
  </si>
  <si>
    <r>
      <t xml:space="preserve">- เดือนที่มีการส่งล่าช้าน้อยที่สุดคือ </t>
    </r>
    <r>
      <rPr>
        <sz val="14"/>
        <color theme="1"/>
        <rFont val="Aptos Narrow (Body)"/>
      </rPr>
      <t>July (6 ครั้ง)</t>
    </r>
  </si>
  <si>
    <r>
      <t xml:space="preserve">- เดือนอื่น ๆ อยู่ในช่วงประมาณ </t>
    </r>
    <r>
      <rPr>
        <sz val="14"/>
        <color theme="1"/>
        <rFont val="Aptos Narrow (Body)"/>
      </rPr>
      <t>14–17 ครั้ง ซึ่งถือว่าใกล้เคียงกัน</t>
    </r>
  </si>
  <si>
    <t>สรุปได้ว่า: August, June และ September เป็นเดือนที่มี Delay สูงผิดปกติ เมื่อเทียบกับเดือนอื่น</t>
  </si>
  <si>
    <t>แนวโน้มของจำนวนออเดอร์ที่ Delay รายเดือนมีความผันผวนสูง และไม่มีรูปแบบคงที่ แต่เห็น pattern สำคัญคือ:</t>
  </si>
  <si>
    <t>1. ช่วงกลางปี (May–September)</t>
  </si>
  <si>
    <t>- มีแนวโน้ม Delay เพิ่มขึ้นต่อเนื่อง</t>
  </si>
  <si>
    <r>
      <t xml:space="preserve">- สูงสุดที่เดือน </t>
    </r>
    <r>
      <rPr>
        <sz val="14"/>
        <color theme="1"/>
        <rFont val="Aptos Narrow (Body)"/>
      </rPr>
      <t>August</t>
    </r>
  </si>
  <si>
    <t>2. ช่วงต้นปี (Jan–Apr)</t>
  </si>
  <si>
    <t>- Delay ค่อนข้างคงที่ อยู่ที่ 14–16 ครั้งต่อเดือน</t>
  </si>
  <si>
    <t>- ไม่มีความผันผวนมาก</t>
  </si>
  <si>
    <t>3. ช่วงปลายปี (Oct–Dec)</t>
  </si>
  <si>
    <t>- Delay ปรับลดลงใน October–November</t>
  </si>
  <si>
    <r>
      <t xml:space="preserve">- แต่เพิ่มขึ้นอีกครั้งใน </t>
    </r>
    <r>
      <rPr>
        <sz val="14"/>
        <color theme="1"/>
        <rFont val="Aptos Narrow (Body)"/>
      </rPr>
      <t>December</t>
    </r>
  </si>
  <si>
    <t>ภาพรวม: จำนวนการส่งล่าช้ามีแนวโน้มเพิ่มขึ้นในช่วงเดือนที่มีปริมาณออเดอร์สูง หรือช่วงฤดูกาลพิเศษ เช่น กลางปีและปลายปี</t>
  </si>
  <si>
    <t>จำนวนออเดอร์แต่ละเดือนเป็นอย่างไร และมีจำนวนการจัดส่งล่าช้าเท่าใดบ้าง?</t>
  </si>
  <si>
    <t>1.  จำนวนออเดอร์ (Order Volume)</t>
  </si>
  <si>
    <r>
      <t xml:space="preserve">- เดือนที่มีจำนวนออเดอร์สูงที่สุดคือ </t>
    </r>
    <r>
      <rPr>
        <sz val="14"/>
        <color theme="1"/>
        <rFont val="Aptos Narrow"/>
        <scheme val="minor"/>
      </rPr>
      <t>August (117 Orders)</t>
    </r>
  </si>
  <si>
    <r>
      <t xml:space="preserve">- รองลงมาคือ </t>
    </r>
    <r>
      <rPr>
        <sz val="14"/>
        <color theme="1"/>
        <rFont val="Aptos Narrow"/>
        <scheme val="minor"/>
      </rPr>
      <t>September (105 Orders) และ June (91 Orders)</t>
    </r>
  </si>
  <si>
    <r>
      <t xml:space="preserve">- เดือนที่จำนวนออเดอร์ต่ำที่สุดคือ </t>
    </r>
    <r>
      <rPr>
        <sz val="14"/>
        <color theme="1"/>
        <rFont val="Aptos Narrow"/>
        <scheme val="minor"/>
      </rPr>
      <t>July (49 Orders)</t>
    </r>
  </si>
  <si>
    <t>2. จำนวนออเดอร์ที่ล่าช้า (Delivery Delays)</t>
  </si>
  <si>
    <r>
      <t xml:space="preserve">- เดือนที่มี Delay สูงที่สุดคือ </t>
    </r>
    <r>
      <rPr>
        <sz val="14"/>
        <color theme="1"/>
        <rFont val="Aptos Narrow"/>
        <scheme val="minor"/>
      </rPr>
      <t>August (31 ครั้ง)</t>
    </r>
  </si>
  <si>
    <r>
      <t xml:space="preserve">- รองลงมาคือ </t>
    </r>
    <r>
      <rPr>
        <sz val="14"/>
        <color theme="1"/>
        <rFont val="Aptos Narrow"/>
        <scheme val="minor"/>
      </rPr>
      <t>June (26 ครั้ง) และ September (22 ครั้ง)</t>
    </r>
  </si>
  <si>
    <r>
      <t xml:space="preserve">- เดือนที่มี Delay ต่ำที่สุดคือ </t>
    </r>
    <r>
      <rPr>
        <sz val="14"/>
        <color theme="1"/>
        <rFont val="Aptos Narrow"/>
        <scheme val="minor"/>
      </rPr>
      <t>July (6 ครั้ง)</t>
    </r>
  </si>
  <si>
    <t>3. ความสอดคล้องสำคัญที่พบ</t>
  </si>
  <si>
    <t>- เดือนที่มีจำนวนออเดอร์สูง มักจะเป็นเดือนที่มีจำนวน Delay สูงตามไปด้วย</t>
  </si>
  <si>
    <t>- โดยเฉพาะ June, August และ September</t>
  </si>
  <si>
    <t>1. ช่วงที่มีออเดอร์สูง (High Order Volume Months)</t>
  </si>
  <si>
    <t>June, August, September</t>
  </si>
  <si>
    <t>- มีทั้ง Order Volume และ Delays สูงพร้อมกัน</t>
  </si>
  <si>
    <t>- บ่งชี้ว่าระบบมีโหลดสูง ส่งผลต่อความเร็วในการจัดส่ง</t>
  </si>
  <si>
    <t>2. ช่วงที่ออเดอร์ลดลง (Low Volume Months)</t>
  </si>
  <si>
    <r>
      <t xml:space="preserve">เช่น </t>
    </r>
    <r>
      <rPr>
        <sz val="14"/>
        <color theme="1"/>
        <rFont val="Aptos Narrow"/>
        <scheme val="minor"/>
      </rPr>
      <t>July</t>
    </r>
  </si>
  <si>
    <t>- Delays ลดลงเช่นกัน</t>
  </si>
  <si>
    <t>- บ่งชี้ว่าภาระงานที่น้อยลงทำให้การจัดส่งมีประสิทธิภาพมากขึ้น</t>
  </si>
  <si>
    <t>3. ปลายปี (October–December)</t>
  </si>
  <si>
    <t>- ออเดอร์ปานกลาง 60–80 ราย</t>
  </si>
  <si>
    <t>- Delays อยู่ที่ 14–20 ครั้ง</t>
  </si>
  <si>
    <t>- อาจเป็นช่วงเทศกาลหรือฤดูที่การสั่งอาหารเพิ่มขึ้นเล็กน้อยแต่ยังไม่ถึงระดับ peak</t>
  </si>
  <si>
    <r>
      <rPr>
        <sz val="14"/>
        <color theme="1"/>
        <rFont val="Aptos Narrow"/>
        <scheme val="minor"/>
      </rPr>
      <t>ภาพรวมสำคัญ: Order Volume กับ Delay มีความสัมพันธ์กันค่อนข้างชัดเจน คือ เมื่อออเดอร์มาก ความล่าช้าจะเพิ่มขึ้น</t>
    </r>
  </si>
  <si>
    <t>ช่วงเวลาที่ลูกค้าสั่งซื้อ (Order Hour) ของแต่ละร้านค้า มีผลต่อระยะเวลาในการจัดส่งหรือไม่ ?</t>
  </si>
  <si>
    <t>(All)</t>
  </si>
  <si>
    <t xml:space="preserve">จากการวิเคราะห์ พบว่า Average Delivery Duration ของแต่ละร้าน แตกต่างกันไปในแต่ละช่วงเวลาที่ลูกค้าสั่งซื้อ (Order Hour) </t>
  </si>
  <si>
    <t>จากกราฟจะเห็นได้ชัดว่า ระยะเวลาในการจัดส่งมีแนวโน้มเปลี่ยนแปลงตามช่วงเวลาที่ลูกค้าสั่งซื้อ โดยเฉพาะในช่วงเวลาหลัง 18.00 น. ถึง 20.00 น. ที่ระยะเวลาในการจัดส่งเพิ่มขึ้นอย่างเห็นได้ชัดในหลายร้าน</t>
  </si>
  <si>
    <t xml:space="preserve">          Domino’s  -&gt; เวลาส่งเฉลี่ยอยู่ที่ 20–35 นาที </t>
  </si>
  <si>
    <t xml:space="preserve">          Little Caesars  --&gt; เวลาส่งเฉลี่ยเพิ่มขึ้นตามช่วงเวลา เฉลี่ย 23 ไปจนถึง 37 นาที</t>
  </si>
  <si>
    <t xml:space="preserve">          Marco’s Pizza  --&gt; เวลาส่งเฉลี่ยอยู่ที่ 20–45 นาที และแนวโน้มการจัดส่งบางช่วงแย่ลง เช่น 19:00 น.</t>
  </si>
  <si>
    <t xml:space="preserve">          Papa John’s  --&gt; เวลาส่งเฉลี่ยประมาณ 27–37 นาที</t>
  </si>
  <si>
    <t xml:space="preserve">          Pizza Hut  --&gt; เวลาส่งเฉลี่ยอยู่ที่ 20–33 นาที</t>
  </si>
  <si>
    <t>ช่วงเวลาการสั่งซื้อมีผลต่อระยะเวลาในการจัดส่ง โดยเฉพาะในช่วงเย็นที่คำสั่งซื้อหนาแน่น ทำให้การจัดส่งใช้เวลานานขึ้น</t>
  </si>
  <si>
    <t>- Domino's มีระยะเวลาจัดส่ง เพิ่มขึ้นในช่วงเย็น 18:00–21:00 น.</t>
  </si>
  <si>
    <t xml:space="preserve">- Little Caesars มีระยะเวลาจัดส่ง สูงสุดในช่วง 19:00-20.00 น. </t>
  </si>
  <si>
    <t>- Marco’s Pizza มีระยะเวลาสูงสุดในช่วง 19:00 น.</t>
  </si>
  <si>
    <t xml:space="preserve">- Papa John's มีระยะเวลาจัดส่ง สูงสุดในช่วง 17:00 น. </t>
  </si>
  <si>
    <t>- Pizza Hut มีระยะเวลาจัดส่งค่อนข้างคงที่แต่ก็ยังมีแนวโน้มเพิ่มขึ้นในช่วงเย็น 19:00–20:00 น.</t>
  </si>
  <si>
    <t>ช่วงเวลาที่ลูกค้าสั่งซื้อ (Order Hour) มีผลการจัดส่งล่าช้าแตกต่างกันหรือไม่?</t>
  </si>
  <si>
    <t>1. จำนวนออเดอร์มากที่สุดเกิดขึ้นในช่วงเวลา 18:00–20:00 น.</t>
  </si>
  <si>
    <t>18:00 → 312 orders</t>
  </si>
  <si>
    <t>19:00 → 328 orders</t>
  </si>
  <si>
    <t>20:00 → 306 orders</t>
  </si>
  <si>
    <t>ถือเป็น “ช่วงพีกของวัน (Peak Hours)” ของการสั่งพิซซ่า</t>
  </si>
  <si>
    <t>2. จำนวนการส่งล่าช้าสูงที่สุดอยู่ช่วง 20:00 น.</t>
  </si>
  <si>
    <t>20:00 → 109 delays</t>
  </si>
  <si>
    <t>19:00 → 88 delays</t>
  </si>
  <si>
    <t>18:00 → 11 delays</t>
  </si>
  <si>
    <t>3. ช่วงเวลาอื่นก่อน 17:00 แทบไม่มี Delay</t>
  </si>
  <si>
    <t>- ยอดออเดอร์เพิ่มขึ้นอย่างรวดเร็วเมื่อเข้าสู่ช่วงเย็น (18:00–20:00)</t>
  </si>
  <si>
    <t>- จำนวนการส่งล่าช้าเพิ่มขึ้นตามจำนวนออเดอร์ (Strong correlation)</t>
  </si>
  <si>
    <r>
      <t>- ช่วง Peak (19:00–20:00)</t>
    </r>
    <r>
      <rPr>
        <sz val="14"/>
        <color theme="1"/>
        <rFont val="Aptos Narrow (Body)"/>
      </rPr>
      <t xml:space="preserve"> เป็นช่วงที่ระบบรับภาระหนักที่สุด ส่งผลให้ Delay สูงมาก</t>
    </r>
  </si>
  <si>
    <t>- นอกช่วงพีก เช่น 12:00–17:00 จำนวนออเดอร์น้อย Delay แทบไม่มี</t>
  </si>
  <si>
    <t>Insight เชิงธุรกิจ: “ช่วงเวลา 19:00–20:00 คือจุดวิกฤตที่ทำให้เกิดการส่งล่าช้าสูงที่สุด เนื่องจากปริมาณออเดอร์สูงเกินความสามารถในการจัดส่งของระบบในช่วงเวลานั้น”</t>
  </si>
  <si>
    <t>ระยะทางในการจัดส่ง มีผลการจัดส่งล่าช้าแตกต่างกันหรือไม่?</t>
  </si>
  <si>
    <t>1. จำนวนออเดอร์ (Order Volume)</t>
  </si>
  <si>
    <r>
      <t xml:space="preserve">- ระยะทางที่พบออเดอร์สูงสุดคือ </t>
    </r>
    <r>
      <rPr>
        <sz val="14"/>
        <color theme="1"/>
        <rFont val="Aptos Narrow"/>
        <family val="2"/>
        <scheme val="minor"/>
      </rPr>
      <t>4  km (136 orders)</t>
    </r>
  </si>
  <si>
    <r>
      <t xml:space="preserve">- รองลงมาคือ </t>
    </r>
    <r>
      <rPr>
        <sz val="14"/>
        <color theme="1"/>
        <rFont val="Aptos Narrow"/>
        <family val="2"/>
        <scheme val="minor"/>
      </rPr>
      <t>6 km (120 orders) และ 4.5 km (112 orders)</t>
    </r>
  </si>
  <si>
    <t>- ระยะใกล้มาก ๆ เช่น 2–3 km ก็ยังมีคำสั่งซื้อจำนวนเยอะ</t>
  </si>
  <si>
    <r>
      <t xml:space="preserve">- แต่เมื่อระยะทางเกิน </t>
    </r>
    <r>
      <rPr>
        <sz val="14"/>
        <color theme="1"/>
        <rFont val="Aptos Narrow"/>
        <family val="2"/>
        <scheme val="minor"/>
      </rPr>
      <t>7 km จำนวนออเดอร์ลดลงชัดเจน</t>
    </r>
  </si>
  <si>
    <t>- ระยะทางที่มี Delay สูงที่สุดคือ</t>
  </si>
  <si>
    <t>5.5 km → 32 delays</t>
  </si>
  <si>
    <t>7.5 km → 32 delays</t>
  </si>
  <si>
    <t>8 km → 46 delays</t>
  </si>
  <si>
    <t>10 km → 38 delays</t>
  </si>
  <si>
    <t>- ระยะใกล้กว่า 3–4 km แทบไม่มี Delay หรือมีเพียง 1–2 ครั้ง</t>
  </si>
  <si>
    <t>Insight: ระยะทางยิ่งไกล ความล่าช้ายิ่งเพิ่มขึ้นแบบชัดเจน โดยเฉพาะระยะทางเกิน 5 km ขึ้นไป</t>
  </si>
  <si>
    <t>1. รูปแบบที่เห็นชัด:</t>
  </si>
  <si>
    <t>- จำนวนออเดอร์มากที่สุดในระยะใกล้–กลาง (2–6 km)</t>
  </si>
  <si>
    <t>- Delay เริ่มเพิ่มขึ้นจากระยะ 4 km และพุ่งสูงหลัง 5 km</t>
  </si>
  <si>
    <r>
      <t>- ระยะไกล (7–10 km)</t>
    </r>
    <r>
      <rPr>
        <sz val="14"/>
        <color theme="1"/>
        <rFont val="Aptos Narrow"/>
        <family val="2"/>
        <scheme val="minor"/>
      </rPr>
      <t xml:space="preserve"> มีจำนวน Delay สูงเป็นสัดส่วนที่มากกว่าระยะใกล้หลายเท่า</t>
    </r>
  </si>
  <si>
    <t>2. ความสัมพันธ์ที่พบ:</t>
  </si>
  <si>
    <t>- โดยเฉพาะช่วง 5–10 km ซึ่งมี Delay สูงแบบก้าวกระโดด</t>
  </si>
  <si>
    <t>3. ความหมายเชิงธุรกิจ</t>
  </si>
  <si>
    <t>- ระบบจัดส่งในระยะไกลมีประสิทธิภาพลดลง</t>
  </si>
  <si>
    <t>- อาจต้องใช้เวลามากขึ้นกว่าที่ระบบคาดการณ์</t>
  </si>
  <si>
    <t>- ออเดอร์ไกลมีความเสี่ยงต่อความไม่พอใจของลูกค้า (CX risk)</t>
  </si>
  <si>
    <t>- ต้องบริหารจัดการเส้นทางและการจัดลำดับความสำคัญให้ดีขึ้น</t>
  </si>
  <si>
    <t>จำนวน Toppings มากขึ้น ส่งผลให้เวลาส่งเฉลี่ยเพิ่มขึ้นหรือไม่?</t>
  </si>
  <si>
    <t>จากการวิเคราะห์ พบว่า Average Delivery Duration มีแนวโน้มเพิ่มขึ้นตามจำนวน Toppings  ในทุกๆๆร้าน ยิ่งมีจำนวน Topping ที่มากกขึ้น ระยะเวลาเฉลี่ยในการส่งยิ่งเพิ่มมากขึ้น</t>
  </si>
  <si>
    <t>- Domino's  --&gt; Topping 1 อย่าง ใช้เวลาในการส่งเฉลี่ย 20.00 นาที Topping  5  ชิ้น ใช้เวลาในการส่ง 32.50 นาที</t>
  </si>
  <si>
    <t>- Little Caesars --&gt; Topping 1 อย่าง ใช้เวลาในการส่งเฉลี่ย 20.00 นาที Topping  5  ชิ้น ใช้เวลาในการส่ง 34.08 นาที</t>
  </si>
  <si>
    <t>- Marco's Pizza --&gt; Topping 1 อย่าง ใช้เวลาในการส่งเฉลี่ย 20.67 นาที Topping  4  ชิ้น ใช้เวลาในการส่ง 45.88นาที</t>
  </si>
  <si>
    <t>- Papa John's --&gt; Topping 1 อย่าง ใช้เวลาในการส่งเฉลี่ย 20.00 นาที Topping  5  ชิ้น ใช้เวลาในการส่ง 40.00 นาที</t>
  </si>
  <si>
    <t>- Pizza Hut --&gt; Topping 1 อย่าง ใช้เวลาในการส่งเฉลี่ย 20.00 นาที Topping 5  ชิ้น ใช้เวลาในการส่ง 31.74 นาที</t>
  </si>
  <si>
    <t>จากสรุปข้างต้น  สามารถสรุปได้ว่า  ในทุกๆ ร้าน มีแนวโน้มชัดเจน ว่าจำนวน Topping เพิ่มมากขึ้น ยิ่งใช้เวลาในการส่งนานขึ้น</t>
  </si>
  <si>
    <t>ในทุกๆ ร้าน ถ้า Topping 1  อย่าง จะใช้เวลาเฉลี่ยในการส่ง 20.00 นาที และถ้า Topping 4 -5  อย่าง จะใช้เวลาในการส่งเฉลี่ย 40-45 นาที</t>
  </si>
  <si>
    <t>และร้าน Macro's Pizza และ Papa John's จะใช้เวลาในการส่งนานที่สุดเมื่อมีจำนวน Topping 4-5 อย่าง อย่างเห็นได้ชัด</t>
  </si>
  <si>
    <t>โอกาสการส่งล่าช้าเพิ่มขึ้นตามระดับ Traffic หรือไม่?</t>
  </si>
  <si>
    <t>1. จำนวน Delay เพิ่มสูงขึ้นอย่างชัดเจนเมื่อ Traffic หนาแน่นขึ้น</t>
  </si>
  <si>
    <t>Low Traffic: Delay = 1</t>
  </si>
  <si>
    <t>Medium Traffic: Delay = 44</t>
  </si>
  <si>
    <t>High Traffic: Delay = 165</t>
  </si>
  <si>
    <t>แม้จำนวนออเดอร์อยู่ใกล้เคียงกัน แต่เมื่อเป็น High Traffic การส่งล่าช้าจะเพิ่มขึ้นหลายเท่า</t>
  </si>
  <si>
    <t>1. ภาพรวมการส่งล่าช้าตามระดับ Traffic:</t>
  </si>
  <si>
    <t>Low Traffic (278 orders)</t>
  </si>
  <si>
    <t>- เกือบไม่มี Delay → ระบบสามารถจัดส่งได้ดี</t>
  </si>
  <si>
    <t>Medium Traffic (398 orders)</t>
  </si>
  <si>
    <t>- Delay เพิ่มขึ้นพอสมควร → เริ่มมีผลกระทบจากการจราจร</t>
  </si>
  <si>
    <t>High Traffic (328 orders)</t>
  </si>
  <si>
    <t>- Delay พุ่งสูงมาก (165 ครั้ง)</t>
  </si>
  <si>
    <t>- แม้จำนวนออเดอร์น้อยกว่า Medium แต่ Delay มากกว่าหลายเท่า</t>
  </si>
  <si>
    <t>2. Key Insight:</t>
  </si>
  <si>
    <t>ระดับความหนาแน่นของการจราจร (Traffic Level) มีผลต่อการเกิดการส่งล่าช้าอย่างมีนัยสำคัญ โดย High Traffic ทำให้จำนวน Delay สูงขึ้นอย่างเด่นชัด</t>
  </si>
  <si>
    <t>"Traffic เป็นปัจจัยสำคัญที่สุดอันหนึ่งที่ทำให้เกิดการส่งล่าช้า"</t>
  </si>
  <si>
    <t>จำนวนออเดอร์ที่ล่าช้าเพิ่มขึ้นในช่วงเวลาเร่งด่วนหรือไม่?</t>
  </si>
  <si>
    <t>FALSE</t>
  </si>
  <si>
    <t>- จำนวนออเดอร์ในช่วง Peak Hour (TRUE) สูงมาก: 949 ออเดอร์</t>
  </si>
  <si>
    <t>- ส่วนช่วง Non-Peak (FALSE) มีเพียง 55 ออเดอร์</t>
  </si>
  <si>
    <t>- การส่งล่าช้า (Delayed) เกิดในช่วง Peak Hour เป็นหลัก:</t>
  </si>
  <si>
    <t>Peak Hour Delay: 209 ครั้ง</t>
  </si>
  <si>
    <t>Non-Peak Delay: 1 ครั้ง</t>
  </si>
  <si>
    <t>- ออเดอร์ส่วนใหญ่เกิดในช่วงเร่งด่วน และการส่งล่าช้าแทบทั้งหมดเกิดในช่วงนี้เช่นกัน</t>
  </si>
  <si>
    <t>1. ปริมาณงาน (Order Volume)</t>
  </si>
  <si>
    <t>เกือบ 94% ของออเดอร์ทั้งหมด เกิดในช่วง Peak Hour</t>
  </si>
  <si>
    <t>→ ช่วงเวลานี้มีผลกระทบโดยตรงต่อ SLA และความพึงพอใจลูกค้า</t>
  </si>
  <si>
    <t>2. จำนวนการส่งล่าช้า</t>
  </si>
  <si>
    <t>- การส่งล่าช้าจำนวน 209 ครั้ง เกิดในช่วง Peak Hour</t>
  </si>
  <si>
    <t>- เทียบกับ Non-Peak ที่แทบไม่มีปัญหา (1 ครั้ง)</t>
  </si>
  <si>
    <t>3. สิ่งที่เห็นจากกราฟชัดเจน:</t>
  </si>
  <si>
    <t>Peak Hour = ความแออัดสูง + ปริมาณงานมาก + ความล่าช้าสะสมสูง</t>
  </si>
  <si>
    <t>จึงเป็นช่วงเวลาที่ธุรกิจควรให้ความสำคัญที่สุดในการเพิ่มทรัพยากรและบริหารทีม Rider</t>
  </si>
  <si>
    <t>จำนวนออเดอร์ในวันธรรมดา (Weekday) และวันหยุดสุดสัปดาห์ (Weekend) แตกต่างกันอย่างไร?</t>
  </si>
  <si>
    <t>1. Weekday (FALSE)</t>
  </si>
  <si>
    <t>- จำนวนออเดอร์: 718 ออเดอร์</t>
  </si>
  <si>
    <t>-จำนวนงานส่งล่าช้า: 148 ครั้ง</t>
  </si>
  <si>
    <t>2. Weekend (TRUE)</t>
  </si>
  <si>
    <t>-จำนวนออเดอร์: 286 ออเดอร์</t>
  </si>
  <si>
    <t>- จำนวนงานส่งล่าช้า: 62 ครั้ง</t>
  </si>
  <si>
    <t>ในวันธรรมดามีจำนวนออเดอร์มากกว่าวันหยุดอย่างชัดเจน และมีจำนวนการส่งล่าช้าที่มากกว่าเช่นกัน</t>
  </si>
  <si>
    <t>1. ปริมาณออเดอร์ Weekday &gt; Weekend</t>
  </si>
  <si>
    <t>- ออเดอร์วันธรรมดาสูงกว่า ~2.5 เท่า เมื่อเทียบกับวันหยุด</t>
  </si>
  <si>
    <t>- ทำให้ภาระงานของร้านและไรเดอร์ในวันธรรมดามากกว่า</t>
  </si>
  <si>
    <t>2. การส่งล่าช้าเพิ่มตามจำนวนออเดอร์</t>
  </si>
  <si>
    <t>- จำนวนการ Delayed ของ Weekday = 148 ครั้ง</t>
  </si>
  <si>
    <t>- จำนวนการ Delayed ของ Weekend = 62 ครั้ง</t>
  </si>
  <si>
    <t>แม้สัดส่วนการ Delayed ต่อจำนวนออเดอร์ใกล้เคียงกัน แต่ ปริมาณรวมในวันธรรมดาสูงกว่า จึงเห็น Delay มากกว่าโดยรวม</t>
  </si>
  <si>
    <t>3. กราฟแสดงภาพชัดเจนว่า:</t>
  </si>
  <si>
    <t>วันธรรมดา = ปริมาณงานมาก → Delay สูง</t>
  </si>
  <si>
    <t>วันหยุด = ปริมาณงานลดลง → Delay ลดลง</t>
  </si>
  <si>
    <t>ความสัมพันธ์ระหว่างเวลาจัดส่งสินค้ากับระยะทาง (Delivery Duration vs Distance)</t>
  </si>
  <si>
    <t>Pearson's Correlation</t>
  </si>
  <si>
    <r>
      <rPr>
        <u val="double"/>
        <sz val="14"/>
        <color theme="1"/>
        <rFont val="Tahoma"/>
        <family val="2"/>
      </rPr>
      <t xml:space="preserve">สรุป </t>
    </r>
    <r>
      <rPr>
        <sz val="14"/>
        <color theme="1"/>
        <rFont val="Tahoma"/>
        <family val="2"/>
      </rPr>
      <t xml:space="preserve">จากกราฟ จะเห็นได้ว่า ระยะทาง และ ระยะเวลาในการจัดการส่งสินค้า มีความสัมพันธ์กันเชิงบวก โดยมีค่า Correlation  = 0.91 ซึ่งเข้าใกล้ 1 </t>
    </r>
  </si>
  <si>
    <t>แสดงว่ามีความสัมพันธ์กันอย่างมาก โดยจะเห็นว่าระยะทาง (Distance) เพิ่มขึ้น แนวโน้มของ ระยะเวลาในการจัดส่ง (Delivery Duration) ก็จะเพิ่มขึ้นตามไปด้วย</t>
  </si>
  <si>
    <t>ความสัมพันธ์ระหว่างเวลาจัดส่งสินค้ากับระดับการจราจร (Delivery Duration vs Traffic Impact)</t>
  </si>
  <si>
    <r>
      <rPr>
        <u val="double"/>
        <sz val="14"/>
        <color theme="1"/>
        <rFont val="Tahoma"/>
        <family val="2"/>
      </rPr>
      <t xml:space="preserve">สรุป </t>
    </r>
    <r>
      <rPr>
        <sz val="14"/>
        <color theme="1"/>
        <rFont val="Tahoma"/>
        <family val="2"/>
      </rPr>
      <t>จากกราฟ จะเห็นได้ว่า ระดับการจราจร และ ระยะเวลาในการจัดการส่งสินค้า มีความสัมพันธ์กันเชิงบวก โดยมีค่า Correlation  = 0.58</t>
    </r>
  </si>
  <si>
    <t>Traffic Impact เพิ่มขึ้น เวลาในการส่งก็เพิ่มขึ้นตาม</t>
  </si>
  <si>
    <t>กราฟแสดง Pattern ชัดเจนว่า Traffic ระดับสูง (Impact 3) ส่งผลให้ Delivery Duration สูงกว่า Impact 1–2</t>
  </si>
  <si>
    <t>ความหมาย / การตีความ</t>
  </si>
  <si>
    <t>- ยิ่งรถติดมาก เวลาในการส่งจะยิ่งนานขึ้น</t>
  </si>
  <si>
    <t>- ควรใช้เป็นหนึ่งในตัวแปรสำคัญที่ควรใช้ในโมเดลคาดการณ์ Delay</t>
  </si>
  <si>
    <t>ความสัมพันธ์ระหว่างเวลาจัดส่งสินค้ากับจำนวนท็อปปิ้ง (Delivery Duration vs Toppings Count)</t>
  </si>
  <si>
    <r>
      <rPr>
        <u val="double"/>
        <sz val="14"/>
        <color theme="1"/>
        <rFont val="Tahoma"/>
        <family val="2"/>
      </rPr>
      <t xml:space="preserve">สรุป </t>
    </r>
    <r>
      <rPr>
        <sz val="14"/>
        <color theme="1"/>
        <rFont val="Tahoma"/>
        <family val="2"/>
      </rPr>
      <t>จากกราฟ จะเห็นได้ว่า จำนวนท็อปปิ้ง และ ระยะเวลาในการจัดการส่งสินค้า มีความสัมพันธ์กันเชิงบวก โดยมีค่า Correlation  = 0.49</t>
    </r>
  </si>
  <si>
    <t>จำนวนท็อปปิ้งที่มากขึ้นมีแนวโน้มทำให้เวลา Delivery เพิ่มขึ้น</t>
  </si>
  <si>
    <t>จากกราฟเห็นว่า Topping 4–5 มักใช้เวลาส่งมากกว่า Topping 1–2</t>
  </si>
  <si>
    <t>- พิซซ่าที่มีท็อปปิ้งมากใช้เวลาเตรียมนานขึ้น</t>
  </si>
  <si>
    <t>- ส่งผลให้เวลาส่ง (รวมเวลาเตรียมอาหาร) เพิ่มขึ้น</t>
  </si>
  <si>
    <t>- ความสัมพันธ์ไม่สูงมาก เพราะเวลาจัดส่งยังขึ้นกับปัจจัยอื่น เช่น ระยะทาง และ Traffic</t>
  </si>
  <si>
    <t>ความสัมพันธ์ระหว่างเวลาจัดส่งสินค้ากับเวลาที่ลูกค้าสั่งสินค้าซื้อ (Delivery Duration vs Order Hour)</t>
  </si>
  <si>
    <r>
      <rPr>
        <u val="double"/>
        <sz val="14"/>
        <color theme="1"/>
        <rFont val="Tahoma"/>
        <family val="2"/>
      </rPr>
      <t xml:space="preserve">สรุป </t>
    </r>
    <r>
      <rPr>
        <sz val="14"/>
        <color theme="1"/>
        <rFont val="Tahoma"/>
        <family val="2"/>
      </rPr>
      <t>จากกราฟ จะเห็นได้ว่า เวลาที่ลูกค้าสั่งซื้อสินค้า และ ระยะเวลาในการจัดการส่งสินค้า มีความสัมพันธ์กันเชิงบวก โดยมีค่า Correlation  = 0.40</t>
    </r>
  </si>
  <si>
    <t>กราฟแสดงให้เห็นว่าในช่วงชั่วโมงที่สั่งมากขึ้น เวลา Delivery โดยเฉลี่ยจะสูงขึ้นตามลำดับ</t>
  </si>
  <si>
    <t>- ออเดอร์ในช่วงเวลาที่มีคนสั่งเยอะ (เช่น ช่วงเย็น–หัวค่ำ) มักจะใช้เวลาส่งนานกว่า</t>
  </si>
  <si>
    <t>- ปัจจัยอาจเกิดจาก: ปริมาณออเดอร์เยอะ, คนขับไม่พอ, การจราจรเริ่มหนาแน่น</t>
  </si>
  <si>
    <t>- แม้ความสัมพันธ์จะไม่สูงมาก แต่ยังชี้ว่าช่วงเวลามีผลชัดเจนต่อ Delivery Time</t>
  </si>
  <si>
    <t>Correlation Heatmap</t>
  </si>
  <si>
    <t>1. Delivery Duration (เวลาส่ง)</t>
  </si>
  <si>
    <t>ตัวแปรที่มีผลมากที่สุด:</t>
  </si>
  <si>
    <t>ตัวแปร</t>
  </si>
  <si>
    <t>Correlation</t>
  </si>
  <si>
    <t>ความหมาย</t>
  </si>
  <si>
    <t>Distance (0.91)</t>
  </si>
  <si>
    <t>สูงมาก</t>
  </si>
  <si>
    <t>ยิ่งไกล ยิ่งส่งช้า — ปัจจัยที่มีผลที่สุด</t>
  </si>
  <si>
    <t>Estimated Duration (0.91)</t>
  </si>
  <si>
    <t>เวลาที่ระบบคาดการณ์ สอดคล้องกับเวลาส่งจริง</t>
  </si>
  <si>
    <t>Delay (0.88)</t>
  </si>
  <si>
    <t>ช้าเมื่อไหร่ก็เพิ่มเวลาส่งทันที</t>
  </si>
  <si>
    <t>Traffic Impact (0.58)</t>
  </si>
  <si>
    <t>ปานกลางค่อนสูง</t>
  </si>
  <si>
    <t>รถติดทำให้เวลาส่งเพิ่มขึ้น</t>
  </si>
  <si>
    <t>Toppings Count (0.49)</t>
  </si>
  <si>
    <t>ปานกลาง</t>
  </si>
  <si>
    <t>ทำเยอะขึ้น ใช้เวลานานขึ้น</t>
  </si>
  <si>
    <t>Pizza Complexity (0.45)</t>
  </si>
  <si>
    <t>ความซับซ้อนเพิ่ม → เวลาส่งเพิ่ม</t>
  </si>
  <si>
    <t>สรุป: เวลาส่งถูกกำหนดหลัก ๆ จาก “ระยะทาง + ความซับซ้อนของอาหาร + สภาพการจราจร”</t>
  </si>
  <si>
    <t>2. Toppings Count (จำนวนท็อปปิ้ง)</t>
  </si>
  <si>
    <t>มีความสัมพันธ์เด่นกับ:</t>
  </si>
  <si>
    <r>
      <t>Pizza Complexity (0.96)</t>
    </r>
    <r>
      <rPr>
        <sz val="14"/>
        <color theme="1"/>
        <rFont val="Aptos Display"/>
        <scheme val="major"/>
      </rPr>
      <t xml:space="preserve"> → ความซับซ้อนสูงขึ้นตามจำนวนท็อปปิ้ง</t>
    </r>
  </si>
  <si>
    <r>
      <t>Distance (0.69)</t>
    </r>
    <r>
      <rPr>
        <sz val="14"/>
        <color theme="1"/>
        <rFont val="Aptos Display"/>
        <scheme val="major"/>
      </rPr>
      <t xml:space="preserve"> → ออเดอร์ไกลมีแนวโน้มสั่งท็อปปิ้งมากกว่า</t>
    </r>
  </si>
  <si>
    <r>
      <t>Estimated Duration (0.69)</t>
    </r>
    <r>
      <rPr>
        <sz val="14"/>
        <color theme="1"/>
        <rFont val="Aptos Display"/>
        <scheme val="major"/>
      </rPr>
      <t xml:space="preserve"> → คาดการณ์เวลาจะสูงขึ้นตามจำนวนท็อปปิ้ง</t>
    </r>
  </si>
  <si>
    <t>ความซับซ้อนของพิซซ่าเป็นตัวกำหนดขั้นตอนเตรียมและเวลารวมทั้งหมด</t>
  </si>
  <si>
    <t>3. Distance (ระยะทาง)</t>
  </si>
  <si>
    <t>สัมพันธ์สูงกับ:</t>
  </si>
  <si>
    <t>Delivery Duration (0.91)</t>
  </si>
  <si>
    <t>Delay (0.60)</t>
  </si>
  <si>
    <t>Traffic Impact (0.65)</t>
  </si>
  <si>
    <t>ระยะทางเป็นตัวแปรสำคัญที่สุด ที่ทำให้ Order ช้า</t>
  </si>
  <si>
    <t>4. Delay (การส่งล่าช้า)</t>
  </si>
  <si>
    <t>Delivery Duration (0.88)</t>
  </si>
  <si>
    <t>Estimated Duration (0.60)</t>
  </si>
  <si>
    <t>Distance (0.60)</t>
  </si>
  <si>
    <t>ถ้าไกลหรือระบบประเมินว่านาน → โอกาส Delay สูงขึ้น</t>
  </si>
  <si>
    <t>5. Traffic Impact</t>
  </si>
  <si>
    <t>มีความสัมพันธ์กับความช้า:</t>
  </si>
  <si>
    <t>Delivery Duration (0.58)</t>
  </si>
  <si>
    <t>Pizza Complexity (0.63)</t>
  </si>
  <si>
    <t>Toppings (0.68)</t>
  </si>
  <si>
    <t>สั่งเมนูซับซ้อนในช่วงรถติดถือเป็น “Risk Zone” ที่ทำให้ Delay สูงสุด</t>
  </si>
  <si>
    <t>6. Order Hour (เวลาที่ลูกค้าสั่ง)</t>
  </si>
  <si>
    <t>ความสัมพันธ์ไม่สูงมาก → หมายถึง</t>
  </si>
  <si>
    <t>ช่วงเวลาที่สั่งไม่ได้มีผลมากเท่าปัจจัยด้านอาหารและระยะทาง</t>
  </si>
  <si>
    <t>แต่มีแนวโน้มว่า:</t>
  </si>
  <si>
    <t>Order Hour กับ Delivery Duration (0.40) → ช่วงเย็นอาจช้ากว่า</t>
  </si>
  <si>
    <t>Order Hour กับ Delay (0.44) → ช่วง peak ทำให้ Delay มากขึ้น</t>
  </si>
  <si>
    <t>7. Delivery Efficiency (min/km)</t>
  </si>
  <si>
    <r>
      <t xml:space="preserve">มี </t>
    </r>
    <r>
      <rPr>
        <b/>
        <sz val="14"/>
        <color theme="1"/>
        <rFont val="Aptos Display"/>
        <scheme val="major"/>
      </rPr>
      <t>ความสัมพันธ์เชิงลบ</t>
    </r>
    <r>
      <rPr>
        <sz val="14"/>
        <color theme="1"/>
        <rFont val="Aptos Display"/>
        <scheme val="major"/>
      </rPr>
      <t xml:space="preserve"> กับ Delivery Duration, Distance, Complexity</t>
    </r>
  </si>
  <si>
    <t>→ ยิ่งมีประสิทธิภาพ (เวลา/กม. ต่ำ) ก็ยิ่งส่งเร็วขึ้น</t>
  </si>
  <si>
    <t>ร้านที่มี Delivery Efficiency สูง → เวลาส่งต่ำกว่าแม้ระยะทางไกล</t>
  </si>
  <si>
    <t>สรุป Insight สำคัญแบบผู้บริหาร</t>
  </si>
  <si>
    <r>
      <t>Distance คือปัจจัยอันดับ 1</t>
    </r>
    <r>
      <rPr>
        <sz val="14"/>
        <color theme="1"/>
        <rFont val="Aptos Display"/>
        <scheme val="major"/>
      </rPr>
      <t xml:space="preserve"> ที่ทำให้การส่งล่าช้า</t>
    </r>
  </si>
  <si>
    <r>
      <t xml:space="preserve">ความซับซ้อนของพิซซ่า เช่น </t>
    </r>
    <r>
      <rPr>
        <b/>
        <sz val="14"/>
        <color theme="1"/>
        <rFont val="Aptos Display"/>
        <scheme val="major"/>
      </rPr>
      <t>จำนวนท็อปปิ้ง</t>
    </r>
    <r>
      <rPr>
        <sz val="14"/>
        <color theme="1"/>
        <rFont val="Aptos Display"/>
        <scheme val="major"/>
      </rPr>
      <t xml:space="preserve"> ส่งผลต่อเวลาในการเตรียมและส่งจริง</t>
    </r>
  </si>
  <si>
    <t>Traffic Impact ทำให้เวลาส่งเพิ่มขึ้นอย่างมีนัยสำคัญ โดยเฉพาะออเดอร์ที่ซับซ้อน</t>
  </si>
  <si>
    <t>Order Hour มีผลแต่ไม่แรงเท่าปัจจัยเชิงปฏิบัติการ เช่น ระยะทาง, ความซับซ้อน และรถติด</t>
  </si>
  <si>
    <t>Delay เกิดจากการรวมกันของ</t>
  </si>
  <si>
    <t>- ระยะทางไกล</t>
  </si>
  <si>
    <t>- ความซับซ้อนของเมนู</t>
  </si>
  <si>
    <t>- สภาพการจราจร</t>
  </si>
  <si>
    <t>ข้อเสนอเชิงกลยุทธ์</t>
  </si>
  <si>
    <t>1) ลดการส่งล่าช้า (Delay)</t>
  </si>
  <si>
    <t>- กำหนด เขตรับส่งสูงสุด หรือปรับค่าบริการตามระยะทาง</t>
  </si>
  <si>
    <t>- เพิ่ม จำนวนไรเดอร์ในช่วง peak เช่น 18.00–20.00 น.</t>
  </si>
  <si>
    <t>- ปรับปรุงระบบคาดการณ์ให้แม่นยำขึ้นตาม Traffic แบบเรียลไทม์</t>
  </si>
  <si>
    <t>2) บริหารงานครัว</t>
  </si>
  <si>
    <t>- แยกไลน์เตรียมอาหารสำหรับเมนูที่มี Topping เยอะ</t>
  </si>
  <si>
    <t>- สร้างสูตรเวลาประเมินตาม Complexity เพื่อให้ลูกค้าทราบเวลาที่ถูกต้องขึ้น</t>
  </si>
  <si>
    <t>3) บริหารงานขนส่ง</t>
  </si>
  <si>
    <t>- ใช้ Route Optimization สำหรับออเดอร์ไกล</t>
  </si>
  <si>
    <t>- ปรับ SLA ตาม Traffic แทนการใช้เวลามาตรฐานคงที่</t>
  </si>
  <si>
    <t>Marco’s Pizza</t>
  </si>
  <si>
    <t>ปริมาณออเดอร์ที่จัดส่งล่าช้าแต่ละเดือนมีแนวโน้มเพิ่มขึ้นหรือลดลงอย่างไร?</t>
  </si>
  <si>
    <t>Total Delayed Orders</t>
  </si>
  <si>
    <t>Count of Orders</t>
  </si>
  <si>
    <t>Distance ↑  Delivery Delays ↑ อย่างชัดเจน (Strong Positive Correlation)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</si>
</sst>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[$-F400]h:mm:ss\ AM/PM"/>
    <numFmt numFmtId="166" formatCode="m\,\ d\,\ yyyy"/>
  </numFmts>
  <fonts count="5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Calibri"/>
      <family val="2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6"/>
      <color theme="1"/>
      <name val="Aptos Narrow"/>
    </font>
    <font>
      <b/>
      <sz val="16"/>
      <color rgb="FF000000"/>
      <name val="Aptos Narrow"/>
    </font>
    <font>
      <sz val="16"/>
      <color theme="1"/>
      <name val="Aptos Narrow"/>
    </font>
    <font>
      <sz val="16"/>
      <color rgb="FF000000"/>
      <name val="Aptos Narrow"/>
    </font>
    <font>
      <b/>
      <sz val="18"/>
      <color theme="1"/>
      <name val="Aptos Narrow"/>
    </font>
    <font>
      <b/>
      <sz val="20"/>
      <color theme="1"/>
      <name val="Aptos Narrow"/>
    </font>
    <font>
      <b/>
      <sz val="11"/>
      <color theme="1"/>
      <name val="Aptos Narrow"/>
    </font>
    <font>
      <sz val="12"/>
      <color theme="1"/>
      <name val="Aptos Narrow (เนื้อความ)"/>
    </font>
    <font>
      <b/>
      <i/>
      <sz val="16"/>
      <color theme="1"/>
      <name val="Aptos Narrow"/>
      <scheme val="minor"/>
    </font>
    <font>
      <b/>
      <sz val="16"/>
      <color rgb="FF000000"/>
      <name val="Aptos Narrow"/>
      <scheme val="minor"/>
    </font>
    <font>
      <sz val="12"/>
      <color theme="1"/>
      <name val="Aptos Narrow"/>
      <scheme val="minor"/>
    </font>
    <font>
      <sz val="16"/>
      <color rgb="FF000000"/>
      <name val="Aptos Narrow"/>
      <scheme val="minor"/>
    </font>
    <font>
      <b/>
      <sz val="24"/>
      <color theme="1"/>
      <name val="Aptos Narrow"/>
    </font>
    <font>
      <b/>
      <sz val="12"/>
      <color theme="1" tint="4.9989318521683403E-2"/>
      <name val="Aptos Narrow"/>
    </font>
    <font>
      <b/>
      <sz val="12"/>
      <color theme="1"/>
      <name val="Aptos Narrow"/>
    </font>
    <font>
      <sz val="11"/>
      <color theme="1"/>
      <name val="Aptos Narrow"/>
    </font>
    <font>
      <b/>
      <sz val="14"/>
      <color theme="1"/>
      <name val="Aptos Narrow"/>
    </font>
    <font>
      <sz val="14"/>
      <color theme="1"/>
      <name val="Aptos Narrow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4"/>
      <color rgb="FF000000"/>
      <name val="Aptos Narrow (Body)"/>
    </font>
    <font>
      <sz val="14"/>
      <color theme="1"/>
      <name val="Aptos Narrow (Body)"/>
    </font>
    <font>
      <sz val="14"/>
      <color rgb="FF000000"/>
      <name val="Aptos Narrow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rgb="FF000000"/>
      <name val="Aptos Narrow (Body)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i/>
      <sz val="14"/>
      <color theme="1"/>
      <name val="Aptos Narrow"/>
      <family val="2"/>
      <scheme val="minor"/>
    </font>
    <font>
      <sz val="14"/>
      <color theme="1"/>
      <name val="Tahoma"/>
      <family val="2"/>
    </font>
    <font>
      <u val="double"/>
      <sz val="14"/>
      <color theme="1"/>
      <name val="Tahoma"/>
      <family val="2"/>
    </font>
    <font>
      <u val="double"/>
      <sz val="14"/>
      <color theme="1"/>
      <name val="Aptos Narrow"/>
      <family val="2"/>
      <scheme val="minor"/>
    </font>
    <font>
      <u val="double"/>
      <sz val="14"/>
      <color theme="1"/>
      <name val="Aptos Narrow"/>
      <scheme val="minor"/>
    </font>
    <font>
      <b/>
      <i/>
      <sz val="14"/>
      <color theme="1"/>
      <name val="Aptos Narrow"/>
      <family val="2"/>
      <scheme val="minor"/>
    </font>
    <font>
      <i/>
      <sz val="14"/>
      <color theme="1"/>
      <name val="Aptos Narrow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Display"/>
      <scheme val="major"/>
    </font>
    <font>
      <sz val="14"/>
      <color theme="1"/>
      <name val="Aptos Display"/>
      <scheme val="major"/>
    </font>
    <font>
      <sz val="12"/>
      <color theme="1"/>
      <name val="Aptos Display"/>
      <scheme val="major"/>
    </font>
    <font>
      <sz val="16"/>
      <color theme="1"/>
      <name val="Aptos Display"/>
      <scheme val="major"/>
    </font>
    <font>
      <sz val="11"/>
      <color theme="1"/>
      <name val="Aptos Display"/>
      <scheme val="major"/>
    </font>
    <font>
      <sz val="12"/>
      <color rgb="FF1F2328"/>
      <name val="-Apple-System"/>
      <charset val="1"/>
    </font>
    <font>
      <sz val="12"/>
      <color rgb="FF1F2328"/>
      <name val="Aptos Narrow"/>
      <scheme val="minor"/>
    </font>
    <font>
      <b/>
      <sz val="12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B00"/>
        <bgColor indexed="64"/>
      </patternFill>
    </fill>
    <fill>
      <patternFill patternType="solid">
        <fgColor rgb="FFE8E8E8"/>
        <bgColor rgb="FFE8E8E8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AF9F9"/>
        <bgColor rgb="FFFAF9F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187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1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0" fontId="0" fillId="0" borderId="2" xfId="0" applyBorder="1"/>
    <xf numFmtId="0" fontId="4" fillId="0" borderId="3" xfId="0" applyFont="1" applyBorder="1" applyAlignment="1">
      <alignment horizontal="centerContinuous"/>
    </xf>
    <xf numFmtId="0" fontId="5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7" fillId="0" borderId="0" xfId="1" applyFont="1"/>
    <xf numFmtId="0" fontId="7" fillId="0" borderId="0" xfId="0" applyFont="1"/>
    <xf numFmtId="0" fontId="7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166" fontId="7" fillId="0" borderId="0" xfId="1" applyNumberFormat="1" applyFont="1"/>
    <xf numFmtId="0" fontId="7" fillId="0" borderId="0" xfId="1" applyFont="1" applyAlignment="1">
      <alignment horizontal="center"/>
    </xf>
    <xf numFmtId="0" fontId="7" fillId="11" borderId="0" xfId="1" applyFont="1" applyFill="1"/>
    <xf numFmtId="0" fontId="7" fillId="11" borderId="0" xfId="1" applyFont="1" applyFill="1" applyAlignment="1">
      <alignment horizontal="center"/>
    </xf>
    <xf numFmtId="0" fontId="9" fillId="9" borderId="4" xfId="1" applyFont="1" applyFill="1" applyBorder="1"/>
    <xf numFmtId="0" fontId="9" fillId="9" borderId="6" xfId="1" applyFont="1" applyFill="1" applyBorder="1"/>
    <xf numFmtId="0" fontId="9" fillId="9" borderId="4" xfId="1" applyFont="1" applyFill="1" applyBorder="1" applyAlignment="1">
      <alignment horizontal="center"/>
    </xf>
    <xf numFmtId="0" fontId="9" fillId="9" borderId="7" xfId="1" applyFont="1" applyFill="1" applyBorder="1" applyAlignment="1">
      <alignment horizontal="center"/>
    </xf>
    <xf numFmtId="0" fontId="9" fillId="10" borderId="4" xfId="1" applyFont="1" applyFill="1" applyBorder="1"/>
    <xf numFmtId="0" fontId="9" fillId="10" borderId="6" xfId="1" applyFont="1" applyFill="1" applyBorder="1"/>
    <xf numFmtId="0" fontId="9" fillId="10" borderId="4" xfId="1" applyFont="1" applyFill="1" applyBorder="1" applyAlignment="1">
      <alignment horizontal="center"/>
    </xf>
    <xf numFmtId="0" fontId="9" fillId="10" borderId="7" xfId="1" applyFont="1" applyFill="1" applyBorder="1" applyAlignment="1">
      <alignment horizontal="center"/>
    </xf>
    <xf numFmtId="14" fontId="9" fillId="10" borderId="7" xfId="1" applyNumberFormat="1" applyFont="1" applyFill="1" applyBorder="1" applyAlignment="1">
      <alignment horizontal="center"/>
    </xf>
    <xf numFmtId="165" fontId="9" fillId="9" borderId="7" xfId="1" applyNumberFormat="1" applyFont="1" applyFill="1" applyBorder="1" applyAlignment="1">
      <alignment horizontal="center"/>
    </xf>
    <xf numFmtId="21" fontId="9" fillId="10" borderId="7" xfId="1" applyNumberFormat="1" applyFont="1" applyFill="1" applyBorder="1" applyAlignment="1">
      <alignment horizontal="center"/>
    </xf>
    <xf numFmtId="0" fontId="10" fillId="0" borderId="0" xfId="1" applyFont="1"/>
    <xf numFmtId="0" fontId="9" fillId="10" borderId="4" xfId="1" applyFont="1" applyFill="1" applyBorder="1" applyAlignment="1">
      <alignment vertical="center"/>
    </xf>
    <xf numFmtId="0" fontId="9" fillId="10" borderId="6" xfId="1" applyFont="1" applyFill="1" applyBorder="1" applyAlignment="1">
      <alignment vertical="center" wrapText="1"/>
    </xf>
    <xf numFmtId="0" fontId="9" fillId="10" borderId="4" xfId="1" applyFont="1" applyFill="1" applyBorder="1" applyAlignment="1">
      <alignment horizontal="center" vertical="center"/>
    </xf>
    <xf numFmtId="0" fontId="9" fillId="10" borderId="7" xfId="1" applyFont="1" applyFill="1" applyBorder="1" applyAlignment="1">
      <alignment horizontal="center" vertical="center"/>
    </xf>
    <xf numFmtId="0" fontId="9" fillId="9" borderId="7" xfId="1" quotePrefix="1" applyFont="1" applyFill="1" applyBorder="1" applyAlignment="1">
      <alignment horizontal="center"/>
    </xf>
    <xf numFmtId="0" fontId="11" fillId="8" borderId="4" xfId="1" applyFont="1" applyFill="1" applyBorder="1" applyAlignment="1">
      <alignment horizontal="center" vertical="center"/>
    </xf>
    <xf numFmtId="0" fontId="11" fillId="8" borderId="5" xfId="1" applyFont="1" applyFill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13" fillId="0" borderId="0" xfId="1" applyFont="1" applyAlignment="1">
      <alignment wrapText="1"/>
    </xf>
    <xf numFmtId="0" fontId="14" fillId="0" borderId="0" xfId="0" applyFont="1"/>
    <xf numFmtId="0" fontId="16" fillId="3" borderId="0" xfId="0" applyFont="1" applyFill="1" applyAlignment="1">
      <alignment vertical="center"/>
    </xf>
    <xf numFmtId="0" fontId="17" fillId="0" borderId="0" xfId="0" applyFont="1"/>
    <xf numFmtId="0" fontId="18" fillId="3" borderId="0" xfId="0" applyFont="1" applyFill="1" applyAlignment="1">
      <alignment vertical="center"/>
    </xf>
    <xf numFmtId="0" fontId="15" fillId="4" borderId="0" xfId="0" applyFont="1" applyFill="1"/>
    <xf numFmtId="0" fontId="19" fillId="6" borderId="0" xfId="0" applyFont="1" applyFill="1" applyAlignment="1">
      <alignment horizontal="center" vertical="center"/>
    </xf>
    <xf numFmtId="0" fontId="7" fillId="5" borderId="0" xfId="0" applyFont="1" applyFill="1"/>
    <xf numFmtId="0" fontId="13" fillId="5" borderId="0" xfId="0" applyFont="1" applyFill="1"/>
    <xf numFmtId="0" fontId="7" fillId="0" borderId="0" xfId="0" applyFont="1" applyAlignment="1">
      <alignment horizontal="left" vertical="center"/>
    </xf>
    <xf numFmtId="0" fontId="13" fillId="0" borderId="0" xfId="0" applyFont="1"/>
    <xf numFmtId="0" fontId="7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4" borderId="0" xfId="0" applyFont="1" applyFill="1"/>
    <xf numFmtId="0" fontId="8" fillId="3" borderId="0" xfId="0" quotePrefix="1" applyFont="1" applyFill="1" applyAlignment="1">
      <alignment vertical="center"/>
    </xf>
    <xf numFmtId="0" fontId="20" fillId="3" borderId="0" xfId="0" applyFont="1" applyFill="1"/>
    <xf numFmtId="0" fontId="21" fillId="3" borderId="0" xfId="0" applyFont="1" applyFill="1"/>
    <xf numFmtId="0" fontId="13" fillId="3" borderId="0" xfId="0" applyFont="1" applyFill="1"/>
    <xf numFmtId="0" fontId="19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1" fillId="0" borderId="0" xfId="0" applyFont="1"/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0" fillId="3" borderId="0" xfId="0" applyFont="1" applyFill="1"/>
    <xf numFmtId="0" fontId="9" fillId="3" borderId="0" xfId="0" applyFont="1" applyFill="1"/>
    <xf numFmtId="0" fontId="10" fillId="3" borderId="0" xfId="0" quotePrefix="1" applyFont="1" applyFill="1" applyAlignment="1">
      <alignment vertical="center"/>
    </xf>
    <xf numFmtId="0" fontId="22" fillId="3" borderId="0" xfId="0" applyFont="1" applyFill="1"/>
    <xf numFmtId="0" fontId="23" fillId="0" borderId="0" xfId="0" pivotButton="1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2" fontId="23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2" fontId="24" fillId="0" borderId="0" xfId="0" applyNumberFormat="1" applyFont="1" applyAlignment="1">
      <alignment vertical="center"/>
    </xf>
    <xf numFmtId="4" fontId="23" fillId="0" borderId="0" xfId="0" applyNumberFormat="1" applyFont="1" applyAlignment="1">
      <alignment vertical="center"/>
    </xf>
    <xf numFmtId="0" fontId="23" fillId="0" borderId="0" xfId="0" applyFont="1"/>
    <xf numFmtId="0" fontId="23" fillId="0" borderId="0" xfId="0" applyFont="1" applyAlignment="1">
      <alignment horizontal="center" vertical="center" wrapText="1"/>
    </xf>
    <xf numFmtId="0" fontId="23" fillId="0" borderId="0" xfId="0" pivotButton="1" applyFont="1" applyAlignment="1">
      <alignment horizontal="center" vertical="center"/>
    </xf>
    <xf numFmtId="0" fontId="9" fillId="9" borderId="5" xfId="1" applyFont="1" applyFill="1" applyBorder="1"/>
    <xf numFmtId="0" fontId="9" fillId="9" borderId="8" xfId="1" applyFont="1" applyFill="1" applyBorder="1"/>
    <xf numFmtId="0" fontId="9" fillId="9" borderId="5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5" fillId="0" borderId="0" xfId="0" pivotButton="1" applyFont="1"/>
    <xf numFmtId="0" fontId="25" fillId="0" borderId="0" xfId="0" applyFont="1"/>
    <xf numFmtId="0" fontId="26" fillId="0" borderId="0" xfId="0" applyFont="1"/>
    <xf numFmtId="4" fontId="26" fillId="0" borderId="0" xfId="0" applyNumberFormat="1" applyFont="1"/>
    <xf numFmtId="4" fontId="25" fillId="0" borderId="0" xfId="0" applyNumberFormat="1" applyFont="1"/>
    <xf numFmtId="0" fontId="25" fillId="0" borderId="0" xfId="0" applyFont="1" applyAlignment="1">
      <alignment horizontal="center" vertical="center" wrapText="1"/>
    </xf>
    <xf numFmtId="0" fontId="10" fillId="0" borderId="0" xfId="0" quotePrefix="1" applyFont="1" applyAlignment="1">
      <alignment vertical="center"/>
    </xf>
    <xf numFmtId="0" fontId="22" fillId="0" borderId="0" xfId="0" applyFont="1"/>
    <xf numFmtId="0" fontId="13" fillId="0" borderId="0" xfId="0" applyFont="1" applyAlignment="1">
      <alignment vertical="center"/>
    </xf>
    <xf numFmtId="0" fontId="0" fillId="5" borderId="0" xfId="0" applyFill="1"/>
    <xf numFmtId="0" fontId="12" fillId="6" borderId="0" xfId="0" applyFont="1" applyFill="1" applyAlignment="1">
      <alignment horizontal="center" vertical="center"/>
    </xf>
    <xf numFmtId="0" fontId="11" fillId="5" borderId="0" xfId="0" applyFont="1" applyFill="1" applyAlignment="1">
      <alignment vertical="center"/>
    </xf>
    <xf numFmtId="0" fontId="27" fillId="3" borderId="0" xfId="0" applyFont="1" applyFill="1" applyAlignment="1">
      <alignment horizontal="left" vertical="center"/>
    </xf>
    <xf numFmtId="0" fontId="27" fillId="3" borderId="0" xfId="0" quotePrefix="1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8" fillId="3" borderId="0" xfId="0" quotePrefix="1" applyFont="1" applyFill="1" applyAlignment="1">
      <alignment horizontal="left" vertical="center"/>
    </xf>
    <xf numFmtId="0" fontId="18" fillId="13" borderId="0" xfId="0" applyFont="1" applyFill="1" applyAlignment="1">
      <alignment horizontal="left" vertical="center"/>
    </xf>
    <xf numFmtId="0" fontId="0" fillId="13" borderId="0" xfId="0" applyFill="1"/>
    <xf numFmtId="0" fontId="29" fillId="3" borderId="0" xfId="0" quotePrefix="1" applyFont="1" applyFill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0" fillId="3" borderId="0" xfId="0" applyFill="1"/>
    <xf numFmtId="0" fontId="30" fillId="0" borderId="0" xfId="0" pivotButton="1" applyFont="1"/>
    <xf numFmtId="0" fontId="30" fillId="0" borderId="0" xfId="0" applyFont="1"/>
    <xf numFmtId="0" fontId="30" fillId="0" borderId="0" xfId="0" pivotButton="1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1" fillId="0" borderId="0" xfId="0" pivotButton="1" applyFont="1"/>
    <xf numFmtId="0" fontId="31" fillId="0" borderId="0" xfId="0" applyFont="1"/>
    <xf numFmtId="0" fontId="31" fillId="0" borderId="0" xfId="0" applyFont="1" applyAlignment="1">
      <alignment vertic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left" wrapText="1"/>
    </xf>
    <xf numFmtId="0" fontId="30" fillId="0" borderId="0" xfId="0" applyFont="1" applyAlignment="1">
      <alignment wrapText="1"/>
    </xf>
    <xf numFmtId="0" fontId="26" fillId="3" borderId="0" xfId="0" applyFont="1" applyFill="1"/>
    <xf numFmtId="0" fontId="26" fillId="3" borderId="0" xfId="0" quotePrefix="1" applyFont="1" applyFill="1"/>
    <xf numFmtId="0" fontId="32" fillId="3" borderId="0" xfId="0" applyFont="1" applyFill="1" applyAlignment="1">
      <alignment vertical="center"/>
    </xf>
    <xf numFmtId="0" fontId="27" fillId="3" borderId="0" xfId="0" applyFont="1" applyFill="1" applyAlignment="1">
      <alignment vertical="center"/>
    </xf>
    <xf numFmtId="2" fontId="30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25" fillId="0" borderId="0" xfId="0" pivotButton="1" applyFont="1" applyAlignment="1">
      <alignment horizontal="center" vertical="center"/>
    </xf>
    <xf numFmtId="0" fontId="30" fillId="0" borderId="0" xfId="0" pivotButton="1" applyFont="1" applyAlignment="1">
      <alignment horizontal="left" vertical="center"/>
    </xf>
    <xf numFmtId="0" fontId="25" fillId="0" borderId="0" xfId="0" pivotButton="1" applyFont="1" applyAlignment="1">
      <alignment horizontal="left" vertical="center" wrapText="1"/>
    </xf>
    <xf numFmtId="0" fontId="23" fillId="0" borderId="0" xfId="0" pivotButton="1" applyFont="1" applyAlignment="1">
      <alignment vertical="center" wrapText="1"/>
    </xf>
    <xf numFmtId="0" fontId="30" fillId="0" borderId="0" xfId="0" pivotButton="1" applyFont="1" applyAlignment="1">
      <alignment horizontal="left" vertical="center" wrapText="1"/>
    </xf>
    <xf numFmtId="0" fontId="27" fillId="3" borderId="0" xfId="0" quotePrefix="1" applyFont="1" applyFill="1" applyAlignment="1">
      <alignment vertical="center"/>
    </xf>
    <xf numFmtId="0" fontId="6" fillId="3" borderId="0" xfId="0" applyFont="1" applyFill="1"/>
    <xf numFmtId="0" fontId="18" fillId="0" borderId="0" xfId="0" applyFont="1" applyAlignment="1">
      <alignment vertical="center"/>
    </xf>
    <xf numFmtId="0" fontId="11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0" fillId="0" borderId="2" xfId="0" applyFont="1" applyBorder="1"/>
    <xf numFmtId="0" fontId="33" fillId="0" borderId="0" xfId="0" applyFont="1"/>
    <xf numFmtId="0" fontId="36" fillId="0" borderId="0" xfId="0" applyFont="1" applyAlignment="1">
      <alignment vertical="center"/>
    </xf>
    <xf numFmtId="0" fontId="30" fillId="0" borderId="0" xfId="0" applyFont="1" applyAlignment="1">
      <alignment vertical="center" wrapText="1"/>
    </xf>
    <xf numFmtId="0" fontId="35" fillId="0" borderId="3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5" fillId="0" borderId="3" xfId="0" applyFont="1" applyBorder="1" applyAlignment="1">
      <alignment horizontal="center"/>
    </xf>
    <xf numFmtId="0" fontId="35" fillId="0" borderId="3" xfId="0" applyFont="1" applyBorder="1" applyAlignment="1">
      <alignment horizontal="center" wrapText="1"/>
    </xf>
    <xf numFmtId="0" fontId="38" fillId="0" borderId="0" xfId="0" applyFont="1"/>
    <xf numFmtId="0" fontId="39" fillId="0" borderId="0" xfId="0" applyFont="1"/>
    <xf numFmtId="0" fontId="30" fillId="0" borderId="0" xfId="0" quotePrefix="1" applyFont="1"/>
    <xf numFmtId="0" fontId="40" fillId="0" borderId="0" xfId="0" applyFont="1"/>
    <xf numFmtId="0" fontId="43" fillId="14" borderId="0" xfId="0" applyFont="1" applyFill="1" applyAlignment="1">
      <alignment horizontal="left"/>
    </xf>
    <xf numFmtId="0" fontId="44" fillId="14" borderId="0" xfId="0" applyFont="1" applyFill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3" fillId="0" borderId="0" xfId="0" applyFont="1"/>
    <xf numFmtId="0" fontId="43" fillId="0" borderId="4" xfId="0" applyFont="1" applyBorder="1"/>
    <xf numFmtId="0" fontId="44" fillId="0" borderId="4" xfId="0" applyFont="1" applyBorder="1"/>
    <xf numFmtId="0" fontId="43" fillId="0" borderId="5" xfId="0" applyFont="1" applyBorder="1"/>
    <xf numFmtId="0" fontId="44" fillId="0" borderId="5" xfId="0" applyFont="1" applyBorder="1"/>
    <xf numFmtId="0" fontId="44" fillId="0" borderId="0" xfId="0" applyFont="1" applyAlignment="1">
      <alignment horizontal="left"/>
    </xf>
    <xf numFmtId="0" fontId="43" fillId="14" borderId="0" xfId="0" applyFont="1" applyFill="1"/>
    <xf numFmtId="0" fontId="44" fillId="0" borderId="0" xfId="0" quotePrefix="1" applyFont="1"/>
    <xf numFmtId="0" fontId="43" fillId="4" borderId="0" xfId="0" applyFont="1" applyFill="1"/>
    <xf numFmtId="0" fontId="44" fillId="4" borderId="0" xfId="0" applyFont="1" applyFill="1"/>
    <xf numFmtId="0" fontId="47" fillId="0" borderId="0" xfId="0" applyFont="1"/>
    <xf numFmtId="0" fontId="12" fillId="0" borderId="0" xfId="1" applyFont="1" applyAlignment="1">
      <alignment horizontal="center" vertical="center"/>
    </xf>
    <xf numFmtId="0" fontId="48" fillId="0" borderId="0" xfId="0" applyFont="1" applyAlignment="1">
      <alignment horizontal="left" vertical="top" wrapText="1"/>
    </xf>
    <xf numFmtId="0" fontId="23" fillId="0" borderId="0" xfId="0" applyFont="1" applyAlignment="1">
      <alignment wrapText="1"/>
    </xf>
    <xf numFmtId="0" fontId="49" fillId="15" borderId="0" xfId="0" applyFont="1" applyFill="1"/>
    <xf numFmtId="0" fontId="25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50" fillId="7" borderId="4" xfId="1" applyFont="1" applyFill="1" applyBorder="1" applyAlignment="1">
      <alignment horizontal="center" vertical="center" wrapText="1"/>
    </xf>
    <xf numFmtId="0" fontId="17" fillId="0" borderId="4" xfId="1" applyFont="1" applyBorder="1" applyAlignment="1">
      <alignment horizontal="center" wrapText="1"/>
    </xf>
    <xf numFmtId="0" fontId="17" fillId="0" borderId="4" xfId="1" applyFont="1" applyBorder="1" applyAlignment="1">
      <alignment horizontal="left" wrapText="1"/>
    </xf>
    <xf numFmtId="0" fontId="17" fillId="0" borderId="4" xfId="1" applyFont="1" applyBorder="1" applyAlignment="1">
      <alignment wrapText="1"/>
    </xf>
    <xf numFmtId="0" fontId="49" fillId="0" borderId="0" xfId="0" quotePrefix="1" applyFont="1"/>
    <xf numFmtId="0" fontId="12" fillId="12" borderId="0" xfId="1" applyFont="1" applyFill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11" fillId="5" borderId="0" xfId="0" applyFont="1" applyFill="1" applyAlignment="1">
      <alignment horizontal="left" vertical="center"/>
    </xf>
    <xf numFmtId="0" fontId="34" fillId="5" borderId="0" xfId="0" applyFont="1" applyFill="1" applyAlignment="1">
      <alignment horizontal="center" vertical="center"/>
    </xf>
    <xf numFmtId="0" fontId="42" fillId="12" borderId="0" xfId="0" applyFont="1" applyFill="1" applyAlignment="1">
      <alignment horizontal="center" vertical="center" wrapText="1"/>
    </xf>
    <xf numFmtId="0" fontId="30" fillId="0" borderId="0" xfId="0" applyNumberFormat="1" applyFont="1"/>
  </cellXfs>
  <cellStyles count="2">
    <cellStyle name="Normal" xfId="0" builtinId="0"/>
    <cellStyle name="Normal 2" xfId="1" xr:uid="{469B6AEF-ACB9-4876-9EF2-885B6F6EEF68}"/>
  </cellStyles>
  <dxfs count="603"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bottom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bottom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left"/>
    </dxf>
    <dxf>
      <alignment vertical="bottom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left"/>
    </dxf>
    <dxf>
      <alignment vertical="bottom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alignment wrapText="1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left"/>
    </dxf>
    <dxf>
      <alignment vertical="bottom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alignment wrapText="1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vertical="center"/>
    </dxf>
    <dxf>
      <alignment horizontal="left"/>
    </dxf>
    <dxf>
      <alignment vertical="bottom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alignment wrapText="1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vertical="center"/>
    </dxf>
    <dxf>
      <alignment horizontal="left"/>
    </dxf>
    <dxf>
      <alignment vertical="bottom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alignment wrapText="1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vertical="center"/>
    </dxf>
    <dxf>
      <alignment horizontal="left"/>
    </dxf>
    <dxf>
      <alignment vertical="bottom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alignment wrapText="1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left"/>
    </dxf>
    <dxf>
      <alignment vertical="bottom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alignment wrapText="1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left"/>
    </dxf>
    <dxf>
      <alignment vertical="bottom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left"/>
    </dxf>
    <dxf>
      <alignment vertical="bottom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left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left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left"/>
    </dxf>
    <dxf>
      <alignment vertical="bottom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bottom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bottom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bottom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bottom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vertical="center"/>
    </dxf>
    <dxf>
      <alignment wrapText="1"/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vertical="bottom"/>
    </dxf>
    <dxf>
      <alignment horizontal="left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vertical="center"/>
    </dxf>
    <dxf>
      <alignment horizontal="left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wrapText="1"/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vertical="bottom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left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vertical="center"/>
    </dxf>
    <dxf>
      <alignment horizontal="center"/>
    </dxf>
    <dxf>
      <alignment wrapText="1"/>
    </dxf>
    <dxf>
      <alignment vertical="top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vertical="bottom"/>
    </dxf>
    <dxf>
      <alignment horizontal="left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vertical="bottom"/>
    </dxf>
    <dxf>
      <alignment horizontal="general"/>
    </dxf>
    <dxf>
      <alignment horizontal="center"/>
    </dxf>
    <dxf>
      <alignment wrapText="1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font>
        <b/>
        <i val="0"/>
        <name val="Aptos Narrow"/>
      </font>
    </dxf>
    <dxf>
      <alignment vertical="bottom"/>
    </dxf>
    <dxf>
      <alignment horizontal="center"/>
    </dxf>
    <dxf>
      <alignment vertical="center"/>
    </dxf>
    <dxf>
      <alignment wrapText="1"/>
    </dxf>
    <dxf>
      <numFmt numFmtId="4" formatCode="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left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vertical="bottom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67" formatCode="m/d/yyyy"/>
    </dxf>
    <dxf>
      <numFmt numFmtId="165" formatCode="[$-F400]h:mm:ss\ AM/PM"/>
    </dxf>
    <dxf>
      <numFmt numFmtId="167" formatCode="m/d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6"/>
        <name val="Aptos Narrow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6"/>
        <name val="Aptos Narrow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6"/>
        <name val="Aptos Narrow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6"/>
        <name val="Aptos Narrow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6"/>
        <name val="Aptos Narrow"/>
        <scheme val="none"/>
      </font>
    </dxf>
    <dxf>
      <font>
        <b/>
        <i val="0"/>
        <strike val="0"/>
        <outline val="0"/>
        <shadow val="0"/>
        <u val="none"/>
        <vertAlign val="baseline"/>
        <sz val="16"/>
        <name val="Aptos Narrow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6"/>
        <name val="Aptos Narrow"/>
        <scheme val="none"/>
      </font>
    </dxf>
    <dxf>
      <font>
        <b/>
        <i val="0"/>
        <strike val="0"/>
        <outline val="0"/>
        <shadow val="0"/>
        <u val="none"/>
        <vertAlign val="baseline"/>
        <sz val="18"/>
        <name val="Aptos Narrow"/>
        <scheme val="none"/>
      </font>
      <alignment vertical="center"/>
    </dxf>
  </dxfs>
  <tableStyles count="0" defaultTableStyle="TableStyleMedium2" defaultPivotStyle="PivotStyleLight16"/>
  <colors>
    <mruColors>
      <color rgb="FFFFA3A2"/>
      <color rgb="FFFF7C77"/>
      <color rgb="FFBFC7FF"/>
      <color rgb="FFFFF1A2"/>
      <color rgb="FFF7ECA9"/>
      <color rgb="FFFFF3AD"/>
      <color rgb="FFA6CAED"/>
      <color rgb="FFC1E5F5"/>
      <color rgb="FF5A5A5A"/>
      <color rgb="FF05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[Project_Pizza_Delivery.xlsx]Pivot Table_EDA!AverageDeliveryDurationbyOrderMonth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Delivery Duration by Order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DD28F"/>
          </a:solidFill>
          <a:ln>
            <a:noFill/>
          </a:ln>
          <a:effectLst/>
        </c:spPr>
      </c:pivotFmt>
      <c:pivotFmt>
        <c:idx val="2"/>
        <c:spPr>
          <a:solidFill>
            <a:srgbClr val="63BE7B"/>
          </a:solidFill>
          <a:ln>
            <a:noFill/>
          </a:ln>
          <a:effectLst/>
        </c:spPr>
      </c:pivotFmt>
      <c:pivotFmt>
        <c:idx val="3"/>
        <c:spPr>
          <a:solidFill>
            <a:srgbClr val="8DD28F"/>
          </a:solidFill>
          <a:ln>
            <a:noFill/>
          </a:ln>
          <a:effectLst/>
        </c:spPr>
      </c:pivotFmt>
      <c:pivotFmt>
        <c:idx val="4"/>
        <c:spPr>
          <a:solidFill>
            <a:srgbClr val="8DD28F"/>
          </a:solidFill>
          <a:ln>
            <a:noFill/>
          </a:ln>
          <a:effectLst/>
        </c:spPr>
      </c:pivotFmt>
      <c:pivotFmt>
        <c:idx val="5"/>
        <c:spPr>
          <a:solidFill>
            <a:srgbClr val="8DD28F"/>
          </a:solidFill>
          <a:ln>
            <a:noFill/>
          </a:ln>
          <a:effectLst/>
        </c:spPr>
      </c:pivotFmt>
      <c:pivotFmt>
        <c:idx val="6"/>
        <c:spPr>
          <a:solidFill>
            <a:srgbClr val="FF7072"/>
          </a:solidFill>
          <a:ln>
            <a:noFill/>
          </a:ln>
          <a:effectLst/>
        </c:spPr>
      </c:pivotFmt>
      <c:pivotFmt>
        <c:idx val="7"/>
        <c:spPr>
          <a:solidFill>
            <a:srgbClr val="F9696A"/>
          </a:solidFill>
          <a:ln>
            <a:noFill/>
          </a:ln>
          <a:effectLst/>
        </c:spPr>
      </c:pivotFmt>
      <c:pivotFmt>
        <c:idx val="8"/>
        <c:spPr>
          <a:solidFill>
            <a:srgbClr val="F9696A"/>
          </a:solidFill>
          <a:ln>
            <a:noFill/>
          </a:ln>
          <a:effectLst/>
        </c:spPr>
      </c:pivotFmt>
      <c:pivotFmt>
        <c:idx val="9"/>
        <c:spPr>
          <a:solidFill>
            <a:srgbClr val="F9696A"/>
          </a:solidFill>
          <a:ln>
            <a:noFill/>
          </a:ln>
          <a:effectLst/>
        </c:spPr>
      </c:pivotFmt>
      <c:pivotFmt>
        <c:idx val="10"/>
        <c:spPr>
          <a:solidFill>
            <a:srgbClr val="F49E9B"/>
          </a:solidFill>
          <a:ln>
            <a:noFill/>
          </a:ln>
          <a:effectLst/>
        </c:spPr>
      </c:pivotFmt>
      <c:pivotFmt>
        <c:idx val="11"/>
        <c:spPr>
          <a:solidFill>
            <a:srgbClr val="ADE29E"/>
          </a:solidFill>
          <a:ln>
            <a:noFill/>
          </a:ln>
          <a:effectLst/>
        </c:spPr>
      </c:pivotFmt>
      <c:pivotFmt>
        <c:idx val="12"/>
        <c:spPr>
          <a:solidFill>
            <a:srgbClr val="ADE29E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Table_EDA'!$B$3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DD28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A6A-6149-AD66-4AA1BFD23255}"/>
              </c:ext>
            </c:extLst>
          </c:dPt>
          <c:dPt>
            <c:idx val="1"/>
            <c:invertIfNegative val="0"/>
            <c:bubble3D val="0"/>
            <c:spPr>
              <a:solidFill>
                <a:srgbClr val="8DD28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A6A-6149-AD66-4AA1BFD23255}"/>
              </c:ext>
            </c:extLst>
          </c:dPt>
          <c:dPt>
            <c:idx val="2"/>
            <c:invertIfNegative val="0"/>
            <c:bubble3D val="0"/>
            <c:spPr>
              <a:solidFill>
                <a:srgbClr val="8DD28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A6A-6149-AD66-4AA1BFD23255}"/>
              </c:ext>
            </c:extLst>
          </c:dPt>
          <c:dPt>
            <c:idx val="3"/>
            <c:invertIfNegative val="0"/>
            <c:bubble3D val="0"/>
            <c:spPr>
              <a:solidFill>
                <a:srgbClr val="8DD28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A6A-6149-AD66-4AA1BFD23255}"/>
              </c:ext>
            </c:extLst>
          </c:dPt>
          <c:dPt>
            <c:idx val="4"/>
            <c:invertIfNegative val="0"/>
            <c:bubble3D val="0"/>
            <c:spPr>
              <a:solidFill>
                <a:srgbClr val="FF707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A6A-6149-AD66-4AA1BFD23255}"/>
              </c:ext>
            </c:extLst>
          </c:dPt>
          <c:dPt>
            <c:idx val="5"/>
            <c:invertIfNegative val="0"/>
            <c:bubble3D val="0"/>
            <c:spPr>
              <a:solidFill>
                <a:srgbClr val="F969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A6A-6149-AD66-4AA1BFD23255}"/>
              </c:ext>
            </c:extLst>
          </c:dPt>
          <c:dPt>
            <c:idx val="6"/>
            <c:invertIfNegative val="0"/>
            <c:bubble3D val="0"/>
            <c:spPr>
              <a:solidFill>
                <a:srgbClr val="63BE7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A6A-6149-AD66-4AA1BFD23255}"/>
              </c:ext>
            </c:extLst>
          </c:dPt>
          <c:dPt>
            <c:idx val="7"/>
            <c:invertIfNegative val="0"/>
            <c:bubble3D val="0"/>
            <c:spPr>
              <a:solidFill>
                <a:srgbClr val="F49E9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A6A-6149-AD66-4AA1BFD23255}"/>
              </c:ext>
            </c:extLst>
          </c:dPt>
          <c:dPt>
            <c:idx val="8"/>
            <c:invertIfNegative val="0"/>
            <c:bubble3D val="0"/>
            <c:spPr>
              <a:solidFill>
                <a:srgbClr val="ADE29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A6A-6149-AD66-4AA1BFD23255}"/>
              </c:ext>
            </c:extLst>
          </c:dPt>
          <c:dPt>
            <c:idx val="9"/>
            <c:invertIfNegative val="0"/>
            <c:bubble3D val="0"/>
            <c:spPr>
              <a:solidFill>
                <a:srgbClr val="ADE29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A6A-6149-AD66-4AA1BFD23255}"/>
              </c:ext>
            </c:extLst>
          </c:dPt>
          <c:dPt>
            <c:idx val="10"/>
            <c:invertIfNegative val="0"/>
            <c:bubble3D val="0"/>
            <c:spPr>
              <a:solidFill>
                <a:srgbClr val="F969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A6A-6149-AD66-4AA1BFD23255}"/>
              </c:ext>
            </c:extLst>
          </c:dPt>
          <c:dPt>
            <c:idx val="11"/>
            <c:invertIfNegative val="0"/>
            <c:bubble3D val="0"/>
            <c:spPr>
              <a:solidFill>
                <a:srgbClr val="F969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A6A-6149-AD66-4AA1BFD232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Table_EDA'!$A$4:$A$15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Table_EDA'!$B$4:$B$15</c:f>
              <c:numCache>
                <c:formatCode>0.00</c:formatCode>
                <c:ptCount val="12"/>
                <c:pt idx="0">
                  <c:v>28.636363636363637</c:v>
                </c:pt>
                <c:pt idx="1">
                  <c:v>28.313953488372093</c:v>
                </c:pt>
                <c:pt idx="2">
                  <c:v>28.085106382978722</c:v>
                </c:pt>
                <c:pt idx="3">
                  <c:v>28.406593406593405</c:v>
                </c:pt>
                <c:pt idx="4">
                  <c:v>30.882352941176471</c:v>
                </c:pt>
                <c:pt idx="5">
                  <c:v>31.208791208791208</c:v>
                </c:pt>
                <c:pt idx="6">
                  <c:v>26.530612244897959</c:v>
                </c:pt>
                <c:pt idx="7">
                  <c:v>30.042735042735043</c:v>
                </c:pt>
                <c:pt idx="8">
                  <c:v>29.142857142857142</c:v>
                </c:pt>
                <c:pt idx="9">
                  <c:v>29.666666666666668</c:v>
                </c:pt>
                <c:pt idx="10">
                  <c:v>31.333333333333332</c:v>
                </c:pt>
                <c:pt idx="11">
                  <c:v>31.375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6A-6149-AD66-4AA1BFD232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7406320"/>
        <c:axId val="781842880"/>
      </c:barChart>
      <c:catAx>
        <c:axId val="46740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842880"/>
        <c:crosses val="autoZero"/>
        <c:auto val="1"/>
        <c:lblAlgn val="ctr"/>
        <c:lblOffset val="100"/>
        <c:noMultiLvlLbl val="0"/>
      </c:catAx>
      <c:valAx>
        <c:axId val="781842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Delivery Duration (min)</a:t>
                </a:r>
              </a:p>
            </c:rich>
          </c:tx>
          <c:layout>
            <c:manualLayout>
              <c:xMode val="edge"/>
              <c:yMode val="edge"/>
              <c:x val="1.3026589628578082E-2"/>
              <c:y val="0.24459512691052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40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[Project_Pizza_Delivery.xlsx]Pivot Table_EDA!TrafficLevelvsOrderCountandDelays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Traffic Level vs Order Count and Delays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969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Table_EDA'!$B$347</c:f>
              <c:strCache>
                <c:ptCount val="1"/>
                <c:pt idx="0">
                  <c:v>Count of Orders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Table_EDA'!$A$348:$A$351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Table_EDA'!$B$348:$B$351</c:f>
              <c:numCache>
                <c:formatCode>General</c:formatCode>
                <c:ptCount val="3"/>
                <c:pt idx="0">
                  <c:v>278</c:v>
                </c:pt>
                <c:pt idx="1">
                  <c:v>398</c:v>
                </c:pt>
                <c:pt idx="2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E-0A4A-A350-416E7BA2D9F9}"/>
            </c:ext>
          </c:extLst>
        </c:ser>
        <c:ser>
          <c:idx val="1"/>
          <c:order val="1"/>
          <c:tx>
            <c:strRef>
              <c:f>'Pivot Table_EDA'!$C$347</c:f>
              <c:strCache>
                <c:ptCount val="1"/>
                <c:pt idx="0">
                  <c:v>Total Delayed Orders</c:v>
                </c:pt>
              </c:strCache>
            </c:strRef>
          </c:tx>
          <c:spPr>
            <a:solidFill>
              <a:srgbClr val="F969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Table_EDA'!$A$348:$A$351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Table_EDA'!$C$348:$C$351</c:f>
              <c:numCache>
                <c:formatCode>General</c:formatCode>
                <c:ptCount val="3"/>
                <c:pt idx="0">
                  <c:v>1</c:v>
                </c:pt>
                <c:pt idx="1">
                  <c:v>44</c:v>
                </c:pt>
                <c:pt idx="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7E-0A4A-A350-416E7BA2D9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8953008"/>
        <c:axId val="1607237024"/>
      </c:barChart>
      <c:catAx>
        <c:axId val="168895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37024"/>
        <c:crosses val="autoZero"/>
        <c:auto val="1"/>
        <c:lblAlgn val="ctr"/>
        <c:lblOffset val="100"/>
        <c:noMultiLvlLbl val="0"/>
      </c:catAx>
      <c:valAx>
        <c:axId val="1607237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95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[Project_Pizza_Delivery.xlsx]Pivot Table_EDA!CountofOrderIDbyOrderMonth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Order ID by Order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FB7773"/>
            </a:solidFill>
            <a:round/>
          </a:ln>
          <a:effectLst/>
        </c:spPr>
        <c:marker>
          <c:symbol val="circle"/>
          <c:size val="5"/>
          <c:spPr>
            <a:solidFill>
              <a:srgbClr val="FB7773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B7773"/>
            </a:solidFill>
            <a:round/>
          </a:ln>
          <a:effectLst/>
        </c:spPr>
        <c:marker>
          <c:symbol val="circle"/>
          <c:size val="5"/>
          <c:spPr>
            <a:solidFill>
              <a:srgbClr val="FB7773"/>
            </a:solidFill>
            <a:ln w="25400">
              <a:noFill/>
            </a:ln>
            <a:effectLst/>
          </c:spPr>
        </c:marker>
      </c:pivotFmt>
      <c:pivotFmt>
        <c:idx val="2"/>
        <c:spPr>
          <a:ln w="28575" cap="rnd">
            <a:solidFill>
              <a:srgbClr val="FB7773"/>
            </a:solidFill>
            <a:round/>
          </a:ln>
          <a:effectLst/>
        </c:spPr>
        <c:marker>
          <c:symbol val="circle"/>
          <c:size val="5"/>
          <c:spPr>
            <a:solidFill>
              <a:srgbClr val="FB7773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B7773"/>
            </a:solidFill>
            <a:round/>
          </a:ln>
          <a:effectLst/>
        </c:spPr>
        <c:marker>
          <c:symbol val="circle"/>
          <c:size val="5"/>
          <c:spPr>
            <a:solidFill>
              <a:srgbClr val="FB7773"/>
            </a:solidFill>
            <a:ln w="25400">
              <a:noFill/>
            </a:ln>
            <a:effectLst/>
          </c:spPr>
        </c:marker>
        <c:dLbl>
          <c:idx val="0"/>
          <c:layout>
            <c:manualLayout>
              <c:x val="-2.7899974431780029E-2"/>
              <c:y val="-4.15733349760306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B7773"/>
            </a:solidFill>
            <a:round/>
          </a:ln>
          <a:effectLst/>
        </c:spPr>
        <c:marker>
          <c:symbol val="circle"/>
          <c:size val="5"/>
          <c:spPr>
            <a:solidFill>
              <a:srgbClr val="FB7773"/>
            </a:solidFill>
            <a:ln w="25400">
              <a:noFill/>
            </a:ln>
            <a:effectLst/>
          </c:spPr>
        </c:marker>
        <c:dLbl>
          <c:idx val="0"/>
          <c:layout>
            <c:manualLayout>
              <c:x val="-1.983450008342913E-2"/>
              <c:y val="3.61482117403323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2.0360397072350246E-2"/>
                  <c:h val="5.1477787252197385E-2"/>
                </c:manualLayout>
              </c15:layout>
            </c:ext>
          </c:extLst>
        </c:dLbl>
      </c:pivotFmt>
      <c:pivotFmt>
        <c:idx val="5"/>
        <c:spPr>
          <a:ln w="28575" cap="rnd">
            <a:solidFill>
              <a:srgbClr val="FB7773"/>
            </a:solidFill>
            <a:round/>
          </a:ln>
          <a:effectLst/>
        </c:spPr>
        <c:marker>
          <c:symbol val="circle"/>
          <c:size val="5"/>
          <c:spPr>
            <a:solidFill>
              <a:srgbClr val="FB7773"/>
            </a:solidFill>
            <a:ln w="25400">
              <a:noFill/>
            </a:ln>
            <a:effectLst/>
          </c:spPr>
        </c:marker>
        <c:dLbl>
          <c:idx val="0"/>
          <c:layout>
            <c:manualLayout>
              <c:x val="-2.7899974431779953E-2"/>
              <c:y val="-4.53527290647606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FB7773"/>
            </a:solidFill>
            <a:round/>
          </a:ln>
          <a:effectLst/>
        </c:spPr>
        <c:marker>
          <c:symbol val="circle"/>
          <c:size val="5"/>
          <c:spPr>
            <a:solidFill>
              <a:srgbClr val="FB7773"/>
            </a:solidFill>
            <a:ln w="25400">
              <a:noFill/>
            </a:ln>
            <a:effectLst/>
          </c:spPr>
        </c:marker>
        <c:dLbl>
          <c:idx val="0"/>
          <c:layout>
            <c:manualLayout>
              <c:x val="-3.2172558571409347E-2"/>
              <c:y val="-4.91321231534907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FB7773"/>
            </a:solidFill>
            <a:round/>
          </a:ln>
          <a:effectLst/>
        </c:spPr>
        <c:marker>
          <c:symbol val="circle"/>
          <c:size val="5"/>
          <c:spPr>
            <a:solidFill>
              <a:srgbClr val="FB7773"/>
            </a:solidFill>
            <a:ln w="25400">
              <a:noFill/>
            </a:ln>
            <a:effectLst/>
          </c:spPr>
        </c:marker>
        <c:dLbl>
          <c:idx val="0"/>
          <c:layout>
            <c:manualLayout>
              <c:x val="-2.7798369224462337E-2"/>
              <c:y val="-4.11091284040830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FB7773"/>
            </a:solidFill>
            <a:round/>
          </a:ln>
          <a:effectLst/>
        </c:spPr>
        <c:marker>
          <c:symbol val="circle"/>
          <c:size val="5"/>
          <c:spPr>
            <a:solidFill>
              <a:srgbClr val="FB7773"/>
            </a:solidFill>
            <a:ln w="25400">
              <a:noFill/>
            </a:ln>
            <a:effectLst/>
          </c:spPr>
        </c:marker>
        <c:dLbl>
          <c:idx val="0"/>
          <c:layout>
            <c:manualLayout>
              <c:x val="-2.7798369224462337E-2"/>
              <c:y val="-5.23207088779239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FB7773"/>
            </a:solidFill>
            <a:round/>
          </a:ln>
          <a:effectLst/>
        </c:spPr>
        <c:marker>
          <c:symbol val="circle"/>
          <c:size val="5"/>
          <c:spPr>
            <a:solidFill>
              <a:srgbClr val="FB7773"/>
            </a:solidFill>
            <a:ln w="25400">
              <a:noFill/>
            </a:ln>
            <a:effectLst/>
          </c:spPr>
        </c:marker>
        <c:dLbl>
          <c:idx val="0"/>
          <c:layout>
            <c:manualLayout>
              <c:x val="-2.7798369224462337E-2"/>
              <c:y val="-4.11091284040830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FB7773"/>
            </a:solidFill>
            <a:round/>
          </a:ln>
          <a:effectLst/>
        </c:spPr>
        <c:marker>
          <c:symbol val="circle"/>
          <c:size val="5"/>
          <c:spPr>
            <a:solidFill>
              <a:srgbClr val="FB7773"/>
            </a:solidFill>
            <a:ln w="25400">
              <a:noFill/>
            </a:ln>
            <a:effectLst/>
          </c:spPr>
        </c:marker>
        <c:dLbl>
          <c:idx val="0"/>
          <c:layout>
            <c:manualLayout>
              <c:x val="-2.7798369224462376E-2"/>
              <c:y val="-4.11091284040830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FB7773"/>
            </a:solidFill>
            <a:round/>
          </a:ln>
          <a:effectLst/>
        </c:spPr>
        <c:marker>
          <c:symbol val="circle"/>
          <c:size val="5"/>
          <c:spPr>
            <a:solidFill>
              <a:srgbClr val="FB7773"/>
            </a:solidFill>
            <a:ln w="25400">
              <a:noFill/>
            </a:ln>
            <a:effectLst/>
          </c:spPr>
        </c:marker>
        <c:dLbl>
          <c:idx val="0"/>
          <c:layout>
            <c:manualLayout>
              <c:x val="-1.2898783882101207E-2"/>
              <c:y val="-2.61603544389619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FB7773"/>
            </a:solidFill>
            <a:round/>
          </a:ln>
          <a:effectLst/>
        </c:spPr>
        <c:marker>
          <c:symbol val="circle"/>
          <c:size val="5"/>
          <c:spPr>
            <a:solidFill>
              <a:srgbClr val="FB7773"/>
            </a:solidFill>
            <a:ln w="25400">
              <a:noFill/>
            </a:ln>
            <a:effectLst/>
          </c:spPr>
        </c:marker>
        <c:dLbl>
          <c:idx val="0"/>
          <c:layout>
            <c:manualLayout>
              <c:x val="-1.9284320457398835E-2"/>
              <c:y val="-3.73719349128028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FB7773"/>
            </a:solidFill>
            <a:round/>
          </a:ln>
          <a:effectLst/>
        </c:spPr>
        <c:marker>
          <c:symbol val="circle"/>
          <c:size val="5"/>
          <c:spPr>
            <a:solidFill>
              <a:srgbClr val="FB7773"/>
            </a:solidFill>
            <a:ln w="25400">
              <a:noFill/>
            </a:ln>
            <a:effectLst/>
          </c:spPr>
        </c:marker>
        <c:dLbl>
          <c:idx val="0"/>
          <c:layout>
            <c:manualLayout>
              <c:x val="-2.9926881416228214E-2"/>
              <c:y val="-3.36347414215225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FB7773"/>
            </a:solidFill>
            <a:round/>
          </a:ln>
          <a:effectLst/>
        </c:spPr>
        <c:marker>
          <c:symbol val="circle"/>
          <c:size val="5"/>
          <c:spPr>
            <a:solidFill>
              <a:srgbClr val="FB7773"/>
            </a:solidFill>
            <a:ln w="25400">
              <a:noFill/>
            </a:ln>
            <a:effectLst/>
          </c:spPr>
        </c:marker>
        <c:dLbl>
          <c:idx val="0"/>
          <c:layout>
            <c:manualLayout>
              <c:x val="-2.7798369224462337E-2"/>
              <c:y val="-3.36347414215224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Table_EDA'!$B$37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B77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B7773"/>
              </a:solidFill>
              <a:ln w="25400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B7773"/>
                </a:solidFill>
                <a:ln w="25400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B777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82-5C4F-8464-1B0E6D7C7E52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B7773"/>
                </a:solidFill>
                <a:ln w="25400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B777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FB82-5C4F-8464-1B0E6D7C7E5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B7773"/>
                </a:solidFill>
                <a:ln w="25400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B777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82-5C4F-8464-1B0E6D7C7E5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B7773"/>
                </a:solidFill>
                <a:ln w="25400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B777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FB82-5C4F-8464-1B0E6D7C7E52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B7773"/>
                </a:solidFill>
                <a:ln w="25400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B777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B82-5C4F-8464-1B0E6D7C7E52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B7773"/>
                </a:solidFill>
                <a:ln w="25400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B777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82-5C4F-8464-1B0E6D7C7E52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B7773"/>
                </a:solidFill>
                <a:ln w="25400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B777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82-5C4F-8464-1B0E6D7C7E52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FB7773"/>
                </a:solidFill>
                <a:ln w="25400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B777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5C4F-8464-1B0E6D7C7E52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FB7773"/>
                </a:solidFill>
                <a:ln w="25400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B777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B82-5C4F-8464-1B0E6D7C7E52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B7773"/>
                </a:solidFill>
                <a:ln w="25400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B777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FB82-5C4F-8464-1B0E6D7C7E52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FB7773"/>
                </a:solidFill>
                <a:ln w="25400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B777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B82-5C4F-8464-1B0E6D7C7E52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FB7773"/>
                </a:solidFill>
                <a:ln w="25400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FB777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FB82-5C4F-8464-1B0E6D7C7E52}"/>
              </c:ext>
            </c:extLst>
          </c:dPt>
          <c:dLbls>
            <c:dLbl>
              <c:idx val="0"/>
              <c:layout>
                <c:manualLayout>
                  <c:x val="-2.7798369224462337E-2"/>
                  <c:y val="-4.1109128404083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82-5C4F-8464-1B0E6D7C7E52}"/>
                </c:ext>
              </c:extLst>
            </c:dLbl>
            <c:dLbl>
              <c:idx val="1"/>
              <c:layout>
                <c:manualLayout>
                  <c:x val="-2.7798369224462337E-2"/>
                  <c:y val="-5.23207088779239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B82-5C4F-8464-1B0E6D7C7E52}"/>
                </c:ext>
              </c:extLst>
            </c:dLbl>
            <c:dLbl>
              <c:idx val="2"/>
              <c:layout>
                <c:manualLayout>
                  <c:x val="-2.7798369224462337E-2"/>
                  <c:y val="-4.11091284040830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B82-5C4F-8464-1B0E6D7C7E52}"/>
                </c:ext>
              </c:extLst>
            </c:dLbl>
            <c:dLbl>
              <c:idx val="3"/>
              <c:layout>
                <c:manualLayout>
                  <c:x val="-2.7798369224462376E-2"/>
                  <c:y val="-4.1109128404083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B82-5C4F-8464-1B0E6D7C7E52}"/>
                </c:ext>
              </c:extLst>
            </c:dLbl>
            <c:dLbl>
              <c:idx val="4"/>
              <c:layout>
                <c:manualLayout>
                  <c:x val="-3.2172558571409347E-2"/>
                  <c:y val="-4.9132123153490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82-5C4F-8464-1B0E6D7C7E52}"/>
                </c:ext>
              </c:extLst>
            </c:dLbl>
            <c:dLbl>
              <c:idx val="5"/>
              <c:layout>
                <c:manualLayout>
                  <c:x val="-2.7899974431779953E-2"/>
                  <c:y val="-4.53527290647606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82-5C4F-8464-1B0E6D7C7E52}"/>
                </c:ext>
              </c:extLst>
            </c:dLbl>
            <c:dLbl>
              <c:idx val="6"/>
              <c:layout>
                <c:manualLayout>
                  <c:x val="-1.983450008342913E-2"/>
                  <c:y val="3.61482117403323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0360397072350246E-2"/>
                      <c:h val="5.14777872521973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B82-5C4F-8464-1B0E6D7C7E52}"/>
                </c:ext>
              </c:extLst>
            </c:dLbl>
            <c:dLbl>
              <c:idx val="7"/>
              <c:layout>
                <c:manualLayout>
                  <c:x val="-2.7899974431780029E-2"/>
                  <c:y val="-4.15733349760306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82-5C4F-8464-1B0E6D7C7E52}"/>
                </c:ext>
              </c:extLst>
            </c:dLbl>
            <c:dLbl>
              <c:idx val="8"/>
              <c:layout>
                <c:manualLayout>
                  <c:x val="-1.2898783882101207E-2"/>
                  <c:y val="-2.61603544389619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B82-5C4F-8464-1B0E6D7C7E52}"/>
                </c:ext>
              </c:extLst>
            </c:dLbl>
            <c:dLbl>
              <c:idx val="9"/>
              <c:layout>
                <c:manualLayout>
                  <c:x val="-1.9284320457398835E-2"/>
                  <c:y val="-3.73719349128028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B82-5C4F-8464-1B0E6D7C7E52}"/>
                </c:ext>
              </c:extLst>
            </c:dLbl>
            <c:dLbl>
              <c:idx val="10"/>
              <c:layout>
                <c:manualLayout>
                  <c:x val="-2.9926881416228214E-2"/>
                  <c:y val="-3.36347414215225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B82-5C4F-8464-1B0E6D7C7E52}"/>
                </c:ext>
              </c:extLst>
            </c:dLbl>
            <c:dLbl>
              <c:idx val="11"/>
              <c:layout>
                <c:manualLayout>
                  <c:x val="-2.7798369224462337E-2"/>
                  <c:y val="-3.36347414215224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B82-5C4F-8464-1B0E6D7C7E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Table_EDA'!$A$38:$A$50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Table_EDA'!$B$38:$B$50</c:f>
              <c:numCache>
                <c:formatCode>General</c:formatCode>
                <c:ptCount val="12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15</c:v>
                </c:pt>
                <c:pt idx="4">
                  <c:v>17</c:v>
                </c:pt>
                <c:pt idx="5">
                  <c:v>26</c:v>
                </c:pt>
                <c:pt idx="6">
                  <c:v>6</c:v>
                </c:pt>
                <c:pt idx="7">
                  <c:v>31</c:v>
                </c:pt>
                <c:pt idx="8">
                  <c:v>22</c:v>
                </c:pt>
                <c:pt idx="9">
                  <c:v>14</c:v>
                </c:pt>
                <c:pt idx="10">
                  <c:v>14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A-B34C-B531-F73258C58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636656"/>
        <c:axId val="495439855"/>
      </c:lineChart>
      <c:catAx>
        <c:axId val="177563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439855"/>
        <c:crosses val="autoZero"/>
        <c:auto val="1"/>
        <c:lblAlgn val="ctr"/>
        <c:lblOffset val="100"/>
        <c:noMultiLvlLbl val="0"/>
      </c:catAx>
      <c:valAx>
        <c:axId val="49543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Orders</a:t>
                </a:r>
              </a:p>
            </c:rich>
          </c:tx>
          <c:layout>
            <c:manualLayout>
              <c:xMode val="edge"/>
              <c:yMode val="edge"/>
              <c:x val="1.6941773159995871E-2"/>
              <c:y val="0.32972683012522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63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[Project_Pizza_Delivery.xlsx]Pivot Table_EDA!AverageDeliveryDurationbyToppingsCountandRestaurant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spc="0" baseline="0">
                <a:solidFill>
                  <a:schemeClr val="tx1"/>
                </a:solidFill>
                <a:latin typeface="+mn-lt"/>
                <a:cs typeface="TH SarabunPSK" panose="020B0500040200020003" pitchFamily="34" charset="-34"/>
              </a:rPr>
              <a:t>Average Delivery Duration by Toppings Count and Restaurant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B7773"/>
          </a:solidFill>
          <a:ln>
            <a:noFill/>
          </a:ln>
          <a:effectLst/>
        </c:spPr>
      </c:pivotFmt>
      <c:pivotFmt>
        <c:idx val="2"/>
        <c:spPr>
          <a:solidFill>
            <a:srgbClr val="FB7773"/>
          </a:solidFill>
          <a:ln>
            <a:noFill/>
          </a:ln>
          <a:effectLst/>
        </c:spPr>
      </c:pivotFmt>
      <c:pivotFmt>
        <c:idx val="3"/>
        <c:spPr>
          <a:solidFill>
            <a:srgbClr val="FB7773"/>
          </a:solidFill>
          <a:ln>
            <a:noFill/>
          </a:ln>
          <a:effectLst/>
        </c:spPr>
      </c:pivotFmt>
      <c:pivotFmt>
        <c:idx val="4"/>
        <c:spPr>
          <a:solidFill>
            <a:srgbClr val="FB7773"/>
          </a:solidFill>
          <a:ln>
            <a:noFill/>
          </a:ln>
          <a:effectLst/>
        </c:spPr>
      </c:pivotFmt>
      <c:pivotFmt>
        <c:idx val="5"/>
        <c:spPr>
          <a:solidFill>
            <a:srgbClr val="FB7773"/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Table_EDA'!$C$304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C2-E346-AD2D-85CACDE07DB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3C2-E346-AD2D-85CACDE07DB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3C2-E346-AD2D-85CACDE07DB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3C2-E346-AD2D-85CACDE07DB5}"/>
              </c:ext>
            </c:extLst>
          </c:dPt>
          <c:dPt>
            <c:idx val="4"/>
            <c:invertIfNegative val="0"/>
            <c:bubble3D val="0"/>
            <c:spPr>
              <a:solidFill>
                <a:srgbClr val="FB777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C2-E346-AD2D-85CACDE07DB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3C2-E346-AD2D-85CACDE07DB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3C2-E346-AD2D-85CACDE07DB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D3C2-E346-AD2D-85CACDE07DB5}"/>
              </c:ext>
            </c:extLst>
          </c:dPt>
          <c:dPt>
            <c:idx val="8"/>
            <c:invertIfNegative val="0"/>
            <c:bubble3D val="0"/>
            <c:spPr>
              <a:solidFill>
                <a:srgbClr val="FB777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3C2-E346-AD2D-85CACDE07DB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3C2-E346-AD2D-85CACDE07DB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3C2-E346-AD2D-85CACDE07DB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D3C2-E346-AD2D-85CACDE07DB5}"/>
              </c:ext>
            </c:extLst>
          </c:dPt>
          <c:dPt>
            <c:idx val="12"/>
            <c:invertIfNegative val="0"/>
            <c:bubble3D val="0"/>
            <c:spPr>
              <a:solidFill>
                <a:srgbClr val="FB777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3C2-E346-AD2D-85CACDE07DB5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3C2-E346-AD2D-85CACDE07DB5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3C2-E346-AD2D-85CACDE07DB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D3C2-E346-AD2D-85CACDE07DB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3C2-E346-AD2D-85CACDE07DB5}"/>
              </c:ext>
            </c:extLst>
          </c:dPt>
          <c:dPt>
            <c:idx val="17"/>
            <c:invertIfNegative val="0"/>
            <c:bubble3D val="0"/>
            <c:spPr>
              <a:solidFill>
                <a:srgbClr val="FB777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C2-E346-AD2D-85CACDE07DB5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3C2-E346-AD2D-85CACDE07DB5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3C2-E346-AD2D-85CACDE07DB5}"/>
              </c:ext>
            </c:extLst>
          </c:dPt>
          <c:dPt>
            <c:idx val="20"/>
            <c:invertIfNegative val="0"/>
            <c:bubble3D val="0"/>
            <c:spPr>
              <a:solidFill>
                <a:srgbClr val="FB777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3C2-E346-AD2D-85CACDE07DB5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3C2-E346-AD2D-85CACDE07D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Table_EDA'!$A$305:$B$332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1</c:v>
                  </c:pt>
                  <c:pt idx="6">
                    <c:v>2</c:v>
                  </c:pt>
                  <c:pt idx="7">
                    <c:v>3</c:v>
                  </c:pt>
                  <c:pt idx="8">
                    <c:v>5</c:v>
                  </c:pt>
                  <c:pt idx="9">
                    <c:v>1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1</c:v>
                  </c:pt>
                  <c:pt idx="14">
                    <c:v>2</c:v>
                  </c:pt>
                  <c:pt idx="15">
                    <c:v>3</c:v>
                  </c:pt>
                  <c:pt idx="16">
                    <c:v>4</c:v>
                  </c:pt>
                  <c:pt idx="17">
                    <c:v>5</c:v>
                  </c:pt>
                  <c:pt idx="18">
                    <c:v>1</c:v>
                  </c:pt>
                  <c:pt idx="19">
                    <c:v>2</c:v>
                  </c:pt>
                  <c:pt idx="20">
                    <c:v>4</c:v>
                  </c:pt>
                  <c:pt idx="21">
                    <c:v>5</c:v>
                  </c:pt>
                </c:lvl>
                <c:lvl>
                  <c:pt idx="0">
                    <c:v>Domino's</c:v>
                  </c:pt>
                  <c:pt idx="5">
                    <c:v>Little Caesars</c:v>
                  </c:pt>
                  <c:pt idx="9">
                    <c:v>Marco's Pizza</c:v>
                  </c:pt>
                  <c:pt idx="13">
                    <c:v>Papa John's</c:v>
                  </c:pt>
                  <c:pt idx="18">
                    <c:v>Pizza Hut</c:v>
                  </c:pt>
                </c:lvl>
              </c:multiLvlStrCache>
            </c:multiLvlStrRef>
          </c:cat>
          <c:val>
            <c:numRef>
              <c:f>'Pivot Table_EDA'!$C$305:$C$332</c:f>
              <c:numCache>
                <c:formatCode>0.00</c:formatCode>
                <c:ptCount val="22"/>
                <c:pt idx="0">
                  <c:v>20</c:v>
                </c:pt>
                <c:pt idx="1">
                  <c:v>20.517241379310345</c:v>
                </c:pt>
                <c:pt idx="2">
                  <c:v>30.535714285714285</c:v>
                </c:pt>
                <c:pt idx="3">
                  <c:v>32.1</c:v>
                </c:pt>
                <c:pt idx="4">
                  <c:v>32.5</c:v>
                </c:pt>
                <c:pt idx="5">
                  <c:v>20</c:v>
                </c:pt>
                <c:pt idx="6">
                  <c:v>22.173913043478262</c:v>
                </c:pt>
                <c:pt idx="7">
                  <c:v>23.804347826086957</c:v>
                </c:pt>
                <c:pt idx="8">
                  <c:v>34.082568807339449</c:v>
                </c:pt>
                <c:pt idx="9">
                  <c:v>20.666666666666668</c:v>
                </c:pt>
                <c:pt idx="10">
                  <c:v>23.333333333333332</c:v>
                </c:pt>
                <c:pt idx="11">
                  <c:v>26.861313868613138</c:v>
                </c:pt>
                <c:pt idx="12">
                  <c:v>45.875</c:v>
                </c:pt>
                <c:pt idx="13">
                  <c:v>20</c:v>
                </c:pt>
                <c:pt idx="14">
                  <c:v>23.196721311475411</c:v>
                </c:pt>
                <c:pt idx="15">
                  <c:v>30.462962962962962</c:v>
                </c:pt>
                <c:pt idx="16">
                  <c:v>29.53125</c:v>
                </c:pt>
                <c:pt idx="17">
                  <c:v>40</c:v>
                </c:pt>
                <c:pt idx="18">
                  <c:v>20</c:v>
                </c:pt>
                <c:pt idx="19">
                  <c:v>28.170731707317074</c:v>
                </c:pt>
                <c:pt idx="20">
                  <c:v>31.944444444444443</c:v>
                </c:pt>
                <c:pt idx="21">
                  <c:v>31.741573033707866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2-E346-AD2D-85CACDE07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3"/>
        <c:overlap val="-19"/>
        <c:axId val="35859903"/>
        <c:axId val="657395007"/>
      </c:barChart>
      <c:catAx>
        <c:axId val="3585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395007"/>
        <c:crosses val="autoZero"/>
        <c:auto val="1"/>
        <c:lblAlgn val="ctr"/>
        <c:lblOffset val="100"/>
        <c:noMultiLvlLbl val="0"/>
      </c:catAx>
      <c:valAx>
        <c:axId val="657395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/>
                    </a:solidFill>
                  </a:rPr>
                  <a:t>Average of Delivery Duration (min)</a:t>
                </a:r>
              </a:p>
            </c:rich>
          </c:tx>
          <c:layout>
            <c:manualLayout>
              <c:xMode val="edge"/>
              <c:yMode val="edge"/>
              <c:x val="7.6923076923076927E-3"/>
              <c:y val="0.364900188532771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[Project_Pizza_Delivery.xlsx]Pivot Table_EDA!AverageDeliveryDurationbyOrderHourandRestaurant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 i="0" u="none" strike="noStrike" kern="1200" spc="0" baseline="0">
                <a:solidFill>
                  <a:schemeClr val="tx1"/>
                </a:solidFill>
                <a:latin typeface="+mn-lt"/>
                <a:cs typeface="TH SarabunPSK" panose="020B0500040200020003" pitchFamily="34" charset="-34"/>
              </a:rPr>
              <a:t>Average Delivery Duration by Order Hour and Restaurant</a:t>
            </a:r>
          </a:p>
        </c:rich>
      </c:tx>
      <c:layout>
        <c:manualLayout>
          <c:xMode val="edge"/>
          <c:yMode val="edge"/>
          <c:x val="0.19755551297239995"/>
          <c:y val="2.2943688825768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A7131"/>
          </a:solidFill>
          <a:ln>
            <a:noFill/>
          </a:ln>
          <a:effectLst/>
        </c:spPr>
      </c:pivotFmt>
      <c:pivotFmt>
        <c:idx val="2"/>
        <c:spPr>
          <a:solidFill>
            <a:srgbClr val="FFC300"/>
          </a:solidFill>
          <a:ln>
            <a:noFill/>
          </a:ln>
          <a:effectLst/>
        </c:spPr>
      </c:pivotFmt>
      <c:pivotFmt>
        <c:idx val="3"/>
        <c:spPr>
          <a:solidFill>
            <a:srgbClr val="F69E25"/>
          </a:solidFill>
          <a:ln>
            <a:noFill/>
          </a:ln>
          <a:effectLst/>
        </c:spPr>
      </c:pivotFmt>
      <c:pivotFmt>
        <c:idx val="4"/>
        <c:spPr>
          <a:solidFill>
            <a:srgbClr val="FFD88C"/>
          </a:solidFill>
          <a:ln>
            <a:noFill/>
          </a:ln>
          <a:effectLst/>
        </c:spPr>
      </c:pivotFmt>
      <c:pivotFmt>
        <c:idx val="5"/>
        <c:spPr>
          <a:solidFill>
            <a:srgbClr val="FFDE93"/>
          </a:solidFill>
          <a:ln>
            <a:noFill/>
          </a:ln>
          <a:effectLst/>
        </c:spPr>
      </c:pivotFmt>
      <c:pivotFmt>
        <c:idx val="6"/>
        <c:spPr>
          <a:solidFill>
            <a:srgbClr val="FF319F"/>
          </a:solidFill>
          <a:ln>
            <a:noFill/>
          </a:ln>
          <a:effectLst/>
        </c:spPr>
      </c:pivotFmt>
      <c:pivotFmt>
        <c:idx val="7"/>
        <c:spPr>
          <a:solidFill>
            <a:srgbClr val="FF75C7"/>
          </a:solidFill>
          <a:ln>
            <a:noFill/>
          </a:ln>
          <a:effectLst/>
        </c:spPr>
      </c:pivotFmt>
      <c:pivotFmt>
        <c:idx val="8"/>
        <c:spPr>
          <a:solidFill>
            <a:srgbClr val="FCB0E2"/>
          </a:solidFill>
          <a:ln>
            <a:noFill/>
          </a:ln>
          <a:effectLst/>
        </c:spPr>
      </c:pivotFmt>
      <c:pivotFmt>
        <c:idx val="9"/>
        <c:spPr>
          <a:solidFill>
            <a:srgbClr val="FADCEA"/>
          </a:solidFill>
          <a:ln>
            <a:noFill/>
          </a:ln>
          <a:effectLst/>
        </c:spPr>
      </c:pivotFmt>
      <c:pivotFmt>
        <c:idx val="10"/>
        <c:spPr>
          <a:solidFill>
            <a:srgbClr val="FADCEA"/>
          </a:solidFill>
          <a:ln>
            <a:noFill/>
          </a:ln>
          <a:effectLst/>
        </c:spPr>
      </c:pivotFmt>
      <c:pivotFmt>
        <c:idx val="11"/>
        <c:spPr>
          <a:solidFill>
            <a:srgbClr val="00823B"/>
          </a:solidFill>
          <a:ln>
            <a:noFill/>
          </a:ln>
          <a:effectLst/>
        </c:spPr>
      </c:pivotFmt>
      <c:pivotFmt>
        <c:idx val="12"/>
        <c:spPr>
          <a:solidFill>
            <a:srgbClr val="05B050"/>
          </a:solidFill>
          <a:ln>
            <a:noFill/>
          </a:ln>
          <a:effectLst/>
        </c:spPr>
      </c:pivotFmt>
      <c:pivotFmt>
        <c:idx val="13"/>
        <c:spPr>
          <a:solidFill>
            <a:srgbClr val="51EC76"/>
          </a:solidFill>
          <a:ln>
            <a:noFill/>
          </a:ln>
          <a:effectLst/>
        </c:spPr>
      </c:pivotFmt>
      <c:pivotFmt>
        <c:idx val="14"/>
        <c:spPr>
          <a:solidFill>
            <a:srgbClr val="C9FFCD"/>
          </a:solidFill>
          <a:ln>
            <a:noFill/>
          </a:ln>
          <a:effectLst/>
        </c:spPr>
      </c:pivotFmt>
      <c:pivotFmt>
        <c:idx val="15"/>
        <c:spPr>
          <a:solidFill>
            <a:srgbClr val="9DFFB5"/>
          </a:solidFill>
          <a:ln>
            <a:noFill/>
          </a:ln>
          <a:effectLst/>
        </c:spPr>
      </c:pivotFmt>
      <c:pivotFmt>
        <c:idx val="16"/>
        <c:spPr>
          <a:solidFill>
            <a:srgbClr val="18D469"/>
          </a:solidFill>
          <a:ln>
            <a:noFill/>
          </a:ln>
          <a:effectLst/>
        </c:spPr>
      </c:pivotFmt>
      <c:pivotFmt>
        <c:idx val="17"/>
        <c:spPr>
          <a:solidFill>
            <a:srgbClr val="00D2FF"/>
          </a:solidFill>
          <a:ln>
            <a:noFill/>
          </a:ln>
          <a:effectLst/>
        </c:spPr>
      </c:pivotFmt>
      <c:pivotFmt>
        <c:idx val="18"/>
        <c:spPr>
          <a:solidFill>
            <a:srgbClr val="ADFFFF"/>
          </a:solidFill>
          <a:ln>
            <a:noFill/>
          </a:ln>
          <a:effectLst/>
        </c:spPr>
      </c:pivotFmt>
      <c:pivotFmt>
        <c:idx val="19"/>
        <c:spPr>
          <a:solidFill>
            <a:srgbClr val="46EEFF"/>
          </a:solidFill>
          <a:ln>
            <a:noFill/>
          </a:ln>
          <a:effectLst/>
        </c:spPr>
      </c:pivotFmt>
      <c:pivotFmt>
        <c:idx val="20"/>
        <c:spPr>
          <a:solidFill>
            <a:srgbClr val="46EEFF"/>
          </a:solidFill>
          <a:ln>
            <a:noFill/>
          </a:ln>
          <a:effectLst/>
        </c:spPr>
      </c:pivotFmt>
      <c:pivotFmt>
        <c:idx val="21"/>
        <c:spPr>
          <a:solidFill>
            <a:srgbClr val="D8D3FB"/>
          </a:solidFill>
          <a:ln>
            <a:noFill/>
          </a:ln>
          <a:effectLst/>
        </c:spPr>
      </c:pivotFmt>
      <c:pivotFmt>
        <c:idx val="22"/>
        <c:spPr>
          <a:solidFill>
            <a:srgbClr val="9768D8"/>
          </a:solidFill>
          <a:ln>
            <a:noFill/>
          </a:ln>
          <a:effectLst/>
        </c:spPr>
      </c:pivotFmt>
      <c:pivotFmt>
        <c:idx val="23"/>
        <c:spPr>
          <a:solidFill>
            <a:srgbClr val="C09DFD"/>
          </a:solidFill>
          <a:ln>
            <a:noFill/>
          </a:ln>
          <a:effectLst/>
        </c:spPr>
      </c:pivotFmt>
      <c:pivotFmt>
        <c:idx val="24"/>
        <c:spPr>
          <a:solidFill>
            <a:srgbClr val="C09DFD"/>
          </a:solidFill>
          <a:ln>
            <a:noFill/>
          </a:ln>
          <a:effectLst/>
        </c:spPr>
      </c:pivotFmt>
      <c:pivotFmt>
        <c:idx val="25"/>
        <c:spPr>
          <a:solidFill>
            <a:srgbClr val="CDBCFB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Table_EDA'!$C$143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DE9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15C-2D48-BAD5-59397A75D552}"/>
              </c:ext>
            </c:extLst>
          </c:dPt>
          <c:dPt>
            <c:idx val="1"/>
            <c:invertIfNegative val="0"/>
            <c:bubble3D val="0"/>
            <c:spPr>
              <a:solidFill>
                <a:srgbClr val="FFD8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5C-2D48-BAD5-59397A75D552}"/>
              </c:ext>
            </c:extLst>
          </c:dPt>
          <c:dPt>
            <c:idx val="2"/>
            <c:invertIfNegative val="0"/>
            <c:bubble3D val="0"/>
            <c:spPr>
              <a:solidFill>
                <a:srgbClr val="F69E2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15C-2D48-BAD5-59397A75D552}"/>
              </c:ext>
            </c:extLst>
          </c:dPt>
          <c:dPt>
            <c:idx val="3"/>
            <c:invertIfNegative val="0"/>
            <c:bubble3D val="0"/>
            <c:spPr>
              <a:solidFill>
                <a:srgbClr val="EA71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15C-2D48-BAD5-59397A75D552}"/>
              </c:ext>
            </c:extLst>
          </c:dPt>
          <c:dPt>
            <c:idx val="4"/>
            <c:invertIfNegative val="0"/>
            <c:bubble3D val="0"/>
            <c:spPr>
              <a:solidFill>
                <a:srgbClr val="FFC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5C-2D48-BAD5-59397A75D552}"/>
              </c:ext>
            </c:extLst>
          </c:dPt>
          <c:dPt>
            <c:idx val="5"/>
            <c:invertIfNegative val="0"/>
            <c:bubble3D val="0"/>
            <c:spPr>
              <a:solidFill>
                <a:srgbClr val="FADCE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15C-2D48-BAD5-59397A75D552}"/>
              </c:ext>
            </c:extLst>
          </c:dPt>
          <c:dPt>
            <c:idx val="6"/>
            <c:invertIfNegative val="0"/>
            <c:bubble3D val="0"/>
            <c:spPr>
              <a:solidFill>
                <a:srgbClr val="FADCE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15C-2D48-BAD5-59397A75D552}"/>
              </c:ext>
            </c:extLst>
          </c:dPt>
          <c:dPt>
            <c:idx val="7"/>
            <c:invertIfNegative val="0"/>
            <c:bubble3D val="0"/>
            <c:spPr>
              <a:solidFill>
                <a:srgbClr val="FCB0E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15C-2D48-BAD5-59397A75D552}"/>
              </c:ext>
            </c:extLst>
          </c:dPt>
          <c:dPt>
            <c:idx val="8"/>
            <c:invertIfNegative val="0"/>
            <c:bubble3D val="0"/>
            <c:spPr>
              <a:solidFill>
                <a:srgbClr val="FF75C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15C-2D48-BAD5-59397A75D552}"/>
              </c:ext>
            </c:extLst>
          </c:dPt>
          <c:dPt>
            <c:idx val="9"/>
            <c:invertIfNegative val="0"/>
            <c:bubble3D val="0"/>
            <c:spPr>
              <a:solidFill>
                <a:srgbClr val="FF319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5C-2D48-BAD5-59397A75D552}"/>
              </c:ext>
            </c:extLst>
          </c:dPt>
          <c:dPt>
            <c:idx val="10"/>
            <c:invertIfNegative val="0"/>
            <c:bubble3D val="0"/>
            <c:spPr>
              <a:solidFill>
                <a:srgbClr val="18D46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15C-2D48-BAD5-59397A75D552}"/>
              </c:ext>
            </c:extLst>
          </c:dPt>
          <c:dPt>
            <c:idx val="11"/>
            <c:invertIfNegative val="0"/>
            <c:bubble3D val="0"/>
            <c:spPr>
              <a:solidFill>
                <a:srgbClr val="9DFF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D15C-2D48-BAD5-59397A75D552}"/>
              </c:ext>
            </c:extLst>
          </c:dPt>
          <c:dPt>
            <c:idx val="12"/>
            <c:invertIfNegative val="0"/>
            <c:bubble3D val="0"/>
            <c:spPr>
              <a:solidFill>
                <a:srgbClr val="C9FFC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15C-2D48-BAD5-59397A75D552}"/>
              </c:ext>
            </c:extLst>
          </c:dPt>
          <c:dPt>
            <c:idx val="13"/>
            <c:invertIfNegative val="0"/>
            <c:bubble3D val="0"/>
            <c:spPr>
              <a:solidFill>
                <a:srgbClr val="51EC7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15C-2D48-BAD5-59397A75D552}"/>
              </c:ext>
            </c:extLst>
          </c:dPt>
          <c:dPt>
            <c:idx val="14"/>
            <c:invertIfNegative val="0"/>
            <c:bubble3D val="0"/>
            <c:spPr>
              <a:solidFill>
                <a:srgbClr val="00823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15C-2D48-BAD5-59397A75D552}"/>
              </c:ext>
            </c:extLst>
          </c:dPt>
          <c:dPt>
            <c:idx val="15"/>
            <c:invertIfNegative val="0"/>
            <c:bubble3D val="0"/>
            <c:spPr>
              <a:solidFill>
                <a:srgbClr val="05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15C-2D48-BAD5-59397A75D552}"/>
              </c:ext>
            </c:extLst>
          </c:dPt>
          <c:dPt>
            <c:idx val="16"/>
            <c:invertIfNegative val="0"/>
            <c:bubble3D val="0"/>
            <c:spPr>
              <a:solidFill>
                <a:srgbClr val="00D2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D15C-2D48-BAD5-59397A75D552}"/>
              </c:ext>
            </c:extLst>
          </c:dPt>
          <c:dPt>
            <c:idx val="17"/>
            <c:invertIfNegative val="0"/>
            <c:bubble3D val="0"/>
            <c:spPr>
              <a:solidFill>
                <a:srgbClr val="AD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15C-2D48-BAD5-59397A75D552}"/>
              </c:ext>
            </c:extLst>
          </c:dPt>
          <c:dPt>
            <c:idx val="18"/>
            <c:invertIfNegative val="0"/>
            <c:bubble3D val="0"/>
            <c:spPr>
              <a:solidFill>
                <a:srgbClr val="46EE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D15C-2D48-BAD5-59397A75D552}"/>
              </c:ext>
            </c:extLst>
          </c:dPt>
          <c:dPt>
            <c:idx val="19"/>
            <c:invertIfNegative val="0"/>
            <c:bubble3D val="0"/>
            <c:spPr>
              <a:solidFill>
                <a:srgbClr val="46EE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15C-2D48-BAD5-59397A75D552}"/>
              </c:ext>
            </c:extLst>
          </c:dPt>
          <c:dPt>
            <c:idx val="20"/>
            <c:invertIfNegative val="0"/>
            <c:bubble3D val="0"/>
            <c:spPr>
              <a:solidFill>
                <a:srgbClr val="D8D3F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15C-2D48-BAD5-59397A75D552}"/>
              </c:ext>
            </c:extLst>
          </c:dPt>
          <c:dPt>
            <c:idx val="21"/>
            <c:invertIfNegative val="0"/>
            <c:bubble3D val="0"/>
            <c:spPr>
              <a:solidFill>
                <a:srgbClr val="CDBCF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D15C-2D48-BAD5-59397A75D552}"/>
              </c:ext>
            </c:extLst>
          </c:dPt>
          <c:dPt>
            <c:idx val="22"/>
            <c:invertIfNegative val="0"/>
            <c:bubble3D val="0"/>
            <c:spPr>
              <a:solidFill>
                <a:srgbClr val="C09DF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15C-2D48-BAD5-59397A75D552}"/>
              </c:ext>
            </c:extLst>
          </c:dPt>
          <c:dPt>
            <c:idx val="23"/>
            <c:invertIfNegative val="0"/>
            <c:bubble3D val="0"/>
            <c:spPr>
              <a:solidFill>
                <a:srgbClr val="9768D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15C-2D48-BAD5-59397A75D552}"/>
              </c:ext>
            </c:extLst>
          </c:dPt>
          <c:dPt>
            <c:idx val="24"/>
            <c:invertIfNegative val="0"/>
            <c:bubble3D val="0"/>
            <c:spPr>
              <a:solidFill>
                <a:srgbClr val="C09DF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D15C-2D48-BAD5-59397A75D5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Table_EDA'!$A$144:$B$174</c:f>
              <c:multiLvlStrCache>
                <c:ptCount val="25"/>
                <c:lvl>
                  <c:pt idx="0">
                    <c:v>17</c:v>
                  </c:pt>
                  <c:pt idx="1">
                    <c:v>18</c:v>
                  </c:pt>
                  <c:pt idx="2">
                    <c:v>19</c:v>
                  </c:pt>
                  <c:pt idx="3">
                    <c:v>20</c:v>
                  </c:pt>
                  <c:pt idx="4">
                    <c:v>21</c:v>
                  </c:pt>
                  <c:pt idx="5">
                    <c:v>12</c:v>
                  </c:pt>
                  <c:pt idx="6">
                    <c:v>17</c:v>
                  </c:pt>
                  <c:pt idx="7">
                    <c:v>18</c:v>
                  </c:pt>
                  <c:pt idx="8">
                    <c:v>19</c:v>
                  </c:pt>
                  <c:pt idx="9">
                    <c:v>20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18</c:v>
                  </c:pt>
                  <c:pt idx="14">
                    <c:v>19</c:v>
                  </c:pt>
                  <c:pt idx="15">
                    <c:v>20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14</c:v>
                  </c:pt>
                  <c:pt idx="21">
                    <c:v>18</c:v>
                  </c:pt>
                  <c:pt idx="22">
                    <c:v>19</c:v>
                  </c:pt>
                  <c:pt idx="23">
                    <c:v>20</c:v>
                  </c:pt>
                  <c:pt idx="24">
                    <c:v>21</c:v>
                  </c:pt>
                </c:lvl>
                <c:lvl>
                  <c:pt idx="0">
                    <c:v>Domino's</c:v>
                  </c:pt>
                  <c:pt idx="5">
                    <c:v>Little Caesars</c:v>
                  </c:pt>
                  <c:pt idx="10">
                    <c:v>Marco's Pizza</c:v>
                  </c:pt>
                  <c:pt idx="16">
                    <c:v>Papa John's</c:v>
                  </c:pt>
                  <c:pt idx="20">
                    <c:v>Pizza Hut</c:v>
                  </c:pt>
                </c:lvl>
              </c:multiLvlStrCache>
            </c:multiLvlStrRef>
          </c:cat>
          <c:val>
            <c:numRef>
              <c:f>'Pivot Table_EDA'!$C$144:$C$174</c:f>
              <c:numCache>
                <c:formatCode>#,##0.00</c:formatCode>
                <c:ptCount val="25"/>
                <c:pt idx="0">
                  <c:v>20</c:v>
                </c:pt>
                <c:pt idx="1">
                  <c:v>23.243243243243242</c:v>
                </c:pt>
                <c:pt idx="2">
                  <c:v>33.736263736263737</c:v>
                </c:pt>
                <c:pt idx="3">
                  <c:v>35</c:v>
                </c:pt>
                <c:pt idx="4">
                  <c:v>32.5</c:v>
                </c:pt>
                <c:pt idx="5">
                  <c:v>20</c:v>
                </c:pt>
                <c:pt idx="6">
                  <c:v>20</c:v>
                </c:pt>
                <c:pt idx="7">
                  <c:v>23.169014084507044</c:v>
                </c:pt>
                <c:pt idx="8">
                  <c:v>31.009615384615383</c:v>
                </c:pt>
                <c:pt idx="9">
                  <c:v>37.727272727272727</c:v>
                </c:pt>
                <c:pt idx="10">
                  <c:v>30</c:v>
                </c:pt>
                <c:pt idx="11">
                  <c:v>21.511627906976745</c:v>
                </c:pt>
                <c:pt idx="12">
                  <c:v>20</c:v>
                </c:pt>
                <c:pt idx="13">
                  <c:v>26.19047619047619</c:v>
                </c:pt>
                <c:pt idx="14">
                  <c:v>45.96153846153846</c:v>
                </c:pt>
                <c:pt idx="15">
                  <c:v>32.628205128205131</c:v>
                </c:pt>
                <c:pt idx="16">
                  <c:v>37.5</c:v>
                </c:pt>
                <c:pt idx="17">
                  <c:v>26.894736842105264</c:v>
                </c:pt>
                <c:pt idx="18">
                  <c:v>29.166666666666668</c:v>
                </c:pt>
                <c:pt idx="19">
                  <c:v>29.155844155844157</c:v>
                </c:pt>
                <c:pt idx="20">
                  <c:v>20</c:v>
                </c:pt>
                <c:pt idx="21">
                  <c:v>23.333333333333332</c:v>
                </c:pt>
                <c:pt idx="22">
                  <c:v>29.870129870129869</c:v>
                </c:pt>
                <c:pt idx="23">
                  <c:v>32.470588235294116</c:v>
                </c:pt>
                <c:pt idx="2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C-2D48-BAD5-59397A75D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8933119"/>
        <c:axId val="898934287"/>
      </c:barChart>
      <c:catAx>
        <c:axId val="89893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934287"/>
        <c:crosses val="autoZero"/>
        <c:auto val="1"/>
        <c:lblAlgn val="ctr"/>
        <c:lblOffset val="100"/>
        <c:noMultiLvlLbl val="0"/>
      </c:catAx>
      <c:valAx>
        <c:axId val="8989342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/>
                    </a:solidFill>
                  </a:rPr>
                  <a:t>Average of Delivery Duration (min)</a:t>
                </a:r>
              </a:p>
            </c:rich>
          </c:tx>
          <c:layout>
            <c:manualLayout>
              <c:xMode val="edge"/>
              <c:yMode val="edge"/>
              <c:x val="6.5535253469571958E-3"/>
              <c:y val="0.39219080027542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93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[Project_Pizza_Delivery.xlsx]Pivot Table_EDA!MonthlyOrderVolumeandDeliveryDelays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Monthly Order Volume and Delivery Delays</a:t>
            </a:r>
            <a:endParaRPr lang="en-US" sz="1600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969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Table_EDA'!$B$73</c:f>
              <c:strCache>
                <c:ptCount val="1"/>
                <c:pt idx="0">
                  <c:v>Count of Orders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Table_EDA'!$A$74:$A$86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Table_EDA'!$B$74:$B$86</c:f>
              <c:numCache>
                <c:formatCode>General</c:formatCode>
                <c:ptCount val="12"/>
                <c:pt idx="0">
                  <c:v>88</c:v>
                </c:pt>
                <c:pt idx="1">
                  <c:v>86</c:v>
                </c:pt>
                <c:pt idx="2">
                  <c:v>94</c:v>
                </c:pt>
                <c:pt idx="3">
                  <c:v>91</c:v>
                </c:pt>
                <c:pt idx="4">
                  <c:v>68</c:v>
                </c:pt>
                <c:pt idx="5">
                  <c:v>91</c:v>
                </c:pt>
                <c:pt idx="6">
                  <c:v>49</c:v>
                </c:pt>
                <c:pt idx="7">
                  <c:v>117</c:v>
                </c:pt>
                <c:pt idx="8">
                  <c:v>105</c:v>
                </c:pt>
                <c:pt idx="9">
                  <c:v>75</c:v>
                </c:pt>
                <c:pt idx="10">
                  <c:v>60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C-AB43-9432-4E97D8E616AC}"/>
            </c:ext>
          </c:extLst>
        </c:ser>
        <c:ser>
          <c:idx val="1"/>
          <c:order val="1"/>
          <c:tx>
            <c:strRef>
              <c:f>'Pivot Table_EDA'!$C$73</c:f>
              <c:strCache>
                <c:ptCount val="1"/>
                <c:pt idx="0">
                  <c:v>Total Delayed Orders</c:v>
                </c:pt>
              </c:strCache>
            </c:strRef>
          </c:tx>
          <c:spPr>
            <a:solidFill>
              <a:srgbClr val="F969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Table_EDA'!$A$74:$A$86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Table_EDA'!$C$74:$C$86</c:f>
              <c:numCache>
                <c:formatCode>General</c:formatCode>
                <c:ptCount val="12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15</c:v>
                </c:pt>
                <c:pt idx="4">
                  <c:v>17</c:v>
                </c:pt>
                <c:pt idx="5">
                  <c:v>26</c:v>
                </c:pt>
                <c:pt idx="6">
                  <c:v>6</c:v>
                </c:pt>
                <c:pt idx="7">
                  <c:v>31</c:v>
                </c:pt>
                <c:pt idx="8">
                  <c:v>22</c:v>
                </c:pt>
                <c:pt idx="9">
                  <c:v>14</c:v>
                </c:pt>
                <c:pt idx="10">
                  <c:v>14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C-AB43-9432-4E97D8E61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81951"/>
        <c:axId val="620057503"/>
      </c:barChart>
      <c:catAx>
        <c:axId val="8058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057503"/>
        <c:crosses val="autoZero"/>
        <c:auto val="1"/>
        <c:lblAlgn val="ctr"/>
        <c:lblOffset val="100"/>
        <c:noMultiLvlLbl val="0"/>
      </c:catAx>
      <c:valAx>
        <c:axId val="620057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Count of Orders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8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[Project_Pizza_Delivery.xlsx]Pivot Table_EDA!OrderVolumeandDeliveryDelaysbyHourofDay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Order Volume and Delivery Delays by Hour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969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9696A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9696A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9696A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Table_EDA'!$B$193</c:f>
              <c:strCache>
                <c:ptCount val="1"/>
                <c:pt idx="0">
                  <c:v>Count of Orders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Table_EDA'!$A$194:$A$202</c:f>
              <c:strCache>
                <c:ptCount val="8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'Pivot Table_EDA'!$B$194:$B$202</c:f>
              <c:numCache>
                <c:formatCode>General</c:formatCode>
                <c:ptCount val="8"/>
                <c:pt idx="0">
                  <c:v>2</c:v>
                </c:pt>
                <c:pt idx="1">
                  <c:v>43</c:v>
                </c:pt>
                <c:pt idx="2">
                  <c:v>6</c:v>
                </c:pt>
                <c:pt idx="3">
                  <c:v>4</c:v>
                </c:pt>
                <c:pt idx="4">
                  <c:v>312</c:v>
                </c:pt>
                <c:pt idx="5">
                  <c:v>328</c:v>
                </c:pt>
                <c:pt idx="6">
                  <c:v>306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4-3C4C-B87E-3C8FE516FAEB}"/>
            </c:ext>
          </c:extLst>
        </c:ser>
        <c:ser>
          <c:idx val="1"/>
          <c:order val="1"/>
          <c:tx>
            <c:strRef>
              <c:f>'Pivot Table_EDA'!$C$193</c:f>
              <c:strCache>
                <c:ptCount val="1"/>
                <c:pt idx="0">
                  <c:v>Total Delayed Orders</c:v>
                </c:pt>
              </c:strCache>
            </c:strRef>
          </c:tx>
          <c:spPr>
            <a:solidFill>
              <a:srgbClr val="F9696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969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BD4-3C4C-B87E-3C8FE516FAEB}"/>
              </c:ext>
            </c:extLst>
          </c:dPt>
          <c:dPt>
            <c:idx val="1"/>
            <c:invertIfNegative val="0"/>
            <c:bubble3D val="0"/>
            <c:spPr>
              <a:solidFill>
                <a:srgbClr val="F969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BD4-3C4C-B87E-3C8FE516FAEB}"/>
              </c:ext>
            </c:extLst>
          </c:dPt>
          <c:dPt>
            <c:idx val="2"/>
            <c:invertIfNegative val="0"/>
            <c:bubble3D val="0"/>
            <c:spPr>
              <a:solidFill>
                <a:srgbClr val="F969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BD4-3C4C-B87E-3C8FE516FAE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D4-3C4C-B87E-3C8FE516FAE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D4-3C4C-B87E-3C8FE516FAE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D4-3C4C-B87E-3C8FE516FA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Table_EDA'!$A$194:$A$202</c:f>
              <c:strCache>
                <c:ptCount val="8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'Pivot Table_EDA'!$C$194:$C$202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11</c:v>
                </c:pt>
                <c:pt idx="5">
                  <c:v>88</c:v>
                </c:pt>
                <c:pt idx="6">
                  <c:v>109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D4-3C4C-B87E-3C8FE516F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0898239"/>
        <c:axId val="2067399408"/>
      </c:barChart>
      <c:catAx>
        <c:axId val="70089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399408"/>
        <c:crosses val="autoZero"/>
        <c:auto val="1"/>
        <c:lblAlgn val="ctr"/>
        <c:lblOffset val="100"/>
        <c:noMultiLvlLbl val="0"/>
      </c:catAx>
      <c:valAx>
        <c:axId val="2067399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Orders</a:t>
                </a:r>
              </a:p>
            </c:rich>
          </c:tx>
          <c:layout>
            <c:manualLayout>
              <c:xMode val="edge"/>
              <c:yMode val="edge"/>
              <c:x val="1.1853343342823267E-2"/>
              <c:y val="0.2827805678120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89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[Project_Pizza_Delivery.xlsx]Pivot Table_EDA!OrdersandDelayedDeliveriesbyPeakHourStatus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Orders and Delayed Deliveries by Peak Hour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969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Table_EDA'!$B$397</c:f>
              <c:strCache>
                <c:ptCount val="1"/>
                <c:pt idx="0">
                  <c:v>Count of Orders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Table_EDA'!$A$398:$A$400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'Pivot Table_EDA'!$B$398:$B$400</c:f>
              <c:numCache>
                <c:formatCode>General</c:formatCode>
                <c:ptCount val="2"/>
                <c:pt idx="0">
                  <c:v>55</c:v>
                </c:pt>
                <c:pt idx="1">
                  <c:v>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4-5E4E-9553-D87067F2E5CF}"/>
            </c:ext>
          </c:extLst>
        </c:ser>
        <c:ser>
          <c:idx val="1"/>
          <c:order val="1"/>
          <c:tx>
            <c:strRef>
              <c:f>'Pivot Table_EDA'!$C$397</c:f>
              <c:strCache>
                <c:ptCount val="1"/>
                <c:pt idx="0">
                  <c:v>Total Delayed Orders</c:v>
                </c:pt>
              </c:strCache>
            </c:strRef>
          </c:tx>
          <c:spPr>
            <a:solidFill>
              <a:srgbClr val="F969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Table_EDA'!$A$398:$A$400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'Pivot Table_EDA'!$C$398:$C$400</c:f>
              <c:numCache>
                <c:formatCode>General</c:formatCode>
                <c:ptCount val="2"/>
                <c:pt idx="0">
                  <c:v>1</c:v>
                </c:pt>
                <c:pt idx="1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4-5E4E-9553-D87067F2E5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4375599"/>
        <c:axId val="702399759"/>
      </c:barChart>
      <c:catAx>
        <c:axId val="81437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99759"/>
        <c:crosses val="autoZero"/>
        <c:auto val="1"/>
        <c:lblAlgn val="ctr"/>
        <c:lblOffset val="100"/>
        <c:noMultiLvlLbl val="0"/>
      </c:catAx>
      <c:valAx>
        <c:axId val="7023997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7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[Project_Pizza_Delivery.xlsx]Pivot Table_EDA!ImpactofWeekendonOrderVolumeandDelayedDeliveries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Impact of Weekend on Order Volume and Delayed Deliveries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969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Table_EDA'!$B$441</c:f>
              <c:strCache>
                <c:ptCount val="1"/>
                <c:pt idx="0">
                  <c:v>Count of Orders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Table_EDA'!$A$442:$A$444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'Pivot Table_EDA'!$B$442:$B$444</c:f>
              <c:numCache>
                <c:formatCode>General</c:formatCode>
                <c:ptCount val="2"/>
                <c:pt idx="0">
                  <c:v>718</c:v>
                </c:pt>
                <c:pt idx="1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8-544A-BEBC-6E95BD2D80EA}"/>
            </c:ext>
          </c:extLst>
        </c:ser>
        <c:ser>
          <c:idx val="1"/>
          <c:order val="1"/>
          <c:tx>
            <c:strRef>
              <c:f>'Pivot Table_EDA'!$C$441</c:f>
              <c:strCache>
                <c:ptCount val="1"/>
                <c:pt idx="0">
                  <c:v>Total Delayed Orders</c:v>
                </c:pt>
              </c:strCache>
            </c:strRef>
          </c:tx>
          <c:spPr>
            <a:solidFill>
              <a:srgbClr val="F9696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Table_EDA'!$A$442:$A$444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'Pivot Table_EDA'!$C$442:$C$444</c:f>
              <c:numCache>
                <c:formatCode>General</c:formatCode>
                <c:ptCount val="2"/>
                <c:pt idx="0">
                  <c:v>148</c:v>
                </c:pt>
                <c:pt idx="1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8-544A-BEBC-6E95BD2D80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3690911"/>
        <c:axId val="616855679"/>
      </c:barChart>
      <c:catAx>
        <c:axId val="69369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855679"/>
        <c:crosses val="autoZero"/>
        <c:auto val="1"/>
        <c:lblAlgn val="ctr"/>
        <c:lblOffset val="100"/>
        <c:noMultiLvlLbl val="0"/>
      </c:catAx>
      <c:valAx>
        <c:axId val="6168556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69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[Project_Pizza_Delivery.xlsx]Pivot Table_EDA!OrderVolumeandDeliveryDelaysbyDeliveryDistance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 b="1" i="0" u="none" strike="noStrike" baseline="0"/>
              <a:t>Order Volume and Delivery Delays by Delivery Distance</a:t>
            </a:r>
            <a:endParaRPr lang="en-US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EA71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EA71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EA71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EA71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EA71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EA71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EA71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EA71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EA713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2.4487675669783952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rgbClr val="15608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Table_EDA'!$B$244</c:f>
              <c:strCache>
                <c:ptCount val="1"/>
                <c:pt idx="0">
                  <c:v>Count of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35-8D4F-9CD5-F08595536B5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C35-8D4F-9CD5-F08595536B5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C35-8D4F-9CD5-F08595536B5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C35-8D4F-9CD5-F08595536B5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C35-8D4F-9CD5-F08595536B5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AC35-8D4F-9CD5-F08595536B5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35-8D4F-9CD5-F08595536B5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AC35-8D4F-9CD5-F08595536B5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C35-8D4F-9CD5-F08595536B5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C35-8D4F-9CD5-F08595536B5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C35-8D4F-9CD5-F08595536B5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C35-8D4F-9CD5-F08595536B5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AC35-8D4F-9CD5-F08595536B52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C35-8D4F-9CD5-F08595536B52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C35-8D4F-9CD5-F08595536B52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AC35-8D4F-9CD5-F08595536B52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AC35-8D4F-9CD5-F08595536B52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C35-8D4F-9CD5-F08595536B52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AC35-8D4F-9CD5-F08595536B52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C35-8D4F-9CD5-F08595536B52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AC35-8D4F-9CD5-F08595536B5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AC35-8D4F-9CD5-F08595536B52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AC35-8D4F-9CD5-F08595536B52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AC35-8D4F-9CD5-F08595536B52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AC35-8D4F-9CD5-F08595536B52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35-8D4F-9CD5-F08595536B52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C35-8D4F-9CD5-F08595536B52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35-8D4F-9CD5-F08595536B52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35-8D4F-9CD5-F08595536B52}"/>
                </c:ext>
              </c:extLst>
            </c:dLbl>
            <c:dLbl>
              <c:idx val="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C35-8D4F-9CD5-F08595536B52}"/>
                </c:ext>
              </c:extLst>
            </c:dLbl>
            <c:dLbl>
              <c:idx val="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C35-8D4F-9CD5-F08595536B52}"/>
                </c:ext>
              </c:extLst>
            </c:dLbl>
            <c:dLbl>
              <c:idx val="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35-8D4F-9CD5-F08595536B52}"/>
                </c:ext>
              </c:extLst>
            </c:dLbl>
            <c:dLbl>
              <c:idx val="7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C35-8D4F-9CD5-F08595536B52}"/>
                </c:ext>
              </c:extLst>
            </c:dLbl>
            <c:dLbl>
              <c:idx val="8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C35-8D4F-9CD5-F08595536B52}"/>
                </c:ext>
              </c:extLst>
            </c:dLbl>
            <c:dLbl>
              <c:idx val="9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C35-8D4F-9CD5-F08595536B52}"/>
                </c:ext>
              </c:extLst>
            </c:dLbl>
            <c:dLbl>
              <c:idx val="1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C35-8D4F-9CD5-F08595536B52}"/>
                </c:ext>
              </c:extLst>
            </c:dLbl>
            <c:dLbl>
              <c:idx val="1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C35-8D4F-9CD5-F08595536B52}"/>
                </c:ext>
              </c:extLst>
            </c:dLbl>
            <c:dLbl>
              <c:idx val="1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C35-8D4F-9CD5-F08595536B52}"/>
                </c:ext>
              </c:extLst>
            </c:dLbl>
            <c:dLbl>
              <c:idx val="1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C35-8D4F-9CD5-F08595536B52}"/>
                </c:ext>
              </c:extLst>
            </c:dLbl>
            <c:dLbl>
              <c:idx val="1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C35-8D4F-9CD5-F08595536B52}"/>
                </c:ext>
              </c:extLst>
            </c:dLbl>
            <c:dLbl>
              <c:idx val="1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C35-8D4F-9CD5-F08595536B52}"/>
                </c:ext>
              </c:extLst>
            </c:dLbl>
            <c:dLbl>
              <c:idx val="1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C35-8D4F-9CD5-F08595536B52}"/>
                </c:ext>
              </c:extLst>
            </c:dLbl>
            <c:dLbl>
              <c:idx val="17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C35-8D4F-9CD5-F08595536B52}"/>
                </c:ext>
              </c:extLst>
            </c:dLbl>
            <c:dLbl>
              <c:idx val="18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C35-8D4F-9CD5-F08595536B52}"/>
                </c:ext>
              </c:extLst>
            </c:dLbl>
            <c:dLbl>
              <c:idx val="19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C35-8D4F-9CD5-F08595536B52}"/>
                </c:ext>
              </c:extLst>
            </c:dLbl>
            <c:dLbl>
              <c:idx val="2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C35-8D4F-9CD5-F08595536B52}"/>
                </c:ext>
              </c:extLst>
            </c:dLbl>
            <c:dLbl>
              <c:idx val="21"/>
              <c:layout>
                <c:manualLayout>
                  <c:x val="0"/>
                  <c:y val="2.4487675669783952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C35-8D4F-9CD5-F08595536B52}"/>
                </c:ext>
              </c:extLst>
            </c:dLbl>
            <c:dLbl>
              <c:idx val="2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C35-8D4F-9CD5-F08595536B52}"/>
                </c:ext>
              </c:extLst>
            </c:dLbl>
            <c:dLbl>
              <c:idx val="2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C35-8D4F-9CD5-F08595536B52}"/>
                </c:ext>
              </c:extLst>
            </c:dLbl>
            <c:dLbl>
              <c:idx val="2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C35-8D4F-9CD5-F08595536B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rgbClr val="15608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Table_EDA'!$A$245:$A$270</c:f>
              <c:strCache>
                <c:ptCount val="25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3.2</c:v>
                </c:pt>
                <c:pt idx="4">
                  <c:v>3.5</c:v>
                </c:pt>
                <c:pt idx="5">
                  <c:v>3.9</c:v>
                </c:pt>
                <c:pt idx="6">
                  <c:v>4</c:v>
                </c:pt>
                <c:pt idx="7">
                  <c:v>4.1</c:v>
                </c:pt>
                <c:pt idx="8">
                  <c:v>4.5</c:v>
                </c:pt>
                <c:pt idx="9">
                  <c:v>5</c:v>
                </c:pt>
                <c:pt idx="10">
                  <c:v>5.4</c:v>
                </c:pt>
                <c:pt idx="11">
                  <c:v>5.5</c:v>
                </c:pt>
                <c:pt idx="12">
                  <c:v>5.8</c:v>
                </c:pt>
                <c:pt idx="13">
                  <c:v>6</c:v>
                </c:pt>
                <c:pt idx="14">
                  <c:v>6.3</c:v>
                </c:pt>
                <c:pt idx="15">
                  <c:v>6.5</c:v>
                </c:pt>
                <c:pt idx="16">
                  <c:v>7</c:v>
                </c:pt>
                <c:pt idx="17">
                  <c:v>7.2</c:v>
                </c:pt>
                <c:pt idx="18">
                  <c:v>7.5</c:v>
                </c:pt>
                <c:pt idx="19">
                  <c:v>7.8</c:v>
                </c:pt>
                <c:pt idx="20">
                  <c:v>8</c:v>
                </c:pt>
                <c:pt idx="21">
                  <c:v>8.3</c:v>
                </c:pt>
                <c:pt idx="22">
                  <c:v>8.7</c:v>
                </c:pt>
                <c:pt idx="23">
                  <c:v>9</c:v>
                </c:pt>
                <c:pt idx="24">
                  <c:v>10</c:v>
                </c:pt>
              </c:strCache>
            </c:strRef>
          </c:cat>
          <c:val>
            <c:numRef>
              <c:f>'Pivot Table_EDA'!$B$245:$B$270</c:f>
              <c:numCache>
                <c:formatCode>General</c:formatCode>
                <c:ptCount val="25"/>
                <c:pt idx="0">
                  <c:v>56</c:v>
                </c:pt>
                <c:pt idx="1">
                  <c:v>64</c:v>
                </c:pt>
                <c:pt idx="2">
                  <c:v>93</c:v>
                </c:pt>
                <c:pt idx="3">
                  <c:v>2</c:v>
                </c:pt>
                <c:pt idx="4">
                  <c:v>52</c:v>
                </c:pt>
                <c:pt idx="5">
                  <c:v>1</c:v>
                </c:pt>
                <c:pt idx="6">
                  <c:v>136</c:v>
                </c:pt>
                <c:pt idx="7">
                  <c:v>3</c:v>
                </c:pt>
                <c:pt idx="8">
                  <c:v>112</c:v>
                </c:pt>
                <c:pt idx="9">
                  <c:v>96</c:v>
                </c:pt>
                <c:pt idx="10">
                  <c:v>5</c:v>
                </c:pt>
                <c:pt idx="11">
                  <c:v>95</c:v>
                </c:pt>
                <c:pt idx="12">
                  <c:v>1</c:v>
                </c:pt>
                <c:pt idx="13">
                  <c:v>120</c:v>
                </c:pt>
                <c:pt idx="14">
                  <c:v>1</c:v>
                </c:pt>
                <c:pt idx="15">
                  <c:v>10</c:v>
                </c:pt>
                <c:pt idx="16">
                  <c:v>8</c:v>
                </c:pt>
                <c:pt idx="17">
                  <c:v>2</c:v>
                </c:pt>
                <c:pt idx="18">
                  <c:v>32</c:v>
                </c:pt>
                <c:pt idx="19">
                  <c:v>1</c:v>
                </c:pt>
                <c:pt idx="20">
                  <c:v>46</c:v>
                </c:pt>
                <c:pt idx="21">
                  <c:v>1</c:v>
                </c:pt>
                <c:pt idx="22">
                  <c:v>1</c:v>
                </c:pt>
                <c:pt idx="23">
                  <c:v>28</c:v>
                </c:pt>
                <c:pt idx="2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5-8D4F-9CD5-F08595536B52}"/>
            </c:ext>
          </c:extLst>
        </c:ser>
        <c:ser>
          <c:idx val="1"/>
          <c:order val="1"/>
          <c:tx>
            <c:strRef>
              <c:f>'Pivot Table_EDA'!$C$244</c:f>
              <c:strCache>
                <c:ptCount val="1"/>
                <c:pt idx="0">
                  <c:v>Total Delayed 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C35-8D4F-9CD5-F08595536B5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C35-8D4F-9CD5-F08595536B5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C35-8D4F-9CD5-F08595536B5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C35-8D4F-9CD5-F08595536B5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C35-8D4F-9CD5-F08595536B5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C35-8D4F-9CD5-F08595536B5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C35-8D4F-9CD5-F08595536B5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C35-8D4F-9CD5-F08595536B52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C-AC35-8D4F-9CD5-F08595536B52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D-AC35-8D4F-9CD5-F08595536B52}"/>
                </c:ext>
              </c:extLst>
            </c:dLbl>
            <c:dLbl>
              <c:idx val="2"/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E-AC35-8D4F-9CD5-F08595536B52}"/>
                </c:ext>
              </c:extLst>
            </c:dLbl>
            <c:dLbl>
              <c:idx val="3"/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F-AC35-8D4F-9CD5-F08595536B52}"/>
                </c:ext>
              </c:extLst>
            </c:dLbl>
            <c:dLbl>
              <c:idx val="4"/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0-AC35-8D4F-9CD5-F08595536B52}"/>
                </c:ext>
              </c:extLst>
            </c:dLbl>
            <c:dLbl>
              <c:idx val="5"/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1-AC35-8D4F-9CD5-F08595536B52}"/>
                </c:ext>
              </c:extLst>
            </c:dLbl>
            <c:dLbl>
              <c:idx val="7"/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2-AC35-8D4F-9CD5-F08595536B52}"/>
                </c:ext>
              </c:extLst>
            </c:dLbl>
            <c:dLbl>
              <c:idx val="12"/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3-AC35-8D4F-9CD5-F08595536B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rgbClr val="EA713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Table_EDA'!$A$245:$A$270</c:f>
              <c:strCache>
                <c:ptCount val="25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3.2</c:v>
                </c:pt>
                <c:pt idx="4">
                  <c:v>3.5</c:v>
                </c:pt>
                <c:pt idx="5">
                  <c:v>3.9</c:v>
                </c:pt>
                <c:pt idx="6">
                  <c:v>4</c:v>
                </c:pt>
                <c:pt idx="7">
                  <c:v>4.1</c:v>
                </c:pt>
                <c:pt idx="8">
                  <c:v>4.5</c:v>
                </c:pt>
                <c:pt idx="9">
                  <c:v>5</c:v>
                </c:pt>
                <c:pt idx="10">
                  <c:v>5.4</c:v>
                </c:pt>
                <c:pt idx="11">
                  <c:v>5.5</c:v>
                </c:pt>
                <c:pt idx="12">
                  <c:v>5.8</c:v>
                </c:pt>
                <c:pt idx="13">
                  <c:v>6</c:v>
                </c:pt>
                <c:pt idx="14">
                  <c:v>6.3</c:v>
                </c:pt>
                <c:pt idx="15">
                  <c:v>6.5</c:v>
                </c:pt>
                <c:pt idx="16">
                  <c:v>7</c:v>
                </c:pt>
                <c:pt idx="17">
                  <c:v>7.2</c:v>
                </c:pt>
                <c:pt idx="18">
                  <c:v>7.5</c:v>
                </c:pt>
                <c:pt idx="19">
                  <c:v>7.8</c:v>
                </c:pt>
                <c:pt idx="20">
                  <c:v>8</c:v>
                </c:pt>
                <c:pt idx="21">
                  <c:v>8.3</c:v>
                </c:pt>
                <c:pt idx="22">
                  <c:v>8.7</c:v>
                </c:pt>
                <c:pt idx="23">
                  <c:v>9</c:v>
                </c:pt>
                <c:pt idx="24">
                  <c:v>10</c:v>
                </c:pt>
              </c:strCache>
            </c:strRef>
          </c:cat>
          <c:val>
            <c:numRef>
              <c:f>'Pivot Table_EDA'!$C$245:$C$270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32</c:v>
                </c:pt>
                <c:pt idx="12">
                  <c:v>0</c:v>
                </c:pt>
                <c:pt idx="13">
                  <c:v>5</c:v>
                </c:pt>
                <c:pt idx="14">
                  <c:v>1</c:v>
                </c:pt>
                <c:pt idx="15">
                  <c:v>6</c:v>
                </c:pt>
                <c:pt idx="16">
                  <c:v>8</c:v>
                </c:pt>
                <c:pt idx="17">
                  <c:v>2</c:v>
                </c:pt>
                <c:pt idx="18">
                  <c:v>32</c:v>
                </c:pt>
                <c:pt idx="19">
                  <c:v>1</c:v>
                </c:pt>
                <c:pt idx="20">
                  <c:v>46</c:v>
                </c:pt>
                <c:pt idx="21">
                  <c:v>1</c:v>
                </c:pt>
                <c:pt idx="22">
                  <c:v>1</c:v>
                </c:pt>
                <c:pt idx="23">
                  <c:v>28</c:v>
                </c:pt>
                <c:pt idx="2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5-8D4F-9CD5-F08595536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overlap val="6"/>
        <c:axId val="1644132800"/>
        <c:axId val="770095535"/>
      </c:barChart>
      <c:catAx>
        <c:axId val="164413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095535"/>
        <c:crosses val="autoZero"/>
        <c:auto val="1"/>
        <c:lblAlgn val="ctr"/>
        <c:lblOffset val="100"/>
        <c:noMultiLvlLbl val="0"/>
      </c:catAx>
      <c:valAx>
        <c:axId val="7700955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13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Delivery Duration vs Distance (km)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'Pizza Delivery Table'!$L$1</c:f>
              <c:strCache>
                <c:ptCount val="1"/>
                <c:pt idx="0">
                  <c:v>Distance (km)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'Pizza Delivery Table'!$H$2:$H$1005</c:f>
              <c:numCache>
                <c:formatCode>General</c:formatCode>
                <c:ptCount val="1004"/>
                <c:pt idx="0">
                  <c:v>15</c:v>
                </c:pt>
                <c:pt idx="1">
                  <c:v>25</c:v>
                </c:pt>
                <c:pt idx="2">
                  <c:v>20</c:v>
                </c:pt>
                <c:pt idx="3">
                  <c:v>25</c:v>
                </c:pt>
                <c:pt idx="4">
                  <c:v>20</c:v>
                </c:pt>
                <c:pt idx="5">
                  <c:v>20</c:v>
                </c:pt>
                <c:pt idx="6">
                  <c:v>25</c:v>
                </c:pt>
                <c:pt idx="7">
                  <c:v>20</c:v>
                </c:pt>
                <c:pt idx="8">
                  <c:v>25</c:v>
                </c:pt>
                <c:pt idx="9">
                  <c:v>20</c:v>
                </c:pt>
                <c:pt idx="10">
                  <c:v>20</c:v>
                </c:pt>
                <c:pt idx="11">
                  <c:v>25</c:v>
                </c:pt>
                <c:pt idx="12">
                  <c:v>20</c:v>
                </c:pt>
                <c:pt idx="13">
                  <c:v>25</c:v>
                </c:pt>
                <c:pt idx="14">
                  <c:v>20</c:v>
                </c:pt>
                <c:pt idx="15">
                  <c:v>25</c:v>
                </c:pt>
                <c:pt idx="16">
                  <c:v>25</c:v>
                </c:pt>
                <c:pt idx="17">
                  <c:v>20</c:v>
                </c:pt>
                <c:pt idx="18">
                  <c:v>25</c:v>
                </c:pt>
                <c:pt idx="19">
                  <c:v>20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25</c:v>
                </c:pt>
                <c:pt idx="24">
                  <c:v>20</c:v>
                </c:pt>
                <c:pt idx="25">
                  <c:v>25</c:v>
                </c:pt>
                <c:pt idx="26">
                  <c:v>25</c:v>
                </c:pt>
                <c:pt idx="27">
                  <c:v>20</c:v>
                </c:pt>
                <c:pt idx="28">
                  <c:v>25</c:v>
                </c:pt>
                <c:pt idx="29">
                  <c:v>20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20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20</c:v>
                </c:pt>
                <c:pt idx="38">
                  <c:v>25</c:v>
                </c:pt>
                <c:pt idx="39">
                  <c:v>20</c:v>
                </c:pt>
                <c:pt idx="40">
                  <c:v>20</c:v>
                </c:pt>
                <c:pt idx="41">
                  <c:v>25</c:v>
                </c:pt>
                <c:pt idx="42">
                  <c:v>20</c:v>
                </c:pt>
                <c:pt idx="43">
                  <c:v>25</c:v>
                </c:pt>
                <c:pt idx="44">
                  <c:v>20</c:v>
                </c:pt>
                <c:pt idx="45">
                  <c:v>20</c:v>
                </c:pt>
                <c:pt idx="46">
                  <c:v>25</c:v>
                </c:pt>
                <c:pt idx="47">
                  <c:v>20</c:v>
                </c:pt>
                <c:pt idx="48">
                  <c:v>25</c:v>
                </c:pt>
                <c:pt idx="49">
                  <c:v>20</c:v>
                </c:pt>
                <c:pt idx="50">
                  <c:v>20</c:v>
                </c:pt>
                <c:pt idx="51">
                  <c:v>25</c:v>
                </c:pt>
                <c:pt idx="52">
                  <c:v>20</c:v>
                </c:pt>
                <c:pt idx="53">
                  <c:v>25</c:v>
                </c:pt>
                <c:pt idx="54">
                  <c:v>20</c:v>
                </c:pt>
                <c:pt idx="55">
                  <c:v>20</c:v>
                </c:pt>
                <c:pt idx="56">
                  <c:v>25</c:v>
                </c:pt>
                <c:pt idx="57">
                  <c:v>20</c:v>
                </c:pt>
                <c:pt idx="58">
                  <c:v>25</c:v>
                </c:pt>
                <c:pt idx="59">
                  <c:v>20</c:v>
                </c:pt>
                <c:pt idx="60">
                  <c:v>20</c:v>
                </c:pt>
                <c:pt idx="61">
                  <c:v>25</c:v>
                </c:pt>
                <c:pt idx="62">
                  <c:v>20</c:v>
                </c:pt>
                <c:pt idx="63">
                  <c:v>25</c:v>
                </c:pt>
                <c:pt idx="64">
                  <c:v>20</c:v>
                </c:pt>
                <c:pt idx="65">
                  <c:v>20</c:v>
                </c:pt>
                <c:pt idx="66">
                  <c:v>25</c:v>
                </c:pt>
                <c:pt idx="67">
                  <c:v>20</c:v>
                </c:pt>
                <c:pt idx="68">
                  <c:v>25</c:v>
                </c:pt>
                <c:pt idx="69">
                  <c:v>20</c:v>
                </c:pt>
                <c:pt idx="70">
                  <c:v>20</c:v>
                </c:pt>
                <c:pt idx="71">
                  <c:v>25</c:v>
                </c:pt>
                <c:pt idx="72">
                  <c:v>20</c:v>
                </c:pt>
                <c:pt idx="73">
                  <c:v>25</c:v>
                </c:pt>
                <c:pt idx="74">
                  <c:v>20</c:v>
                </c:pt>
                <c:pt idx="75">
                  <c:v>20</c:v>
                </c:pt>
                <c:pt idx="76">
                  <c:v>25</c:v>
                </c:pt>
                <c:pt idx="77">
                  <c:v>20</c:v>
                </c:pt>
                <c:pt idx="78">
                  <c:v>25</c:v>
                </c:pt>
                <c:pt idx="79">
                  <c:v>20</c:v>
                </c:pt>
                <c:pt idx="80">
                  <c:v>20</c:v>
                </c:pt>
                <c:pt idx="81">
                  <c:v>25</c:v>
                </c:pt>
                <c:pt idx="82">
                  <c:v>20</c:v>
                </c:pt>
                <c:pt idx="83">
                  <c:v>25</c:v>
                </c:pt>
                <c:pt idx="84">
                  <c:v>20</c:v>
                </c:pt>
                <c:pt idx="85">
                  <c:v>20</c:v>
                </c:pt>
                <c:pt idx="86">
                  <c:v>25</c:v>
                </c:pt>
                <c:pt idx="87">
                  <c:v>20</c:v>
                </c:pt>
                <c:pt idx="88">
                  <c:v>25</c:v>
                </c:pt>
                <c:pt idx="89">
                  <c:v>20</c:v>
                </c:pt>
                <c:pt idx="90">
                  <c:v>20</c:v>
                </c:pt>
                <c:pt idx="91">
                  <c:v>25</c:v>
                </c:pt>
                <c:pt idx="92">
                  <c:v>20</c:v>
                </c:pt>
                <c:pt idx="93">
                  <c:v>25</c:v>
                </c:pt>
                <c:pt idx="94">
                  <c:v>20</c:v>
                </c:pt>
                <c:pt idx="95">
                  <c:v>20</c:v>
                </c:pt>
                <c:pt idx="96">
                  <c:v>25</c:v>
                </c:pt>
                <c:pt idx="97">
                  <c:v>20</c:v>
                </c:pt>
                <c:pt idx="98">
                  <c:v>25</c:v>
                </c:pt>
                <c:pt idx="99">
                  <c:v>20</c:v>
                </c:pt>
                <c:pt idx="100">
                  <c:v>20</c:v>
                </c:pt>
                <c:pt idx="101">
                  <c:v>25</c:v>
                </c:pt>
                <c:pt idx="102">
                  <c:v>20</c:v>
                </c:pt>
                <c:pt idx="103">
                  <c:v>25</c:v>
                </c:pt>
                <c:pt idx="104">
                  <c:v>20</c:v>
                </c:pt>
                <c:pt idx="105">
                  <c:v>20</c:v>
                </c:pt>
                <c:pt idx="106">
                  <c:v>25</c:v>
                </c:pt>
                <c:pt idx="107">
                  <c:v>20</c:v>
                </c:pt>
                <c:pt idx="108">
                  <c:v>25</c:v>
                </c:pt>
                <c:pt idx="109">
                  <c:v>20</c:v>
                </c:pt>
                <c:pt idx="110">
                  <c:v>20</c:v>
                </c:pt>
                <c:pt idx="111">
                  <c:v>25</c:v>
                </c:pt>
                <c:pt idx="112">
                  <c:v>20</c:v>
                </c:pt>
                <c:pt idx="113">
                  <c:v>25</c:v>
                </c:pt>
                <c:pt idx="114">
                  <c:v>20</c:v>
                </c:pt>
                <c:pt idx="115">
                  <c:v>20</c:v>
                </c:pt>
                <c:pt idx="116">
                  <c:v>25</c:v>
                </c:pt>
                <c:pt idx="117">
                  <c:v>20</c:v>
                </c:pt>
                <c:pt idx="118">
                  <c:v>25</c:v>
                </c:pt>
                <c:pt idx="119">
                  <c:v>20</c:v>
                </c:pt>
                <c:pt idx="120">
                  <c:v>20</c:v>
                </c:pt>
                <c:pt idx="121">
                  <c:v>25</c:v>
                </c:pt>
                <c:pt idx="122">
                  <c:v>20</c:v>
                </c:pt>
                <c:pt idx="123">
                  <c:v>25</c:v>
                </c:pt>
                <c:pt idx="124">
                  <c:v>20</c:v>
                </c:pt>
                <c:pt idx="125">
                  <c:v>20</c:v>
                </c:pt>
                <c:pt idx="126">
                  <c:v>30</c:v>
                </c:pt>
                <c:pt idx="127">
                  <c:v>40</c:v>
                </c:pt>
                <c:pt idx="128">
                  <c:v>20</c:v>
                </c:pt>
                <c:pt idx="129">
                  <c:v>50</c:v>
                </c:pt>
                <c:pt idx="130">
                  <c:v>35</c:v>
                </c:pt>
                <c:pt idx="131">
                  <c:v>20</c:v>
                </c:pt>
                <c:pt idx="132">
                  <c:v>40</c:v>
                </c:pt>
                <c:pt idx="133">
                  <c:v>30</c:v>
                </c:pt>
                <c:pt idx="134">
                  <c:v>45</c:v>
                </c:pt>
                <c:pt idx="135">
                  <c:v>20</c:v>
                </c:pt>
                <c:pt idx="136">
                  <c:v>30</c:v>
                </c:pt>
                <c:pt idx="137">
                  <c:v>40</c:v>
                </c:pt>
                <c:pt idx="138">
                  <c:v>20</c:v>
                </c:pt>
                <c:pt idx="139">
                  <c:v>50</c:v>
                </c:pt>
                <c:pt idx="140">
                  <c:v>35</c:v>
                </c:pt>
                <c:pt idx="141">
                  <c:v>20</c:v>
                </c:pt>
                <c:pt idx="142">
                  <c:v>40</c:v>
                </c:pt>
                <c:pt idx="143">
                  <c:v>30</c:v>
                </c:pt>
                <c:pt idx="144">
                  <c:v>45</c:v>
                </c:pt>
                <c:pt idx="145">
                  <c:v>20</c:v>
                </c:pt>
                <c:pt idx="146">
                  <c:v>30</c:v>
                </c:pt>
                <c:pt idx="147">
                  <c:v>40</c:v>
                </c:pt>
                <c:pt idx="148">
                  <c:v>20</c:v>
                </c:pt>
                <c:pt idx="149">
                  <c:v>50</c:v>
                </c:pt>
                <c:pt idx="150">
                  <c:v>30</c:v>
                </c:pt>
                <c:pt idx="151">
                  <c:v>30</c:v>
                </c:pt>
                <c:pt idx="152">
                  <c:v>35</c:v>
                </c:pt>
                <c:pt idx="153">
                  <c:v>20</c:v>
                </c:pt>
                <c:pt idx="154">
                  <c:v>30</c:v>
                </c:pt>
                <c:pt idx="155">
                  <c:v>30</c:v>
                </c:pt>
                <c:pt idx="156">
                  <c:v>35</c:v>
                </c:pt>
                <c:pt idx="157">
                  <c:v>25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25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25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25</c:v>
                </c:pt>
                <c:pt idx="173">
                  <c:v>30</c:v>
                </c:pt>
                <c:pt idx="174">
                  <c:v>20</c:v>
                </c:pt>
                <c:pt idx="175">
                  <c:v>20</c:v>
                </c:pt>
                <c:pt idx="176">
                  <c:v>25</c:v>
                </c:pt>
                <c:pt idx="177">
                  <c:v>20</c:v>
                </c:pt>
                <c:pt idx="178">
                  <c:v>25</c:v>
                </c:pt>
                <c:pt idx="179">
                  <c:v>20</c:v>
                </c:pt>
                <c:pt idx="180">
                  <c:v>25</c:v>
                </c:pt>
                <c:pt idx="181">
                  <c:v>25</c:v>
                </c:pt>
                <c:pt idx="182">
                  <c:v>20</c:v>
                </c:pt>
                <c:pt idx="183">
                  <c:v>25</c:v>
                </c:pt>
                <c:pt idx="184">
                  <c:v>20</c:v>
                </c:pt>
                <c:pt idx="185">
                  <c:v>20</c:v>
                </c:pt>
                <c:pt idx="186">
                  <c:v>25</c:v>
                </c:pt>
                <c:pt idx="187">
                  <c:v>20</c:v>
                </c:pt>
                <c:pt idx="188">
                  <c:v>25</c:v>
                </c:pt>
                <c:pt idx="189">
                  <c:v>20</c:v>
                </c:pt>
                <c:pt idx="190">
                  <c:v>20</c:v>
                </c:pt>
                <c:pt idx="191">
                  <c:v>25</c:v>
                </c:pt>
                <c:pt idx="192">
                  <c:v>20</c:v>
                </c:pt>
                <c:pt idx="193">
                  <c:v>25</c:v>
                </c:pt>
                <c:pt idx="194">
                  <c:v>20</c:v>
                </c:pt>
                <c:pt idx="195">
                  <c:v>20</c:v>
                </c:pt>
                <c:pt idx="196">
                  <c:v>25</c:v>
                </c:pt>
                <c:pt idx="197">
                  <c:v>20</c:v>
                </c:pt>
                <c:pt idx="198">
                  <c:v>25</c:v>
                </c:pt>
                <c:pt idx="199">
                  <c:v>20</c:v>
                </c:pt>
                <c:pt idx="200">
                  <c:v>25</c:v>
                </c:pt>
                <c:pt idx="201">
                  <c:v>30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20</c:v>
                </c:pt>
                <c:pt idx="208">
                  <c:v>25</c:v>
                </c:pt>
                <c:pt idx="209">
                  <c:v>20</c:v>
                </c:pt>
                <c:pt idx="210">
                  <c:v>20</c:v>
                </c:pt>
                <c:pt idx="211">
                  <c:v>25</c:v>
                </c:pt>
                <c:pt idx="212">
                  <c:v>20</c:v>
                </c:pt>
                <c:pt idx="213">
                  <c:v>25</c:v>
                </c:pt>
                <c:pt idx="214">
                  <c:v>20</c:v>
                </c:pt>
                <c:pt idx="215">
                  <c:v>20</c:v>
                </c:pt>
                <c:pt idx="216">
                  <c:v>25</c:v>
                </c:pt>
                <c:pt idx="217">
                  <c:v>20</c:v>
                </c:pt>
                <c:pt idx="218">
                  <c:v>25</c:v>
                </c:pt>
                <c:pt idx="219">
                  <c:v>20</c:v>
                </c:pt>
                <c:pt idx="220">
                  <c:v>25</c:v>
                </c:pt>
                <c:pt idx="221">
                  <c:v>30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20</c:v>
                </c:pt>
                <c:pt idx="228">
                  <c:v>25</c:v>
                </c:pt>
                <c:pt idx="229">
                  <c:v>35</c:v>
                </c:pt>
                <c:pt idx="230">
                  <c:v>25</c:v>
                </c:pt>
                <c:pt idx="231">
                  <c:v>20</c:v>
                </c:pt>
                <c:pt idx="232">
                  <c:v>30</c:v>
                </c:pt>
                <c:pt idx="233">
                  <c:v>40</c:v>
                </c:pt>
                <c:pt idx="234">
                  <c:v>20</c:v>
                </c:pt>
                <c:pt idx="235">
                  <c:v>20</c:v>
                </c:pt>
                <c:pt idx="236">
                  <c:v>30</c:v>
                </c:pt>
                <c:pt idx="237">
                  <c:v>25</c:v>
                </c:pt>
                <c:pt idx="238">
                  <c:v>20</c:v>
                </c:pt>
                <c:pt idx="239">
                  <c:v>25</c:v>
                </c:pt>
                <c:pt idx="240">
                  <c:v>20</c:v>
                </c:pt>
                <c:pt idx="241">
                  <c:v>25</c:v>
                </c:pt>
                <c:pt idx="242">
                  <c:v>20</c:v>
                </c:pt>
                <c:pt idx="243">
                  <c:v>25</c:v>
                </c:pt>
                <c:pt idx="244">
                  <c:v>25</c:v>
                </c:pt>
                <c:pt idx="245">
                  <c:v>20</c:v>
                </c:pt>
                <c:pt idx="246">
                  <c:v>25</c:v>
                </c:pt>
                <c:pt idx="247">
                  <c:v>20</c:v>
                </c:pt>
                <c:pt idx="248">
                  <c:v>20</c:v>
                </c:pt>
                <c:pt idx="249">
                  <c:v>25</c:v>
                </c:pt>
                <c:pt idx="250">
                  <c:v>20</c:v>
                </c:pt>
                <c:pt idx="251">
                  <c:v>25</c:v>
                </c:pt>
                <c:pt idx="252">
                  <c:v>20</c:v>
                </c:pt>
                <c:pt idx="253">
                  <c:v>25</c:v>
                </c:pt>
                <c:pt idx="254">
                  <c:v>25</c:v>
                </c:pt>
                <c:pt idx="255">
                  <c:v>20</c:v>
                </c:pt>
                <c:pt idx="256">
                  <c:v>25</c:v>
                </c:pt>
                <c:pt idx="257">
                  <c:v>20</c:v>
                </c:pt>
                <c:pt idx="258">
                  <c:v>20</c:v>
                </c:pt>
                <c:pt idx="259">
                  <c:v>25</c:v>
                </c:pt>
                <c:pt idx="260">
                  <c:v>20</c:v>
                </c:pt>
                <c:pt idx="261">
                  <c:v>25</c:v>
                </c:pt>
                <c:pt idx="262">
                  <c:v>20</c:v>
                </c:pt>
                <c:pt idx="263">
                  <c:v>25</c:v>
                </c:pt>
                <c:pt idx="264">
                  <c:v>20</c:v>
                </c:pt>
                <c:pt idx="265">
                  <c:v>25</c:v>
                </c:pt>
                <c:pt idx="266">
                  <c:v>20</c:v>
                </c:pt>
                <c:pt idx="267">
                  <c:v>30</c:v>
                </c:pt>
                <c:pt idx="268">
                  <c:v>40</c:v>
                </c:pt>
                <c:pt idx="269">
                  <c:v>20</c:v>
                </c:pt>
                <c:pt idx="270">
                  <c:v>50</c:v>
                </c:pt>
                <c:pt idx="271">
                  <c:v>35</c:v>
                </c:pt>
                <c:pt idx="272">
                  <c:v>20</c:v>
                </c:pt>
                <c:pt idx="273">
                  <c:v>40</c:v>
                </c:pt>
                <c:pt idx="274">
                  <c:v>30</c:v>
                </c:pt>
                <c:pt idx="275">
                  <c:v>45</c:v>
                </c:pt>
                <c:pt idx="276">
                  <c:v>25</c:v>
                </c:pt>
                <c:pt idx="277">
                  <c:v>30</c:v>
                </c:pt>
                <c:pt idx="278">
                  <c:v>20</c:v>
                </c:pt>
                <c:pt idx="279">
                  <c:v>35</c:v>
                </c:pt>
                <c:pt idx="280">
                  <c:v>20</c:v>
                </c:pt>
                <c:pt idx="281">
                  <c:v>30</c:v>
                </c:pt>
                <c:pt idx="282">
                  <c:v>25</c:v>
                </c:pt>
                <c:pt idx="283">
                  <c:v>25</c:v>
                </c:pt>
                <c:pt idx="284">
                  <c:v>20</c:v>
                </c:pt>
                <c:pt idx="285">
                  <c:v>30</c:v>
                </c:pt>
                <c:pt idx="286">
                  <c:v>30</c:v>
                </c:pt>
                <c:pt idx="287">
                  <c:v>25</c:v>
                </c:pt>
                <c:pt idx="288">
                  <c:v>25</c:v>
                </c:pt>
                <c:pt idx="289">
                  <c:v>20</c:v>
                </c:pt>
                <c:pt idx="290">
                  <c:v>20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20</c:v>
                </c:pt>
                <c:pt idx="295">
                  <c:v>20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20</c:v>
                </c:pt>
                <c:pt idx="300">
                  <c:v>20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20</c:v>
                </c:pt>
                <c:pt idx="305">
                  <c:v>20</c:v>
                </c:pt>
                <c:pt idx="306">
                  <c:v>30</c:v>
                </c:pt>
                <c:pt idx="307">
                  <c:v>40</c:v>
                </c:pt>
                <c:pt idx="308">
                  <c:v>20</c:v>
                </c:pt>
                <c:pt idx="309">
                  <c:v>50</c:v>
                </c:pt>
                <c:pt idx="310">
                  <c:v>35</c:v>
                </c:pt>
                <c:pt idx="311">
                  <c:v>20</c:v>
                </c:pt>
                <c:pt idx="312">
                  <c:v>40</c:v>
                </c:pt>
                <c:pt idx="313">
                  <c:v>30</c:v>
                </c:pt>
                <c:pt idx="314">
                  <c:v>45</c:v>
                </c:pt>
                <c:pt idx="315">
                  <c:v>20</c:v>
                </c:pt>
                <c:pt idx="316">
                  <c:v>30</c:v>
                </c:pt>
                <c:pt idx="317">
                  <c:v>40</c:v>
                </c:pt>
                <c:pt idx="318">
                  <c:v>20</c:v>
                </c:pt>
                <c:pt idx="319">
                  <c:v>50</c:v>
                </c:pt>
                <c:pt idx="320">
                  <c:v>35</c:v>
                </c:pt>
                <c:pt idx="321">
                  <c:v>20</c:v>
                </c:pt>
                <c:pt idx="322">
                  <c:v>40</c:v>
                </c:pt>
                <c:pt idx="323">
                  <c:v>30</c:v>
                </c:pt>
                <c:pt idx="324">
                  <c:v>45</c:v>
                </c:pt>
                <c:pt idx="325">
                  <c:v>20</c:v>
                </c:pt>
                <c:pt idx="326">
                  <c:v>30</c:v>
                </c:pt>
                <c:pt idx="327">
                  <c:v>40</c:v>
                </c:pt>
                <c:pt idx="328">
                  <c:v>20</c:v>
                </c:pt>
                <c:pt idx="329">
                  <c:v>50</c:v>
                </c:pt>
                <c:pt idx="330">
                  <c:v>20</c:v>
                </c:pt>
                <c:pt idx="331">
                  <c:v>30</c:v>
                </c:pt>
                <c:pt idx="332">
                  <c:v>40</c:v>
                </c:pt>
                <c:pt idx="333">
                  <c:v>20</c:v>
                </c:pt>
                <c:pt idx="334">
                  <c:v>50</c:v>
                </c:pt>
                <c:pt idx="335">
                  <c:v>20</c:v>
                </c:pt>
                <c:pt idx="336">
                  <c:v>30</c:v>
                </c:pt>
                <c:pt idx="337">
                  <c:v>40</c:v>
                </c:pt>
                <c:pt idx="338">
                  <c:v>20</c:v>
                </c:pt>
                <c:pt idx="339">
                  <c:v>50</c:v>
                </c:pt>
                <c:pt idx="340">
                  <c:v>35</c:v>
                </c:pt>
                <c:pt idx="341">
                  <c:v>20</c:v>
                </c:pt>
                <c:pt idx="342">
                  <c:v>40</c:v>
                </c:pt>
                <c:pt idx="343">
                  <c:v>30</c:v>
                </c:pt>
                <c:pt idx="344">
                  <c:v>45</c:v>
                </c:pt>
                <c:pt idx="345">
                  <c:v>20</c:v>
                </c:pt>
                <c:pt idx="346">
                  <c:v>30</c:v>
                </c:pt>
                <c:pt idx="347">
                  <c:v>40</c:v>
                </c:pt>
                <c:pt idx="348">
                  <c:v>20</c:v>
                </c:pt>
                <c:pt idx="349">
                  <c:v>50</c:v>
                </c:pt>
                <c:pt idx="350">
                  <c:v>35</c:v>
                </c:pt>
                <c:pt idx="351">
                  <c:v>20</c:v>
                </c:pt>
                <c:pt idx="352">
                  <c:v>40</c:v>
                </c:pt>
                <c:pt idx="353">
                  <c:v>30</c:v>
                </c:pt>
                <c:pt idx="354">
                  <c:v>45</c:v>
                </c:pt>
                <c:pt idx="355">
                  <c:v>20</c:v>
                </c:pt>
                <c:pt idx="356">
                  <c:v>30</c:v>
                </c:pt>
                <c:pt idx="357">
                  <c:v>40</c:v>
                </c:pt>
                <c:pt idx="358">
                  <c:v>20</c:v>
                </c:pt>
                <c:pt idx="359">
                  <c:v>50</c:v>
                </c:pt>
                <c:pt idx="360">
                  <c:v>20</c:v>
                </c:pt>
                <c:pt idx="361">
                  <c:v>20</c:v>
                </c:pt>
                <c:pt idx="362">
                  <c:v>30</c:v>
                </c:pt>
                <c:pt idx="363">
                  <c:v>40</c:v>
                </c:pt>
                <c:pt idx="364">
                  <c:v>20</c:v>
                </c:pt>
                <c:pt idx="365">
                  <c:v>50</c:v>
                </c:pt>
                <c:pt idx="366">
                  <c:v>35</c:v>
                </c:pt>
                <c:pt idx="367">
                  <c:v>20</c:v>
                </c:pt>
                <c:pt idx="368">
                  <c:v>40</c:v>
                </c:pt>
                <c:pt idx="369">
                  <c:v>30</c:v>
                </c:pt>
                <c:pt idx="370">
                  <c:v>45</c:v>
                </c:pt>
                <c:pt idx="371">
                  <c:v>20</c:v>
                </c:pt>
                <c:pt idx="372">
                  <c:v>30</c:v>
                </c:pt>
                <c:pt idx="373">
                  <c:v>40</c:v>
                </c:pt>
                <c:pt idx="374">
                  <c:v>20</c:v>
                </c:pt>
                <c:pt idx="375">
                  <c:v>50</c:v>
                </c:pt>
                <c:pt idx="376">
                  <c:v>35</c:v>
                </c:pt>
                <c:pt idx="377">
                  <c:v>20</c:v>
                </c:pt>
                <c:pt idx="378">
                  <c:v>40</c:v>
                </c:pt>
                <c:pt idx="379">
                  <c:v>30</c:v>
                </c:pt>
                <c:pt idx="380">
                  <c:v>45</c:v>
                </c:pt>
                <c:pt idx="381">
                  <c:v>20</c:v>
                </c:pt>
                <c:pt idx="382">
                  <c:v>30</c:v>
                </c:pt>
                <c:pt idx="383">
                  <c:v>40</c:v>
                </c:pt>
                <c:pt idx="384">
                  <c:v>20</c:v>
                </c:pt>
                <c:pt idx="385">
                  <c:v>50</c:v>
                </c:pt>
                <c:pt idx="386">
                  <c:v>20</c:v>
                </c:pt>
                <c:pt idx="387">
                  <c:v>20</c:v>
                </c:pt>
                <c:pt idx="388">
                  <c:v>30</c:v>
                </c:pt>
                <c:pt idx="389">
                  <c:v>40</c:v>
                </c:pt>
                <c:pt idx="390">
                  <c:v>20</c:v>
                </c:pt>
                <c:pt idx="391">
                  <c:v>50</c:v>
                </c:pt>
                <c:pt idx="392">
                  <c:v>35</c:v>
                </c:pt>
                <c:pt idx="393">
                  <c:v>20</c:v>
                </c:pt>
                <c:pt idx="394">
                  <c:v>40</c:v>
                </c:pt>
                <c:pt idx="395">
                  <c:v>30</c:v>
                </c:pt>
                <c:pt idx="396">
                  <c:v>45</c:v>
                </c:pt>
                <c:pt idx="397">
                  <c:v>20</c:v>
                </c:pt>
                <c:pt idx="398">
                  <c:v>30</c:v>
                </c:pt>
                <c:pt idx="399">
                  <c:v>40</c:v>
                </c:pt>
                <c:pt idx="400">
                  <c:v>20</c:v>
                </c:pt>
                <c:pt idx="401">
                  <c:v>50</c:v>
                </c:pt>
                <c:pt idx="402">
                  <c:v>35</c:v>
                </c:pt>
                <c:pt idx="403">
                  <c:v>20</c:v>
                </c:pt>
                <c:pt idx="404">
                  <c:v>40</c:v>
                </c:pt>
                <c:pt idx="405">
                  <c:v>30</c:v>
                </c:pt>
                <c:pt idx="406">
                  <c:v>45</c:v>
                </c:pt>
                <c:pt idx="407">
                  <c:v>20</c:v>
                </c:pt>
                <c:pt idx="408">
                  <c:v>30</c:v>
                </c:pt>
                <c:pt idx="409">
                  <c:v>40</c:v>
                </c:pt>
                <c:pt idx="410">
                  <c:v>20</c:v>
                </c:pt>
                <c:pt idx="411">
                  <c:v>50</c:v>
                </c:pt>
                <c:pt idx="412">
                  <c:v>20</c:v>
                </c:pt>
                <c:pt idx="413">
                  <c:v>20</c:v>
                </c:pt>
                <c:pt idx="414">
                  <c:v>30</c:v>
                </c:pt>
                <c:pt idx="415">
                  <c:v>40</c:v>
                </c:pt>
                <c:pt idx="416">
                  <c:v>20</c:v>
                </c:pt>
                <c:pt idx="417">
                  <c:v>50</c:v>
                </c:pt>
                <c:pt idx="418">
                  <c:v>35</c:v>
                </c:pt>
                <c:pt idx="419">
                  <c:v>20</c:v>
                </c:pt>
                <c:pt idx="420">
                  <c:v>40</c:v>
                </c:pt>
                <c:pt idx="421">
                  <c:v>30</c:v>
                </c:pt>
                <c:pt idx="422">
                  <c:v>45</c:v>
                </c:pt>
                <c:pt idx="423">
                  <c:v>20</c:v>
                </c:pt>
                <c:pt idx="424">
                  <c:v>30</c:v>
                </c:pt>
                <c:pt idx="425">
                  <c:v>40</c:v>
                </c:pt>
                <c:pt idx="426">
                  <c:v>20</c:v>
                </c:pt>
                <c:pt idx="427">
                  <c:v>50</c:v>
                </c:pt>
                <c:pt idx="428">
                  <c:v>35</c:v>
                </c:pt>
                <c:pt idx="429">
                  <c:v>20</c:v>
                </c:pt>
                <c:pt idx="430">
                  <c:v>40</c:v>
                </c:pt>
                <c:pt idx="431">
                  <c:v>30</c:v>
                </c:pt>
                <c:pt idx="432">
                  <c:v>45</c:v>
                </c:pt>
                <c:pt idx="433">
                  <c:v>20</c:v>
                </c:pt>
                <c:pt idx="434">
                  <c:v>30</c:v>
                </c:pt>
                <c:pt idx="435">
                  <c:v>40</c:v>
                </c:pt>
                <c:pt idx="436">
                  <c:v>20</c:v>
                </c:pt>
                <c:pt idx="437">
                  <c:v>50</c:v>
                </c:pt>
                <c:pt idx="438">
                  <c:v>35</c:v>
                </c:pt>
                <c:pt idx="439">
                  <c:v>20</c:v>
                </c:pt>
                <c:pt idx="440">
                  <c:v>40</c:v>
                </c:pt>
                <c:pt idx="441">
                  <c:v>30</c:v>
                </c:pt>
                <c:pt idx="442">
                  <c:v>45</c:v>
                </c:pt>
                <c:pt idx="443">
                  <c:v>20</c:v>
                </c:pt>
                <c:pt idx="444">
                  <c:v>30</c:v>
                </c:pt>
                <c:pt idx="445">
                  <c:v>40</c:v>
                </c:pt>
                <c:pt idx="446">
                  <c:v>20</c:v>
                </c:pt>
                <c:pt idx="447">
                  <c:v>50</c:v>
                </c:pt>
                <c:pt idx="448">
                  <c:v>20</c:v>
                </c:pt>
                <c:pt idx="449">
                  <c:v>30</c:v>
                </c:pt>
                <c:pt idx="450">
                  <c:v>40</c:v>
                </c:pt>
                <c:pt idx="451">
                  <c:v>30</c:v>
                </c:pt>
                <c:pt idx="452">
                  <c:v>35</c:v>
                </c:pt>
                <c:pt idx="453">
                  <c:v>40</c:v>
                </c:pt>
                <c:pt idx="454">
                  <c:v>20</c:v>
                </c:pt>
                <c:pt idx="455">
                  <c:v>50</c:v>
                </c:pt>
                <c:pt idx="456">
                  <c:v>35</c:v>
                </c:pt>
                <c:pt idx="457">
                  <c:v>20</c:v>
                </c:pt>
                <c:pt idx="458">
                  <c:v>40</c:v>
                </c:pt>
                <c:pt idx="459">
                  <c:v>20</c:v>
                </c:pt>
                <c:pt idx="460">
                  <c:v>30</c:v>
                </c:pt>
                <c:pt idx="461">
                  <c:v>40</c:v>
                </c:pt>
                <c:pt idx="462">
                  <c:v>20</c:v>
                </c:pt>
                <c:pt idx="463">
                  <c:v>50</c:v>
                </c:pt>
                <c:pt idx="464">
                  <c:v>35</c:v>
                </c:pt>
                <c:pt idx="465">
                  <c:v>20</c:v>
                </c:pt>
                <c:pt idx="466">
                  <c:v>40</c:v>
                </c:pt>
                <c:pt idx="467">
                  <c:v>30</c:v>
                </c:pt>
                <c:pt idx="468">
                  <c:v>45</c:v>
                </c:pt>
                <c:pt idx="469">
                  <c:v>20</c:v>
                </c:pt>
                <c:pt idx="470">
                  <c:v>30</c:v>
                </c:pt>
                <c:pt idx="471">
                  <c:v>40</c:v>
                </c:pt>
                <c:pt idx="472">
                  <c:v>20</c:v>
                </c:pt>
                <c:pt idx="473">
                  <c:v>50</c:v>
                </c:pt>
                <c:pt idx="474">
                  <c:v>35</c:v>
                </c:pt>
                <c:pt idx="475">
                  <c:v>20</c:v>
                </c:pt>
                <c:pt idx="476">
                  <c:v>40</c:v>
                </c:pt>
                <c:pt idx="477">
                  <c:v>30</c:v>
                </c:pt>
                <c:pt idx="478">
                  <c:v>45</c:v>
                </c:pt>
                <c:pt idx="479">
                  <c:v>20</c:v>
                </c:pt>
                <c:pt idx="480">
                  <c:v>30</c:v>
                </c:pt>
                <c:pt idx="481">
                  <c:v>40</c:v>
                </c:pt>
                <c:pt idx="482">
                  <c:v>20</c:v>
                </c:pt>
                <c:pt idx="483">
                  <c:v>50</c:v>
                </c:pt>
                <c:pt idx="484">
                  <c:v>35</c:v>
                </c:pt>
                <c:pt idx="485">
                  <c:v>20</c:v>
                </c:pt>
                <c:pt idx="486">
                  <c:v>40</c:v>
                </c:pt>
                <c:pt idx="487">
                  <c:v>20</c:v>
                </c:pt>
                <c:pt idx="488">
                  <c:v>30</c:v>
                </c:pt>
                <c:pt idx="489">
                  <c:v>40</c:v>
                </c:pt>
                <c:pt idx="490">
                  <c:v>20</c:v>
                </c:pt>
                <c:pt idx="491">
                  <c:v>50</c:v>
                </c:pt>
                <c:pt idx="492">
                  <c:v>35</c:v>
                </c:pt>
                <c:pt idx="493">
                  <c:v>20</c:v>
                </c:pt>
                <c:pt idx="494">
                  <c:v>40</c:v>
                </c:pt>
                <c:pt idx="495">
                  <c:v>30</c:v>
                </c:pt>
                <c:pt idx="496">
                  <c:v>45</c:v>
                </c:pt>
                <c:pt idx="497">
                  <c:v>20</c:v>
                </c:pt>
                <c:pt idx="498">
                  <c:v>30</c:v>
                </c:pt>
                <c:pt idx="499">
                  <c:v>40</c:v>
                </c:pt>
                <c:pt idx="500">
                  <c:v>20</c:v>
                </c:pt>
                <c:pt idx="501">
                  <c:v>50</c:v>
                </c:pt>
                <c:pt idx="502">
                  <c:v>35</c:v>
                </c:pt>
                <c:pt idx="503">
                  <c:v>20</c:v>
                </c:pt>
                <c:pt idx="504">
                  <c:v>40</c:v>
                </c:pt>
                <c:pt idx="505">
                  <c:v>30</c:v>
                </c:pt>
                <c:pt idx="506">
                  <c:v>45</c:v>
                </c:pt>
                <c:pt idx="507">
                  <c:v>20</c:v>
                </c:pt>
                <c:pt idx="508">
                  <c:v>30</c:v>
                </c:pt>
                <c:pt idx="509">
                  <c:v>40</c:v>
                </c:pt>
                <c:pt idx="510">
                  <c:v>20</c:v>
                </c:pt>
                <c:pt idx="511">
                  <c:v>50</c:v>
                </c:pt>
                <c:pt idx="512">
                  <c:v>35</c:v>
                </c:pt>
                <c:pt idx="513">
                  <c:v>20</c:v>
                </c:pt>
                <c:pt idx="514">
                  <c:v>40</c:v>
                </c:pt>
                <c:pt idx="515">
                  <c:v>20</c:v>
                </c:pt>
                <c:pt idx="516">
                  <c:v>30</c:v>
                </c:pt>
                <c:pt idx="517">
                  <c:v>40</c:v>
                </c:pt>
                <c:pt idx="518">
                  <c:v>20</c:v>
                </c:pt>
                <c:pt idx="519">
                  <c:v>50</c:v>
                </c:pt>
                <c:pt idx="520">
                  <c:v>35</c:v>
                </c:pt>
                <c:pt idx="521">
                  <c:v>20</c:v>
                </c:pt>
                <c:pt idx="522">
                  <c:v>40</c:v>
                </c:pt>
                <c:pt idx="523">
                  <c:v>30</c:v>
                </c:pt>
                <c:pt idx="524">
                  <c:v>45</c:v>
                </c:pt>
                <c:pt idx="525">
                  <c:v>20</c:v>
                </c:pt>
                <c:pt idx="526">
                  <c:v>30</c:v>
                </c:pt>
                <c:pt idx="527">
                  <c:v>40</c:v>
                </c:pt>
                <c:pt idx="528">
                  <c:v>20</c:v>
                </c:pt>
                <c:pt idx="529">
                  <c:v>50</c:v>
                </c:pt>
                <c:pt idx="530">
                  <c:v>35</c:v>
                </c:pt>
                <c:pt idx="531">
                  <c:v>20</c:v>
                </c:pt>
                <c:pt idx="532">
                  <c:v>40</c:v>
                </c:pt>
                <c:pt idx="533">
                  <c:v>30</c:v>
                </c:pt>
                <c:pt idx="534">
                  <c:v>45</c:v>
                </c:pt>
                <c:pt idx="535">
                  <c:v>20</c:v>
                </c:pt>
                <c:pt idx="536">
                  <c:v>30</c:v>
                </c:pt>
                <c:pt idx="537">
                  <c:v>40</c:v>
                </c:pt>
                <c:pt idx="538">
                  <c:v>20</c:v>
                </c:pt>
                <c:pt idx="539">
                  <c:v>50</c:v>
                </c:pt>
                <c:pt idx="540">
                  <c:v>35</c:v>
                </c:pt>
                <c:pt idx="541">
                  <c:v>20</c:v>
                </c:pt>
                <c:pt idx="542">
                  <c:v>45</c:v>
                </c:pt>
                <c:pt idx="543">
                  <c:v>40</c:v>
                </c:pt>
                <c:pt idx="544">
                  <c:v>20</c:v>
                </c:pt>
                <c:pt idx="545">
                  <c:v>40</c:v>
                </c:pt>
                <c:pt idx="546">
                  <c:v>30</c:v>
                </c:pt>
                <c:pt idx="547">
                  <c:v>45</c:v>
                </c:pt>
                <c:pt idx="548">
                  <c:v>20</c:v>
                </c:pt>
                <c:pt idx="549">
                  <c:v>30</c:v>
                </c:pt>
                <c:pt idx="550">
                  <c:v>40</c:v>
                </c:pt>
                <c:pt idx="551">
                  <c:v>20</c:v>
                </c:pt>
                <c:pt idx="552">
                  <c:v>50</c:v>
                </c:pt>
                <c:pt idx="553">
                  <c:v>35</c:v>
                </c:pt>
                <c:pt idx="554">
                  <c:v>20</c:v>
                </c:pt>
                <c:pt idx="555">
                  <c:v>40</c:v>
                </c:pt>
                <c:pt idx="556">
                  <c:v>30</c:v>
                </c:pt>
                <c:pt idx="557">
                  <c:v>45</c:v>
                </c:pt>
                <c:pt idx="558">
                  <c:v>20</c:v>
                </c:pt>
                <c:pt idx="559">
                  <c:v>30</c:v>
                </c:pt>
                <c:pt idx="560">
                  <c:v>40</c:v>
                </c:pt>
                <c:pt idx="561">
                  <c:v>20</c:v>
                </c:pt>
                <c:pt idx="562">
                  <c:v>50</c:v>
                </c:pt>
                <c:pt idx="563">
                  <c:v>35</c:v>
                </c:pt>
                <c:pt idx="564">
                  <c:v>20</c:v>
                </c:pt>
                <c:pt idx="565">
                  <c:v>40</c:v>
                </c:pt>
                <c:pt idx="566">
                  <c:v>30</c:v>
                </c:pt>
                <c:pt idx="567">
                  <c:v>45</c:v>
                </c:pt>
                <c:pt idx="568">
                  <c:v>35</c:v>
                </c:pt>
                <c:pt idx="569">
                  <c:v>45</c:v>
                </c:pt>
                <c:pt idx="570">
                  <c:v>40</c:v>
                </c:pt>
                <c:pt idx="571">
                  <c:v>20</c:v>
                </c:pt>
                <c:pt idx="572">
                  <c:v>40</c:v>
                </c:pt>
                <c:pt idx="573">
                  <c:v>30</c:v>
                </c:pt>
                <c:pt idx="574">
                  <c:v>45</c:v>
                </c:pt>
                <c:pt idx="575">
                  <c:v>20</c:v>
                </c:pt>
                <c:pt idx="576">
                  <c:v>30</c:v>
                </c:pt>
                <c:pt idx="577">
                  <c:v>40</c:v>
                </c:pt>
                <c:pt idx="578">
                  <c:v>20</c:v>
                </c:pt>
                <c:pt idx="579">
                  <c:v>50</c:v>
                </c:pt>
                <c:pt idx="580">
                  <c:v>35</c:v>
                </c:pt>
                <c:pt idx="581">
                  <c:v>20</c:v>
                </c:pt>
                <c:pt idx="582">
                  <c:v>40</c:v>
                </c:pt>
                <c:pt idx="583">
                  <c:v>30</c:v>
                </c:pt>
                <c:pt idx="584">
                  <c:v>45</c:v>
                </c:pt>
                <c:pt idx="585">
                  <c:v>20</c:v>
                </c:pt>
                <c:pt idx="586">
                  <c:v>30</c:v>
                </c:pt>
                <c:pt idx="587">
                  <c:v>40</c:v>
                </c:pt>
                <c:pt idx="588">
                  <c:v>20</c:v>
                </c:pt>
                <c:pt idx="589">
                  <c:v>50</c:v>
                </c:pt>
                <c:pt idx="590">
                  <c:v>35</c:v>
                </c:pt>
                <c:pt idx="591">
                  <c:v>20</c:v>
                </c:pt>
                <c:pt idx="592">
                  <c:v>40</c:v>
                </c:pt>
                <c:pt idx="593">
                  <c:v>30</c:v>
                </c:pt>
                <c:pt idx="594">
                  <c:v>45</c:v>
                </c:pt>
                <c:pt idx="595">
                  <c:v>20</c:v>
                </c:pt>
                <c:pt idx="596">
                  <c:v>30</c:v>
                </c:pt>
                <c:pt idx="597">
                  <c:v>40</c:v>
                </c:pt>
                <c:pt idx="598">
                  <c:v>20</c:v>
                </c:pt>
                <c:pt idx="599">
                  <c:v>45</c:v>
                </c:pt>
                <c:pt idx="600">
                  <c:v>40</c:v>
                </c:pt>
                <c:pt idx="601">
                  <c:v>20</c:v>
                </c:pt>
                <c:pt idx="602">
                  <c:v>40</c:v>
                </c:pt>
                <c:pt idx="603">
                  <c:v>30</c:v>
                </c:pt>
                <c:pt idx="604">
                  <c:v>45</c:v>
                </c:pt>
                <c:pt idx="605">
                  <c:v>20</c:v>
                </c:pt>
                <c:pt idx="606">
                  <c:v>30</c:v>
                </c:pt>
                <c:pt idx="607">
                  <c:v>40</c:v>
                </c:pt>
                <c:pt idx="608">
                  <c:v>20</c:v>
                </c:pt>
                <c:pt idx="609">
                  <c:v>50</c:v>
                </c:pt>
                <c:pt idx="610">
                  <c:v>35</c:v>
                </c:pt>
                <c:pt idx="611">
                  <c:v>20</c:v>
                </c:pt>
                <c:pt idx="612">
                  <c:v>40</c:v>
                </c:pt>
                <c:pt idx="613">
                  <c:v>30</c:v>
                </c:pt>
                <c:pt idx="614">
                  <c:v>45</c:v>
                </c:pt>
                <c:pt idx="615">
                  <c:v>20</c:v>
                </c:pt>
                <c:pt idx="616">
                  <c:v>30</c:v>
                </c:pt>
                <c:pt idx="617">
                  <c:v>40</c:v>
                </c:pt>
                <c:pt idx="618">
                  <c:v>20</c:v>
                </c:pt>
                <c:pt idx="619">
                  <c:v>50</c:v>
                </c:pt>
                <c:pt idx="620">
                  <c:v>35</c:v>
                </c:pt>
                <c:pt idx="621">
                  <c:v>20</c:v>
                </c:pt>
                <c:pt idx="622">
                  <c:v>40</c:v>
                </c:pt>
                <c:pt idx="623">
                  <c:v>35</c:v>
                </c:pt>
                <c:pt idx="624">
                  <c:v>30</c:v>
                </c:pt>
                <c:pt idx="625">
                  <c:v>50</c:v>
                </c:pt>
                <c:pt idx="626">
                  <c:v>35</c:v>
                </c:pt>
                <c:pt idx="627">
                  <c:v>25</c:v>
                </c:pt>
                <c:pt idx="628">
                  <c:v>40</c:v>
                </c:pt>
                <c:pt idx="629">
                  <c:v>35</c:v>
                </c:pt>
                <c:pt idx="630">
                  <c:v>45</c:v>
                </c:pt>
                <c:pt idx="631">
                  <c:v>30</c:v>
                </c:pt>
                <c:pt idx="632">
                  <c:v>40</c:v>
                </c:pt>
                <c:pt idx="633">
                  <c:v>25</c:v>
                </c:pt>
                <c:pt idx="634">
                  <c:v>30</c:v>
                </c:pt>
                <c:pt idx="635">
                  <c:v>50</c:v>
                </c:pt>
                <c:pt idx="636">
                  <c:v>35</c:v>
                </c:pt>
                <c:pt idx="637">
                  <c:v>25</c:v>
                </c:pt>
                <c:pt idx="638">
                  <c:v>30</c:v>
                </c:pt>
                <c:pt idx="639">
                  <c:v>40</c:v>
                </c:pt>
                <c:pt idx="640">
                  <c:v>45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50</c:v>
                </c:pt>
                <c:pt idx="645">
                  <c:v>35</c:v>
                </c:pt>
                <c:pt idx="646">
                  <c:v>20</c:v>
                </c:pt>
                <c:pt idx="647">
                  <c:v>40</c:v>
                </c:pt>
                <c:pt idx="648">
                  <c:v>30</c:v>
                </c:pt>
                <c:pt idx="649">
                  <c:v>40</c:v>
                </c:pt>
                <c:pt idx="650">
                  <c:v>30</c:v>
                </c:pt>
                <c:pt idx="651">
                  <c:v>30</c:v>
                </c:pt>
                <c:pt idx="652">
                  <c:v>40</c:v>
                </c:pt>
                <c:pt idx="653">
                  <c:v>30</c:v>
                </c:pt>
                <c:pt idx="654">
                  <c:v>40</c:v>
                </c:pt>
                <c:pt idx="655">
                  <c:v>30</c:v>
                </c:pt>
                <c:pt idx="656">
                  <c:v>30</c:v>
                </c:pt>
                <c:pt idx="657">
                  <c:v>40</c:v>
                </c:pt>
                <c:pt idx="658">
                  <c:v>30</c:v>
                </c:pt>
                <c:pt idx="659">
                  <c:v>40</c:v>
                </c:pt>
                <c:pt idx="660">
                  <c:v>30</c:v>
                </c:pt>
                <c:pt idx="661">
                  <c:v>30</c:v>
                </c:pt>
                <c:pt idx="662">
                  <c:v>40</c:v>
                </c:pt>
                <c:pt idx="663">
                  <c:v>30</c:v>
                </c:pt>
                <c:pt idx="664">
                  <c:v>40</c:v>
                </c:pt>
                <c:pt idx="665">
                  <c:v>30</c:v>
                </c:pt>
                <c:pt idx="666">
                  <c:v>30</c:v>
                </c:pt>
                <c:pt idx="667">
                  <c:v>40</c:v>
                </c:pt>
                <c:pt idx="668">
                  <c:v>30</c:v>
                </c:pt>
                <c:pt idx="669">
                  <c:v>35</c:v>
                </c:pt>
                <c:pt idx="670">
                  <c:v>40</c:v>
                </c:pt>
                <c:pt idx="671">
                  <c:v>25</c:v>
                </c:pt>
                <c:pt idx="672">
                  <c:v>40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35</c:v>
                </c:pt>
                <c:pt idx="677">
                  <c:v>45</c:v>
                </c:pt>
                <c:pt idx="678">
                  <c:v>30</c:v>
                </c:pt>
                <c:pt idx="679">
                  <c:v>35</c:v>
                </c:pt>
                <c:pt idx="680">
                  <c:v>30</c:v>
                </c:pt>
                <c:pt idx="681">
                  <c:v>30</c:v>
                </c:pt>
                <c:pt idx="682">
                  <c:v>40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30</c:v>
                </c:pt>
                <c:pt idx="687">
                  <c:v>40</c:v>
                </c:pt>
                <c:pt idx="688">
                  <c:v>30</c:v>
                </c:pt>
                <c:pt idx="689">
                  <c:v>30</c:v>
                </c:pt>
                <c:pt idx="690">
                  <c:v>30</c:v>
                </c:pt>
                <c:pt idx="691">
                  <c:v>30</c:v>
                </c:pt>
                <c:pt idx="692">
                  <c:v>40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</c:v>
                </c:pt>
                <c:pt idx="755">
                  <c:v>30</c:v>
                </c:pt>
                <c:pt idx="756">
                  <c:v>30</c:v>
                </c:pt>
                <c:pt idx="757">
                  <c:v>30</c:v>
                </c:pt>
                <c:pt idx="758">
                  <c:v>30</c:v>
                </c:pt>
                <c:pt idx="759">
                  <c:v>30</c:v>
                </c:pt>
                <c:pt idx="760">
                  <c:v>30</c:v>
                </c:pt>
                <c:pt idx="761">
                  <c:v>30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30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30</c:v>
                </c:pt>
                <c:pt idx="774">
                  <c:v>30</c:v>
                </c:pt>
                <c:pt idx="775">
                  <c:v>30</c:v>
                </c:pt>
                <c:pt idx="776">
                  <c:v>30</c:v>
                </c:pt>
                <c:pt idx="777">
                  <c:v>30</c:v>
                </c:pt>
                <c:pt idx="778">
                  <c:v>30</c:v>
                </c:pt>
                <c:pt idx="779">
                  <c:v>30</c:v>
                </c:pt>
                <c:pt idx="780">
                  <c:v>30</c:v>
                </c:pt>
                <c:pt idx="781">
                  <c:v>30</c:v>
                </c:pt>
                <c:pt idx="782">
                  <c:v>30</c:v>
                </c:pt>
                <c:pt idx="783">
                  <c:v>30</c:v>
                </c:pt>
                <c:pt idx="784">
                  <c:v>30</c:v>
                </c:pt>
                <c:pt idx="785">
                  <c:v>30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30</c:v>
                </c:pt>
                <c:pt idx="795">
                  <c:v>30</c:v>
                </c:pt>
                <c:pt idx="796">
                  <c:v>30</c:v>
                </c:pt>
                <c:pt idx="797">
                  <c:v>30</c:v>
                </c:pt>
                <c:pt idx="798">
                  <c:v>30</c:v>
                </c:pt>
                <c:pt idx="799">
                  <c:v>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30</c:v>
                </c:pt>
                <c:pt idx="851">
                  <c:v>30</c:v>
                </c:pt>
                <c:pt idx="852">
                  <c:v>30</c:v>
                </c:pt>
                <c:pt idx="853">
                  <c:v>30</c:v>
                </c:pt>
                <c:pt idx="854">
                  <c:v>30</c:v>
                </c:pt>
                <c:pt idx="855">
                  <c:v>30</c:v>
                </c:pt>
                <c:pt idx="856">
                  <c:v>30</c:v>
                </c:pt>
                <c:pt idx="857">
                  <c:v>30</c:v>
                </c:pt>
                <c:pt idx="858">
                  <c:v>30</c:v>
                </c:pt>
                <c:pt idx="859">
                  <c:v>30</c:v>
                </c:pt>
                <c:pt idx="860">
                  <c:v>30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30</c:v>
                </c:pt>
                <c:pt idx="865">
                  <c:v>30</c:v>
                </c:pt>
                <c:pt idx="866">
                  <c:v>30</c:v>
                </c:pt>
                <c:pt idx="867">
                  <c:v>30</c:v>
                </c:pt>
                <c:pt idx="868">
                  <c:v>30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30</c:v>
                </c:pt>
                <c:pt idx="878">
                  <c:v>30</c:v>
                </c:pt>
                <c:pt idx="879">
                  <c:v>30</c:v>
                </c:pt>
                <c:pt idx="880">
                  <c:v>30</c:v>
                </c:pt>
                <c:pt idx="881">
                  <c:v>30</c:v>
                </c:pt>
                <c:pt idx="882">
                  <c:v>30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30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30</c:v>
                </c:pt>
                <c:pt idx="898">
                  <c:v>30</c:v>
                </c:pt>
                <c:pt idx="899">
                  <c:v>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30</c:v>
                </c:pt>
                <c:pt idx="952">
                  <c:v>30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</c:v>
                </c:pt>
                <c:pt idx="957">
                  <c:v>30</c:v>
                </c:pt>
                <c:pt idx="958">
                  <c:v>30</c:v>
                </c:pt>
                <c:pt idx="959">
                  <c:v>30</c:v>
                </c:pt>
                <c:pt idx="960">
                  <c:v>30</c:v>
                </c:pt>
                <c:pt idx="961">
                  <c:v>30</c:v>
                </c:pt>
                <c:pt idx="962">
                  <c:v>30</c:v>
                </c:pt>
                <c:pt idx="963">
                  <c:v>30</c:v>
                </c:pt>
                <c:pt idx="964">
                  <c:v>30</c:v>
                </c:pt>
                <c:pt idx="965">
                  <c:v>30</c:v>
                </c:pt>
                <c:pt idx="966">
                  <c:v>30</c:v>
                </c:pt>
                <c:pt idx="967">
                  <c:v>30</c:v>
                </c:pt>
                <c:pt idx="968">
                  <c:v>30</c:v>
                </c:pt>
                <c:pt idx="969">
                  <c:v>30</c:v>
                </c:pt>
                <c:pt idx="970">
                  <c:v>30</c:v>
                </c:pt>
                <c:pt idx="971">
                  <c:v>30</c:v>
                </c:pt>
                <c:pt idx="972">
                  <c:v>30</c:v>
                </c:pt>
                <c:pt idx="973">
                  <c:v>30</c:v>
                </c:pt>
                <c:pt idx="974">
                  <c:v>30</c:v>
                </c:pt>
                <c:pt idx="975">
                  <c:v>30</c:v>
                </c:pt>
                <c:pt idx="976">
                  <c:v>30</c:v>
                </c:pt>
                <c:pt idx="977">
                  <c:v>30</c:v>
                </c:pt>
                <c:pt idx="978">
                  <c:v>30</c:v>
                </c:pt>
                <c:pt idx="979">
                  <c:v>30</c:v>
                </c:pt>
                <c:pt idx="980">
                  <c:v>30</c:v>
                </c:pt>
                <c:pt idx="981">
                  <c:v>30</c:v>
                </c:pt>
                <c:pt idx="982">
                  <c:v>30</c:v>
                </c:pt>
                <c:pt idx="983">
                  <c:v>30</c:v>
                </c:pt>
                <c:pt idx="984">
                  <c:v>30</c:v>
                </c:pt>
                <c:pt idx="985">
                  <c:v>30</c:v>
                </c:pt>
                <c:pt idx="986">
                  <c:v>30</c:v>
                </c:pt>
                <c:pt idx="987">
                  <c:v>30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30</c:v>
                </c:pt>
                <c:pt idx="992">
                  <c:v>30</c:v>
                </c:pt>
                <c:pt idx="993">
                  <c:v>30</c:v>
                </c:pt>
                <c:pt idx="994">
                  <c:v>30</c:v>
                </c:pt>
                <c:pt idx="995">
                  <c:v>30</c:v>
                </c:pt>
                <c:pt idx="996">
                  <c:v>30</c:v>
                </c:pt>
                <c:pt idx="997">
                  <c:v>30</c:v>
                </c:pt>
                <c:pt idx="998">
                  <c:v>30</c:v>
                </c:pt>
                <c:pt idx="999">
                  <c:v>30</c:v>
                </c:pt>
                <c:pt idx="1000">
                  <c:v>30</c:v>
                </c:pt>
                <c:pt idx="1001">
                  <c:v>30</c:v>
                </c:pt>
                <c:pt idx="1002">
                  <c:v>30</c:v>
                </c:pt>
                <c:pt idx="1003">
                  <c:v>30</c:v>
                </c:pt>
              </c:numCache>
            </c:numRef>
          </c:xVal>
          <c:yVal>
            <c:numRef>
              <c:f>'Pizza Delivery Table'!$L$2:$L$1005</c:f>
              <c:numCache>
                <c:formatCode>General</c:formatCode>
                <c:ptCount val="1004"/>
                <c:pt idx="0">
                  <c:v>2.5</c:v>
                </c:pt>
                <c:pt idx="1">
                  <c:v>5</c:v>
                </c:pt>
                <c:pt idx="2">
                  <c:v>3</c:v>
                </c:pt>
                <c:pt idx="3">
                  <c:v>4.5</c:v>
                </c:pt>
                <c:pt idx="4">
                  <c:v>2</c:v>
                </c:pt>
                <c:pt idx="5">
                  <c:v>3</c:v>
                </c:pt>
                <c:pt idx="6">
                  <c:v>4.5</c:v>
                </c:pt>
                <c:pt idx="7">
                  <c:v>2</c:v>
                </c:pt>
                <c:pt idx="8">
                  <c:v>5</c:v>
                </c:pt>
                <c:pt idx="9">
                  <c:v>3.5</c:v>
                </c:pt>
                <c:pt idx="10">
                  <c:v>4</c:v>
                </c:pt>
                <c:pt idx="11">
                  <c:v>3</c:v>
                </c:pt>
                <c:pt idx="12">
                  <c:v>2.5</c:v>
                </c:pt>
                <c:pt idx="13">
                  <c:v>4</c:v>
                </c:pt>
                <c:pt idx="14">
                  <c:v>3</c:v>
                </c:pt>
                <c:pt idx="15">
                  <c:v>4.5</c:v>
                </c:pt>
                <c:pt idx="16">
                  <c:v>2</c:v>
                </c:pt>
                <c:pt idx="17">
                  <c:v>3.5</c:v>
                </c:pt>
                <c:pt idx="18">
                  <c:v>4</c:v>
                </c:pt>
                <c:pt idx="19">
                  <c:v>3</c:v>
                </c:pt>
                <c:pt idx="20">
                  <c:v>4.5</c:v>
                </c:pt>
                <c:pt idx="21">
                  <c:v>2</c:v>
                </c:pt>
                <c:pt idx="22">
                  <c:v>3.5</c:v>
                </c:pt>
                <c:pt idx="23">
                  <c:v>4</c:v>
                </c:pt>
                <c:pt idx="24">
                  <c:v>3</c:v>
                </c:pt>
                <c:pt idx="25">
                  <c:v>4.5</c:v>
                </c:pt>
                <c:pt idx="26">
                  <c:v>2</c:v>
                </c:pt>
                <c:pt idx="27">
                  <c:v>3.5</c:v>
                </c:pt>
                <c:pt idx="28">
                  <c:v>4</c:v>
                </c:pt>
                <c:pt idx="29">
                  <c:v>3</c:v>
                </c:pt>
                <c:pt idx="30">
                  <c:v>4.5</c:v>
                </c:pt>
                <c:pt idx="31">
                  <c:v>2</c:v>
                </c:pt>
                <c:pt idx="32">
                  <c:v>3.5</c:v>
                </c:pt>
                <c:pt idx="33">
                  <c:v>4</c:v>
                </c:pt>
                <c:pt idx="34">
                  <c:v>3</c:v>
                </c:pt>
                <c:pt idx="35">
                  <c:v>4.5</c:v>
                </c:pt>
                <c:pt idx="36">
                  <c:v>3</c:v>
                </c:pt>
                <c:pt idx="37">
                  <c:v>2.5</c:v>
                </c:pt>
                <c:pt idx="38">
                  <c:v>4</c:v>
                </c:pt>
                <c:pt idx="39">
                  <c:v>3.5</c:v>
                </c:pt>
                <c:pt idx="40">
                  <c:v>4</c:v>
                </c:pt>
                <c:pt idx="41">
                  <c:v>2</c:v>
                </c:pt>
                <c:pt idx="42">
                  <c:v>3</c:v>
                </c:pt>
                <c:pt idx="43">
                  <c:v>5</c:v>
                </c:pt>
                <c:pt idx="44">
                  <c:v>3.5</c:v>
                </c:pt>
                <c:pt idx="45">
                  <c:v>4</c:v>
                </c:pt>
                <c:pt idx="46">
                  <c:v>3</c:v>
                </c:pt>
                <c:pt idx="47">
                  <c:v>2.5</c:v>
                </c:pt>
                <c:pt idx="48">
                  <c:v>4.5</c:v>
                </c:pt>
                <c:pt idx="49">
                  <c:v>3</c:v>
                </c:pt>
                <c:pt idx="50">
                  <c:v>4</c:v>
                </c:pt>
                <c:pt idx="51">
                  <c:v>2</c:v>
                </c:pt>
                <c:pt idx="52">
                  <c:v>3.5</c:v>
                </c:pt>
                <c:pt idx="53">
                  <c:v>4</c:v>
                </c:pt>
                <c:pt idx="54">
                  <c:v>3</c:v>
                </c:pt>
                <c:pt idx="55">
                  <c:v>4.5</c:v>
                </c:pt>
                <c:pt idx="56">
                  <c:v>3</c:v>
                </c:pt>
                <c:pt idx="57">
                  <c:v>2.5</c:v>
                </c:pt>
                <c:pt idx="58">
                  <c:v>4</c:v>
                </c:pt>
                <c:pt idx="59">
                  <c:v>3.5</c:v>
                </c:pt>
                <c:pt idx="60">
                  <c:v>4</c:v>
                </c:pt>
                <c:pt idx="61">
                  <c:v>2</c:v>
                </c:pt>
                <c:pt idx="62">
                  <c:v>3</c:v>
                </c:pt>
                <c:pt idx="63">
                  <c:v>4.5</c:v>
                </c:pt>
                <c:pt idx="64">
                  <c:v>3.5</c:v>
                </c:pt>
                <c:pt idx="65">
                  <c:v>4</c:v>
                </c:pt>
                <c:pt idx="66">
                  <c:v>3.5</c:v>
                </c:pt>
                <c:pt idx="67">
                  <c:v>2.5</c:v>
                </c:pt>
                <c:pt idx="68">
                  <c:v>4.5</c:v>
                </c:pt>
                <c:pt idx="69">
                  <c:v>3</c:v>
                </c:pt>
                <c:pt idx="70">
                  <c:v>4</c:v>
                </c:pt>
                <c:pt idx="71">
                  <c:v>2</c:v>
                </c:pt>
                <c:pt idx="72">
                  <c:v>3.5</c:v>
                </c:pt>
                <c:pt idx="73">
                  <c:v>4</c:v>
                </c:pt>
                <c:pt idx="74">
                  <c:v>3</c:v>
                </c:pt>
                <c:pt idx="75">
                  <c:v>4.5</c:v>
                </c:pt>
                <c:pt idx="76">
                  <c:v>3</c:v>
                </c:pt>
                <c:pt idx="77">
                  <c:v>2.5</c:v>
                </c:pt>
                <c:pt idx="78">
                  <c:v>4</c:v>
                </c:pt>
                <c:pt idx="79">
                  <c:v>3.5</c:v>
                </c:pt>
                <c:pt idx="80">
                  <c:v>4</c:v>
                </c:pt>
                <c:pt idx="81">
                  <c:v>2</c:v>
                </c:pt>
                <c:pt idx="82">
                  <c:v>3</c:v>
                </c:pt>
                <c:pt idx="83">
                  <c:v>4.5</c:v>
                </c:pt>
                <c:pt idx="84">
                  <c:v>3.5</c:v>
                </c:pt>
                <c:pt idx="85">
                  <c:v>4</c:v>
                </c:pt>
                <c:pt idx="86">
                  <c:v>3</c:v>
                </c:pt>
                <c:pt idx="87">
                  <c:v>2.5</c:v>
                </c:pt>
                <c:pt idx="88">
                  <c:v>4.5</c:v>
                </c:pt>
                <c:pt idx="89">
                  <c:v>3</c:v>
                </c:pt>
                <c:pt idx="90">
                  <c:v>4</c:v>
                </c:pt>
                <c:pt idx="91">
                  <c:v>2</c:v>
                </c:pt>
                <c:pt idx="92">
                  <c:v>3.5</c:v>
                </c:pt>
                <c:pt idx="93">
                  <c:v>4</c:v>
                </c:pt>
                <c:pt idx="94">
                  <c:v>3</c:v>
                </c:pt>
                <c:pt idx="95">
                  <c:v>4.5</c:v>
                </c:pt>
                <c:pt idx="96">
                  <c:v>3</c:v>
                </c:pt>
                <c:pt idx="97">
                  <c:v>2.5</c:v>
                </c:pt>
                <c:pt idx="98">
                  <c:v>4</c:v>
                </c:pt>
                <c:pt idx="99">
                  <c:v>3.5</c:v>
                </c:pt>
                <c:pt idx="100">
                  <c:v>4.5</c:v>
                </c:pt>
                <c:pt idx="101">
                  <c:v>2</c:v>
                </c:pt>
                <c:pt idx="102">
                  <c:v>3.5</c:v>
                </c:pt>
                <c:pt idx="103">
                  <c:v>4</c:v>
                </c:pt>
                <c:pt idx="104">
                  <c:v>3</c:v>
                </c:pt>
                <c:pt idx="105">
                  <c:v>4.5</c:v>
                </c:pt>
                <c:pt idx="106">
                  <c:v>3</c:v>
                </c:pt>
                <c:pt idx="107">
                  <c:v>2.5</c:v>
                </c:pt>
                <c:pt idx="108">
                  <c:v>4</c:v>
                </c:pt>
                <c:pt idx="109">
                  <c:v>3.5</c:v>
                </c:pt>
                <c:pt idx="110">
                  <c:v>4.5</c:v>
                </c:pt>
                <c:pt idx="111">
                  <c:v>2</c:v>
                </c:pt>
                <c:pt idx="112">
                  <c:v>3</c:v>
                </c:pt>
                <c:pt idx="113">
                  <c:v>4.5</c:v>
                </c:pt>
                <c:pt idx="114">
                  <c:v>3.5</c:v>
                </c:pt>
                <c:pt idx="115">
                  <c:v>4</c:v>
                </c:pt>
                <c:pt idx="116">
                  <c:v>3</c:v>
                </c:pt>
                <c:pt idx="117">
                  <c:v>2.5</c:v>
                </c:pt>
                <c:pt idx="118">
                  <c:v>4.5</c:v>
                </c:pt>
                <c:pt idx="119">
                  <c:v>3</c:v>
                </c:pt>
                <c:pt idx="120">
                  <c:v>4.5</c:v>
                </c:pt>
                <c:pt idx="121">
                  <c:v>2</c:v>
                </c:pt>
                <c:pt idx="122">
                  <c:v>3.5</c:v>
                </c:pt>
                <c:pt idx="123">
                  <c:v>4</c:v>
                </c:pt>
                <c:pt idx="124">
                  <c:v>3</c:v>
                </c:pt>
                <c:pt idx="125">
                  <c:v>3</c:v>
                </c:pt>
                <c:pt idx="126">
                  <c:v>6</c:v>
                </c:pt>
                <c:pt idx="127">
                  <c:v>8</c:v>
                </c:pt>
                <c:pt idx="128">
                  <c:v>2.5</c:v>
                </c:pt>
                <c:pt idx="129">
                  <c:v>10</c:v>
                </c:pt>
                <c:pt idx="130">
                  <c:v>5.5</c:v>
                </c:pt>
                <c:pt idx="131">
                  <c:v>2</c:v>
                </c:pt>
                <c:pt idx="132">
                  <c:v>7.5</c:v>
                </c:pt>
                <c:pt idx="133">
                  <c:v>4</c:v>
                </c:pt>
                <c:pt idx="134">
                  <c:v>9</c:v>
                </c:pt>
                <c:pt idx="135">
                  <c:v>3</c:v>
                </c:pt>
                <c:pt idx="136">
                  <c:v>6</c:v>
                </c:pt>
                <c:pt idx="137">
                  <c:v>8</c:v>
                </c:pt>
                <c:pt idx="138">
                  <c:v>2.5</c:v>
                </c:pt>
                <c:pt idx="139">
                  <c:v>10</c:v>
                </c:pt>
                <c:pt idx="140">
                  <c:v>5.5</c:v>
                </c:pt>
                <c:pt idx="141">
                  <c:v>2</c:v>
                </c:pt>
                <c:pt idx="142">
                  <c:v>7.5</c:v>
                </c:pt>
                <c:pt idx="143">
                  <c:v>4</c:v>
                </c:pt>
                <c:pt idx="144">
                  <c:v>9</c:v>
                </c:pt>
                <c:pt idx="145">
                  <c:v>3</c:v>
                </c:pt>
                <c:pt idx="146">
                  <c:v>6</c:v>
                </c:pt>
                <c:pt idx="147">
                  <c:v>8</c:v>
                </c:pt>
                <c:pt idx="148">
                  <c:v>2.5</c:v>
                </c:pt>
                <c:pt idx="149">
                  <c:v>10</c:v>
                </c:pt>
                <c:pt idx="150">
                  <c:v>5.5</c:v>
                </c:pt>
                <c:pt idx="151">
                  <c:v>6</c:v>
                </c:pt>
                <c:pt idx="152">
                  <c:v>7.2</c:v>
                </c:pt>
                <c:pt idx="153">
                  <c:v>3</c:v>
                </c:pt>
                <c:pt idx="154">
                  <c:v>5</c:v>
                </c:pt>
                <c:pt idx="155">
                  <c:v>6.5</c:v>
                </c:pt>
                <c:pt idx="156">
                  <c:v>4</c:v>
                </c:pt>
                <c:pt idx="157">
                  <c:v>3.5</c:v>
                </c:pt>
                <c:pt idx="158">
                  <c:v>6</c:v>
                </c:pt>
                <c:pt idx="159">
                  <c:v>5.5</c:v>
                </c:pt>
                <c:pt idx="160">
                  <c:v>6</c:v>
                </c:pt>
                <c:pt idx="161">
                  <c:v>4.5</c:v>
                </c:pt>
                <c:pt idx="162">
                  <c:v>3</c:v>
                </c:pt>
                <c:pt idx="163">
                  <c:v>6.5</c:v>
                </c:pt>
                <c:pt idx="164">
                  <c:v>5</c:v>
                </c:pt>
                <c:pt idx="165">
                  <c:v>6</c:v>
                </c:pt>
                <c:pt idx="166">
                  <c:v>4</c:v>
                </c:pt>
                <c:pt idx="167">
                  <c:v>3.5</c:v>
                </c:pt>
                <c:pt idx="168">
                  <c:v>6</c:v>
                </c:pt>
                <c:pt idx="169">
                  <c:v>5.5</c:v>
                </c:pt>
                <c:pt idx="170">
                  <c:v>6</c:v>
                </c:pt>
                <c:pt idx="171">
                  <c:v>4.5</c:v>
                </c:pt>
                <c:pt idx="172">
                  <c:v>3</c:v>
                </c:pt>
                <c:pt idx="173">
                  <c:v>6.5</c:v>
                </c:pt>
                <c:pt idx="174">
                  <c:v>3</c:v>
                </c:pt>
                <c:pt idx="175">
                  <c:v>4.5</c:v>
                </c:pt>
                <c:pt idx="176">
                  <c:v>2</c:v>
                </c:pt>
                <c:pt idx="177">
                  <c:v>3</c:v>
                </c:pt>
                <c:pt idx="178">
                  <c:v>4.5</c:v>
                </c:pt>
                <c:pt idx="179">
                  <c:v>3.5</c:v>
                </c:pt>
                <c:pt idx="180">
                  <c:v>4.5</c:v>
                </c:pt>
                <c:pt idx="181">
                  <c:v>3</c:v>
                </c:pt>
                <c:pt idx="182">
                  <c:v>2.5</c:v>
                </c:pt>
                <c:pt idx="183">
                  <c:v>4</c:v>
                </c:pt>
                <c:pt idx="184">
                  <c:v>3.5</c:v>
                </c:pt>
                <c:pt idx="185">
                  <c:v>4.5</c:v>
                </c:pt>
                <c:pt idx="186">
                  <c:v>2</c:v>
                </c:pt>
                <c:pt idx="187">
                  <c:v>3.5</c:v>
                </c:pt>
                <c:pt idx="188">
                  <c:v>4</c:v>
                </c:pt>
                <c:pt idx="189">
                  <c:v>3.5</c:v>
                </c:pt>
                <c:pt idx="190">
                  <c:v>4.5</c:v>
                </c:pt>
                <c:pt idx="191">
                  <c:v>2</c:v>
                </c:pt>
                <c:pt idx="192">
                  <c:v>3</c:v>
                </c:pt>
                <c:pt idx="193">
                  <c:v>4.5</c:v>
                </c:pt>
                <c:pt idx="194">
                  <c:v>3.5</c:v>
                </c:pt>
                <c:pt idx="195">
                  <c:v>4</c:v>
                </c:pt>
                <c:pt idx="196">
                  <c:v>3</c:v>
                </c:pt>
                <c:pt idx="197">
                  <c:v>2.5</c:v>
                </c:pt>
                <c:pt idx="198">
                  <c:v>4.5</c:v>
                </c:pt>
                <c:pt idx="199">
                  <c:v>3</c:v>
                </c:pt>
                <c:pt idx="200">
                  <c:v>5</c:v>
                </c:pt>
                <c:pt idx="201">
                  <c:v>3.5</c:v>
                </c:pt>
                <c:pt idx="202">
                  <c:v>4</c:v>
                </c:pt>
                <c:pt idx="203">
                  <c:v>6</c:v>
                </c:pt>
                <c:pt idx="204">
                  <c:v>3</c:v>
                </c:pt>
                <c:pt idx="205">
                  <c:v>5</c:v>
                </c:pt>
                <c:pt idx="206">
                  <c:v>2.5</c:v>
                </c:pt>
                <c:pt idx="207">
                  <c:v>3.5</c:v>
                </c:pt>
                <c:pt idx="208">
                  <c:v>4</c:v>
                </c:pt>
                <c:pt idx="209">
                  <c:v>3.5</c:v>
                </c:pt>
                <c:pt idx="210">
                  <c:v>4.5</c:v>
                </c:pt>
                <c:pt idx="211">
                  <c:v>2</c:v>
                </c:pt>
                <c:pt idx="212">
                  <c:v>3</c:v>
                </c:pt>
                <c:pt idx="213">
                  <c:v>4.5</c:v>
                </c:pt>
                <c:pt idx="214">
                  <c:v>3.5</c:v>
                </c:pt>
                <c:pt idx="215">
                  <c:v>4</c:v>
                </c:pt>
                <c:pt idx="216">
                  <c:v>3</c:v>
                </c:pt>
                <c:pt idx="217">
                  <c:v>2.5</c:v>
                </c:pt>
                <c:pt idx="218">
                  <c:v>4.5</c:v>
                </c:pt>
                <c:pt idx="219">
                  <c:v>3</c:v>
                </c:pt>
                <c:pt idx="220">
                  <c:v>5</c:v>
                </c:pt>
                <c:pt idx="221">
                  <c:v>3.5</c:v>
                </c:pt>
                <c:pt idx="222">
                  <c:v>4</c:v>
                </c:pt>
                <c:pt idx="223">
                  <c:v>6</c:v>
                </c:pt>
                <c:pt idx="224">
                  <c:v>3</c:v>
                </c:pt>
                <c:pt idx="225">
                  <c:v>5</c:v>
                </c:pt>
                <c:pt idx="226">
                  <c:v>2.5</c:v>
                </c:pt>
                <c:pt idx="227">
                  <c:v>3.5</c:v>
                </c:pt>
                <c:pt idx="228">
                  <c:v>4.5</c:v>
                </c:pt>
                <c:pt idx="229">
                  <c:v>5</c:v>
                </c:pt>
                <c:pt idx="230">
                  <c:v>3.5</c:v>
                </c:pt>
                <c:pt idx="231">
                  <c:v>2</c:v>
                </c:pt>
                <c:pt idx="232">
                  <c:v>3</c:v>
                </c:pt>
                <c:pt idx="233">
                  <c:v>5</c:v>
                </c:pt>
                <c:pt idx="234">
                  <c:v>2.5</c:v>
                </c:pt>
                <c:pt idx="235">
                  <c:v>3.5</c:v>
                </c:pt>
                <c:pt idx="236">
                  <c:v>4</c:v>
                </c:pt>
                <c:pt idx="237">
                  <c:v>3.5</c:v>
                </c:pt>
                <c:pt idx="238">
                  <c:v>4.5</c:v>
                </c:pt>
                <c:pt idx="239">
                  <c:v>2</c:v>
                </c:pt>
                <c:pt idx="240">
                  <c:v>3</c:v>
                </c:pt>
                <c:pt idx="241">
                  <c:v>4.5</c:v>
                </c:pt>
                <c:pt idx="242">
                  <c:v>3.5</c:v>
                </c:pt>
                <c:pt idx="243">
                  <c:v>5</c:v>
                </c:pt>
                <c:pt idx="244">
                  <c:v>2.5</c:v>
                </c:pt>
                <c:pt idx="245">
                  <c:v>3.5</c:v>
                </c:pt>
                <c:pt idx="246">
                  <c:v>4</c:v>
                </c:pt>
                <c:pt idx="247">
                  <c:v>3.5</c:v>
                </c:pt>
                <c:pt idx="248">
                  <c:v>4.5</c:v>
                </c:pt>
                <c:pt idx="249">
                  <c:v>2</c:v>
                </c:pt>
                <c:pt idx="250">
                  <c:v>3</c:v>
                </c:pt>
                <c:pt idx="251">
                  <c:v>4.5</c:v>
                </c:pt>
                <c:pt idx="252">
                  <c:v>3.5</c:v>
                </c:pt>
                <c:pt idx="253">
                  <c:v>5</c:v>
                </c:pt>
                <c:pt idx="254">
                  <c:v>2.5</c:v>
                </c:pt>
                <c:pt idx="255">
                  <c:v>3.5</c:v>
                </c:pt>
                <c:pt idx="256">
                  <c:v>5</c:v>
                </c:pt>
                <c:pt idx="257">
                  <c:v>3.5</c:v>
                </c:pt>
                <c:pt idx="258">
                  <c:v>2.5</c:v>
                </c:pt>
                <c:pt idx="259">
                  <c:v>4.5</c:v>
                </c:pt>
                <c:pt idx="260">
                  <c:v>3</c:v>
                </c:pt>
                <c:pt idx="261">
                  <c:v>5</c:v>
                </c:pt>
                <c:pt idx="262">
                  <c:v>2</c:v>
                </c:pt>
                <c:pt idx="263">
                  <c:v>4.5</c:v>
                </c:pt>
                <c:pt idx="264">
                  <c:v>3.5</c:v>
                </c:pt>
                <c:pt idx="265">
                  <c:v>5</c:v>
                </c:pt>
                <c:pt idx="266">
                  <c:v>3</c:v>
                </c:pt>
                <c:pt idx="267">
                  <c:v>6</c:v>
                </c:pt>
                <c:pt idx="268">
                  <c:v>8</c:v>
                </c:pt>
                <c:pt idx="269">
                  <c:v>2.5</c:v>
                </c:pt>
                <c:pt idx="270">
                  <c:v>10</c:v>
                </c:pt>
                <c:pt idx="271">
                  <c:v>5.5</c:v>
                </c:pt>
                <c:pt idx="272">
                  <c:v>2</c:v>
                </c:pt>
                <c:pt idx="273">
                  <c:v>7.5</c:v>
                </c:pt>
                <c:pt idx="274">
                  <c:v>4</c:v>
                </c:pt>
                <c:pt idx="275">
                  <c:v>9</c:v>
                </c:pt>
                <c:pt idx="276">
                  <c:v>5</c:v>
                </c:pt>
                <c:pt idx="277">
                  <c:v>6.5</c:v>
                </c:pt>
                <c:pt idx="278">
                  <c:v>4</c:v>
                </c:pt>
                <c:pt idx="279">
                  <c:v>7.5</c:v>
                </c:pt>
                <c:pt idx="280">
                  <c:v>3.5</c:v>
                </c:pt>
                <c:pt idx="281">
                  <c:v>6</c:v>
                </c:pt>
                <c:pt idx="282">
                  <c:v>5</c:v>
                </c:pt>
                <c:pt idx="283">
                  <c:v>4</c:v>
                </c:pt>
                <c:pt idx="284">
                  <c:v>3</c:v>
                </c:pt>
                <c:pt idx="285">
                  <c:v>6</c:v>
                </c:pt>
                <c:pt idx="286">
                  <c:v>5.5</c:v>
                </c:pt>
                <c:pt idx="287">
                  <c:v>4.5</c:v>
                </c:pt>
                <c:pt idx="288">
                  <c:v>3.5</c:v>
                </c:pt>
                <c:pt idx="289">
                  <c:v>2</c:v>
                </c:pt>
                <c:pt idx="290">
                  <c:v>3</c:v>
                </c:pt>
                <c:pt idx="291">
                  <c:v>5</c:v>
                </c:pt>
                <c:pt idx="292">
                  <c:v>4</c:v>
                </c:pt>
                <c:pt idx="293">
                  <c:v>2.5</c:v>
                </c:pt>
                <c:pt idx="294">
                  <c:v>3.5</c:v>
                </c:pt>
                <c:pt idx="295">
                  <c:v>3.5</c:v>
                </c:pt>
                <c:pt idx="296">
                  <c:v>5</c:v>
                </c:pt>
                <c:pt idx="297">
                  <c:v>4.5</c:v>
                </c:pt>
                <c:pt idx="298">
                  <c:v>3.5</c:v>
                </c:pt>
                <c:pt idx="299">
                  <c:v>2</c:v>
                </c:pt>
                <c:pt idx="300">
                  <c:v>3</c:v>
                </c:pt>
                <c:pt idx="301">
                  <c:v>5</c:v>
                </c:pt>
                <c:pt idx="302">
                  <c:v>4.5</c:v>
                </c:pt>
                <c:pt idx="303">
                  <c:v>2.5</c:v>
                </c:pt>
                <c:pt idx="304">
                  <c:v>3.5</c:v>
                </c:pt>
                <c:pt idx="305">
                  <c:v>3</c:v>
                </c:pt>
                <c:pt idx="306">
                  <c:v>6</c:v>
                </c:pt>
                <c:pt idx="307">
                  <c:v>8</c:v>
                </c:pt>
                <c:pt idx="308">
                  <c:v>2.5</c:v>
                </c:pt>
                <c:pt idx="309">
                  <c:v>10</c:v>
                </c:pt>
                <c:pt idx="310">
                  <c:v>5.5</c:v>
                </c:pt>
                <c:pt idx="311">
                  <c:v>2</c:v>
                </c:pt>
                <c:pt idx="312">
                  <c:v>7.5</c:v>
                </c:pt>
                <c:pt idx="313">
                  <c:v>4</c:v>
                </c:pt>
                <c:pt idx="314">
                  <c:v>9</c:v>
                </c:pt>
                <c:pt idx="315">
                  <c:v>3</c:v>
                </c:pt>
                <c:pt idx="316">
                  <c:v>6</c:v>
                </c:pt>
                <c:pt idx="317">
                  <c:v>8</c:v>
                </c:pt>
                <c:pt idx="318">
                  <c:v>2.5</c:v>
                </c:pt>
                <c:pt idx="319">
                  <c:v>10</c:v>
                </c:pt>
                <c:pt idx="320">
                  <c:v>5.5</c:v>
                </c:pt>
                <c:pt idx="321">
                  <c:v>2</c:v>
                </c:pt>
                <c:pt idx="322">
                  <c:v>7.5</c:v>
                </c:pt>
                <c:pt idx="323">
                  <c:v>4</c:v>
                </c:pt>
                <c:pt idx="324">
                  <c:v>9</c:v>
                </c:pt>
                <c:pt idx="325">
                  <c:v>3</c:v>
                </c:pt>
                <c:pt idx="326">
                  <c:v>6</c:v>
                </c:pt>
                <c:pt idx="327">
                  <c:v>8</c:v>
                </c:pt>
                <c:pt idx="328">
                  <c:v>2.5</c:v>
                </c:pt>
                <c:pt idx="329">
                  <c:v>10</c:v>
                </c:pt>
                <c:pt idx="330">
                  <c:v>3</c:v>
                </c:pt>
                <c:pt idx="331">
                  <c:v>6</c:v>
                </c:pt>
                <c:pt idx="332">
                  <c:v>8</c:v>
                </c:pt>
                <c:pt idx="333">
                  <c:v>2.5</c:v>
                </c:pt>
                <c:pt idx="334">
                  <c:v>10</c:v>
                </c:pt>
                <c:pt idx="335">
                  <c:v>3</c:v>
                </c:pt>
                <c:pt idx="336">
                  <c:v>6</c:v>
                </c:pt>
                <c:pt idx="337">
                  <c:v>8</c:v>
                </c:pt>
                <c:pt idx="338">
                  <c:v>2.5</c:v>
                </c:pt>
                <c:pt idx="339">
                  <c:v>10</c:v>
                </c:pt>
                <c:pt idx="340">
                  <c:v>5.5</c:v>
                </c:pt>
                <c:pt idx="341">
                  <c:v>2</c:v>
                </c:pt>
                <c:pt idx="342">
                  <c:v>7.5</c:v>
                </c:pt>
                <c:pt idx="343">
                  <c:v>4</c:v>
                </c:pt>
                <c:pt idx="344">
                  <c:v>9</c:v>
                </c:pt>
                <c:pt idx="345">
                  <c:v>3</c:v>
                </c:pt>
                <c:pt idx="346">
                  <c:v>6</c:v>
                </c:pt>
                <c:pt idx="347">
                  <c:v>8</c:v>
                </c:pt>
                <c:pt idx="348">
                  <c:v>2.5</c:v>
                </c:pt>
                <c:pt idx="349">
                  <c:v>10</c:v>
                </c:pt>
                <c:pt idx="350">
                  <c:v>5.5</c:v>
                </c:pt>
                <c:pt idx="351">
                  <c:v>2</c:v>
                </c:pt>
                <c:pt idx="352">
                  <c:v>7.5</c:v>
                </c:pt>
                <c:pt idx="353">
                  <c:v>4</c:v>
                </c:pt>
                <c:pt idx="354">
                  <c:v>9</c:v>
                </c:pt>
                <c:pt idx="355">
                  <c:v>3</c:v>
                </c:pt>
                <c:pt idx="356">
                  <c:v>6</c:v>
                </c:pt>
                <c:pt idx="357">
                  <c:v>8</c:v>
                </c:pt>
                <c:pt idx="358">
                  <c:v>2.5</c:v>
                </c:pt>
                <c:pt idx="359">
                  <c:v>10</c:v>
                </c:pt>
                <c:pt idx="360">
                  <c:v>3</c:v>
                </c:pt>
                <c:pt idx="361">
                  <c:v>3</c:v>
                </c:pt>
                <c:pt idx="362">
                  <c:v>6</c:v>
                </c:pt>
                <c:pt idx="363">
                  <c:v>8</c:v>
                </c:pt>
                <c:pt idx="364">
                  <c:v>2.5</c:v>
                </c:pt>
                <c:pt idx="365">
                  <c:v>10</c:v>
                </c:pt>
                <c:pt idx="366">
                  <c:v>5.5</c:v>
                </c:pt>
                <c:pt idx="367">
                  <c:v>2</c:v>
                </c:pt>
                <c:pt idx="368">
                  <c:v>7.5</c:v>
                </c:pt>
                <c:pt idx="369">
                  <c:v>4</c:v>
                </c:pt>
                <c:pt idx="370">
                  <c:v>9</c:v>
                </c:pt>
                <c:pt idx="371">
                  <c:v>3</c:v>
                </c:pt>
                <c:pt idx="372">
                  <c:v>6</c:v>
                </c:pt>
                <c:pt idx="373">
                  <c:v>8</c:v>
                </c:pt>
                <c:pt idx="374">
                  <c:v>2.5</c:v>
                </c:pt>
                <c:pt idx="375">
                  <c:v>10</c:v>
                </c:pt>
                <c:pt idx="376">
                  <c:v>5.5</c:v>
                </c:pt>
                <c:pt idx="377">
                  <c:v>2</c:v>
                </c:pt>
                <c:pt idx="378">
                  <c:v>7.5</c:v>
                </c:pt>
                <c:pt idx="379">
                  <c:v>4</c:v>
                </c:pt>
                <c:pt idx="380">
                  <c:v>9</c:v>
                </c:pt>
                <c:pt idx="381">
                  <c:v>3</c:v>
                </c:pt>
                <c:pt idx="382">
                  <c:v>6</c:v>
                </c:pt>
                <c:pt idx="383">
                  <c:v>8</c:v>
                </c:pt>
                <c:pt idx="384">
                  <c:v>2.5</c:v>
                </c:pt>
                <c:pt idx="385">
                  <c:v>10</c:v>
                </c:pt>
                <c:pt idx="386">
                  <c:v>3</c:v>
                </c:pt>
                <c:pt idx="387">
                  <c:v>3</c:v>
                </c:pt>
                <c:pt idx="388">
                  <c:v>6</c:v>
                </c:pt>
                <c:pt idx="389">
                  <c:v>8</c:v>
                </c:pt>
                <c:pt idx="390">
                  <c:v>2.5</c:v>
                </c:pt>
                <c:pt idx="391">
                  <c:v>10</c:v>
                </c:pt>
                <c:pt idx="392">
                  <c:v>5.5</c:v>
                </c:pt>
                <c:pt idx="393">
                  <c:v>2</c:v>
                </c:pt>
                <c:pt idx="394">
                  <c:v>7.5</c:v>
                </c:pt>
                <c:pt idx="395">
                  <c:v>4</c:v>
                </c:pt>
                <c:pt idx="396">
                  <c:v>9</c:v>
                </c:pt>
                <c:pt idx="397">
                  <c:v>3</c:v>
                </c:pt>
                <c:pt idx="398">
                  <c:v>6</c:v>
                </c:pt>
                <c:pt idx="399">
                  <c:v>8</c:v>
                </c:pt>
                <c:pt idx="400">
                  <c:v>2.5</c:v>
                </c:pt>
                <c:pt idx="401">
                  <c:v>10</c:v>
                </c:pt>
                <c:pt idx="402">
                  <c:v>5.5</c:v>
                </c:pt>
                <c:pt idx="403">
                  <c:v>2</c:v>
                </c:pt>
                <c:pt idx="404">
                  <c:v>7.5</c:v>
                </c:pt>
                <c:pt idx="405">
                  <c:v>4</c:v>
                </c:pt>
                <c:pt idx="406">
                  <c:v>9</c:v>
                </c:pt>
                <c:pt idx="407">
                  <c:v>3</c:v>
                </c:pt>
                <c:pt idx="408">
                  <c:v>6</c:v>
                </c:pt>
                <c:pt idx="409">
                  <c:v>8</c:v>
                </c:pt>
                <c:pt idx="410">
                  <c:v>2.5</c:v>
                </c:pt>
                <c:pt idx="411">
                  <c:v>10</c:v>
                </c:pt>
                <c:pt idx="412">
                  <c:v>3</c:v>
                </c:pt>
                <c:pt idx="413">
                  <c:v>3</c:v>
                </c:pt>
                <c:pt idx="414">
                  <c:v>6</c:v>
                </c:pt>
                <c:pt idx="415">
                  <c:v>8</c:v>
                </c:pt>
                <c:pt idx="416">
                  <c:v>2.5</c:v>
                </c:pt>
                <c:pt idx="417">
                  <c:v>10</c:v>
                </c:pt>
                <c:pt idx="418">
                  <c:v>5.5</c:v>
                </c:pt>
                <c:pt idx="419">
                  <c:v>2</c:v>
                </c:pt>
                <c:pt idx="420">
                  <c:v>7.5</c:v>
                </c:pt>
                <c:pt idx="421">
                  <c:v>4</c:v>
                </c:pt>
                <c:pt idx="422">
                  <c:v>9</c:v>
                </c:pt>
                <c:pt idx="423">
                  <c:v>3</c:v>
                </c:pt>
                <c:pt idx="424">
                  <c:v>6</c:v>
                </c:pt>
                <c:pt idx="425">
                  <c:v>8</c:v>
                </c:pt>
                <c:pt idx="426">
                  <c:v>2.5</c:v>
                </c:pt>
                <c:pt idx="427">
                  <c:v>10</c:v>
                </c:pt>
                <c:pt idx="428">
                  <c:v>5.5</c:v>
                </c:pt>
                <c:pt idx="429">
                  <c:v>2</c:v>
                </c:pt>
                <c:pt idx="430">
                  <c:v>7.5</c:v>
                </c:pt>
                <c:pt idx="431">
                  <c:v>4</c:v>
                </c:pt>
                <c:pt idx="432">
                  <c:v>9</c:v>
                </c:pt>
                <c:pt idx="433">
                  <c:v>3</c:v>
                </c:pt>
                <c:pt idx="434">
                  <c:v>6</c:v>
                </c:pt>
                <c:pt idx="435">
                  <c:v>8</c:v>
                </c:pt>
                <c:pt idx="436">
                  <c:v>2.5</c:v>
                </c:pt>
                <c:pt idx="437">
                  <c:v>10</c:v>
                </c:pt>
                <c:pt idx="438">
                  <c:v>5.5</c:v>
                </c:pt>
                <c:pt idx="439">
                  <c:v>2</c:v>
                </c:pt>
                <c:pt idx="440">
                  <c:v>7.5</c:v>
                </c:pt>
                <c:pt idx="441">
                  <c:v>4</c:v>
                </c:pt>
                <c:pt idx="442">
                  <c:v>9</c:v>
                </c:pt>
                <c:pt idx="443">
                  <c:v>3</c:v>
                </c:pt>
                <c:pt idx="444">
                  <c:v>6</c:v>
                </c:pt>
                <c:pt idx="445">
                  <c:v>8</c:v>
                </c:pt>
                <c:pt idx="446">
                  <c:v>2.5</c:v>
                </c:pt>
                <c:pt idx="447">
                  <c:v>10</c:v>
                </c:pt>
                <c:pt idx="448">
                  <c:v>3</c:v>
                </c:pt>
                <c:pt idx="449">
                  <c:v>6</c:v>
                </c:pt>
                <c:pt idx="450">
                  <c:v>8</c:v>
                </c:pt>
                <c:pt idx="451">
                  <c:v>5</c:v>
                </c:pt>
                <c:pt idx="452">
                  <c:v>6.5</c:v>
                </c:pt>
                <c:pt idx="453">
                  <c:v>8</c:v>
                </c:pt>
                <c:pt idx="454">
                  <c:v>2.5</c:v>
                </c:pt>
                <c:pt idx="455">
                  <c:v>10</c:v>
                </c:pt>
                <c:pt idx="456">
                  <c:v>5.5</c:v>
                </c:pt>
                <c:pt idx="457">
                  <c:v>2</c:v>
                </c:pt>
                <c:pt idx="458">
                  <c:v>7.5</c:v>
                </c:pt>
                <c:pt idx="459">
                  <c:v>3</c:v>
                </c:pt>
                <c:pt idx="460">
                  <c:v>6</c:v>
                </c:pt>
                <c:pt idx="461">
                  <c:v>8</c:v>
                </c:pt>
                <c:pt idx="462">
                  <c:v>2.5</c:v>
                </c:pt>
                <c:pt idx="463">
                  <c:v>10</c:v>
                </c:pt>
                <c:pt idx="464">
                  <c:v>5.5</c:v>
                </c:pt>
                <c:pt idx="465">
                  <c:v>2</c:v>
                </c:pt>
                <c:pt idx="466">
                  <c:v>7.5</c:v>
                </c:pt>
                <c:pt idx="467">
                  <c:v>4</c:v>
                </c:pt>
                <c:pt idx="468">
                  <c:v>9</c:v>
                </c:pt>
                <c:pt idx="469">
                  <c:v>3</c:v>
                </c:pt>
                <c:pt idx="470">
                  <c:v>6</c:v>
                </c:pt>
                <c:pt idx="471">
                  <c:v>8</c:v>
                </c:pt>
                <c:pt idx="472">
                  <c:v>2.5</c:v>
                </c:pt>
                <c:pt idx="473">
                  <c:v>10</c:v>
                </c:pt>
                <c:pt idx="474">
                  <c:v>5.5</c:v>
                </c:pt>
                <c:pt idx="475">
                  <c:v>2</c:v>
                </c:pt>
                <c:pt idx="476">
                  <c:v>7.5</c:v>
                </c:pt>
                <c:pt idx="477">
                  <c:v>4</c:v>
                </c:pt>
                <c:pt idx="478">
                  <c:v>9</c:v>
                </c:pt>
                <c:pt idx="479">
                  <c:v>3</c:v>
                </c:pt>
                <c:pt idx="480">
                  <c:v>6</c:v>
                </c:pt>
                <c:pt idx="481">
                  <c:v>8</c:v>
                </c:pt>
                <c:pt idx="482">
                  <c:v>2.5</c:v>
                </c:pt>
                <c:pt idx="483">
                  <c:v>10</c:v>
                </c:pt>
                <c:pt idx="484">
                  <c:v>5.5</c:v>
                </c:pt>
                <c:pt idx="485">
                  <c:v>2</c:v>
                </c:pt>
                <c:pt idx="486">
                  <c:v>7.5</c:v>
                </c:pt>
                <c:pt idx="487">
                  <c:v>3</c:v>
                </c:pt>
                <c:pt idx="488">
                  <c:v>6</c:v>
                </c:pt>
                <c:pt idx="489">
                  <c:v>8</c:v>
                </c:pt>
                <c:pt idx="490">
                  <c:v>2.5</c:v>
                </c:pt>
                <c:pt idx="491">
                  <c:v>10</c:v>
                </c:pt>
                <c:pt idx="492">
                  <c:v>5.5</c:v>
                </c:pt>
                <c:pt idx="493">
                  <c:v>2</c:v>
                </c:pt>
                <c:pt idx="494">
                  <c:v>7.5</c:v>
                </c:pt>
                <c:pt idx="495">
                  <c:v>4</c:v>
                </c:pt>
                <c:pt idx="496">
                  <c:v>9</c:v>
                </c:pt>
                <c:pt idx="497">
                  <c:v>3</c:v>
                </c:pt>
                <c:pt idx="498">
                  <c:v>6</c:v>
                </c:pt>
                <c:pt idx="499">
                  <c:v>8</c:v>
                </c:pt>
                <c:pt idx="500">
                  <c:v>2.5</c:v>
                </c:pt>
                <c:pt idx="501">
                  <c:v>10</c:v>
                </c:pt>
                <c:pt idx="502">
                  <c:v>5.5</c:v>
                </c:pt>
                <c:pt idx="503">
                  <c:v>2</c:v>
                </c:pt>
                <c:pt idx="504">
                  <c:v>7.5</c:v>
                </c:pt>
                <c:pt idx="505">
                  <c:v>4</c:v>
                </c:pt>
                <c:pt idx="506">
                  <c:v>9</c:v>
                </c:pt>
                <c:pt idx="507">
                  <c:v>3</c:v>
                </c:pt>
                <c:pt idx="508">
                  <c:v>6</c:v>
                </c:pt>
                <c:pt idx="509">
                  <c:v>8</c:v>
                </c:pt>
                <c:pt idx="510">
                  <c:v>2.5</c:v>
                </c:pt>
                <c:pt idx="511">
                  <c:v>10</c:v>
                </c:pt>
                <c:pt idx="512">
                  <c:v>5.5</c:v>
                </c:pt>
                <c:pt idx="513">
                  <c:v>2</c:v>
                </c:pt>
                <c:pt idx="514">
                  <c:v>7.5</c:v>
                </c:pt>
                <c:pt idx="515">
                  <c:v>3</c:v>
                </c:pt>
                <c:pt idx="516">
                  <c:v>6</c:v>
                </c:pt>
                <c:pt idx="517">
                  <c:v>8</c:v>
                </c:pt>
                <c:pt idx="518">
                  <c:v>2.5</c:v>
                </c:pt>
                <c:pt idx="519">
                  <c:v>10</c:v>
                </c:pt>
                <c:pt idx="520">
                  <c:v>5.5</c:v>
                </c:pt>
                <c:pt idx="521">
                  <c:v>2</c:v>
                </c:pt>
                <c:pt idx="522">
                  <c:v>7.5</c:v>
                </c:pt>
                <c:pt idx="523">
                  <c:v>4</c:v>
                </c:pt>
                <c:pt idx="524">
                  <c:v>9</c:v>
                </c:pt>
                <c:pt idx="525">
                  <c:v>3</c:v>
                </c:pt>
                <c:pt idx="526">
                  <c:v>6</c:v>
                </c:pt>
                <c:pt idx="527">
                  <c:v>8</c:v>
                </c:pt>
                <c:pt idx="528">
                  <c:v>2.5</c:v>
                </c:pt>
                <c:pt idx="529">
                  <c:v>10</c:v>
                </c:pt>
                <c:pt idx="530">
                  <c:v>5.5</c:v>
                </c:pt>
                <c:pt idx="531">
                  <c:v>2</c:v>
                </c:pt>
                <c:pt idx="532">
                  <c:v>7.5</c:v>
                </c:pt>
                <c:pt idx="533">
                  <c:v>4</c:v>
                </c:pt>
                <c:pt idx="534">
                  <c:v>9</c:v>
                </c:pt>
                <c:pt idx="535">
                  <c:v>3</c:v>
                </c:pt>
                <c:pt idx="536">
                  <c:v>6</c:v>
                </c:pt>
                <c:pt idx="537">
                  <c:v>8</c:v>
                </c:pt>
                <c:pt idx="538">
                  <c:v>2.5</c:v>
                </c:pt>
                <c:pt idx="539">
                  <c:v>10</c:v>
                </c:pt>
                <c:pt idx="540">
                  <c:v>5.5</c:v>
                </c:pt>
                <c:pt idx="541">
                  <c:v>2</c:v>
                </c:pt>
                <c:pt idx="542">
                  <c:v>7</c:v>
                </c:pt>
                <c:pt idx="543">
                  <c:v>6.5</c:v>
                </c:pt>
                <c:pt idx="544">
                  <c:v>2.5</c:v>
                </c:pt>
                <c:pt idx="545">
                  <c:v>8</c:v>
                </c:pt>
                <c:pt idx="546">
                  <c:v>4</c:v>
                </c:pt>
                <c:pt idx="547">
                  <c:v>9</c:v>
                </c:pt>
                <c:pt idx="548">
                  <c:v>3</c:v>
                </c:pt>
                <c:pt idx="549">
                  <c:v>6</c:v>
                </c:pt>
                <c:pt idx="550">
                  <c:v>8</c:v>
                </c:pt>
                <c:pt idx="551">
                  <c:v>2.5</c:v>
                </c:pt>
                <c:pt idx="552">
                  <c:v>10</c:v>
                </c:pt>
                <c:pt idx="553">
                  <c:v>5.5</c:v>
                </c:pt>
                <c:pt idx="554">
                  <c:v>2</c:v>
                </c:pt>
                <c:pt idx="555">
                  <c:v>7.5</c:v>
                </c:pt>
                <c:pt idx="556">
                  <c:v>4</c:v>
                </c:pt>
                <c:pt idx="557">
                  <c:v>9</c:v>
                </c:pt>
                <c:pt idx="558">
                  <c:v>3</c:v>
                </c:pt>
                <c:pt idx="559">
                  <c:v>6</c:v>
                </c:pt>
                <c:pt idx="560">
                  <c:v>8</c:v>
                </c:pt>
                <c:pt idx="561">
                  <c:v>2.5</c:v>
                </c:pt>
                <c:pt idx="562">
                  <c:v>10</c:v>
                </c:pt>
                <c:pt idx="563">
                  <c:v>5.5</c:v>
                </c:pt>
                <c:pt idx="564">
                  <c:v>2</c:v>
                </c:pt>
                <c:pt idx="565">
                  <c:v>7.5</c:v>
                </c:pt>
                <c:pt idx="566">
                  <c:v>4</c:v>
                </c:pt>
                <c:pt idx="567">
                  <c:v>9</c:v>
                </c:pt>
                <c:pt idx="568">
                  <c:v>5.5</c:v>
                </c:pt>
                <c:pt idx="569">
                  <c:v>7</c:v>
                </c:pt>
                <c:pt idx="570">
                  <c:v>6.5</c:v>
                </c:pt>
                <c:pt idx="571">
                  <c:v>2.5</c:v>
                </c:pt>
                <c:pt idx="572">
                  <c:v>8</c:v>
                </c:pt>
                <c:pt idx="573">
                  <c:v>4</c:v>
                </c:pt>
                <c:pt idx="574">
                  <c:v>9</c:v>
                </c:pt>
                <c:pt idx="575">
                  <c:v>3</c:v>
                </c:pt>
                <c:pt idx="576">
                  <c:v>6</c:v>
                </c:pt>
                <c:pt idx="577">
                  <c:v>8</c:v>
                </c:pt>
                <c:pt idx="578">
                  <c:v>2.5</c:v>
                </c:pt>
                <c:pt idx="579">
                  <c:v>10</c:v>
                </c:pt>
                <c:pt idx="580">
                  <c:v>5.5</c:v>
                </c:pt>
                <c:pt idx="581">
                  <c:v>2</c:v>
                </c:pt>
                <c:pt idx="582">
                  <c:v>7.5</c:v>
                </c:pt>
                <c:pt idx="583">
                  <c:v>4</c:v>
                </c:pt>
                <c:pt idx="584">
                  <c:v>9</c:v>
                </c:pt>
                <c:pt idx="585">
                  <c:v>3</c:v>
                </c:pt>
                <c:pt idx="586">
                  <c:v>6</c:v>
                </c:pt>
                <c:pt idx="587">
                  <c:v>8</c:v>
                </c:pt>
                <c:pt idx="588">
                  <c:v>2.5</c:v>
                </c:pt>
                <c:pt idx="589">
                  <c:v>10</c:v>
                </c:pt>
                <c:pt idx="590">
                  <c:v>5.5</c:v>
                </c:pt>
                <c:pt idx="591">
                  <c:v>2</c:v>
                </c:pt>
                <c:pt idx="592">
                  <c:v>7.5</c:v>
                </c:pt>
                <c:pt idx="593">
                  <c:v>4</c:v>
                </c:pt>
                <c:pt idx="594">
                  <c:v>9</c:v>
                </c:pt>
                <c:pt idx="595">
                  <c:v>3</c:v>
                </c:pt>
                <c:pt idx="596">
                  <c:v>6</c:v>
                </c:pt>
                <c:pt idx="597">
                  <c:v>8</c:v>
                </c:pt>
                <c:pt idx="598">
                  <c:v>2.5</c:v>
                </c:pt>
                <c:pt idx="599">
                  <c:v>7</c:v>
                </c:pt>
                <c:pt idx="600">
                  <c:v>6.5</c:v>
                </c:pt>
                <c:pt idx="601">
                  <c:v>2.5</c:v>
                </c:pt>
                <c:pt idx="602">
                  <c:v>8</c:v>
                </c:pt>
                <c:pt idx="603">
                  <c:v>4</c:v>
                </c:pt>
                <c:pt idx="604">
                  <c:v>9</c:v>
                </c:pt>
                <c:pt idx="605">
                  <c:v>3</c:v>
                </c:pt>
                <c:pt idx="606">
                  <c:v>6</c:v>
                </c:pt>
                <c:pt idx="607">
                  <c:v>8</c:v>
                </c:pt>
                <c:pt idx="608">
                  <c:v>2.5</c:v>
                </c:pt>
                <c:pt idx="609">
                  <c:v>10</c:v>
                </c:pt>
                <c:pt idx="610">
                  <c:v>5.5</c:v>
                </c:pt>
                <c:pt idx="611">
                  <c:v>2</c:v>
                </c:pt>
                <c:pt idx="612">
                  <c:v>7.5</c:v>
                </c:pt>
                <c:pt idx="613">
                  <c:v>4</c:v>
                </c:pt>
                <c:pt idx="614">
                  <c:v>9</c:v>
                </c:pt>
                <c:pt idx="615">
                  <c:v>3</c:v>
                </c:pt>
                <c:pt idx="616">
                  <c:v>6</c:v>
                </c:pt>
                <c:pt idx="617">
                  <c:v>8</c:v>
                </c:pt>
                <c:pt idx="618">
                  <c:v>2.5</c:v>
                </c:pt>
                <c:pt idx="619">
                  <c:v>10</c:v>
                </c:pt>
                <c:pt idx="620">
                  <c:v>5.5</c:v>
                </c:pt>
                <c:pt idx="621">
                  <c:v>2</c:v>
                </c:pt>
                <c:pt idx="622">
                  <c:v>7.5</c:v>
                </c:pt>
                <c:pt idx="623">
                  <c:v>5.4</c:v>
                </c:pt>
                <c:pt idx="624">
                  <c:v>4.0999999999999996</c:v>
                </c:pt>
                <c:pt idx="625">
                  <c:v>8.6999999999999993</c:v>
                </c:pt>
                <c:pt idx="626">
                  <c:v>5.4</c:v>
                </c:pt>
                <c:pt idx="627">
                  <c:v>3.9</c:v>
                </c:pt>
                <c:pt idx="628">
                  <c:v>6</c:v>
                </c:pt>
                <c:pt idx="629">
                  <c:v>4.5</c:v>
                </c:pt>
                <c:pt idx="630">
                  <c:v>7.2</c:v>
                </c:pt>
                <c:pt idx="631">
                  <c:v>5.4</c:v>
                </c:pt>
                <c:pt idx="632">
                  <c:v>7.8</c:v>
                </c:pt>
                <c:pt idx="633">
                  <c:v>3.2</c:v>
                </c:pt>
                <c:pt idx="634">
                  <c:v>4.0999999999999996</c:v>
                </c:pt>
                <c:pt idx="635">
                  <c:v>8.3000000000000007</c:v>
                </c:pt>
                <c:pt idx="636">
                  <c:v>5.4</c:v>
                </c:pt>
                <c:pt idx="637">
                  <c:v>4</c:v>
                </c:pt>
                <c:pt idx="638">
                  <c:v>4.0999999999999996</c:v>
                </c:pt>
                <c:pt idx="639">
                  <c:v>6.3</c:v>
                </c:pt>
                <c:pt idx="640">
                  <c:v>7</c:v>
                </c:pt>
                <c:pt idx="641">
                  <c:v>5.4</c:v>
                </c:pt>
                <c:pt idx="642">
                  <c:v>3.2</c:v>
                </c:pt>
                <c:pt idx="643">
                  <c:v>5.8</c:v>
                </c:pt>
                <c:pt idx="644">
                  <c:v>10</c:v>
                </c:pt>
                <c:pt idx="645">
                  <c:v>5.5</c:v>
                </c:pt>
                <c:pt idx="646">
                  <c:v>2</c:v>
                </c:pt>
                <c:pt idx="647">
                  <c:v>8</c:v>
                </c:pt>
                <c:pt idx="648">
                  <c:v>4</c:v>
                </c:pt>
                <c:pt idx="649">
                  <c:v>6.5</c:v>
                </c:pt>
                <c:pt idx="650">
                  <c:v>3.5</c:v>
                </c:pt>
                <c:pt idx="651">
                  <c:v>5</c:v>
                </c:pt>
                <c:pt idx="652">
                  <c:v>7</c:v>
                </c:pt>
                <c:pt idx="653">
                  <c:v>4</c:v>
                </c:pt>
                <c:pt idx="654">
                  <c:v>6</c:v>
                </c:pt>
                <c:pt idx="655">
                  <c:v>5</c:v>
                </c:pt>
                <c:pt idx="656">
                  <c:v>3</c:v>
                </c:pt>
                <c:pt idx="657">
                  <c:v>8</c:v>
                </c:pt>
                <c:pt idx="658">
                  <c:v>4</c:v>
                </c:pt>
                <c:pt idx="659">
                  <c:v>6</c:v>
                </c:pt>
                <c:pt idx="660">
                  <c:v>3.5</c:v>
                </c:pt>
                <c:pt idx="661">
                  <c:v>5.5</c:v>
                </c:pt>
                <c:pt idx="662">
                  <c:v>7.5</c:v>
                </c:pt>
                <c:pt idx="663">
                  <c:v>2.5</c:v>
                </c:pt>
                <c:pt idx="664">
                  <c:v>6.5</c:v>
                </c:pt>
                <c:pt idx="665">
                  <c:v>5</c:v>
                </c:pt>
                <c:pt idx="666">
                  <c:v>3</c:v>
                </c:pt>
                <c:pt idx="667">
                  <c:v>7</c:v>
                </c:pt>
                <c:pt idx="668">
                  <c:v>4</c:v>
                </c:pt>
                <c:pt idx="669">
                  <c:v>5</c:v>
                </c:pt>
                <c:pt idx="670">
                  <c:v>6</c:v>
                </c:pt>
                <c:pt idx="671">
                  <c:v>3.5</c:v>
                </c:pt>
                <c:pt idx="672">
                  <c:v>7</c:v>
                </c:pt>
                <c:pt idx="673">
                  <c:v>4</c:v>
                </c:pt>
                <c:pt idx="674">
                  <c:v>5.5</c:v>
                </c:pt>
                <c:pt idx="675">
                  <c:v>4</c:v>
                </c:pt>
                <c:pt idx="676">
                  <c:v>5</c:v>
                </c:pt>
                <c:pt idx="677">
                  <c:v>8</c:v>
                </c:pt>
                <c:pt idx="678">
                  <c:v>4.5</c:v>
                </c:pt>
                <c:pt idx="679">
                  <c:v>6</c:v>
                </c:pt>
                <c:pt idx="680">
                  <c:v>4</c:v>
                </c:pt>
                <c:pt idx="681">
                  <c:v>5</c:v>
                </c:pt>
                <c:pt idx="682">
                  <c:v>7.5</c:v>
                </c:pt>
                <c:pt idx="683">
                  <c:v>4</c:v>
                </c:pt>
                <c:pt idx="684">
                  <c:v>5.5</c:v>
                </c:pt>
                <c:pt idx="685">
                  <c:v>4</c:v>
                </c:pt>
                <c:pt idx="686">
                  <c:v>5</c:v>
                </c:pt>
                <c:pt idx="687">
                  <c:v>8</c:v>
                </c:pt>
                <c:pt idx="688">
                  <c:v>4</c:v>
                </c:pt>
                <c:pt idx="689">
                  <c:v>6</c:v>
                </c:pt>
                <c:pt idx="690">
                  <c:v>4</c:v>
                </c:pt>
                <c:pt idx="691">
                  <c:v>5</c:v>
                </c:pt>
                <c:pt idx="692">
                  <c:v>7</c:v>
                </c:pt>
                <c:pt idx="693">
                  <c:v>4.5</c:v>
                </c:pt>
                <c:pt idx="694">
                  <c:v>5.5</c:v>
                </c:pt>
                <c:pt idx="695">
                  <c:v>4</c:v>
                </c:pt>
                <c:pt idx="696">
                  <c:v>5</c:v>
                </c:pt>
                <c:pt idx="697">
                  <c:v>6</c:v>
                </c:pt>
                <c:pt idx="698">
                  <c:v>4.5</c:v>
                </c:pt>
                <c:pt idx="699">
                  <c:v>5.5</c:v>
                </c:pt>
                <c:pt idx="700">
                  <c:v>4</c:v>
                </c:pt>
                <c:pt idx="701">
                  <c:v>5</c:v>
                </c:pt>
                <c:pt idx="702">
                  <c:v>6</c:v>
                </c:pt>
                <c:pt idx="703">
                  <c:v>4.5</c:v>
                </c:pt>
                <c:pt idx="704">
                  <c:v>5.5</c:v>
                </c:pt>
                <c:pt idx="705">
                  <c:v>4</c:v>
                </c:pt>
                <c:pt idx="706">
                  <c:v>5</c:v>
                </c:pt>
                <c:pt idx="707">
                  <c:v>6</c:v>
                </c:pt>
                <c:pt idx="708">
                  <c:v>4.5</c:v>
                </c:pt>
                <c:pt idx="709">
                  <c:v>5.5</c:v>
                </c:pt>
                <c:pt idx="710">
                  <c:v>4</c:v>
                </c:pt>
                <c:pt idx="711">
                  <c:v>5</c:v>
                </c:pt>
                <c:pt idx="712">
                  <c:v>6</c:v>
                </c:pt>
                <c:pt idx="713">
                  <c:v>4.5</c:v>
                </c:pt>
                <c:pt idx="714">
                  <c:v>5.5</c:v>
                </c:pt>
                <c:pt idx="715">
                  <c:v>4</c:v>
                </c:pt>
                <c:pt idx="716">
                  <c:v>5</c:v>
                </c:pt>
                <c:pt idx="717">
                  <c:v>6</c:v>
                </c:pt>
                <c:pt idx="718">
                  <c:v>4.5</c:v>
                </c:pt>
                <c:pt idx="719">
                  <c:v>5.5</c:v>
                </c:pt>
                <c:pt idx="720">
                  <c:v>4</c:v>
                </c:pt>
                <c:pt idx="721">
                  <c:v>5</c:v>
                </c:pt>
                <c:pt idx="722">
                  <c:v>6</c:v>
                </c:pt>
                <c:pt idx="723">
                  <c:v>4.5</c:v>
                </c:pt>
                <c:pt idx="724">
                  <c:v>5</c:v>
                </c:pt>
                <c:pt idx="725">
                  <c:v>6</c:v>
                </c:pt>
                <c:pt idx="726">
                  <c:v>4.5</c:v>
                </c:pt>
                <c:pt idx="727">
                  <c:v>5.5</c:v>
                </c:pt>
                <c:pt idx="728">
                  <c:v>4</c:v>
                </c:pt>
                <c:pt idx="729">
                  <c:v>5</c:v>
                </c:pt>
                <c:pt idx="730">
                  <c:v>6</c:v>
                </c:pt>
                <c:pt idx="731">
                  <c:v>4.5</c:v>
                </c:pt>
                <c:pt idx="732">
                  <c:v>5.5</c:v>
                </c:pt>
                <c:pt idx="733">
                  <c:v>4</c:v>
                </c:pt>
                <c:pt idx="734">
                  <c:v>5</c:v>
                </c:pt>
                <c:pt idx="735">
                  <c:v>6</c:v>
                </c:pt>
                <c:pt idx="736">
                  <c:v>4.5</c:v>
                </c:pt>
                <c:pt idx="737">
                  <c:v>5.5</c:v>
                </c:pt>
                <c:pt idx="738">
                  <c:v>4</c:v>
                </c:pt>
                <c:pt idx="739">
                  <c:v>5</c:v>
                </c:pt>
                <c:pt idx="740">
                  <c:v>6</c:v>
                </c:pt>
                <c:pt idx="741">
                  <c:v>4.5</c:v>
                </c:pt>
                <c:pt idx="742">
                  <c:v>5.5</c:v>
                </c:pt>
                <c:pt idx="743">
                  <c:v>4</c:v>
                </c:pt>
                <c:pt idx="744">
                  <c:v>5</c:v>
                </c:pt>
                <c:pt idx="745">
                  <c:v>6</c:v>
                </c:pt>
                <c:pt idx="746">
                  <c:v>4.5</c:v>
                </c:pt>
                <c:pt idx="747">
                  <c:v>5.5</c:v>
                </c:pt>
                <c:pt idx="748">
                  <c:v>4</c:v>
                </c:pt>
                <c:pt idx="749">
                  <c:v>5</c:v>
                </c:pt>
                <c:pt idx="750">
                  <c:v>6</c:v>
                </c:pt>
                <c:pt idx="751">
                  <c:v>4.5</c:v>
                </c:pt>
                <c:pt idx="752">
                  <c:v>5</c:v>
                </c:pt>
                <c:pt idx="753">
                  <c:v>6</c:v>
                </c:pt>
                <c:pt idx="754">
                  <c:v>4.5</c:v>
                </c:pt>
                <c:pt idx="755">
                  <c:v>5.5</c:v>
                </c:pt>
                <c:pt idx="756">
                  <c:v>4</c:v>
                </c:pt>
                <c:pt idx="757">
                  <c:v>5</c:v>
                </c:pt>
                <c:pt idx="758">
                  <c:v>6</c:v>
                </c:pt>
                <c:pt idx="759">
                  <c:v>4.5</c:v>
                </c:pt>
                <c:pt idx="760">
                  <c:v>5.5</c:v>
                </c:pt>
                <c:pt idx="761">
                  <c:v>4</c:v>
                </c:pt>
                <c:pt idx="762">
                  <c:v>5</c:v>
                </c:pt>
                <c:pt idx="763">
                  <c:v>6</c:v>
                </c:pt>
                <c:pt idx="764">
                  <c:v>4.5</c:v>
                </c:pt>
                <c:pt idx="765">
                  <c:v>5.5</c:v>
                </c:pt>
                <c:pt idx="766">
                  <c:v>4</c:v>
                </c:pt>
                <c:pt idx="767">
                  <c:v>5</c:v>
                </c:pt>
                <c:pt idx="768">
                  <c:v>6</c:v>
                </c:pt>
                <c:pt idx="769">
                  <c:v>4.5</c:v>
                </c:pt>
                <c:pt idx="770">
                  <c:v>5.5</c:v>
                </c:pt>
                <c:pt idx="771">
                  <c:v>4</c:v>
                </c:pt>
                <c:pt idx="772">
                  <c:v>5</c:v>
                </c:pt>
                <c:pt idx="773">
                  <c:v>6</c:v>
                </c:pt>
                <c:pt idx="774">
                  <c:v>4.5</c:v>
                </c:pt>
                <c:pt idx="775">
                  <c:v>5.5</c:v>
                </c:pt>
                <c:pt idx="776">
                  <c:v>4</c:v>
                </c:pt>
                <c:pt idx="777">
                  <c:v>5</c:v>
                </c:pt>
                <c:pt idx="778">
                  <c:v>6</c:v>
                </c:pt>
                <c:pt idx="779">
                  <c:v>4.5</c:v>
                </c:pt>
                <c:pt idx="780">
                  <c:v>5</c:v>
                </c:pt>
                <c:pt idx="781">
                  <c:v>6</c:v>
                </c:pt>
                <c:pt idx="782">
                  <c:v>4.5</c:v>
                </c:pt>
                <c:pt idx="783">
                  <c:v>5.5</c:v>
                </c:pt>
                <c:pt idx="784">
                  <c:v>4</c:v>
                </c:pt>
                <c:pt idx="785">
                  <c:v>5</c:v>
                </c:pt>
                <c:pt idx="786">
                  <c:v>6</c:v>
                </c:pt>
                <c:pt idx="787">
                  <c:v>4.5</c:v>
                </c:pt>
                <c:pt idx="788">
                  <c:v>5.5</c:v>
                </c:pt>
                <c:pt idx="789">
                  <c:v>4</c:v>
                </c:pt>
                <c:pt idx="790">
                  <c:v>5</c:v>
                </c:pt>
                <c:pt idx="791">
                  <c:v>6</c:v>
                </c:pt>
                <c:pt idx="792">
                  <c:v>4.5</c:v>
                </c:pt>
                <c:pt idx="793">
                  <c:v>5.5</c:v>
                </c:pt>
                <c:pt idx="794">
                  <c:v>4</c:v>
                </c:pt>
                <c:pt idx="795">
                  <c:v>5</c:v>
                </c:pt>
                <c:pt idx="796">
                  <c:v>6</c:v>
                </c:pt>
                <c:pt idx="797">
                  <c:v>4.5</c:v>
                </c:pt>
                <c:pt idx="798">
                  <c:v>5.5</c:v>
                </c:pt>
                <c:pt idx="799">
                  <c:v>4</c:v>
                </c:pt>
                <c:pt idx="800">
                  <c:v>5</c:v>
                </c:pt>
                <c:pt idx="801">
                  <c:v>6</c:v>
                </c:pt>
                <c:pt idx="802">
                  <c:v>4.5</c:v>
                </c:pt>
                <c:pt idx="803">
                  <c:v>5.5</c:v>
                </c:pt>
                <c:pt idx="804">
                  <c:v>4</c:v>
                </c:pt>
                <c:pt idx="805">
                  <c:v>5</c:v>
                </c:pt>
                <c:pt idx="806">
                  <c:v>6</c:v>
                </c:pt>
                <c:pt idx="807">
                  <c:v>4.5</c:v>
                </c:pt>
                <c:pt idx="808">
                  <c:v>5</c:v>
                </c:pt>
                <c:pt idx="809">
                  <c:v>6</c:v>
                </c:pt>
                <c:pt idx="810">
                  <c:v>4.5</c:v>
                </c:pt>
                <c:pt idx="811">
                  <c:v>5.5</c:v>
                </c:pt>
                <c:pt idx="812">
                  <c:v>4</c:v>
                </c:pt>
                <c:pt idx="813">
                  <c:v>5</c:v>
                </c:pt>
                <c:pt idx="814">
                  <c:v>6</c:v>
                </c:pt>
                <c:pt idx="815">
                  <c:v>4.5</c:v>
                </c:pt>
                <c:pt idx="816">
                  <c:v>5.5</c:v>
                </c:pt>
                <c:pt idx="817">
                  <c:v>4</c:v>
                </c:pt>
                <c:pt idx="818">
                  <c:v>5</c:v>
                </c:pt>
                <c:pt idx="819">
                  <c:v>6</c:v>
                </c:pt>
                <c:pt idx="820">
                  <c:v>4.5</c:v>
                </c:pt>
                <c:pt idx="821">
                  <c:v>5.5</c:v>
                </c:pt>
                <c:pt idx="822">
                  <c:v>4</c:v>
                </c:pt>
                <c:pt idx="823">
                  <c:v>5</c:v>
                </c:pt>
                <c:pt idx="824">
                  <c:v>6</c:v>
                </c:pt>
                <c:pt idx="825">
                  <c:v>4.5</c:v>
                </c:pt>
                <c:pt idx="826">
                  <c:v>5.5</c:v>
                </c:pt>
                <c:pt idx="827">
                  <c:v>4</c:v>
                </c:pt>
                <c:pt idx="828">
                  <c:v>5</c:v>
                </c:pt>
                <c:pt idx="829">
                  <c:v>6</c:v>
                </c:pt>
                <c:pt idx="830">
                  <c:v>4.5</c:v>
                </c:pt>
                <c:pt idx="831">
                  <c:v>5.5</c:v>
                </c:pt>
                <c:pt idx="832">
                  <c:v>4</c:v>
                </c:pt>
                <c:pt idx="833">
                  <c:v>5</c:v>
                </c:pt>
                <c:pt idx="834">
                  <c:v>6</c:v>
                </c:pt>
                <c:pt idx="835">
                  <c:v>4.5</c:v>
                </c:pt>
                <c:pt idx="836">
                  <c:v>5</c:v>
                </c:pt>
                <c:pt idx="837">
                  <c:v>6</c:v>
                </c:pt>
                <c:pt idx="838">
                  <c:v>4.5</c:v>
                </c:pt>
                <c:pt idx="839">
                  <c:v>5.5</c:v>
                </c:pt>
                <c:pt idx="840">
                  <c:v>4</c:v>
                </c:pt>
                <c:pt idx="841">
                  <c:v>5</c:v>
                </c:pt>
                <c:pt idx="842">
                  <c:v>6</c:v>
                </c:pt>
                <c:pt idx="843">
                  <c:v>4.5</c:v>
                </c:pt>
                <c:pt idx="844">
                  <c:v>5.5</c:v>
                </c:pt>
                <c:pt idx="845">
                  <c:v>4</c:v>
                </c:pt>
                <c:pt idx="846">
                  <c:v>5</c:v>
                </c:pt>
                <c:pt idx="847">
                  <c:v>6</c:v>
                </c:pt>
                <c:pt idx="848">
                  <c:v>4.5</c:v>
                </c:pt>
                <c:pt idx="849">
                  <c:v>5.5</c:v>
                </c:pt>
                <c:pt idx="850">
                  <c:v>4</c:v>
                </c:pt>
                <c:pt idx="851">
                  <c:v>5</c:v>
                </c:pt>
                <c:pt idx="852">
                  <c:v>6</c:v>
                </c:pt>
                <c:pt idx="853">
                  <c:v>4.5</c:v>
                </c:pt>
                <c:pt idx="854">
                  <c:v>5.5</c:v>
                </c:pt>
                <c:pt idx="855">
                  <c:v>4</c:v>
                </c:pt>
                <c:pt idx="856">
                  <c:v>5</c:v>
                </c:pt>
                <c:pt idx="857">
                  <c:v>6</c:v>
                </c:pt>
                <c:pt idx="858">
                  <c:v>4.5</c:v>
                </c:pt>
                <c:pt idx="859">
                  <c:v>5.5</c:v>
                </c:pt>
                <c:pt idx="860">
                  <c:v>4</c:v>
                </c:pt>
                <c:pt idx="861">
                  <c:v>5</c:v>
                </c:pt>
                <c:pt idx="862">
                  <c:v>6</c:v>
                </c:pt>
                <c:pt idx="863">
                  <c:v>4.5</c:v>
                </c:pt>
                <c:pt idx="864">
                  <c:v>5</c:v>
                </c:pt>
                <c:pt idx="865">
                  <c:v>6</c:v>
                </c:pt>
                <c:pt idx="866">
                  <c:v>4.5</c:v>
                </c:pt>
                <c:pt idx="867">
                  <c:v>5.5</c:v>
                </c:pt>
                <c:pt idx="868">
                  <c:v>4</c:v>
                </c:pt>
                <c:pt idx="869">
                  <c:v>5</c:v>
                </c:pt>
                <c:pt idx="870">
                  <c:v>6</c:v>
                </c:pt>
                <c:pt idx="871">
                  <c:v>4.5</c:v>
                </c:pt>
                <c:pt idx="872">
                  <c:v>5.5</c:v>
                </c:pt>
                <c:pt idx="873">
                  <c:v>4</c:v>
                </c:pt>
                <c:pt idx="874">
                  <c:v>5</c:v>
                </c:pt>
                <c:pt idx="875">
                  <c:v>6</c:v>
                </c:pt>
                <c:pt idx="876">
                  <c:v>4.5</c:v>
                </c:pt>
                <c:pt idx="877">
                  <c:v>5.5</c:v>
                </c:pt>
                <c:pt idx="878">
                  <c:v>4</c:v>
                </c:pt>
                <c:pt idx="879">
                  <c:v>5</c:v>
                </c:pt>
                <c:pt idx="880">
                  <c:v>6</c:v>
                </c:pt>
                <c:pt idx="881">
                  <c:v>4.5</c:v>
                </c:pt>
                <c:pt idx="882">
                  <c:v>5.5</c:v>
                </c:pt>
                <c:pt idx="883">
                  <c:v>4</c:v>
                </c:pt>
                <c:pt idx="884">
                  <c:v>5</c:v>
                </c:pt>
                <c:pt idx="885">
                  <c:v>6</c:v>
                </c:pt>
                <c:pt idx="886">
                  <c:v>4.5</c:v>
                </c:pt>
                <c:pt idx="887">
                  <c:v>5.5</c:v>
                </c:pt>
                <c:pt idx="888">
                  <c:v>4</c:v>
                </c:pt>
                <c:pt idx="889">
                  <c:v>5</c:v>
                </c:pt>
                <c:pt idx="890">
                  <c:v>6</c:v>
                </c:pt>
                <c:pt idx="891">
                  <c:v>4.5</c:v>
                </c:pt>
                <c:pt idx="892">
                  <c:v>5</c:v>
                </c:pt>
                <c:pt idx="893">
                  <c:v>6</c:v>
                </c:pt>
                <c:pt idx="894">
                  <c:v>4.5</c:v>
                </c:pt>
                <c:pt idx="895">
                  <c:v>5.5</c:v>
                </c:pt>
                <c:pt idx="896">
                  <c:v>4</c:v>
                </c:pt>
                <c:pt idx="897">
                  <c:v>5</c:v>
                </c:pt>
                <c:pt idx="898">
                  <c:v>6</c:v>
                </c:pt>
                <c:pt idx="899">
                  <c:v>4.5</c:v>
                </c:pt>
                <c:pt idx="900">
                  <c:v>5.5</c:v>
                </c:pt>
                <c:pt idx="901">
                  <c:v>4</c:v>
                </c:pt>
                <c:pt idx="902">
                  <c:v>5</c:v>
                </c:pt>
                <c:pt idx="903">
                  <c:v>6</c:v>
                </c:pt>
                <c:pt idx="904">
                  <c:v>4.5</c:v>
                </c:pt>
                <c:pt idx="905">
                  <c:v>5.5</c:v>
                </c:pt>
                <c:pt idx="906">
                  <c:v>4</c:v>
                </c:pt>
                <c:pt idx="907">
                  <c:v>5</c:v>
                </c:pt>
                <c:pt idx="908">
                  <c:v>6</c:v>
                </c:pt>
                <c:pt idx="909">
                  <c:v>4.5</c:v>
                </c:pt>
                <c:pt idx="910">
                  <c:v>5.5</c:v>
                </c:pt>
                <c:pt idx="911">
                  <c:v>4</c:v>
                </c:pt>
                <c:pt idx="912">
                  <c:v>5</c:v>
                </c:pt>
                <c:pt idx="913">
                  <c:v>6</c:v>
                </c:pt>
                <c:pt idx="914">
                  <c:v>4.5</c:v>
                </c:pt>
                <c:pt idx="915">
                  <c:v>5.5</c:v>
                </c:pt>
                <c:pt idx="916">
                  <c:v>4</c:v>
                </c:pt>
                <c:pt idx="917">
                  <c:v>5</c:v>
                </c:pt>
                <c:pt idx="918">
                  <c:v>6</c:v>
                </c:pt>
                <c:pt idx="919">
                  <c:v>4.5</c:v>
                </c:pt>
                <c:pt idx="920">
                  <c:v>5</c:v>
                </c:pt>
                <c:pt idx="921">
                  <c:v>6</c:v>
                </c:pt>
                <c:pt idx="922">
                  <c:v>4.5</c:v>
                </c:pt>
                <c:pt idx="923">
                  <c:v>5.5</c:v>
                </c:pt>
                <c:pt idx="924">
                  <c:v>4</c:v>
                </c:pt>
                <c:pt idx="925">
                  <c:v>5</c:v>
                </c:pt>
                <c:pt idx="926">
                  <c:v>6</c:v>
                </c:pt>
                <c:pt idx="927">
                  <c:v>4.5</c:v>
                </c:pt>
                <c:pt idx="928">
                  <c:v>5.5</c:v>
                </c:pt>
                <c:pt idx="929">
                  <c:v>4</c:v>
                </c:pt>
                <c:pt idx="930">
                  <c:v>5</c:v>
                </c:pt>
                <c:pt idx="931">
                  <c:v>6</c:v>
                </c:pt>
                <c:pt idx="932">
                  <c:v>4.5</c:v>
                </c:pt>
                <c:pt idx="933">
                  <c:v>5.5</c:v>
                </c:pt>
                <c:pt idx="934">
                  <c:v>4</c:v>
                </c:pt>
                <c:pt idx="935">
                  <c:v>5</c:v>
                </c:pt>
                <c:pt idx="936">
                  <c:v>6</c:v>
                </c:pt>
                <c:pt idx="937">
                  <c:v>4.5</c:v>
                </c:pt>
                <c:pt idx="938">
                  <c:v>5.5</c:v>
                </c:pt>
                <c:pt idx="939">
                  <c:v>4</c:v>
                </c:pt>
                <c:pt idx="940">
                  <c:v>5</c:v>
                </c:pt>
                <c:pt idx="941">
                  <c:v>6</c:v>
                </c:pt>
                <c:pt idx="942">
                  <c:v>4.5</c:v>
                </c:pt>
                <c:pt idx="943">
                  <c:v>5.5</c:v>
                </c:pt>
                <c:pt idx="944">
                  <c:v>4</c:v>
                </c:pt>
                <c:pt idx="945">
                  <c:v>5</c:v>
                </c:pt>
                <c:pt idx="946">
                  <c:v>6</c:v>
                </c:pt>
                <c:pt idx="947">
                  <c:v>4.5</c:v>
                </c:pt>
                <c:pt idx="948">
                  <c:v>5</c:v>
                </c:pt>
                <c:pt idx="949">
                  <c:v>6</c:v>
                </c:pt>
                <c:pt idx="950">
                  <c:v>4.5</c:v>
                </c:pt>
                <c:pt idx="951">
                  <c:v>5.5</c:v>
                </c:pt>
                <c:pt idx="952">
                  <c:v>4</c:v>
                </c:pt>
                <c:pt idx="953">
                  <c:v>5</c:v>
                </c:pt>
                <c:pt idx="954">
                  <c:v>6</c:v>
                </c:pt>
                <c:pt idx="955">
                  <c:v>4.5</c:v>
                </c:pt>
                <c:pt idx="956">
                  <c:v>5.5</c:v>
                </c:pt>
                <c:pt idx="957">
                  <c:v>4</c:v>
                </c:pt>
                <c:pt idx="958">
                  <c:v>5</c:v>
                </c:pt>
                <c:pt idx="959">
                  <c:v>6</c:v>
                </c:pt>
                <c:pt idx="960">
                  <c:v>4.5</c:v>
                </c:pt>
                <c:pt idx="961">
                  <c:v>5.5</c:v>
                </c:pt>
                <c:pt idx="962">
                  <c:v>4</c:v>
                </c:pt>
                <c:pt idx="963">
                  <c:v>5</c:v>
                </c:pt>
                <c:pt idx="964">
                  <c:v>6</c:v>
                </c:pt>
                <c:pt idx="965">
                  <c:v>4.5</c:v>
                </c:pt>
                <c:pt idx="966">
                  <c:v>5.5</c:v>
                </c:pt>
                <c:pt idx="967">
                  <c:v>4</c:v>
                </c:pt>
                <c:pt idx="968">
                  <c:v>5</c:v>
                </c:pt>
                <c:pt idx="969">
                  <c:v>6</c:v>
                </c:pt>
                <c:pt idx="970">
                  <c:v>4.5</c:v>
                </c:pt>
                <c:pt idx="971">
                  <c:v>5.5</c:v>
                </c:pt>
                <c:pt idx="972">
                  <c:v>4</c:v>
                </c:pt>
                <c:pt idx="973">
                  <c:v>5</c:v>
                </c:pt>
                <c:pt idx="974">
                  <c:v>6</c:v>
                </c:pt>
                <c:pt idx="975">
                  <c:v>4.5</c:v>
                </c:pt>
                <c:pt idx="976">
                  <c:v>5</c:v>
                </c:pt>
                <c:pt idx="977">
                  <c:v>6</c:v>
                </c:pt>
                <c:pt idx="978">
                  <c:v>4.5</c:v>
                </c:pt>
                <c:pt idx="979">
                  <c:v>5.5</c:v>
                </c:pt>
                <c:pt idx="980">
                  <c:v>4</c:v>
                </c:pt>
                <c:pt idx="981">
                  <c:v>5</c:v>
                </c:pt>
                <c:pt idx="982">
                  <c:v>6</c:v>
                </c:pt>
                <c:pt idx="983">
                  <c:v>4.5</c:v>
                </c:pt>
                <c:pt idx="984">
                  <c:v>5.5</c:v>
                </c:pt>
                <c:pt idx="985">
                  <c:v>4</c:v>
                </c:pt>
                <c:pt idx="986">
                  <c:v>5</c:v>
                </c:pt>
                <c:pt idx="987">
                  <c:v>6</c:v>
                </c:pt>
                <c:pt idx="988">
                  <c:v>4.5</c:v>
                </c:pt>
                <c:pt idx="989">
                  <c:v>5.5</c:v>
                </c:pt>
                <c:pt idx="990">
                  <c:v>4</c:v>
                </c:pt>
                <c:pt idx="991">
                  <c:v>5</c:v>
                </c:pt>
                <c:pt idx="992">
                  <c:v>6</c:v>
                </c:pt>
                <c:pt idx="993">
                  <c:v>4.5</c:v>
                </c:pt>
                <c:pt idx="994">
                  <c:v>5.5</c:v>
                </c:pt>
                <c:pt idx="995">
                  <c:v>4</c:v>
                </c:pt>
                <c:pt idx="996">
                  <c:v>5</c:v>
                </c:pt>
                <c:pt idx="997">
                  <c:v>6</c:v>
                </c:pt>
                <c:pt idx="998">
                  <c:v>4.5</c:v>
                </c:pt>
                <c:pt idx="999">
                  <c:v>5.5</c:v>
                </c:pt>
                <c:pt idx="1000">
                  <c:v>4</c:v>
                </c:pt>
                <c:pt idx="1001">
                  <c:v>5</c:v>
                </c:pt>
                <c:pt idx="1002">
                  <c:v>6</c:v>
                </c:pt>
                <c:pt idx="100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21-4339-8000-E76D82318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055007"/>
        <c:axId val="1195049247"/>
      </c:scatterChart>
      <c:valAx>
        <c:axId val="119505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A5A5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049247"/>
        <c:crosses val="autoZero"/>
        <c:crossBetween val="midCat"/>
      </c:valAx>
      <c:valAx>
        <c:axId val="119504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A5A5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055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Delivery Duration vs</a:t>
            </a:r>
            <a:r>
              <a:rPr lang="en-US" b="1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US" b="1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Toppings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'Pizza Delivery Table'!$K$1</c:f>
              <c:strCache>
                <c:ptCount val="1"/>
                <c:pt idx="0">
                  <c:v>Toppings Count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5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'Pizza Delivery Table'!$H$2:$H$1005</c:f>
              <c:numCache>
                <c:formatCode>General</c:formatCode>
                <c:ptCount val="1004"/>
                <c:pt idx="0">
                  <c:v>15</c:v>
                </c:pt>
                <c:pt idx="1">
                  <c:v>25</c:v>
                </c:pt>
                <c:pt idx="2">
                  <c:v>20</c:v>
                </c:pt>
                <c:pt idx="3">
                  <c:v>25</c:v>
                </c:pt>
                <c:pt idx="4">
                  <c:v>20</c:v>
                </c:pt>
                <c:pt idx="5">
                  <c:v>20</c:v>
                </c:pt>
                <c:pt idx="6">
                  <c:v>25</c:v>
                </c:pt>
                <c:pt idx="7">
                  <c:v>20</c:v>
                </c:pt>
                <c:pt idx="8">
                  <c:v>25</c:v>
                </c:pt>
                <c:pt idx="9">
                  <c:v>20</c:v>
                </c:pt>
                <c:pt idx="10">
                  <c:v>20</c:v>
                </c:pt>
                <c:pt idx="11">
                  <c:v>25</c:v>
                </c:pt>
                <c:pt idx="12">
                  <c:v>20</c:v>
                </c:pt>
                <c:pt idx="13">
                  <c:v>25</c:v>
                </c:pt>
                <c:pt idx="14">
                  <c:v>20</c:v>
                </c:pt>
                <c:pt idx="15">
                  <c:v>25</c:v>
                </c:pt>
                <c:pt idx="16">
                  <c:v>25</c:v>
                </c:pt>
                <c:pt idx="17">
                  <c:v>20</c:v>
                </c:pt>
                <c:pt idx="18">
                  <c:v>25</c:v>
                </c:pt>
                <c:pt idx="19">
                  <c:v>20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25</c:v>
                </c:pt>
                <c:pt idx="24">
                  <c:v>20</c:v>
                </c:pt>
                <c:pt idx="25">
                  <c:v>25</c:v>
                </c:pt>
                <c:pt idx="26">
                  <c:v>25</c:v>
                </c:pt>
                <c:pt idx="27">
                  <c:v>20</c:v>
                </c:pt>
                <c:pt idx="28">
                  <c:v>25</c:v>
                </c:pt>
                <c:pt idx="29">
                  <c:v>20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20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20</c:v>
                </c:pt>
                <c:pt idx="38">
                  <c:v>25</c:v>
                </c:pt>
                <c:pt idx="39">
                  <c:v>20</c:v>
                </c:pt>
                <c:pt idx="40">
                  <c:v>20</c:v>
                </c:pt>
                <c:pt idx="41">
                  <c:v>25</c:v>
                </c:pt>
                <c:pt idx="42">
                  <c:v>20</c:v>
                </c:pt>
                <c:pt idx="43">
                  <c:v>25</c:v>
                </c:pt>
                <c:pt idx="44">
                  <c:v>20</c:v>
                </c:pt>
                <c:pt idx="45">
                  <c:v>20</c:v>
                </c:pt>
                <c:pt idx="46">
                  <c:v>25</c:v>
                </c:pt>
                <c:pt idx="47">
                  <c:v>20</c:v>
                </c:pt>
                <c:pt idx="48">
                  <c:v>25</c:v>
                </c:pt>
                <c:pt idx="49">
                  <c:v>20</c:v>
                </c:pt>
                <c:pt idx="50">
                  <c:v>20</c:v>
                </c:pt>
                <c:pt idx="51">
                  <c:v>25</c:v>
                </c:pt>
                <c:pt idx="52">
                  <c:v>20</c:v>
                </c:pt>
                <c:pt idx="53">
                  <c:v>25</c:v>
                </c:pt>
                <c:pt idx="54">
                  <c:v>20</c:v>
                </c:pt>
                <c:pt idx="55">
                  <c:v>20</c:v>
                </c:pt>
                <c:pt idx="56">
                  <c:v>25</c:v>
                </c:pt>
                <c:pt idx="57">
                  <c:v>20</c:v>
                </c:pt>
                <c:pt idx="58">
                  <c:v>25</c:v>
                </c:pt>
                <c:pt idx="59">
                  <c:v>20</c:v>
                </c:pt>
                <c:pt idx="60">
                  <c:v>20</c:v>
                </c:pt>
                <c:pt idx="61">
                  <c:v>25</c:v>
                </c:pt>
                <c:pt idx="62">
                  <c:v>20</c:v>
                </c:pt>
                <c:pt idx="63">
                  <c:v>25</c:v>
                </c:pt>
                <c:pt idx="64">
                  <c:v>20</c:v>
                </c:pt>
                <c:pt idx="65">
                  <c:v>20</c:v>
                </c:pt>
                <c:pt idx="66">
                  <c:v>25</c:v>
                </c:pt>
                <c:pt idx="67">
                  <c:v>20</c:v>
                </c:pt>
                <c:pt idx="68">
                  <c:v>25</c:v>
                </c:pt>
                <c:pt idx="69">
                  <c:v>20</c:v>
                </c:pt>
                <c:pt idx="70">
                  <c:v>20</c:v>
                </c:pt>
                <c:pt idx="71">
                  <c:v>25</c:v>
                </c:pt>
                <c:pt idx="72">
                  <c:v>20</c:v>
                </c:pt>
                <c:pt idx="73">
                  <c:v>25</c:v>
                </c:pt>
                <c:pt idx="74">
                  <c:v>20</c:v>
                </c:pt>
                <c:pt idx="75">
                  <c:v>20</c:v>
                </c:pt>
                <c:pt idx="76">
                  <c:v>25</c:v>
                </c:pt>
                <c:pt idx="77">
                  <c:v>20</c:v>
                </c:pt>
                <c:pt idx="78">
                  <c:v>25</c:v>
                </c:pt>
                <c:pt idx="79">
                  <c:v>20</c:v>
                </c:pt>
                <c:pt idx="80">
                  <c:v>20</c:v>
                </c:pt>
                <c:pt idx="81">
                  <c:v>25</c:v>
                </c:pt>
                <c:pt idx="82">
                  <c:v>20</c:v>
                </c:pt>
                <c:pt idx="83">
                  <c:v>25</c:v>
                </c:pt>
                <c:pt idx="84">
                  <c:v>20</c:v>
                </c:pt>
                <c:pt idx="85">
                  <c:v>20</c:v>
                </c:pt>
                <c:pt idx="86">
                  <c:v>25</c:v>
                </c:pt>
                <c:pt idx="87">
                  <c:v>20</c:v>
                </c:pt>
                <c:pt idx="88">
                  <c:v>25</c:v>
                </c:pt>
                <c:pt idx="89">
                  <c:v>20</c:v>
                </c:pt>
                <c:pt idx="90">
                  <c:v>20</c:v>
                </c:pt>
                <c:pt idx="91">
                  <c:v>25</c:v>
                </c:pt>
                <c:pt idx="92">
                  <c:v>20</c:v>
                </c:pt>
                <c:pt idx="93">
                  <c:v>25</c:v>
                </c:pt>
                <c:pt idx="94">
                  <c:v>20</c:v>
                </c:pt>
                <c:pt idx="95">
                  <c:v>20</c:v>
                </c:pt>
                <c:pt idx="96">
                  <c:v>25</c:v>
                </c:pt>
                <c:pt idx="97">
                  <c:v>20</c:v>
                </c:pt>
                <c:pt idx="98">
                  <c:v>25</c:v>
                </c:pt>
                <c:pt idx="99">
                  <c:v>20</c:v>
                </c:pt>
                <c:pt idx="100">
                  <c:v>20</c:v>
                </c:pt>
                <c:pt idx="101">
                  <c:v>25</c:v>
                </c:pt>
                <c:pt idx="102">
                  <c:v>20</c:v>
                </c:pt>
                <c:pt idx="103">
                  <c:v>25</c:v>
                </c:pt>
                <c:pt idx="104">
                  <c:v>20</c:v>
                </c:pt>
                <c:pt idx="105">
                  <c:v>20</c:v>
                </c:pt>
                <c:pt idx="106">
                  <c:v>25</c:v>
                </c:pt>
                <c:pt idx="107">
                  <c:v>20</c:v>
                </c:pt>
                <c:pt idx="108">
                  <c:v>25</c:v>
                </c:pt>
                <c:pt idx="109">
                  <c:v>20</c:v>
                </c:pt>
                <c:pt idx="110">
                  <c:v>20</c:v>
                </c:pt>
                <c:pt idx="111">
                  <c:v>25</c:v>
                </c:pt>
                <c:pt idx="112">
                  <c:v>20</c:v>
                </c:pt>
                <c:pt idx="113">
                  <c:v>25</c:v>
                </c:pt>
                <c:pt idx="114">
                  <c:v>20</c:v>
                </c:pt>
                <c:pt idx="115">
                  <c:v>20</c:v>
                </c:pt>
                <c:pt idx="116">
                  <c:v>25</c:v>
                </c:pt>
                <c:pt idx="117">
                  <c:v>20</c:v>
                </c:pt>
                <c:pt idx="118">
                  <c:v>25</c:v>
                </c:pt>
                <c:pt idx="119">
                  <c:v>20</c:v>
                </c:pt>
                <c:pt idx="120">
                  <c:v>20</c:v>
                </c:pt>
                <c:pt idx="121">
                  <c:v>25</c:v>
                </c:pt>
                <c:pt idx="122">
                  <c:v>20</c:v>
                </c:pt>
                <c:pt idx="123">
                  <c:v>25</c:v>
                </c:pt>
                <c:pt idx="124">
                  <c:v>20</c:v>
                </c:pt>
                <c:pt idx="125">
                  <c:v>20</c:v>
                </c:pt>
                <c:pt idx="126">
                  <c:v>30</c:v>
                </c:pt>
                <c:pt idx="127">
                  <c:v>40</c:v>
                </c:pt>
                <c:pt idx="128">
                  <c:v>20</c:v>
                </c:pt>
                <c:pt idx="129">
                  <c:v>50</c:v>
                </c:pt>
                <c:pt idx="130">
                  <c:v>35</c:v>
                </c:pt>
                <c:pt idx="131">
                  <c:v>20</c:v>
                </c:pt>
                <c:pt idx="132">
                  <c:v>40</c:v>
                </c:pt>
                <c:pt idx="133">
                  <c:v>30</c:v>
                </c:pt>
                <c:pt idx="134">
                  <c:v>45</c:v>
                </c:pt>
                <c:pt idx="135">
                  <c:v>20</c:v>
                </c:pt>
                <c:pt idx="136">
                  <c:v>30</c:v>
                </c:pt>
                <c:pt idx="137">
                  <c:v>40</c:v>
                </c:pt>
                <c:pt idx="138">
                  <c:v>20</c:v>
                </c:pt>
                <c:pt idx="139">
                  <c:v>50</c:v>
                </c:pt>
                <c:pt idx="140">
                  <c:v>35</c:v>
                </c:pt>
                <c:pt idx="141">
                  <c:v>20</c:v>
                </c:pt>
                <c:pt idx="142">
                  <c:v>40</c:v>
                </c:pt>
                <c:pt idx="143">
                  <c:v>30</c:v>
                </c:pt>
                <c:pt idx="144">
                  <c:v>45</c:v>
                </c:pt>
                <c:pt idx="145">
                  <c:v>20</c:v>
                </c:pt>
                <c:pt idx="146">
                  <c:v>30</c:v>
                </c:pt>
                <c:pt idx="147">
                  <c:v>40</c:v>
                </c:pt>
                <c:pt idx="148">
                  <c:v>20</c:v>
                </c:pt>
                <c:pt idx="149">
                  <c:v>50</c:v>
                </c:pt>
                <c:pt idx="150">
                  <c:v>30</c:v>
                </c:pt>
                <c:pt idx="151">
                  <c:v>30</c:v>
                </c:pt>
                <c:pt idx="152">
                  <c:v>35</c:v>
                </c:pt>
                <c:pt idx="153">
                  <c:v>20</c:v>
                </c:pt>
                <c:pt idx="154">
                  <c:v>30</c:v>
                </c:pt>
                <c:pt idx="155">
                  <c:v>30</c:v>
                </c:pt>
                <c:pt idx="156">
                  <c:v>35</c:v>
                </c:pt>
                <c:pt idx="157">
                  <c:v>25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25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25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25</c:v>
                </c:pt>
                <c:pt idx="173">
                  <c:v>30</c:v>
                </c:pt>
                <c:pt idx="174">
                  <c:v>20</c:v>
                </c:pt>
                <c:pt idx="175">
                  <c:v>20</c:v>
                </c:pt>
                <c:pt idx="176">
                  <c:v>25</c:v>
                </c:pt>
                <c:pt idx="177">
                  <c:v>20</c:v>
                </c:pt>
                <c:pt idx="178">
                  <c:v>25</c:v>
                </c:pt>
                <c:pt idx="179">
                  <c:v>20</c:v>
                </c:pt>
                <c:pt idx="180">
                  <c:v>25</c:v>
                </c:pt>
                <c:pt idx="181">
                  <c:v>25</c:v>
                </c:pt>
                <c:pt idx="182">
                  <c:v>20</c:v>
                </c:pt>
                <c:pt idx="183">
                  <c:v>25</c:v>
                </c:pt>
                <c:pt idx="184">
                  <c:v>20</c:v>
                </c:pt>
                <c:pt idx="185">
                  <c:v>20</c:v>
                </c:pt>
                <c:pt idx="186">
                  <c:v>25</c:v>
                </c:pt>
                <c:pt idx="187">
                  <c:v>20</c:v>
                </c:pt>
                <c:pt idx="188">
                  <c:v>25</c:v>
                </c:pt>
                <c:pt idx="189">
                  <c:v>20</c:v>
                </c:pt>
                <c:pt idx="190">
                  <c:v>20</c:v>
                </c:pt>
                <c:pt idx="191">
                  <c:v>25</c:v>
                </c:pt>
                <c:pt idx="192">
                  <c:v>20</c:v>
                </c:pt>
                <c:pt idx="193">
                  <c:v>25</c:v>
                </c:pt>
                <c:pt idx="194">
                  <c:v>20</c:v>
                </c:pt>
                <c:pt idx="195">
                  <c:v>20</c:v>
                </c:pt>
                <c:pt idx="196">
                  <c:v>25</c:v>
                </c:pt>
                <c:pt idx="197">
                  <c:v>20</c:v>
                </c:pt>
                <c:pt idx="198">
                  <c:v>25</c:v>
                </c:pt>
                <c:pt idx="199">
                  <c:v>20</c:v>
                </c:pt>
                <c:pt idx="200">
                  <c:v>25</c:v>
                </c:pt>
                <c:pt idx="201">
                  <c:v>30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20</c:v>
                </c:pt>
                <c:pt idx="208">
                  <c:v>25</c:v>
                </c:pt>
                <c:pt idx="209">
                  <c:v>20</c:v>
                </c:pt>
                <c:pt idx="210">
                  <c:v>20</c:v>
                </c:pt>
                <c:pt idx="211">
                  <c:v>25</c:v>
                </c:pt>
                <c:pt idx="212">
                  <c:v>20</c:v>
                </c:pt>
                <c:pt idx="213">
                  <c:v>25</c:v>
                </c:pt>
                <c:pt idx="214">
                  <c:v>20</c:v>
                </c:pt>
                <c:pt idx="215">
                  <c:v>20</c:v>
                </c:pt>
                <c:pt idx="216">
                  <c:v>25</c:v>
                </c:pt>
                <c:pt idx="217">
                  <c:v>20</c:v>
                </c:pt>
                <c:pt idx="218">
                  <c:v>25</c:v>
                </c:pt>
                <c:pt idx="219">
                  <c:v>20</c:v>
                </c:pt>
                <c:pt idx="220">
                  <c:v>25</c:v>
                </c:pt>
                <c:pt idx="221">
                  <c:v>30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20</c:v>
                </c:pt>
                <c:pt idx="228">
                  <c:v>25</c:v>
                </c:pt>
                <c:pt idx="229">
                  <c:v>35</c:v>
                </c:pt>
                <c:pt idx="230">
                  <c:v>25</c:v>
                </c:pt>
                <c:pt idx="231">
                  <c:v>20</c:v>
                </c:pt>
                <c:pt idx="232">
                  <c:v>30</c:v>
                </c:pt>
                <c:pt idx="233">
                  <c:v>40</c:v>
                </c:pt>
                <c:pt idx="234">
                  <c:v>20</c:v>
                </c:pt>
                <c:pt idx="235">
                  <c:v>20</c:v>
                </c:pt>
                <c:pt idx="236">
                  <c:v>30</c:v>
                </c:pt>
                <c:pt idx="237">
                  <c:v>25</c:v>
                </c:pt>
                <c:pt idx="238">
                  <c:v>20</c:v>
                </c:pt>
                <c:pt idx="239">
                  <c:v>25</c:v>
                </c:pt>
                <c:pt idx="240">
                  <c:v>20</c:v>
                </c:pt>
                <c:pt idx="241">
                  <c:v>25</c:v>
                </c:pt>
                <c:pt idx="242">
                  <c:v>20</c:v>
                </c:pt>
                <c:pt idx="243">
                  <c:v>25</c:v>
                </c:pt>
                <c:pt idx="244">
                  <c:v>25</c:v>
                </c:pt>
                <c:pt idx="245">
                  <c:v>20</c:v>
                </c:pt>
                <c:pt idx="246">
                  <c:v>25</c:v>
                </c:pt>
                <c:pt idx="247">
                  <c:v>20</c:v>
                </c:pt>
                <c:pt idx="248">
                  <c:v>20</c:v>
                </c:pt>
                <c:pt idx="249">
                  <c:v>25</c:v>
                </c:pt>
                <c:pt idx="250">
                  <c:v>20</c:v>
                </c:pt>
                <c:pt idx="251">
                  <c:v>25</c:v>
                </c:pt>
                <c:pt idx="252">
                  <c:v>20</c:v>
                </c:pt>
                <c:pt idx="253">
                  <c:v>25</c:v>
                </c:pt>
                <c:pt idx="254">
                  <c:v>25</c:v>
                </c:pt>
                <c:pt idx="255">
                  <c:v>20</c:v>
                </c:pt>
                <c:pt idx="256">
                  <c:v>25</c:v>
                </c:pt>
                <c:pt idx="257">
                  <c:v>20</c:v>
                </c:pt>
                <c:pt idx="258">
                  <c:v>20</c:v>
                </c:pt>
                <c:pt idx="259">
                  <c:v>25</c:v>
                </c:pt>
                <c:pt idx="260">
                  <c:v>20</c:v>
                </c:pt>
                <c:pt idx="261">
                  <c:v>25</c:v>
                </c:pt>
                <c:pt idx="262">
                  <c:v>20</c:v>
                </c:pt>
                <c:pt idx="263">
                  <c:v>25</c:v>
                </c:pt>
                <c:pt idx="264">
                  <c:v>20</c:v>
                </c:pt>
                <c:pt idx="265">
                  <c:v>25</c:v>
                </c:pt>
                <c:pt idx="266">
                  <c:v>20</c:v>
                </c:pt>
                <c:pt idx="267">
                  <c:v>30</c:v>
                </c:pt>
                <c:pt idx="268">
                  <c:v>40</c:v>
                </c:pt>
                <c:pt idx="269">
                  <c:v>20</c:v>
                </c:pt>
                <c:pt idx="270">
                  <c:v>50</c:v>
                </c:pt>
                <c:pt idx="271">
                  <c:v>35</c:v>
                </c:pt>
                <c:pt idx="272">
                  <c:v>20</c:v>
                </c:pt>
                <c:pt idx="273">
                  <c:v>40</c:v>
                </c:pt>
                <c:pt idx="274">
                  <c:v>30</c:v>
                </c:pt>
                <c:pt idx="275">
                  <c:v>45</c:v>
                </c:pt>
                <c:pt idx="276">
                  <c:v>25</c:v>
                </c:pt>
                <c:pt idx="277">
                  <c:v>30</c:v>
                </c:pt>
                <c:pt idx="278">
                  <c:v>20</c:v>
                </c:pt>
                <c:pt idx="279">
                  <c:v>35</c:v>
                </c:pt>
                <c:pt idx="280">
                  <c:v>20</c:v>
                </c:pt>
                <c:pt idx="281">
                  <c:v>30</c:v>
                </c:pt>
                <c:pt idx="282">
                  <c:v>25</c:v>
                </c:pt>
                <c:pt idx="283">
                  <c:v>25</c:v>
                </c:pt>
                <c:pt idx="284">
                  <c:v>20</c:v>
                </c:pt>
                <c:pt idx="285">
                  <c:v>30</c:v>
                </c:pt>
                <c:pt idx="286">
                  <c:v>30</c:v>
                </c:pt>
                <c:pt idx="287">
                  <c:v>25</c:v>
                </c:pt>
                <c:pt idx="288">
                  <c:v>25</c:v>
                </c:pt>
                <c:pt idx="289">
                  <c:v>20</c:v>
                </c:pt>
                <c:pt idx="290">
                  <c:v>20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20</c:v>
                </c:pt>
                <c:pt idx="295">
                  <c:v>20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20</c:v>
                </c:pt>
                <c:pt idx="300">
                  <c:v>20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20</c:v>
                </c:pt>
                <c:pt idx="305">
                  <c:v>20</c:v>
                </c:pt>
                <c:pt idx="306">
                  <c:v>30</c:v>
                </c:pt>
                <c:pt idx="307">
                  <c:v>40</c:v>
                </c:pt>
                <c:pt idx="308">
                  <c:v>20</c:v>
                </c:pt>
                <c:pt idx="309">
                  <c:v>50</c:v>
                </c:pt>
                <c:pt idx="310">
                  <c:v>35</c:v>
                </c:pt>
                <c:pt idx="311">
                  <c:v>20</c:v>
                </c:pt>
                <c:pt idx="312">
                  <c:v>40</c:v>
                </c:pt>
                <c:pt idx="313">
                  <c:v>30</c:v>
                </c:pt>
                <c:pt idx="314">
                  <c:v>45</c:v>
                </c:pt>
                <c:pt idx="315">
                  <c:v>20</c:v>
                </c:pt>
                <c:pt idx="316">
                  <c:v>30</c:v>
                </c:pt>
                <c:pt idx="317">
                  <c:v>40</c:v>
                </c:pt>
                <c:pt idx="318">
                  <c:v>20</c:v>
                </c:pt>
                <c:pt idx="319">
                  <c:v>50</c:v>
                </c:pt>
                <c:pt idx="320">
                  <c:v>35</c:v>
                </c:pt>
                <c:pt idx="321">
                  <c:v>20</c:v>
                </c:pt>
                <c:pt idx="322">
                  <c:v>40</c:v>
                </c:pt>
                <c:pt idx="323">
                  <c:v>30</c:v>
                </c:pt>
                <c:pt idx="324">
                  <c:v>45</c:v>
                </c:pt>
                <c:pt idx="325">
                  <c:v>20</c:v>
                </c:pt>
                <c:pt idx="326">
                  <c:v>30</c:v>
                </c:pt>
                <c:pt idx="327">
                  <c:v>40</c:v>
                </c:pt>
                <c:pt idx="328">
                  <c:v>20</c:v>
                </c:pt>
                <c:pt idx="329">
                  <c:v>50</c:v>
                </c:pt>
                <c:pt idx="330">
                  <c:v>20</c:v>
                </c:pt>
                <c:pt idx="331">
                  <c:v>30</c:v>
                </c:pt>
                <c:pt idx="332">
                  <c:v>40</c:v>
                </c:pt>
                <c:pt idx="333">
                  <c:v>20</c:v>
                </c:pt>
                <c:pt idx="334">
                  <c:v>50</c:v>
                </c:pt>
                <c:pt idx="335">
                  <c:v>20</c:v>
                </c:pt>
                <c:pt idx="336">
                  <c:v>30</c:v>
                </c:pt>
                <c:pt idx="337">
                  <c:v>40</c:v>
                </c:pt>
                <c:pt idx="338">
                  <c:v>20</c:v>
                </c:pt>
                <c:pt idx="339">
                  <c:v>50</c:v>
                </c:pt>
                <c:pt idx="340">
                  <c:v>35</c:v>
                </c:pt>
                <c:pt idx="341">
                  <c:v>20</c:v>
                </c:pt>
                <c:pt idx="342">
                  <c:v>40</c:v>
                </c:pt>
                <c:pt idx="343">
                  <c:v>30</c:v>
                </c:pt>
                <c:pt idx="344">
                  <c:v>45</c:v>
                </c:pt>
                <c:pt idx="345">
                  <c:v>20</c:v>
                </c:pt>
                <c:pt idx="346">
                  <c:v>30</c:v>
                </c:pt>
                <c:pt idx="347">
                  <c:v>40</c:v>
                </c:pt>
                <c:pt idx="348">
                  <c:v>20</c:v>
                </c:pt>
                <c:pt idx="349">
                  <c:v>50</c:v>
                </c:pt>
                <c:pt idx="350">
                  <c:v>35</c:v>
                </c:pt>
                <c:pt idx="351">
                  <c:v>20</c:v>
                </c:pt>
                <c:pt idx="352">
                  <c:v>40</c:v>
                </c:pt>
                <c:pt idx="353">
                  <c:v>30</c:v>
                </c:pt>
                <c:pt idx="354">
                  <c:v>45</c:v>
                </c:pt>
                <c:pt idx="355">
                  <c:v>20</c:v>
                </c:pt>
                <c:pt idx="356">
                  <c:v>30</c:v>
                </c:pt>
                <c:pt idx="357">
                  <c:v>40</c:v>
                </c:pt>
                <c:pt idx="358">
                  <c:v>20</c:v>
                </c:pt>
                <c:pt idx="359">
                  <c:v>50</c:v>
                </c:pt>
                <c:pt idx="360">
                  <c:v>20</c:v>
                </c:pt>
                <c:pt idx="361">
                  <c:v>20</c:v>
                </c:pt>
                <c:pt idx="362">
                  <c:v>30</c:v>
                </c:pt>
                <c:pt idx="363">
                  <c:v>40</c:v>
                </c:pt>
                <c:pt idx="364">
                  <c:v>20</c:v>
                </c:pt>
                <c:pt idx="365">
                  <c:v>50</c:v>
                </c:pt>
                <c:pt idx="366">
                  <c:v>35</c:v>
                </c:pt>
                <c:pt idx="367">
                  <c:v>20</c:v>
                </c:pt>
                <c:pt idx="368">
                  <c:v>40</c:v>
                </c:pt>
                <c:pt idx="369">
                  <c:v>30</c:v>
                </c:pt>
                <c:pt idx="370">
                  <c:v>45</c:v>
                </c:pt>
                <c:pt idx="371">
                  <c:v>20</c:v>
                </c:pt>
                <c:pt idx="372">
                  <c:v>30</c:v>
                </c:pt>
                <c:pt idx="373">
                  <c:v>40</c:v>
                </c:pt>
                <c:pt idx="374">
                  <c:v>20</c:v>
                </c:pt>
                <c:pt idx="375">
                  <c:v>50</c:v>
                </c:pt>
                <c:pt idx="376">
                  <c:v>35</c:v>
                </c:pt>
                <c:pt idx="377">
                  <c:v>20</c:v>
                </c:pt>
                <c:pt idx="378">
                  <c:v>40</c:v>
                </c:pt>
                <c:pt idx="379">
                  <c:v>30</c:v>
                </c:pt>
                <c:pt idx="380">
                  <c:v>45</c:v>
                </c:pt>
                <c:pt idx="381">
                  <c:v>20</c:v>
                </c:pt>
                <c:pt idx="382">
                  <c:v>30</c:v>
                </c:pt>
                <c:pt idx="383">
                  <c:v>40</c:v>
                </c:pt>
                <c:pt idx="384">
                  <c:v>20</c:v>
                </c:pt>
                <c:pt idx="385">
                  <c:v>50</c:v>
                </c:pt>
                <c:pt idx="386">
                  <c:v>20</c:v>
                </c:pt>
                <c:pt idx="387">
                  <c:v>20</c:v>
                </c:pt>
                <c:pt idx="388">
                  <c:v>30</c:v>
                </c:pt>
                <c:pt idx="389">
                  <c:v>40</c:v>
                </c:pt>
                <c:pt idx="390">
                  <c:v>20</c:v>
                </c:pt>
                <c:pt idx="391">
                  <c:v>50</c:v>
                </c:pt>
                <c:pt idx="392">
                  <c:v>35</c:v>
                </c:pt>
                <c:pt idx="393">
                  <c:v>20</c:v>
                </c:pt>
                <c:pt idx="394">
                  <c:v>40</c:v>
                </c:pt>
                <c:pt idx="395">
                  <c:v>30</c:v>
                </c:pt>
                <c:pt idx="396">
                  <c:v>45</c:v>
                </c:pt>
                <c:pt idx="397">
                  <c:v>20</c:v>
                </c:pt>
                <c:pt idx="398">
                  <c:v>30</c:v>
                </c:pt>
                <c:pt idx="399">
                  <c:v>40</c:v>
                </c:pt>
                <c:pt idx="400">
                  <c:v>20</c:v>
                </c:pt>
                <c:pt idx="401">
                  <c:v>50</c:v>
                </c:pt>
                <c:pt idx="402">
                  <c:v>35</c:v>
                </c:pt>
                <c:pt idx="403">
                  <c:v>20</c:v>
                </c:pt>
                <c:pt idx="404">
                  <c:v>40</c:v>
                </c:pt>
                <c:pt idx="405">
                  <c:v>30</c:v>
                </c:pt>
                <c:pt idx="406">
                  <c:v>45</c:v>
                </c:pt>
                <c:pt idx="407">
                  <c:v>20</c:v>
                </c:pt>
                <c:pt idx="408">
                  <c:v>30</c:v>
                </c:pt>
                <c:pt idx="409">
                  <c:v>40</c:v>
                </c:pt>
                <c:pt idx="410">
                  <c:v>20</c:v>
                </c:pt>
                <c:pt idx="411">
                  <c:v>50</c:v>
                </c:pt>
                <c:pt idx="412">
                  <c:v>20</c:v>
                </c:pt>
                <c:pt idx="413">
                  <c:v>20</c:v>
                </c:pt>
                <c:pt idx="414">
                  <c:v>30</c:v>
                </c:pt>
                <c:pt idx="415">
                  <c:v>40</c:v>
                </c:pt>
                <c:pt idx="416">
                  <c:v>20</c:v>
                </c:pt>
                <c:pt idx="417">
                  <c:v>50</c:v>
                </c:pt>
                <c:pt idx="418">
                  <c:v>35</c:v>
                </c:pt>
                <c:pt idx="419">
                  <c:v>20</c:v>
                </c:pt>
                <c:pt idx="420">
                  <c:v>40</c:v>
                </c:pt>
                <c:pt idx="421">
                  <c:v>30</c:v>
                </c:pt>
                <c:pt idx="422">
                  <c:v>45</c:v>
                </c:pt>
                <c:pt idx="423">
                  <c:v>20</c:v>
                </c:pt>
                <c:pt idx="424">
                  <c:v>30</c:v>
                </c:pt>
                <c:pt idx="425">
                  <c:v>40</c:v>
                </c:pt>
                <c:pt idx="426">
                  <c:v>20</c:v>
                </c:pt>
                <c:pt idx="427">
                  <c:v>50</c:v>
                </c:pt>
                <c:pt idx="428">
                  <c:v>35</c:v>
                </c:pt>
                <c:pt idx="429">
                  <c:v>20</c:v>
                </c:pt>
                <c:pt idx="430">
                  <c:v>40</c:v>
                </c:pt>
                <c:pt idx="431">
                  <c:v>30</c:v>
                </c:pt>
                <c:pt idx="432">
                  <c:v>45</c:v>
                </c:pt>
                <c:pt idx="433">
                  <c:v>20</c:v>
                </c:pt>
                <c:pt idx="434">
                  <c:v>30</c:v>
                </c:pt>
                <c:pt idx="435">
                  <c:v>40</c:v>
                </c:pt>
                <c:pt idx="436">
                  <c:v>20</c:v>
                </c:pt>
                <c:pt idx="437">
                  <c:v>50</c:v>
                </c:pt>
                <c:pt idx="438">
                  <c:v>35</c:v>
                </c:pt>
                <c:pt idx="439">
                  <c:v>20</c:v>
                </c:pt>
                <c:pt idx="440">
                  <c:v>40</c:v>
                </c:pt>
                <c:pt idx="441">
                  <c:v>30</c:v>
                </c:pt>
                <c:pt idx="442">
                  <c:v>45</c:v>
                </c:pt>
                <c:pt idx="443">
                  <c:v>20</c:v>
                </c:pt>
                <c:pt idx="444">
                  <c:v>30</c:v>
                </c:pt>
                <c:pt idx="445">
                  <c:v>40</c:v>
                </c:pt>
                <c:pt idx="446">
                  <c:v>20</c:v>
                </c:pt>
                <c:pt idx="447">
                  <c:v>50</c:v>
                </c:pt>
                <c:pt idx="448">
                  <c:v>20</c:v>
                </c:pt>
                <c:pt idx="449">
                  <c:v>30</c:v>
                </c:pt>
                <c:pt idx="450">
                  <c:v>40</c:v>
                </c:pt>
                <c:pt idx="451">
                  <c:v>30</c:v>
                </c:pt>
                <c:pt idx="452">
                  <c:v>35</c:v>
                </c:pt>
                <c:pt idx="453">
                  <c:v>40</c:v>
                </c:pt>
                <c:pt idx="454">
                  <c:v>20</c:v>
                </c:pt>
                <c:pt idx="455">
                  <c:v>50</c:v>
                </c:pt>
                <c:pt idx="456">
                  <c:v>35</c:v>
                </c:pt>
                <c:pt idx="457">
                  <c:v>20</c:v>
                </c:pt>
                <c:pt idx="458">
                  <c:v>40</c:v>
                </c:pt>
                <c:pt idx="459">
                  <c:v>20</c:v>
                </c:pt>
                <c:pt idx="460">
                  <c:v>30</c:v>
                </c:pt>
                <c:pt idx="461">
                  <c:v>40</c:v>
                </c:pt>
                <c:pt idx="462">
                  <c:v>20</c:v>
                </c:pt>
                <c:pt idx="463">
                  <c:v>50</c:v>
                </c:pt>
                <c:pt idx="464">
                  <c:v>35</c:v>
                </c:pt>
                <c:pt idx="465">
                  <c:v>20</c:v>
                </c:pt>
                <c:pt idx="466">
                  <c:v>40</c:v>
                </c:pt>
                <c:pt idx="467">
                  <c:v>30</c:v>
                </c:pt>
                <c:pt idx="468">
                  <c:v>45</c:v>
                </c:pt>
                <c:pt idx="469">
                  <c:v>20</c:v>
                </c:pt>
                <c:pt idx="470">
                  <c:v>30</c:v>
                </c:pt>
                <c:pt idx="471">
                  <c:v>40</c:v>
                </c:pt>
                <c:pt idx="472">
                  <c:v>20</c:v>
                </c:pt>
                <c:pt idx="473">
                  <c:v>50</c:v>
                </c:pt>
                <c:pt idx="474">
                  <c:v>35</c:v>
                </c:pt>
                <c:pt idx="475">
                  <c:v>20</c:v>
                </c:pt>
                <c:pt idx="476">
                  <c:v>40</c:v>
                </c:pt>
                <c:pt idx="477">
                  <c:v>30</c:v>
                </c:pt>
                <c:pt idx="478">
                  <c:v>45</c:v>
                </c:pt>
                <c:pt idx="479">
                  <c:v>20</c:v>
                </c:pt>
                <c:pt idx="480">
                  <c:v>30</c:v>
                </c:pt>
                <c:pt idx="481">
                  <c:v>40</c:v>
                </c:pt>
                <c:pt idx="482">
                  <c:v>20</c:v>
                </c:pt>
                <c:pt idx="483">
                  <c:v>50</c:v>
                </c:pt>
                <c:pt idx="484">
                  <c:v>35</c:v>
                </c:pt>
                <c:pt idx="485">
                  <c:v>20</c:v>
                </c:pt>
                <c:pt idx="486">
                  <c:v>40</c:v>
                </c:pt>
                <c:pt idx="487">
                  <c:v>20</c:v>
                </c:pt>
                <c:pt idx="488">
                  <c:v>30</c:v>
                </c:pt>
                <c:pt idx="489">
                  <c:v>40</c:v>
                </c:pt>
                <c:pt idx="490">
                  <c:v>20</c:v>
                </c:pt>
                <c:pt idx="491">
                  <c:v>50</c:v>
                </c:pt>
                <c:pt idx="492">
                  <c:v>35</c:v>
                </c:pt>
                <c:pt idx="493">
                  <c:v>20</c:v>
                </c:pt>
                <c:pt idx="494">
                  <c:v>40</c:v>
                </c:pt>
                <c:pt idx="495">
                  <c:v>30</c:v>
                </c:pt>
                <c:pt idx="496">
                  <c:v>45</c:v>
                </c:pt>
                <c:pt idx="497">
                  <c:v>20</c:v>
                </c:pt>
                <c:pt idx="498">
                  <c:v>30</c:v>
                </c:pt>
                <c:pt idx="499">
                  <c:v>40</c:v>
                </c:pt>
                <c:pt idx="500">
                  <c:v>20</c:v>
                </c:pt>
                <c:pt idx="501">
                  <c:v>50</c:v>
                </c:pt>
                <c:pt idx="502">
                  <c:v>35</c:v>
                </c:pt>
                <c:pt idx="503">
                  <c:v>20</c:v>
                </c:pt>
                <c:pt idx="504">
                  <c:v>40</c:v>
                </c:pt>
                <c:pt idx="505">
                  <c:v>30</c:v>
                </c:pt>
                <c:pt idx="506">
                  <c:v>45</c:v>
                </c:pt>
                <c:pt idx="507">
                  <c:v>20</c:v>
                </c:pt>
                <c:pt idx="508">
                  <c:v>30</c:v>
                </c:pt>
                <c:pt idx="509">
                  <c:v>40</c:v>
                </c:pt>
                <c:pt idx="510">
                  <c:v>20</c:v>
                </c:pt>
                <c:pt idx="511">
                  <c:v>50</c:v>
                </c:pt>
                <c:pt idx="512">
                  <c:v>35</c:v>
                </c:pt>
                <c:pt idx="513">
                  <c:v>20</c:v>
                </c:pt>
                <c:pt idx="514">
                  <c:v>40</c:v>
                </c:pt>
                <c:pt idx="515">
                  <c:v>20</c:v>
                </c:pt>
                <c:pt idx="516">
                  <c:v>30</c:v>
                </c:pt>
                <c:pt idx="517">
                  <c:v>40</c:v>
                </c:pt>
                <c:pt idx="518">
                  <c:v>20</c:v>
                </c:pt>
                <c:pt idx="519">
                  <c:v>50</c:v>
                </c:pt>
                <c:pt idx="520">
                  <c:v>35</c:v>
                </c:pt>
                <c:pt idx="521">
                  <c:v>20</c:v>
                </c:pt>
                <c:pt idx="522">
                  <c:v>40</c:v>
                </c:pt>
                <c:pt idx="523">
                  <c:v>30</c:v>
                </c:pt>
                <c:pt idx="524">
                  <c:v>45</c:v>
                </c:pt>
                <c:pt idx="525">
                  <c:v>20</c:v>
                </c:pt>
                <c:pt idx="526">
                  <c:v>30</c:v>
                </c:pt>
                <c:pt idx="527">
                  <c:v>40</c:v>
                </c:pt>
                <c:pt idx="528">
                  <c:v>20</c:v>
                </c:pt>
                <c:pt idx="529">
                  <c:v>50</c:v>
                </c:pt>
                <c:pt idx="530">
                  <c:v>35</c:v>
                </c:pt>
                <c:pt idx="531">
                  <c:v>20</c:v>
                </c:pt>
                <c:pt idx="532">
                  <c:v>40</c:v>
                </c:pt>
                <c:pt idx="533">
                  <c:v>30</c:v>
                </c:pt>
                <c:pt idx="534">
                  <c:v>45</c:v>
                </c:pt>
                <c:pt idx="535">
                  <c:v>20</c:v>
                </c:pt>
                <c:pt idx="536">
                  <c:v>30</c:v>
                </c:pt>
                <c:pt idx="537">
                  <c:v>40</c:v>
                </c:pt>
                <c:pt idx="538">
                  <c:v>20</c:v>
                </c:pt>
                <c:pt idx="539">
                  <c:v>50</c:v>
                </c:pt>
                <c:pt idx="540">
                  <c:v>35</c:v>
                </c:pt>
                <c:pt idx="541">
                  <c:v>20</c:v>
                </c:pt>
                <c:pt idx="542">
                  <c:v>45</c:v>
                </c:pt>
                <c:pt idx="543">
                  <c:v>40</c:v>
                </c:pt>
                <c:pt idx="544">
                  <c:v>20</c:v>
                </c:pt>
                <c:pt idx="545">
                  <c:v>40</c:v>
                </c:pt>
                <c:pt idx="546">
                  <c:v>30</c:v>
                </c:pt>
                <c:pt idx="547">
                  <c:v>45</c:v>
                </c:pt>
                <c:pt idx="548">
                  <c:v>20</c:v>
                </c:pt>
                <c:pt idx="549">
                  <c:v>30</c:v>
                </c:pt>
                <c:pt idx="550">
                  <c:v>40</c:v>
                </c:pt>
                <c:pt idx="551">
                  <c:v>20</c:v>
                </c:pt>
                <c:pt idx="552">
                  <c:v>50</c:v>
                </c:pt>
                <c:pt idx="553">
                  <c:v>35</c:v>
                </c:pt>
                <c:pt idx="554">
                  <c:v>20</c:v>
                </c:pt>
                <c:pt idx="555">
                  <c:v>40</c:v>
                </c:pt>
                <c:pt idx="556">
                  <c:v>30</c:v>
                </c:pt>
                <c:pt idx="557">
                  <c:v>45</c:v>
                </c:pt>
                <c:pt idx="558">
                  <c:v>20</c:v>
                </c:pt>
                <c:pt idx="559">
                  <c:v>30</c:v>
                </c:pt>
                <c:pt idx="560">
                  <c:v>40</c:v>
                </c:pt>
                <c:pt idx="561">
                  <c:v>20</c:v>
                </c:pt>
                <c:pt idx="562">
                  <c:v>50</c:v>
                </c:pt>
                <c:pt idx="563">
                  <c:v>35</c:v>
                </c:pt>
                <c:pt idx="564">
                  <c:v>20</c:v>
                </c:pt>
                <c:pt idx="565">
                  <c:v>40</c:v>
                </c:pt>
                <c:pt idx="566">
                  <c:v>30</c:v>
                </c:pt>
                <c:pt idx="567">
                  <c:v>45</c:v>
                </c:pt>
                <c:pt idx="568">
                  <c:v>35</c:v>
                </c:pt>
                <c:pt idx="569">
                  <c:v>45</c:v>
                </c:pt>
                <c:pt idx="570">
                  <c:v>40</c:v>
                </c:pt>
                <c:pt idx="571">
                  <c:v>20</c:v>
                </c:pt>
                <c:pt idx="572">
                  <c:v>40</c:v>
                </c:pt>
                <c:pt idx="573">
                  <c:v>30</c:v>
                </c:pt>
                <c:pt idx="574">
                  <c:v>45</c:v>
                </c:pt>
                <c:pt idx="575">
                  <c:v>20</c:v>
                </c:pt>
                <c:pt idx="576">
                  <c:v>30</c:v>
                </c:pt>
                <c:pt idx="577">
                  <c:v>40</c:v>
                </c:pt>
                <c:pt idx="578">
                  <c:v>20</c:v>
                </c:pt>
                <c:pt idx="579">
                  <c:v>50</c:v>
                </c:pt>
                <c:pt idx="580">
                  <c:v>35</c:v>
                </c:pt>
                <c:pt idx="581">
                  <c:v>20</c:v>
                </c:pt>
                <c:pt idx="582">
                  <c:v>40</c:v>
                </c:pt>
                <c:pt idx="583">
                  <c:v>30</c:v>
                </c:pt>
                <c:pt idx="584">
                  <c:v>45</c:v>
                </c:pt>
                <c:pt idx="585">
                  <c:v>20</c:v>
                </c:pt>
                <c:pt idx="586">
                  <c:v>30</c:v>
                </c:pt>
                <c:pt idx="587">
                  <c:v>40</c:v>
                </c:pt>
                <c:pt idx="588">
                  <c:v>20</c:v>
                </c:pt>
                <c:pt idx="589">
                  <c:v>50</c:v>
                </c:pt>
                <c:pt idx="590">
                  <c:v>35</c:v>
                </c:pt>
                <c:pt idx="591">
                  <c:v>20</c:v>
                </c:pt>
                <c:pt idx="592">
                  <c:v>40</c:v>
                </c:pt>
                <c:pt idx="593">
                  <c:v>30</c:v>
                </c:pt>
                <c:pt idx="594">
                  <c:v>45</c:v>
                </c:pt>
                <c:pt idx="595">
                  <c:v>20</c:v>
                </c:pt>
                <c:pt idx="596">
                  <c:v>30</c:v>
                </c:pt>
                <c:pt idx="597">
                  <c:v>40</c:v>
                </c:pt>
                <c:pt idx="598">
                  <c:v>20</c:v>
                </c:pt>
                <c:pt idx="599">
                  <c:v>45</c:v>
                </c:pt>
                <c:pt idx="600">
                  <c:v>40</c:v>
                </c:pt>
                <c:pt idx="601">
                  <c:v>20</c:v>
                </c:pt>
                <c:pt idx="602">
                  <c:v>40</c:v>
                </c:pt>
                <c:pt idx="603">
                  <c:v>30</c:v>
                </c:pt>
                <c:pt idx="604">
                  <c:v>45</c:v>
                </c:pt>
                <c:pt idx="605">
                  <c:v>20</c:v>
                </c:pt>
                <c:pt idx="606">
                  <c:v>30</c:v>
                </c:pt>
                <c:pt idx="607">
                  <c:v>40</c:v>
                </c:pt>
                <c:pt idx="608">
                  <c:v>20</c:v>
                </c:pt>
                <c:pt idx="609">
                  <c:v>50</c:v>
                </c:pt>
                <c:pt idx="610">
                  <c:v>35</c:v>
                </c:pt>
                <c:pt idx="611">
                  <c:v>20</c:v>
                </c:pt>
                <c:pt idx="612">
                  <c:v>40</c:v>
                </c:pt>
                <c:pt idx="613">
                  <c:v>30</c:v>
                </c:pt>
                <c:pt idx="614">
                  <c:v>45</c:v>
                </c:pt>
                <c:pt idx="615">
                  <c:v>20</c:v>
                </c:pt>
                <c:pt idx="616">
                  <c:v>30</c:v>
                </c:pt>
                <c:pt idx="617">
                  <c:v>40</c:v>
                </c:pt>
                <c:pt idx="618">
                  <c:v>20</c:v>
                </c:pt>
                <c:pt idx="619">
                  <c:v>50</c:v>
                </c:pt>
                <c:pt idx="620">
                  <c:v>35</c:v>
                </c:pt>
                <c:pt idx="621">
                  <c:v>20</c:v>
                </c:pt>
                <c:pt idx="622">
                  <c:v>40</c:v>
                </c:pt>
                <c:pt idx="623">
                  <c:v>35</c:v>
                </c:pt>
                <c:pt idx="624">
                  <c:v>30</c:v>
                </c:pt>
                <c:pt idx="625">
                  <c:v>50</c:v>
                </c:pt>
                <c:pt idx="626">
                  <c:v>35</c:v>
                </c:pt>
                <c:pt idx="627">
                  <c:v>25</c:v>
                </c:pt>
                <c:pt idx="628">
                  <c:v>40</c:v>
                </c:pt>
                <c:pt idx="629">
                  <c:v>35</c:v>
                </c:pt>
                <c:pt idx="630">
                  <c:v>45</c:v>
                </c:pt>
                <c:pt idx="631">
                  <c:v>30</c:v>
                </c:pt>
                <c:pt idx="632">
                  <c:v>40</c:v>
                </c:pt>
                <c:pt idx="633">
                  <c:v>25</c:v>
                </c:pt>
                <c:pt idx="634">
                  <c:v>30</c:v>
                </c:pt>
                <c:pt idx="635">
                  <c:v>50</c:v>
                </c:pt>
                <c:pt idx="636">
                  <c:v>35</c:v>
                </c:pt>
                <c:pt idx="637">
                  <c:v>25</c:v>
                </c:pt>
                <c:pt idx="638">
                  <c:v>30</c:v>
                </c:pt>
                <c:pt idx="639">
                  <c:v>40</c:v>
                </c:pt>
                <c:pt idx="640">
                  <c:v>45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50</c:v>
                </c:pt>
                <c:pt idx="645">
                  <c:v>35</c:v>
                </c:pt>
                <c:pt idx="646">
                  <c:v>20</c:v>
                </c:pt>
                <c:pt idx="647">
                  <c:v>40</c:v>
                </c:pt>
                <c:pt idx="648">
                  <c:v>30</c:v>
                </c:pt>
                <c:pt idx="649">
                  <c:v>40</c:v>
                </c:pt>
                <c:pt idx="650">
                  <c:v>30</c:v>
                </c:pt>
                <c:pt idx="651">
                  <c:v>30</c:v>
                </c:pt>
                <c:pt idx="652">
                  <c:v>40</c:v>
                </c:pt>
                <c:pt idx="653">
                  <c:v>30</c:v>
                </c:pt>
                <c:pt idx="654">
                  <c:v>40</c:v>
                </c:pt>
                <c:pt idx="655">
                  <c:v>30</c:v>
                </c:pt>
                <c:pt idx="656">
                  <c:v>30</c:v>
                </c:pt>
                <c:pt idx="657">
                  <c:v>40</c:v>
                </c:pt>
                <c:pt idx="658">
                  <c:v>30</c:v>
                </c:pt>
                <c:pt idx="659">
                  <c:v>40</c:v>
                </c:pt>
                <c:pt idx="660">
                  <c:v>30</c:v>
                </c:pt>
                <c:pt idx="661">
                  <c:v>30</c:v>
                </c:pt>
                <c:pt idx="662">
                  <c:v>40</c:v>
                </c:pt>
                <c:pt idx="663">
                  <c:v>30</c:v>
                </c:pt>
                <c:pt idx="664">
                  <c:v>40</c:v>
                </c:pt>
                <c:pt idx="665">
                  <c:v>30</c:v>
                </c:pt>
                <c:pt idx="666">
                  <c:v>30</c:v>
                </c:pt>
                <c:pt idx="667">
                  <c:v>40</c:v>
                </c:pt>
                <c:pt idx="668">
                  <c:v>30</c:v>
                </c:pt>
                <c:pt idx="669">
                  <c:v>35</c:v>
                </c:pt>
                <c:pt idx="670">
                  <c:v>40</c:v>
                </c:pt>
                <c:pt idx="671">
                  <c:v>25</c:v>
                </c:pt>
                <c:pt idx="672">
                  <c:v>40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35</c:v>
                </c:pt>
                <c:pt idx="677">
                  <c:v>45</c:v>
                </c:pt>
                <c:pt idx="678">
                  <c:v>30</c:v>
                </c:pt>
                <c:pt idx="679">
                  <c:v>35</c:v>
                </c:pt>
                <c:pt idx="680">
                  <c:v>30</c:v>
                </c:pt>
                <c:pt idx="681">
                  <c:v>30</c:v>
                </c:pt>
                <c:pt idx="682">
                  <c:v>40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30</c:v>
                </c:pt>
                <c:pt idx="687">
                  <c:v>40</c:v>
                </c:pt>
                <c:pt idx="688">
                  <c:v>30</c:v>
                </c:pt>
                <c:pt idx="689">
                  <c:v>30</c:v>
                </c:pt>
                <c:pt idx="690">
                  <c:v>30</c:v>
                </c:pt>
                <c:pt idx="691">
                  <c:v>30</c:v>
                </c:pt>
                <c:pt idx="692">
                  <c:v>40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</c:v>
                </c:pt>
                <c:pt idx="755">
                  <c:v>30</c:v>
                </c:pt>
                <c:pt idx="756">
                  <c:v>30</c:v>
                </c:pt>
                <c:pt idx="757">
                  <c:v>30</c:v>
                </c:pt>
                <c:pt idx="758">
                  <c:v>30</c:v>
                </c:pt>
                <c:pt idx="759">
                  <c:v>30</c:v>
                </c:pt>
                <c:pt idx="760">
                  <c:v>30</c:v>
                </c:pt>
                <c:pt idx="761">
                  <c:v>30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30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30</c:v>
                </c:pt>
                <c:pt idx="774">
                  <c:v>30</c:v>
                </c:pt>
                <c:pt idx="775">
                  <c:v>30</c:v>
                </c:pt>
                <c:pt idx="776">
                  <c:v>30</c:v>
                </c:pt>
                <c:pt idx="777">
                  <c:v>30</c:v>
                </c:pt>
                <c:pt idx="778">
                  <c:v>30</c:v>
                </c:pt>
                <c:pt idx="779">
                  <c:v>30</c:v>
                </c:pt>
                <c:pt idx="780">
                  <c:v>30</c:v>
                </c:pt>
                <c:pt idx="781">
                  <c:v>30</c:v>
                </c:pt>
                <c:pt idx="782">
                  <c:v>30</c:v>
                </c:pt>
                <c:pt idx="783">
                  <c:v>30</c:v>
                </c:pt>
                <c:pt idx="784">
                  <c:v>30</c:v>
                </c:pt>
                <c:pt idx="785">
                  <c:v>30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30</c:v>
                </c:pt>
                <c:pt idx="795">
                  <c:v>30</c:v>
                </c:pt>
                <c:pt idx="796">
                  <c:v>30</c:v>
                </c:pt>
                <c:pt idx="797">
                  <c:v>30</c:v>
                </c:pt>
                <c:pt idx="798">
                  <c:v>30</c:v>
                </c:pt>
                <c:pt idx="799">
                  <c:v>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30</c:v>
                </c:pt>
                <c:pt idx="851">
                  <c:v>30</c:v>
                </c:pt>
                <c:pt idx="852">
                  <c:v>30</c:v>
                </c:pt>
                <c:pt idx="853">
                  <c:v>30</c:v>
                </c:pt>
                <c:pt idx="854">
                  <c:v>30</c:v>
                </c:pt>
                <c:pt idx="855">
                  <c:v>30</c:v>
                </c:pt>
                <c:pt idx="856">
                  <c:v>30</c:v>
                </c:pt>
                <c:pt idx="857">
                  <c:v>30</c:v>
                </c:pt>
                <c:pt idx="858">
                  <c:v>30</c:v>
                </c:pt>
                <c:pt idx="859">
                  <c:v>30</c:v>
                </c:pt>
                <c:pt idx="860">
                  <c:v>30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30</c:v>
                </c:pt>
                <c:pt idx="865">
                  <c:v>30</c:v>
                </c:pt>
                <c:pt idx="866">
                  <c:v>30</c:v>
                </c:pt>
                <c:pt idx="867">
                  <c:v>30</c:v>
                </c:pt>
                <c:pt idx="868">
                  <c:v>30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30</c:v>
                </c:pt>
                <c:pt idx="878">
                  <c:v>30</c:v>
                </c:pt>
                <c:pt idx="879">
                  <c:v>30</c:v>
                </c:pt>
                <c:pt idx="880">
                  <c:v>30</c:v>
                </c:pt>
                <c:pt idx="881">
                  <c:v>30</c:v>
                </c:pt>
                <c:pt idx="882">
                  <c:v>30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30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30</c:v>
                </c:pt>
                <c:pt idx="898">
                  <c:v>30</c:v>
                </c:pt>
                <c:pt idx="899">
                  <c:v>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30</c:v>
                </c:pt>
                <c:pt idx="952">
                  <c:v>30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</c:v>
                </c:pt>
                <c:pt idx="957">
                  <c:v>30</c:v>
                </c:pt>
                <c:pt idx="958">
                  <c:v>30</c:v>
                </c:pt>
                <c:pt idx="959">
                  <c:v>30</c:v>
                </c:pt>
                <c:pt idx="960">
                  <c:v>30</c:v>
                </c:pt>
                <c:pt idx="961">
                  <c:v>30</c:v>
                </c:pt>
                <c:pt idx="962">
                  <c:v>30</c:v>
                </c:pt>
                <c:pt idx="963">
                  <c:v>30</c:v>
                </c:pt>
                <c:pt idx="964">
                  <c:v>30</c:v>
                </c:pt>
                <c:pt idx="965">
                  <c:v>30</c:v>
                </c:pt>
                <c:pt idx="966">
                  <c:v>30</c:v>
                </c:pt>
                <c:pt idx="967">
                  <c:v>30</c:v>
                </c:pt>
                <c:pt idx="968">
                  <c:v>30</c:v>
                </c:pt>
                <c:pt idx="969">
                  <c:v>30</c:v>
                </c:pt>
                <c:pt idx="970">
                  <c:v>30</c:v>
                </c:pt>
                <c:pt idx="971">
                  <c:v>30</c:v>
                </c:pt>
                <c:pt idx="972">
                  <c:v>30</c:v>
                </c:pt>
                <c:pt idx="973">
                  <c:v>30</c:v>
                </c:pt>
                <c:pt idx="974">
                  <c:v>30</c:v>
                </c:pt>
                <c:pt idx="975">
                  <c:v>30</c:v>
                </c:pt>
                <c:pt idx="976">
                  <c:v>30</c:v>
                </c:pt>
                <c:pt idx="977">
                  <c:v>30</c:v>
                </c:pt>
                <c:pt idx="978">
                  <c:v>30</c:v>
                </c:pt>
                <c:pt idx="979">
                  <c:v>30</c:v>
                </c:pt>
                <c:pt idx="980">
                  <c:v>30</c:v>
                </c:pt>
                <c:pt idx="981">
                  <c:v>30</c:v>
                </c:pt>
                <c:pt idx="982">
                  <c:v>30</c:v>
                </c:pt>
                <c:pt idx="983">
                  <c:v>30</c:v>
                </c:pt>
                <c:pt idx="984">
                  <c:v>30</c:v>
                </c:pt>
                <c:pt idx="985">
                  <c:v>30</c:v>
                </c:pt>
                <c:pt idx="986">
                  <c:v>30</c:v>
                </c:pt>
                <c:pt idx="987">
                  <c:v>30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30</c:v>
                </c:pt>
                <c:pt idx="992">
                  <c:v>30</c:v>
                </c:pt>
                <c:pt idx="993">
                  <c:v>30</c:v>
                </c:pt>
                <c:pt idx="994">
                  <c:v>30</c:v>
                </c:pt>
                <c:pt idx="995">
                  <c:v>30</c:v>
                </c:pt>
                <c:pt idx="996">
                  <c:v>30</c:v>
                </c:pt>
                <c:pt idx="997">
                  <c:v>30</c:v>
                </c:pt>
                <c:pt idx="998">
                  <c:v>30</c:v>
                </c:pt>
                <c:pt idx="999">
                  <c:v>30</c:v>
                </c:pt>
                <c:pt idx="1000">
                  <c:v>30</c:v>
                </c:pt>
                <c:pt idx="1001">
                  <c:v>30</c:v>
                </c:pt>
                <c:pt idx="1002">
                  <c:v>30</c:v>
                </c:pt>
                <c:pt idx="1003">
                  <c:v>30</c:v>
                </c:pt>
              </c:numCache>
            </c:numRef>
          </c:xVal>
          <c:yVal>
            <c:numRef>
              <c:f>'Pizza Delivery Table'!$K$2:$K$1005</c:f>
              <c:numCache>
                <c:formatCode>General</c:formatCode>
                <c:ptCount val="1004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  <c:pt idx="21">
                  <c:v>2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4</c:v>
                </c:pt>
                <c:pt idx="26">
                  <c:v>2</c:v>
                </c:pt>
                <c:pt idx="27">
                  <c:v>3</c:v>
                </c:pt>
                <c:pt idx="28">
                  <c:v>5</c:v>
                </c:pt>
                <c:pt idx="29">
                  <c:v>3</c:v>
                </c:pt>
                <c:pt idx="30">
                  <c:v>4</c:v>
                </c:pt>
                <c:pt idx="31">
                  <c:v>2</c:v>
                </c:pt>
                <c:pt idx="32">
                  <c:v>3</c:v>
                </c:pt>
                <c:pt idx="33">
                  <c:v>5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  <c:pt idx="37">
                  <c:v>2</c:v>
                </c:pt>
                <c:pt idx="38">
                  <c:v>5</c:v>
                </c:pt>
                <c:pt idx="39">
                  <c:v>3</c:v>
                </c:pt>
                <c:pt idx="40">
                  <c:v>4</c:v>
                </c:pt>
                <c:pt idx="41">
                  <c:v>2</c:v>
                </c:pt>
                <c:pt idx="42">
                  <c:v>3</c:v>
                </c:pt>
                <c:pt idx="43">
                  <c:v>5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2</c:v>
                </c:pt>
                <c:pt idx="48">
                  <c:v>5</c:v>
                </c:pt>
                <c:pt idx="49">
                  <c:v>3</c:v>
                </c:pt>
                <c:pt idx="50">
                  <c:v>4</c:v>
                </c:pt>
                <c:pt idx="51">
                  <c:v>2</c:v>
                </c:pt>
                <c:pt idx="52">
                  <c:v>3</c:v>
                </c:pt>
                <c:pt idx="53">
                  <c:v>5</c:v>
                </c:pt>
                <c:pt idx="54">
                  <c:v>3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5</c:v>
                </c:pt>
                <c:pt idx="59">
                  <c:v>3</c:v>
                </c:pt>
                <c:pt idx="60">
                  <c:v>4</c:v>
                </c:pt>
                <c:pt idx="61">
                  <c:v>2</c:v>
                </c:pt>
                <c:pt idx="62">
                  <c:v>3</c:v>
                </c:pt>
                <c:pt idx="63">
                  <c:v>5</c:v>
                </c:pt>
                <c:pt idx="64">
                  <c:v>3</c:v>
                </c:pt>
                <c:pt idx="65">
                  <c:v>4</c:v>
                </c:pt>
                <c:pt idx="66">
                  <c:v>3</c:v>
                </c:pt>
                <c:pt idx="67">
                  <c:v>2</c:v>
                </c:pt>
                <c:pt idx="68">
                  <c:v>5</c:v>
                </c:pt>
                <c:pt idx="69">
                  <c:v>3</c:v>
                </c:pt>
                <c:pt idx="70">
                  <c:v>4</c:v>
                </c:pt>
                <c:pt idx="71">
                  <c:v>2</c:v>
                </c:pt>
                <c:pt idx="72">
                  <c:v>3</c:v>
                </c:pt>
                <c:pt idx="73">
                  <c:v>5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2</c:v>
                </c:pt>
                <c:pt idx="78">
                  <c:v>5</c:v>
                </c:pt>
                <c:pt idx="79">
                  <c:v>3</c:v>
                </c:pt>
                <c:pt idx="80">
                  <c:v>4</c:v>
                </c:pt>
                <c:pt idx="81">
                  <c:v>2</c:v>
                </c:pt>
                <c:pt idx="82">
                  <c:v>3</c:v>
                </c:pt>
                <c:pt idx="83">
                  <c:v>5</c:v>
                </c:pt>
                <c:pt idx="84">
                  <c:v>3</c:v>
                </c:pt>
                <c:pt idx="85">
                  <c:v>4</c:v>
                </c:pt>
                <c:pt idx="86">
                  <c:v>3</c:v>
                </c:pt>
                <c:pt idx="87">
                  <c:v>2</c:v>
                </c:pt>
                <c:pt idx="88">
                  <c:v>5</c:v>
                </c:pt>
                <c:pt idx="89">
                  <c:v>3</c:v>
                </c:pt>
                <c:pt idx="90">
                  <c:v>4</c:v>
                </c:pt>
                <c:pt idx="91">
                  <c:v>2</c:v>
                </c:pt>
                <c:pt idx="92">
                  <c:v>3</c:v>
                </c:pt>
                <c:pt idx="93">
                  <c:v>5</c:v>
                </c:pt>
                <c:pt idx="94">
                  <c:v>3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5</c:v>
                </c:pt>
                <c:pt idx="99">
                  <c:v>3</c:v>
                </c:pt>
                <c:pt idx="100">
                  <c:v>4</c:v>
                </c:pt>
                <c:pt idx="101">
                  <c:v>2</c:v>
                </c:pt>
                <c:pt idx="102">
                  <c:v>3</c:v>
                </c:pt>
                <c:pt idx="103">
                  <c:v>5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2</c:v>
                </c:pt>
                <c:pt idx="108">
                  <c:v>5</c:v>
                </c:pt>
                <c:pt idx="109">
                  <c:v>3</c:v>
                </c:pt>
                <c:pt idx="110">
                  <c:v>4</c:v>
                </c:pt>
                <c:pt idx="111">
                  <c:v>2</c:v>
                </c:pt>
                <c:pt idx="112">
                  <c:v>3</c:v>
                </c:pt>
                <c:pt idx="113">
                  <c:v>5</c:v>
                </c:pt>
                <c:pt idx="114">
                  <c:v>3</c:v>
                </c:pt>
                <c:pt idx="115">
                  <c:v>4</c:v>
                </c:pt>
                <c:pt idx="116">
                  <c:v>3</c:v>
                </c:pt>
                <c:pt idx="117">
                  <c:v>2</c:v>
                </c:pt>
                <c:pt idx="118">
                  <c:v>5</c:v>
                </c:pt>
                <c:pt idx="119">
                  <c:v>3</c:v>
                </c:pt>
                <c:pt idx="120">
                  <c:v>4</c:v>
                </c:pt>
                <c:pt idx="121">
                  <c:v>2</c:v>
                </c:pt>
                <c:pt idx="122">
                  <c:v>3</c:v>
                </c:pt>
                <c:pt idx="123">
                  <c:v>5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5</c:v>
                </c:pt>
                <c:pt idx="128">
                  <c:v>1</c:v>
                </c:pt>
                <c:pt idx="129">
                  <c:v>4</c:v>
                </c:pt>
                <c:pt idx="130">
                  <c:v>3</c:v>
                </c:pt>
                <c:pt idx="131">
                  <c:v>2</c:v>
                </c:pt>
                <c:pt idx="132">
                  <c:v>5</c:v>
                </c:pt>
                <c:pt idx="133">
                  <c:v>3</c:v>
                </c:pt>
                <c:pt idx="134">
                  <c:v>4</c:v>
                </c:pt>
                <c:pt idx="135">
                  <c:v>2</c:v>
                </c:pt>
                <c:pt idx="136">
                  <c:v>4</c:v>
                </c:pt>
                <c:pt idx="137">
                  <c:v>5</c:v>
                </c:pt>
                <c:pt idx="138">
                  <c:v>1</c:v>
                </c:pt>
                <c:pt idx="139">
                  <c:v>4</c:v>
                </c:pt>
                <c:pt idx="140">
                  <c:v>3</c:v>
                </c:pt>
                <c:pt idx="141">
                  <c:v>2</c:v>
                </c:pt>
                <c:pt idx="142">
                  <c:v>5</c:v>
                </c:pt>
                <c:pt idx="143">
                  <c:v>3</c:v>
                </c:pt>
                <c:pt idx="144">
                  <c:v>4</c:v>
                </c:pt>
                <c:pt idx="145">
                  <c:v>2</c:v>
                </c:pt>
                <c:pt idx="146">
                  <c:v>4</c:v>
                </c:pt>
                <c:pt idx="147">
                  <c:v>5</c:v>
                </c:pt>
                <c:pt idx="148">
                  <c:v>1</c:v>
                </c:pt>
                <c:pt idx="149">
                  <c:v>4</c:v>
                </c:pt>
                <c:pt idx="150">
                  <c:v>4</c:v>
                </c:pt>
                <c:pt idx="151">
                  <c:v>5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2</c:v>
                </c:pt>
                <c:pt idx="157">
                  <c:v>3</c:v>
                </c:pt>
                <c:pt idx="158">
                  <c:v>5</c:v>
                </c:pt>
                <c:pt idx="159">
                  <c:v>4</c:v>
                </c:pt>
                <c:pt idx="160">
                  <c:v>3</c:v>
                </c:pt>
                <c:pt idx="161">
                  <c:v>2</c:v>
                </c:pt>
                <c:pt idx="162">
                  <c:v>3</c:v>
                </c:pt>
                <c:pt idx="163">
                  <c:v>5</c:v>
                </c:pt>
                <c:pt idx="164">
                  <c:v>4</c:v>
                </c:pt>
                <c:pt idx="165">
                  <c:v>3</c:v>
                </c:pt>
                <c:pt idx="166">
                  <c:v>2</c:v>
                </c:pt>
                <c:pt idx="167">
                  <c:v>3</c:v>
                </c:pt>
                <c:pt idx="168">
                  <c:v>5</c:v>
                </c:pt>
                <c:pt idx="169">
                  <c:v>4</c:v>
                </c:pt>
                <c:pt idx="170">
                  <c:v>3</c:v>
                </c:pt>
                <c:pt idx="171">
                  <c:v>2</c:v>
                </c:pt>
                <c:pt idx="172">
                  <c:v>3</c:v>
                </c:pt>
                <c:pt idx="173">
                  <c:v>5</c:v>
                </c:pt>
                <c:pt idx="174">
                  <c:v>3</c:v>
                </c:pt>
                <c:pt idx="175">
                  <c:v>4</c:v>
                </c:pt>
                <c:pt idx="176">
                  <c:v>2</c:v>
                </c:pt>
                <c:pt idx="177">
                  <c:v>3</c:v>
                </c:pt>
                <c:pt idx="178">
                  <c:v>5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2</c:v>
                </c:pt>
                <c:pt idx="183">
                  <c:v>5</c:v>
                </c:pt>
                <c:pt idx="184">
                  <c:v>3</c:v>
                </c:pt>
                <c:pt idx="185">
                  <c:v>4</c:v>
                </c:pt>
                <c:pt idx="186">
                  <c:v>2</c:v>
                </c:pt>
                <c:pt idx="187">
                  <c:v>3</c:v>
                </c:pt>
                <c:pt idx="188">
                  <c:v>5</c:v>
                </c:pt>
                <c:pt idx="189">
                  <c:v>3</c:v>
                </c:pt>
                <c:pt idx="190">
                  <c:v>4</c:v>
                </c:pt>
                <c:pt idx="191">
                  <c:v>2</c:v>
                </c:pt>
                <c:pt idx="192">
                  <c:v>3</c:v>
                </c:pt>
                <c:pt idx="193">
                  <c:v>5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2</c:v>
                </c:pt>
                <c:pt idx="198">
                  <c:v>5</c:v>
                </c:pt>
                <c:pt idx="199">
                  <c:v>3</c:v>
                </c:pt>
                <c:pt idx="200">
                  <c:v>3</c:v>
                </c:pt>
                <c:pt idx="201">
                  <c:v>4</c:v>
                </c:pt>
                <c:pt idx="202">
                  <c:v>2</c:v>
                </c:pt>
                <c:pt idx="203">
                  <c:v>5</c:v>
                </c:pt>
                <c:pt idx="204">
                  <c:v>3</c:v>
                </c:pt>
                <c:pt idx="205">
                  <c:v>4</c:v>
                </c:pt>
                <c:pt idx="206">
                  <c:v>2</c:v>
                </c:pt>
                <c:pt idx="207">
                  <c:v>3</c:v>
                </c:pt>
                <c:pt idx="208">
                  <c:v>5</c:v>
                </c:pt>
                <c:pt idx="209">
                  <c:v>3</c:v>
                </c:pt>
                <c:pt idx="210">
                  <c:v>4</c:v>
                </c:pt>
                <c:pt idx="211">
                  <c:v>2</c:v>
                </c:pt>
                <c:pt idx="212">
                  <c:v>3</c:v>
                </c:pt>
                <c:pt idx="213">
                  <c:v>5</c:v>
                </c:pt>
                <c:pt idx="214">
                  <c:v>3</c:v>
                </c:pt>
                <c:pt idx="215">
                  <c:v>4</c:v>
                </c:pt>
                <c:pt idx="216">
                  <c:v>3</c:v>
                </c:pt>
                <c:pt idx="217">
                  <c:v>2</c:v>
                </c:pt>
                <c:pt idx="218">
                  <c:v>5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2</c:v>
                </c:pt>
                <c:pt idx="223">
                  <c:v>5</c:v>
                </c:pt>
                <c:pt idx="224">
                  <c:v>3</c:v>
                </c:pt>
                <c:pt idx="225">
                  <c:v>4</c:v>
                </c:pt>
                <c:pt idx="226">
                  <c:v>2</c:v>
                </c:pt>
                <c:pt idx="227">
                  <c:v>3</c:v>
                </c:pt>
                <c:pt idx="228">
                  <c:v>5</c:v>
                </c:pt>
                <c:pt idx="229">
                  <c:v>3</c:v>
                </c:pt>
                <c:pt idx="230">
                  <c:v>4</c:v>
                </c:pt>
                <c:pt idx="231">
                  <c:v>2</c:v>
                </c:pt>
                <c:pt idx="232">
                  <c:v>3</c:v>
                </c:pt>
                <c:pt idx="233">
                  <c:v>4</c:v>
                </c:pt>
                <c:pt idx="234">
                  <c:v>2</c:v>
                </c:pt>
                <c:pt idx="235">
                  <c:v>3</c:v>
                </c:pt>
                <c:pt idx="236">
                  <c:v>5</c:v>
                </c:pt>
                <c:pt idx="237">
                  <c:v>3</c:v>
                </c:pt>
                <c:pt idx="238">
                  <c:v>4</c:v>
                </c:pt>
                <c:pt idx="239">
                  <c:v>2</c:v>
                </c:pt>
                <c:pt idx="240">
                  <c:v>3</c:v>
                </c:pt>
                <c:pt idx="241">
                  <c:v>5</c:v>
                </c:pt>
                <c:pt idx="242">
                  <c:v>3</c:v>
                </c:pt>
                <c:pt idx="243">
                  <c:v>4</c:v>
                </c:pt>
                <c:pt idx="244">
                  <c:v>2</c:v>
                </c:pt>
                <c:pt idx="245">
                  <c:v>3</c:v>
                </c:pt>
                <c:pt idx="246">
                  <c:v>5</c:v>
                </c:pt>
                <c:pt idx="247">
                  <c:v>3</c:v>
                </c:pt>
                <c:pt idx="248">
                  <c:v>4</c:v>
                </c:pt>
                <c:pt idx="249">
                  <c:v>2</c:v>
                </c:pt>
                <c:pt idx="250">
                  <c:v>3</c:v>
                </c:pt>
                <c:pt idx="251">
                  <c:v>5</c:v>
                </c:pt>
                <c:pt idx="252">
                  <c:v>3</c:v>
                </c:pt>
                <c:pt idx="253">
                  <c:v>4</c:v>
                </c:pt>
                <c:pt idx="254">
                  <c:v>2</c:v>
                </c:pt>
                <c:pt idx="255">
                  <c:v>3</c:v>
                </c:pt>
                <c:pt idx="256">
                  <c:v>3</c:v>
                </c:pt>
                <c:pt idx="257">
                  <c:v>2</c:v>
                </c:pt>
                <c:pt idx="258">
                  <c:v>1</c:v>
                </c:pt>
                <c:pt idx="259">
                  <c:v>5</c:v>
                </c:pt>
                <c:pt idx="260">
                  <c:v>3</c:v>
                </c:pt>
                <c:pt idx="261">
                  <c:v>4</c:v>
                </c:pt>
                <c:pt idx="262">
                  <c:v>2</c:v>
                </c:pt>
                <c:pt idx="263">
                  <c:v>5</c:v>
                </c:pt>
                <c:pt idx="264">
                  <c:v>3</c:v>
                </c:pt>
                <c:pt idx="265">
                  <c:v>4</c:v>
                </c:pt>
                <c:pt idx="266">
                  <c:v>2</c:v>
                </c:pt>
                <c:pt idx="267">
                  <c:v>4</c:v>
                </c:pt>
                <c:pt idx="268">
                  <c:v>5</c:v>
                </c:pt>
                <c:pt idx="269">
                  <c:v>1</c:v>
                </c:pt>
                <c:pt idx="270">
                  <c:v>4</c:v>
                </c:pt>
                <c:pt idx="271">
                  <c:v>3</c:v>
                </c:pt>
                <c:pt idx="272">
                  <c:v>2</c:v>
                </c:pt>
                <c:pt idx="273">
                  <c:v>5</c:v>
                </c:pt>
                <c:pt idx="274">
                  <c:v>3</c:v>
                </c:pt>
                <c:pt idx="275">
                  <c:v>4</c:v>
                </c:pt>
                <c:pt idx="276">
                  <c:v>3</c:v>
                </c:pt>
                <c:pt idx="277">
                  <c:v>5</c:v>
                </c:pt>
                <c:pt idx="278">
                  <c:v>4</c:v>
                </c:pt>
                <c:pt idx="279">
                  <c:v>2</c:v>
                </c:pt>
                <c:pt idx="280">
                  <c:v>3</c:v>
                </c:pt>
                <c:pt idx="281">
                  <c:v>4</c:v>
                </c:pt>
                <c:pt idx="282">
                  <c:v>5</c:v>
                </c:pt>
                <c:pt idx="283">
                  <c:v>2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5</c:v>
                </c:pt>
                <c:pt idx="288">
                  <c:v>4</c:v>
                </c:pt>
                <c:pt idx="289">
                  <c:v>2</c:v>
                </c:pt>
                <c:pt idx="290">
                  <c:v>3</c:v>
                </c:pt>
                <c:pt idx="291">
                  <c:v>4</c:v>
                </c:pt>
                <c:pt idx="292">
                  <c:v>5</c:v>
                </c:pt>
                <c:pt idx="293">
                  <c:v>2</c:v>
                </c:pt>
                <c:pt idx="294">
                  <c:v>3</c:v>
                </c:pt>
                <c:pt idx="295">
                  <c:v>3</c:v>
                </c:pt>
                <c:pt idx="296">
                  <c:v>4</c:v>
                </c:pt>
                <c:pt idx="297">
                  <c:v>5</c:v>
                </c:pt>
                <c:pt idx="298">
                  <c:v>4</c:v>
                </c:pt>
                <c:pt idx="299">
                  <c:v>2</c:v>
                </c:pt>
                <c:pt idx="300">
                  <c:v>3</c:v>
                </c:pt>
                <c:pt idx="301">
                  <c:v>4</c:v>
                </c:pt>
                <c:pt idx="302">
                  <c:v>5</c:v>
                </c:pt>
                <c:pt idx="303">
                  <c:v>2</c:v>
                </c:pt>
                <c:pt idx="304">
                  <c:v>3</c:v>
                </c:pt>
                <c:pt idx="305">
                  <c:v>2</c:v>
                </c:pt>
                <c:pt idx="306">
                  <c:v>4</c:v>
                </c:pt>
                <c:pt idx="307">
                  <c:v>5</c:v>
                </c:pt>
                <c:pt idx="308">
                  <c:v>1</c:v>
                </c:pt>
                <c:pt idx="309">
                  <c:v>4</c:v>
                </c:pt>
                <c:pt idx="310">
                  <c:v>3</c:v>
                </c:pt>
                <c:pt idx="311">
                  <c:v>2</c:v>
                </c:pt>
                <c:pt idx="312">
                  <c:v>5</c:v>
                </c:pt>
                <c:pt idx="313">
                  <c:v>3</c:v>
                </c:pt>
                <c:pt idx="314">
                  <c:v>4</c:v>
                </c:pt>
                <c:pt idx="315">
                  <c:v>2</c:v>
                </c:pt>
                <c:pt idx="316">
                  <c:v>4</c:v>
                </c:pt>
                <c:pt idx="317">
                  <c:v>5</c:v>
                </c:pt>
                <c:pt idx="318">
                  <c:v>1</c:v>
                </c:pt>
                <c:pt idx="319">
                  <c:v>4</c:v>
                </c:pt>
                <c:pt idx="320">
                  <c:v>3</c:v>
                </c:pt>
                <c:pt idx="321">
                  <c:v>2</c:v>
                </c:pt>
                <c:pt idx="322">
                  <c:v>5</c:v>
                </c:pt>
                <c:pt idx="323">
                  <c:v>3</c:v>
                </c:pt>
                <c:pt idx="324">
                  <c:v>4</c:v>
                </c:pt>
                <c:pt idx="325">
                  <c:v>2</c:v>
                </c:pt>
                <c:pt idx="326">
                  <c:v>4</c:v>
                </c:pt>
                <c:pt idx="327">
                  <c:v>5</c:v>
                </c:pt>
                <c:pt idx="328">
                  <c:v>1</c:v>
                </c:pt>
                <c:pt idx="329">
                  <c:v>4</c:v>
                </c:pt>
                <c:pt idx="330">
                  <c:v>2</c:v>
                </c:pt>
                <c:pt idx="331">
                  <c:v>4</c:v>
                </c:pt>
                <c:pt idx="332">
                  <c:v>5</c:v>
                </c:pt>
                <c:pt idx="333">
                  <c:v>1</c:v>
                </c:pt>
                <c:pt idx="334">
                  <c:v>4</c:v>
                </c:pt>
                <c:pt idx="335">
                  <c:v>2</c:v>
                </c:pt>
                <c:pt idx="336">
                  <c:v>4</c:v>
                </c:pt>
                <c:pt idx="337">
                  <c:v>5</c:v>
                </c:pt>
                <c:pt idx="338">
                  <c:v>1</c:v>
                </c:pt>
                <c:pt idx="339">
                  <c:v>4</c:v>
                </c:pt>
                <c:pt idx="340">
                  <c:v>3</c:v>
                </c:pt>
                <c:pt idx="341">
                  <c:v>2</c:v>
                </c:pt>
                <c:pt idx="342">
                  <c:v>5</c:v>
                </c:pt>
                <c:pt idx="343">
                  <c:v>3</c:v>
                </c:pt>
                <c:pt idx="344">
                  <c:v>4</c:v>
                </c:pt>
                <c:pt idx="345">
                  <c:v>2</c:v>
                </c:pt>
                <c:pt idx="346">
                  <c:v>4</c:v>
                </c:pt>
                <c:pt idx="347">
                  <c:v>5</c:v>
                </c:pt>
                <c:pt idx="348">
                  <c:v>1</c:v>
                </c:pt>
                <c:pt idx="349">
                  <c:v>4</c:v>
                </c:pt>
                <c:pt idx="350">
                  <c:v>3</c:v>
                </c:pt>
                <c:pt idx="351">
                  <c:v>2</c:v>
                </c:pt>
                <c:pt idx="352">
                  <c:v>5</c:v>
                </c:pt>
                <c:pt idx="353">
                  <c:v>3</c:v>
                </c:pt>
                <c:pt idx="354">
                  <c:v>4</c:v>
                </c:pt>
                <c:pt idx="355">
                  <c:v>2</c:v>
                </c:pt>
                <c:pt idx="356">
                  <c:v>4</c:v>
                </c:pt>
                <c:pt idx="357">
                  <c:v>5</c:v>
                </c:pt>
                <c:pt idx="358">
                  <c:v>1</c:v>
                </c:pt>
                <c:pt idx="359">
                  <c:v>4</c:v>
                </c:pt>
                <c:pt idx="360">
                  <c:v>2</c:v>
                </c:pt>
                <c:pt idx="361">
                  <c:v>2</c:v>
                </c:pt>
                <c:pt idx="362">
                  <c:v>4</c:v>
                </c:pt>
                <c:pt idx="363">
                  <c:v>5</c:v>
                </c:pt>
                <c:pt idx="364">
                  <c:v>1</c:v>
                </c:pt>
                <c:pt idx="365">
                  <c:v>4</c:v>
                </c:pt>
                <c:pt idx="366">
                  <c:v>3</c:v>
                </c:pt>
                <c:pt idx="367">
                  <c:v>2</c:v>
                </c:pt>
                <c:pt idx="368">
                  <c:v>5</c:v>
                </c:pt>
                <c:pt idx="369">
                  <c:v>3</c:v>
                </c:pt>
                <c:pt idx="370">
                  <c:v>4</c:v>
                </c:pt>
                <c:pt idx="371">
                  <c:v>2</c:v>
                </c:pt>
                <c:pt idx="372">
                  <c:v>4</c:v>
                </c:pt>
                <c:pt idx="373">
                  <c:v>5</c:v>
                </c:pt>
                <c:pt idx="374">
                  <c:v>1</c:v>
                </c:pt>
                <c:pt idx="375">
                  <c:v>4</c:v>
                </c:pt>
                <c:pt idx="376">
                  <c:v>3</c:v>
                </c:pt>
                <c:pt idx="377">
                  <c:v>2</c:v>
                </c:pt>
                <c:pt idx="378">
                  <c:v>5</c:v>
                </c:pt>
                <c:pt idx="379">
                  <c:v>3</c:v>
                </c:pt>
                <c:pt idx="380">
                  <c:v>4</c:v>
                </c:pt>
                <c:pt idx="381">
                  <c:v>2</c:v>
                </c:pt>
                <c:pt idx="382">
                  <c:v>4</c:v>
                </c:pt>
                <c:pt idx="383">
                  <c:v>5</c:v>
                </c:pt>
                <c:pt idx="384">
                  <c:v>1</c:v>
                </c:pt>
                <c:pt idx="385">
                  <c:v>4</c:v>
                </c:pt>
                <c:pt idx="386">
                  <c:v>2</c:v>
                </c:pt>
                <c:pt idx="387">
                  <c:v>2</c:v>
                </c:pt>
                <c:pt idx="388">
                  <c:v>4</c:v>
                </c:pt>
                <c:pt idx="389">
                  <c:v>5</c:v>
                </c:pt>
                <c:pt idx="390">
                  <c:v>1</c:v>
                </c:pt>
                <c:pt idx="391">
                  <c:v>4</c:v>
                </c:pt>
                <c:pt idx="392">
                  <c:v>3</c:v>
                </c:pt>
                <c:pt idx="393">
                  <c:v>2</c:v>
                </c:pt>
                <c:pt idx="394">
                  <c:v>5</c:v>
                </c:pt>
                <c:pt idx="395">
                  <c:v>3</c:v>
                </c:pt>
                <c:pt idx="396">
                  <c:v>4</c:v>
                </c:pt>
                <c:pt idx="397">
                  <c:v>2</c:v>
                </c:pt>
                <c:pt idx="398">
                  <c:v>4</c:v>
                </c:pt>
                <c:pt idx="399">
                  <c:v>5</c:v>
                </c:pt>
                <c:pt idx="400">
                  <c:v>1</c:v>
                </c:pt>
                <c:pt idx="401">
                  <c:v>4</c:v>
                </c:pt>
                <c:pt idx="402">
                  <c:v>3</c:v>
                </c:pt>
                <c:pt idx="403">
                  <c:v>2</c:v>
                </c:pt>
                <c:pt idx="404">
                  <c:v>5</c:v>
                </c:pt>
                <c:pt idx="405">
                  <c:v>3</c:v>
                </c:pt>
                <c:pt idx="406">
                  <c:v>4</c:v>
                </c:pt>
                <c:pt idx="407">
                  <c:v>2</c:v>
                </c:pt>
                <c:pt idx="408">
                  <c:v>4</c:v>
                </c:pt>
                <c:pt idx="409">
                  <c:v>5</c:v>
                </c:pt>
                <c:pt idx="410">
                  <c:v>1</c:v>
                </c:pt>
                <c:pt idx="411">
                  <c:v>4</c:v>
                </c:pt>
                <c:pt idx="412">
                  <c:v>2</c:v>
                </c:pt>
                <c:pt idx="413">
                  <c:v>2</c:v>
                </c:pt>
                <c:pt idx="414">
                  <c:v>4</c:v>
                </c:pt>
                <c:pt idx="415">
                  <c:v>5</c:v>
                </c:pt>
                <c:pt idx="416">
                  <c:v>1</c:v>
                </c:pt>
                <c:pt idx="417">
                  <c:v>4</c:v>
                </c:pt>
                <c:pt idx="418">
                  <c:v>3</c:v>
                </c:pt>
                <c:pt idx="419">
                  <c:v>2</c:v>
                </c:pt>
                <c:pt idx="420">
                  <c:v>5</c:v>
                </c:pt>
                <c:pt idx="421">
                  <c:v>3</c:v>
                </c:pt>
                <c:pt idx="422">
                  <c:v>4</c:v>
                </c:pt>
                <c:pt idx="423">
                  <c:v>2</c:v>
                </c:pt>
                <c:pt idx="424">
                  <c:v>4</c:v>
                </c:pt>
                <c:pt idx="425">
                  <c:v>5</c:v>
                </c:pt>
                <c:pt idx="426">
                  <c:v>1</c:v>
                </c:pt>
                <c:pt idx="427">
                  <c:v>4</c:v>
                </c:pt>
                <c:pt idx="428">
                  <c:v>3</c:v>
                </c:pt>
                <c:pt idx="429">
                  <c:v>2</c:v>
                </c:pt>
                <c:pt idx="430">
                  <c:v>5</c:v>
                </c:pt>
                <c:pt idx="431">
                  <c:v>3</c:v>
                </c:pt>
                <c:pt idx="432">
                  <c:v>4</c:v>
                </c:pt>
                <c:pt idx="433">
                  <c:v>2</c:v>
                </c:pt>
                <c:pt idx="434">
                  <c:v>4</c:v>
                </c:pt>
                <c:pt idx="435">
                  <c:v>5</c:v>
                </c:pt>
                <c:pt idx="436">
                  <c:v>1</c:v>
                </c:pt>
                <c:pt idx="437">
                  <c:v>4</c:v>
                </c:pt>
                <c:pt idx="438">
                  <c:v>3</c:v>
                </c:pt>
                <c:pt idx="439">
                  <c:v>2</c:v>
                </c:pt>
                <c:pt idx="440">
                  <c:v>5</c:v>
                </c:pt>
                <c:pt idx="441">
                  <c:v>3</c:v>
                </c:pt>
                <c:pt idx="442">
                  <c:v>4</c:v>
                </c:pt>
                <c:pt idx="443">
                  <c:v>2</c:v>
                </c:pt>
                <c:pt idx="444">
                  <c:v>4</c:v>
                </c:pt>
                <c:pt idx="445">
                  <c:v>5</c:v>
                </c:pt>
                <c:pt idx="446">
                  <c:v>1</c:v>
                </c:pt>
                <c:pt idx="447">
                  <c:v>4</c:v>
                </c:pt>
                <c:pt idx="448">
                  <c:v>2</c:v>
                </c:pt>
                <c:pt idx="449">
                  <c:v>4</c:v>
                </c:pt>
                <c:pt idx="450">
                  <c:v>5</c:v>
                </c:pt>
                <c:pt idx="451">
                  <c:v>3</c:v>
                </c:pt>
                <c:pt idx="452">
                  <c:v>4</c:v>
                </c:pt>
                <c:pt idx="453">
                  <c:v>5</c:v>
                </c:pt>
                <c:pt idx="454">
                  <c:v>1</c:v>
                </c:pt>
                <c:pt idx="455">
                  <c:v>4</c:v>
                </c:pt>
                <c:pt idx="456">
                  <c:v>3</c:v>
                </c:pt>
                <c:pt idx="457">
                  <c:v>2</c:v>
                </c:pt>
                <c:pt idx="458">
                  <c:v>5</c:v>
                </c:pt>
                <c:pt idx="459">
                  <c:v>2</c:v>
                </c:pt>
                <c:pt idx="460">
                  <c:v>4</c:v>
                </c:pt>
                <c:pt idx="461">
                  <c:v>5</c:v>
                </c:pt>
                <c:pt idx="462">
                  <c:v>1</c:v>
                </c:pt>
                <c:pt idx="463">
                  <c:v>4</c:v>
                </c:pt>
                <c:pt idx="464">
                  <c:v>3</c:v>
                </c:pt>
                <c:pt idx="465">
                  <c:v>2</c:v>
                </c:pt>
                <c:pt idx="466">
                  <c:v>5</c:v>
                </c:pt>
                <c:pt idx="467">
                  <c:v>3</c:v>
                </c:pt>
                <c:pt idx="468">
                  <c:v>4</c:v>
                </c:pt>
                <c:pt idx="469">
                  <c:v>2</c:v>
                </c:pt>
                <c:pt idx="470">
                  <c:v>4</c:v>
                </c:pt>
                <c:pt idx="471">
                  <c:v>5</c:v>
                </c:pt>
                <c:pt idx="472">
                  <c:v>1</c:v>
                </c:pt>
                <c:pt idx="473">
                  <c:v>4</c:v>
                </c:pt>
                <c:pt idx="474">
                  <c:v>3</c:v>
                </c:pt>
                <c:pt idx="475">
                  <c:v>2</c:v>
                </c:pt>
                <c:pt idx="476">
                  <c:v>5</c:v>
                </c:pt>
                <c:pt idx="477">
                  <c:v>3</c:v>
                </c:pt>
                <c:pt idx="478">
                  <c:v>4</c:v>
                </c:pt>
                <c:pt idx="479">
                  <c:v>2</c:v>
                </c:pt>
                <c:pt idx="480">
                  <c:v>4</c:v>
                </c:pt>
                <c:pt idx="481">
                  <c:v>5</c:v>
                </c:pt>
                <c:pt idx="482">
                  <c:v>1</c:v>
                </c:pt>
                <c:pt idx="483">
                  <c:v>4</c:v>
                </c:pt>
                <c:pt idx="484">
                  <c:v>3</c:v>
                </c:pt>
                <c:pt idx="485">
                  <c:v>2</c:v>
                </c:pt>
                <c:pt idx="486">
                  <c:v>5</c:v>
                </c:pt>
                <c:pt idx="487">
                  <c:v>2</c:v>
                </c:pt>
                <c:pt idx="488">
                  <c:v>4</c:v>
                </c:pt>
                <c:pt idx="489">
                  <c:v>5</c:v>
                </c:pt>
                <c:pt idx="490">
                  <c:v>1</c:v>
                </c:pt>
                <c:pt idx="491">
                  <c:v>4</c:v>
                </c:pt>
                <c:pt idx="492">
                  <c:v>3</c:v>
                </c:pt>
                <c:pt idx="493">
                  <c:v>2</c:v>
                </c:pt>
                <c:pt idx="494">
                  <c:v>5</c:v>
                </c:pt>
                <c:pt idx="495">
                  <c:v>3</c:v>
                </c:pt>
                <c:pt idx="496">
                  <c:v>4</c:v>
                </c:pt>
                <c:pt idx="497">
                  <c:v>2</c:v>
                </c:pt>
                <c:pt idx="498">
                  <c:v>4</c:v>
                </c:pt>
                <c:pt idx="499">
                  <c:v>5</c:v>
                </c:pt>
                <c:pt idx="500">
                  <c:v>1</c:v>
                </c:pt>
                <c:pt idx="501">
                  <c:v>4</c:v>
                </c:pt>
                <c:pt idx="502">
                  <c:v>3</c:v>
                </c:pt>
                <c:pt idx="503">
                  <c:v>2</c:v>
                </c:pt>
                <c:pt idx="504">
                  <c:v>5</c:v>
                </c:pt>
                <c:pt idx="505">
                  <c:v>3</c:v>
                </c:pt>
                <c:pt idx="506">
                  <c:v>4</c:v>
                </c:pt>
                <c:pt idx="507">
                  <c:v>2</c:v>
                </c:pt>
                <c:pt idx="508">
                  <c:v>4</c:v>
                </c:pt>
                <c:pt idx="509">
                  <c:v>5</c:v>
                </c:pt>
                <c:pt idx="510">
                  <c:v>1</c:v>
                </c:pt>
                <c:pt idx="511">
                  <c:v>4</c:v>
                </c:pt>
                <c:pt idx="512">
                  <c:v>3</c:v>
                </c:pt>
                <c:pt idx="513">
                  <c:v>2</c:v>
                </c:pt>
                <c:pt idx="514">
                  <c:v>5</c:v>
                </c:pt>
                <c:pt idx="515">
                  <c:v>2</c:v>
                </c:pt>
                <c:pt idx="516">
                  <c:v>4</c:v>
                </c:pt>
                <c:pt idx="517">
                  <c:v>5</c:v>
                </c:pt>
                <c:pt idx="518">
                  <c:v>1</c:v>
                </c:pt>
                <c:pt idx="519">
                  <c:v>4</c:v>
                </c:pt>
                <c:pt idx="520">
                  <c:v>3</c:v>
                </c:pt>
                <c:pt idx="521">
                  <c:v>2</c:v>
                </c:pt>
                <c:pt idx="522">
                  <c:v>5</c:v>
                </c:pt>
                <c:pt idx="523">
                  <c:v>3</c:v>
                </c:pt>
                <c:pt idx="524">
                  <c:v>4</c:v>
                </c:pt>
                <c:pt idx="525">
                  <c:v>2</c:v>
                </c:pt>
                <c:pt idx="526">
                  <c:v>4</c:v>
                </c:pt>
                <c:pt idx="527">
                  <c:v>5</c:v>
                </c:pt>
                <c:pt idx="528">
                  <c:v>1</c:v>
                </c:pt>
                <c:pt idx="529">
                  <c:v>4</c:v>
                </c:pt>
                <c:pt idx="530">
                  <c:v>3</c:v>
                </c:pt>
                <c:pt idx="531">
                  <c:v>2</c:v>
                </c:pt>
                <c:pt idx="532">
                  <c:v>5</c:v>
                </c:pt>
                <c:pt idx="533">
                  <c:v>3</c:v>
                </c:pt>
                <c:pt idx="534">
                  <c:v>4</c:v>
                </c:pt>
                <c:pt idx="535">
                  <c:v>2</c:v>
                </c:pt>
                <c:pt idx="536">
                  <c:v>4</c:v>
                </c:pt>
                <c:pt idx="537">
                  <c:v>5</c:v>
                </c:pt>
                <c:pt idx="538">
                  <c:v>1</c:v>
                </c:pt>
                <c:pt idx="539">
                  <c:v>4</c:v>
                </c:pt>
                <c:pt idx="540">
                  <c:v>3</c:v>
                </c:pt>
                <c:pt idx="541">
                  <c:v>2</c:v>
                </c:pt>
                <c:pt idx="542">
                  <c:v>4</c:v>
                </c:pt>
                <c:pt idx="543">
                  <c:v>3</c:v>
                </c:pt>
                <c:pt idx="544">
                  <c:v>1</c:v>
                </c:pt>
                <c:pt idx="545">
                  <c:v>5</c:v>
                </c:pt>
                <c:pt idx="546">
                  <c:v>3</c:v>
                </c:pt>
                <c:pt idx="547">
                  <c:v>4</c:v>
                </c:pt>
                <c:pt idx="548">
                  <c:v>2</c:v>
                </c:pt>
                <c:pt idx="549">
                  <c:v>4</c:v>
                </c:pt>
                <c:pt idx="550">
                  <c:v>5</c:v>
                </c:pt>
                <c:pt idx="551">
                  <c:v>1</c:v>
                </c:pt>
                <c:pt idx="552">
                  <c:v>4</c:v>
                </c:pt>
                <c:pt idx="553">
                  <c:v>3</c:v>
                </c:pt>
                <c:pt idx="554">
                  <c:v>2</c:v>
                </c:pt>
                <c:pt idx="555">
                  <c:v>5</c:v>
                </c:pt>
                <c:pt idx="556">
                  <c:v>3</c:v>
                </c:pt>
                <c:pt idx="557">
                  <c:v>4</c:v>
                </c:pt>
                <c:pt idx="558">
                  <c:v>2</c:v>
                </c:pt>
                <c:pt idx="559">
                  <c:v>4</c:v>
                </c:pt>
                <c:pt idx="560">
                  <c:v>5</c:v>
                </c:pt>
                <c:pt idx="561">
                  <c:v>1</c:v>
                </c:pt>
                <c:pt idx="562">
                  <c:v>4</c:v>
                </c:pt>
                <c:pt idx="563">
                  <c:v>3</c:v>
                </c:pt>
                <c:pt idx="564">
                  <c:v>2</c:v>
                </c:pt>
                <c:pt idx="565">
                  <c:v>5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4</c:v>
                </c:pt>
                <c:pt idx="570">
                  <c:v>3</c:v>
                </c:pt>
                <c:pt idx="571">
                  <c:v>1</c:v>
                </c:pt>
                <c:pt idx="572">
                  <c:v>5</c:v>
                </c:pt>
                <c:pt idx="573">
                  <c:v>3</c:v>
                </c:pt>
                <c:pt idx="574">
                  <c:v>4</c:v>
                </c:pt>
                <c:pt idx="575">
                  <c:v>2</c:v>
                </c:pt>
                <c:pt idx="576">
                  <c:v>4</c:v>
                </c:pt>
                <c:pt idx="577">
                  <c:v>5</c:v>
                </c:pt>
                <c:pt idx="578">
                  <c:v>1</c:v>
                </c:pt>
                <c:pt idx="579">
                  <c:v>4</c:v>
                </c:pt>
                <c:pt idx="580">
                  <c:v>3</c:v>
                </c:pt>
                <c:pt idx="581">
                  <c:v>2</c:v>
                </c:pt>
                <c:pt idx="582">
                  <c:v>5</c:v>
                </c:pt>
                <c:pt idx="583">
                  <c:v>3</c:v>
                </c:pt>
                <c:pt idx="584">
                  <c:v>4</c:v>
                </c:pt>
                <c:pt idx="585">
                  <c:v>2</c:v>
                </c:pt>
                <c:pt idx="586">
                  <c:v>4</c:v>
                </c:pt>
                <c:pt idx="587">
                  <c:v>5</c:v>
                </c:pt>
                <c:pt idx="588">
                  <c:v>1</c:v>
                </c:pt>
                <c:pt idx="589">
                  <c:v>4</c:v>
                </c:pt>
                <c:pt idx="590">
                  <c:v>3</c:v>
                </c:pt>
                <c:pt idx="591">
                  <c:v>2</c:v>
                </c:pt>
                <c:pt idx="592">
                  <c:v>5</c:v>
                </c:pt>
                <c:pt idx="593">
                  <c:v>3</c:v>
                </c:pt>
                <c:pt idx="594">
                  <c:v>4</c:v>
                </c:pt>
                <c:pt idx="595">
                  <c:v>2</c:v>
                </c:pt>
                <c:pt idx="596">
                  <c:v>4</c:v>
                </c:pt>
                <c:pt idx="597">
                  <c:v>5</c:v>
                </c:pt>
                <c:pt idx="598">
                  <c:v>1</c:v>
                </c:pt>
                <c:pt idx="599">
                  <c:v>4</c:v>
                </c:pt>
                <c:pt idx="600">
                  <c:v>3</c:v>
                </c:pt>
                <c:pt idx="601">
                  <c:v>1</c:v>
                </c:pt>
                <c:pt idx="602">
                  <c:v>5</c:v>
                </c:pt>
                <c:pt idx="603">
                  <c:v>3</c:v>
                </c:pt>
                <c:pt idx="604">
                  <c:v>4</c:v>
                </c:pt>
                <c:pt idx="605">
                  <c:v>2</c:v>
                </c:pt>
                <c:pt idx="606">
                  <c:v>4</c:v>
                </c:pt>
                <c:pt idx="607">
                  <c:v>5</c:v>
                </c:pt>
                <c:pt idx="608">
                  <c:v>1</c:v>
                </c:pt>
                <c:pt idx="609">
                  <c:v>4</c:v>
                </c:pt>
                <c:pt idx="610">
                  <c:v>3</c:v>
                </c:pt>
                <c:pt idx="611">
                  <c:v>2</c:v>
                </c:pt>
                <c:pt idx="612">
                  <c:v>5</c:v>
                </c:pt>
                <c:pt idx="613">
                  <c:v>3</c:v>
                </c:pt>
                <c:pt idx="614">
                  <c:v>4</c:v>
                </c:pt>
                <c:pt idx="615">
                  <c:v>2</c:v>
                </c:pt>
                <c:pt idx="616">
                  <c:v>4</c:v>
                </c:pt>
                <c:pt idx="617">
                  <c:v>5</c:v>
                </c:pt>
                <c:pt idx="618">
                  <c:v>1</c:v>
                </c:pt>
                <c:pt idx="619">
                  <c:v>4</c:v>
                </c:pt>
                <c:pt idx="620">
                  <c:v>3</c:v>
                </c:pt>
                <c:pt idx="621">
                  <c:v>2</c:v>
                </c:pt>
                <c:pt idx="622">
                  <c:v>5</c:v>
                </c:pt>
                <c:pt idx="623">
                  <c:v>4</c:v>
                </c:pt>
                <c:pt idx="624">
                  <c:v>2</c:v>
                </c:pt>
                <c:pt idx="625">
                  <c:v>5</c:v>
                </c:pt>
                <c:pt idx="626">
                  <c:v>4</c:v>
                </c:pt>
                <c:pt idx="627">
                  <c:v>3</c:v>
                </c:pt>
                <c:pt idx="628">
                  <c:v>5</c:v>
                </c:pt>
                <c:pt idx="629">
                  <c:v>2</c:v>
                </c:pt>
                <c:pt idx="630">
                  <c:v>4</c:v>
                </c:pt>
                <c:pt idx="631">
                  <c:v>4</c:v>
                </c:pt>
                <c:pt idx="632">
                  <c:v>5</c:v>
                </c:pt>
                <c:pt idx="633">
                  <c:v>3</c:v>
                </c:pt>
                <c:pt idx="634">
                  <c:v>2</c:v>
                </c:pt>
                <c:pt idx="635">
                  <c:v>4</c:v>
                </c:pt>
                <c:pt idx="636">
                  <c:v>4</c:v>
                </c:pt>
                <c:pt idx="637">
                  <c:v>3</c:v>
                </c:pt>
                <c:pt idx="638">
                  <c:v>2</c:v>
                </c:pt>
                <c:pt idx="639">
                  <c:v>5</c:v>
                </c:pt>
                <c:pt idx="640">
                  <c:v>2</c:v>
                </c:pt>
                <c:pt idx="641">
                  <c:v>4</c:v>
                </c:pt>
                <c:pt idx="642">
                  <c:v>3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2</c:v>
                </c:pt>
                <c:pt idx="647">
                  <c:v>5</c:v>
                </c:pt>
                <c:pt idx="648">
                  <c:v>3</c:v>
                </c:pt>
                <c:pt idx="649">
                  <c:v>4</c:v>
                </c:pt>
                <c:pt idx="650">
                  <c:v>2</c:v>
                </c:pt>
                <c:pt idx="651">
                  <c:v>4</c:v>
                </c:pt>
                <c:pt idx="652">
                  <c:v>5</c:v>
                </c:pt>
                <c:pt idx="653">
                  <c:v>2</c:v>
                </c:pt>
                <c:pt idx="654">
                  <c:v>4</c:v>
                </c:pt>
                <c:pt idx="655">
                  <c:v>3</c:v>
                </c:pt>
                <c:pt idx="656">
                  <c:v>2</c:v>
                </c:pt>
                <c:pt idx="657">
                  <c:v>5</c:v>
                </c:pt>
                <c:pt idx="658">
                  <c:v>3</c:v>
                </c:pt>
                <c:pt idx="659">
                  <c:v>4</c:v>
                </c:pt>
                <c:pt idx="660">
                  <c:v>2</c:v>
                </c:pt>
                <c:pt idx="661">
                  <c:v>4</c:v>
                </c:pt>
                <c:pt idx="662">
                  <c:v>5</c:v>
                </c:pt>
                <c:pt idx="663">
                  <c:v>1</c:v>
                </c:pt>
                <c:pt idx="664">
                  <c:v>4</c:v>
                </c:pt>
                <c:pt idx="665">
                  <c:v>3</c:v>
                </c:pt>
                <c:pt idx="666">
                  <c:v>2</c:v>
                </c:pt>
                <c:pt idx="667">
                  <c:v>5</c:v>
                </c:pt>
                <c:pt idx="668">
                  <c:v>3</c:v>
                </c:pt>
                <c:pt idx="669">
                  <c:v>4</c:v>
                </c:pt>
                <c:pt idx="670">
                  <c:v>2</c:v>
                </c:pt>
                <c:pt idx="671">
                  <c:v>3</c:v>
                </c:pt>
                <c:pt idx="672">
                  <c:v>5</c:v>
                </c:pt>
                <c:pt idx="673">
                  <c:v>3</c:v>
                </c:pt>
                <c:pt idx="674">
                  <c:v>4</c:v>
                </c:pt>
                <c:pt idx="675">
                  <c:v>2</c:v>
                </c:pt>
                <c:pt idx="676">
                  <c:v>3</c:v>
                </c:pt>
                <c:pt idx="677">
                  <c:v>5</c:v>
                </c:pt>
                <c:pt idx="678">
                  <c:v>3</c:v>
                </c:pt>
                <c:pt idx="679">
                  <c:v>4</c:v>
                </c:pt>
                <c:pt idx="680">
                  <c:v>2</c:v>
                </c:pt>
                <c:pt idx="681">
                  <c:v>3</c:v>
                </c:pt>
                <c:pt idx="682">
                  <c:v>5</c:v>
                </c:pt>
                <c:pt idx="683">
                  <c:v>3</c:v>
                </c:pt>
                <c:pt idx="684">
                  <c:v>4</c:v>
                </c:pt>
                <c:pt idx="685">
                  <c:v>2</c:v>
                </c:pt>
                <c:pt idx="686">
                  <c:v>3</c:v>
                </c:pt>
                <c:pt idx="687">
                  <c:v>5</c:v>
                </c:pt>
                <c:pt idx="688">
                  <c:v>3</c:v>
                </c:pt>
                <c:pt idx="689">
                  <c:v>4</c:v>
                </c:pt>
                <c:pt idx="690">
                  <c:v>2</c:v>
                </c:pt>
                <c:pt idx="691">
                  <c:v>3</c:v>
                </c:pt>
                <c:pt idx="692">
                  <c:v>5</c:v>
                </c:pt>
                <c:pt idx="693">
                  <c:v>3</c:v>
                </c:pt>
                <c:pt idx="694">
                  <c:v>4</c:v>
                </c:pt>
                <c:pt idx="695">
                  <c:v>2</c:v>
                </c:pt>
                <c:pt idx="696">
                  <c:v>3</c:v>
                </c:pt>
                <c:pt idx="697">
                  <c:v>5</c:v>
                </c:pt>
                <c:pt idx="698">
                  <c:v>3</c:v>
                </c:pt>
                <c:pt idx="699">
                  <c:v>4</c:v>
                </c:pt>
                <c:pt idx="700">
                  <c:v>2</c:v>
                </c:pt>
                <c:pt idx="701">
                  <c:v>3</c:v>
                </c:pt>
                <c:pt idx="702">
                  <c:v>5</c:v>
                </c:pt>
                <c:pt idx="703">
                  <c:v>3</c:v>
                </c:pt>
                <c:pt idx="704">
                  <c:v>4</c:v>
                </c:pt>
                <c:pt idx="705">
                  <c:v>2</c:v>
                </c:pt>
                <c:pt idx="706">
                  <c:v>3</c:v>
                </c:pt>
                <c:pt idx="707">
                  <c:v>5</c:v>
                </c:pt>
                <c:pt idx="708">
                  <c:v>3</c:v>
                </c:pt>
                <c:pt idx="709">
                  <c:v>4</c:v>
                </c:pt>
                <c:pt idx="710">
                  <c:v>2</c:v>
                </c:pt>
                <c:pt idx="711">
                  <c:v>3</c:v>
                </c:pt>
                <c:pt idx="712">
                  <c:v>5</c:v>
                </c:pt>
                <c:pt idx="713">
                  <c:v>3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5</c:v>
                </c:pt>
                <c:pt idx="718">
                  <c:v>3</c:v>
                </c:pt>
                <c:pt idx="719">
                  <c:v>4</c:v>
                </c:pt>
                <c:pt idx="720">
                  <c:v>2</c:v>
                </c:pt>
                <c:pt idx="721">
                  <c:v>3</c:v>
                </c:pt>
                <c:pt idx="722">
                  <c:v>5</c:v>
                </c:pt>
                <c:pt idx="723">
                  <c:v>3</c:v>
                </c:pt>
                <c:pt idx="724">
                  <c:v>3</c:v>
                </c:pt>
                <c:pt idx="725">
                  <c:v>5</c:v>
                </c:pt>
                <c:pt idx="726">
                  <c:v>3</c:v>
                </c:pt>
                <c:pt idx="727">
                  <c:v>4</c:v>
                </c:pt>
                <c:pt idx="728">
                  <c:v>2</c:v>
                </c:pt>
                <c:pt idx="729">
                  <c:v>3</c:v>
                </c:pt>
                <c:pt idx="730">
                  <c:v>5</c:v>
                </c:pt>
                <c:pt idx="731">
                  <c:v>3</c:v>
                </c:pt>
                <c:pt idx="732">
                  <c:v>4</c:v>
                </c:pt>
                <c:pt idx="733">
                  <c:v>2</c:v>
                </c:pt>
                <c:pt idx="734">
                  <c:v>3</c:v>
                </c:pt>
                <c:pt idx="735">
                  <c:v>5</c:v>
                </c:pt>
                <c:pt idx="736">
                  <c:v>3</c:v>
                </c:pt>
                <c:pt idx="737">
                  <c:v>4</c:v>
                </c:pt>
                <c:pt idx="738">
                  <c:v>2</c:v>
                </c:pt>
                <c:pt idx="739">
                  <c:v>3</c:v>
                </c:pt>
                <c:pt idx="740">
                  <c:v>5</c:v>
                </c:pt>
                <c:pt idx="741">
                  <c:v>3</c:v>
                </c:pt>
                <c:pt idx="742">
                  <c:v>4</c:v>
                </c:pt>
                <c:pt idx="743">
                  <c:v>2</c:v>
                </c:pt>
                <c:pt idx="744">
                  <c:v>3</c:v>
                </c:pt>
                <c:pt idx="745">
                  <c:v>5</c:v>
                </c:pt>
                <c:pt idx="746">
                  <c:v>3</c:v>
                </c:pt>
                <c:pt idx="747">
                  <c:v>4</c:v>
                </c:pt>
                <c:pt idx="748">
                  <c:v>2</c:v>
                </c:pt>
                <c:pt idx="749">
                  <c:v>3</c:v>
                </c:pt>
                <c:pt idx="750">
                  <c:v>5</c:v>
                </c:pt>
                <c:pt idx="751">
                  <c:v>3</c:v>
                </c:pt>
                <c:pt idx="752">
                  <c:v>3</c:v>
                </c:pt>
                <c:pt idx="753">
                  <c:v>5</c:v>
                </c:pt>
                <c:pt idx="754">
                  <c:v>3</c:v>
                </c:pt>
                <c:pt idx="755">
                  <c:v>4</c:v>
                </c:pt>
                <c:pt idx="756">
                  <c:v>2</c:v>
                </c:pt>
                <c:pt idx="757">
                  <c:v>3</c:v>
                </c:pt>
                <c:pt idx="758">
                  <c:v>5</c:v>
                </c:pt>
                <c:pt idx="759">
                  <c:v>3</c:v>
                </c:pt>
                <c:pt idx="760">
                  <c:v>4</c:v>
                </c:pt>
                <c:pt idx="761">
                  <c:v>2</c:v>
                </c:pt>
                <c:pt idx="762">
                  <c:v>3</c:v>
                </c:pt>
                <c:pt idx="763">
                  <c:v>5</c:v>
                </c:pt>
                <c:pt idx="764">
                  <c:v>3</c:v>
                </c:pt>
                <c:pt idx="765">
                  <c:v>4</c:v>
                </c:pt>
                <c:pt idx="766">
                  <c:v>2</c:v>
                </c:pt>
                <c:pt idx="767">
                  <c:v>3</c:v>
                </c:pt>
                <c:pt idx="768">
                  <c:v>5</c:v>
                </c:pt>
                <c:pt idx="769">
                  <c:v>3</c:v>
                </c:pt>
                <c:pt idx="770">
                  <c:v>4</c:v>
                </c:pt>
                <c:pt idx="771">
                  <c:v>2</c:v>
                </c:pt>
                <c:pt idx="772">
                  <c:v>3</c:v>
                </c:pt>
                <c:pt idx="773">
                  <c:v>5</c:v>
                </c:pt>
                <c:pt idx="774">
                  <c:v>3</c:v>
                </c:pt>
                <c:pt idx="775">
                  <c:v>4</c:v>
                </c:pt>
                <c:pt idx="776">
                  <c:v>2</c:v>
                </c:pt>
                <c:pt idx="777">
                  <c:v>3</c:v>
                </c:pt>
                <c:pt idx="778">
                  <c:v>5</c:v>
                </c:pt>
                <c:pt idx="779">
                  <c:v>3</c:v>
                </c:pt>
                <c:pt idx="780">
                  <c:v>3</c:v>
                </c:pt>
                <c:pt idx="781">
                  <c:v>5</c:v>
                </c:pt>
                <c:pt idx="782">
                  <c:v>3</c:v>
                </c:pt>
                <c:pt idx="783">
                  <c:v>4</c:v>
                </c:pt>
                <c:pt idx="784">
                  <c:v>2</c:v>
                </c:pt>
                <c:pt idx="785">
                  <c:v>3</c:v>
                </c:pt>
                <c:pt idx="786">
                  <c:v>5</c:v>
                </c:pt>
                <c:pt idx="787">
                  <c:v>3</c:v>
                </c:pt>
                <c:pt idx="788">
                  <c:v>4</c:v>
                </c:pt>
                <c:pt idx="789">
                  <c:v>2</c:v>
                </c:pt>
                <c:pt idx="790">
                  <c:v>3</c:v>
                </c:pt>
                <c:pt idx="791">
                  <c:v>5</c:v>
                </c:pt>
                <c:pt idx="792">
                  <c:v>3</c:v>
                </c:pt>
                <c:pt idx="793">
                  <c:v>4</c:v>
                </c:pt>
                <c:pt idx="794">
                  <c:v>2</c:v>
                </c:pt>
                <c:pt idx="795">
                  <c:v>3</c:v>
                </c:pt>
                <c:pt idx="796">
                  <c:v>5</c:v>
                </c:pt>
                <c:pt idx="797">
                  <c:v>3</c:v>
                </c:pt>
                <c:pt idx="798">
                  <c:v>4</c:v>
                </c:pt>
                <c:pt idx="799">
                  <c:v>2</c:v>
                </c:pt>
                <c:pt idx="800">
                  <c:v>3</c:v>
                </c:pt>
                <c:pt idx="801">
                  <c:v>5</c:v>
                </c:pt>
                <c:pt idx="802">
                  <c:v>3</c:v>
                </c:pt>
                <c:pt idx="803">
                  <c:v>4</c:v>
                </c:pt>
                <c:pt idx="804">
                  <c:v>2</c:v>
                </c:pt>
                <c:pt idx="805">
                  <c:v>3</c:v>
                </c:pt>
                <c:pt idx="806">
                  <c:v>5</c:v>
                </c:pt>
                <c:pt idx="807">
                  <c:v>3</c:v>
                </c:pt>
                <c:pt idx="808">
                  <c:v>3</c:v>
                </c:pt>
                <c:pt idx="809">
                  <c:v>5</c:v>
                </c:pt>
                <c:pt idx="810">
                  <c:v>3</c:v>
                </c:pt>
                <c:pt idx="811">
                  <c:v>4</c:v>
                </c:pt>
                <c:pt idx="812">
                  <c:v>2</c:v>
                </c:pt>
                <c:pt idx="813">
                  <c:v>3</c:v>
                </c:pt>
                <c:pt idx="814">
                  <c:v>5</c:v>
                </c:pt>
                <c:pt idx="815">
                  <c:v>3</c:v>
                </c:pt>
                <c:pt idx="816">
                  <c:v>4</c:v>
                </c:pt>
                <c:pt idx="817">
                  <c:v>2</c:v>
                </c:pt>
                <c:pt idx="818">
                  <c:v>3</c:v>
                </c:pt>
                <c:pt idx="819">
                  <c:v>5</c:v>
                </c:pt>
                <c:pt idx="820">
                  <c:v>3</c:v>
                </c:pt>
                <c:pt idx="821">
                  <c:v>4</c:v>
                </c:pt>
                <c:pt idx="822">
                  <c:v>2</c:v>
                </c:pt>
                <c:pt idx="823">
                  <c:v>3</c:v>
                </c:pt>
                <c:pt idx="824">
                  <c:v>5</c:v>
                </c:pt>
                <c:pt idx="825">
                  <c:v>3</c:v>
                </c:pt>
                <c:pt idx="826">
                  <c:v>4</c:v>
                </c:pt>
                <c:pt idx="827">
                  <c:v>2</c:v>
                </c:pt>
                <c:pt idx="828">
                  <c:v>3</c:v>
                </c:pt>
                <c:pt idx="829">
                  <c:v>5</c:v>
                </c:pt>
                <c:pt idx="830">
                  <c:v>3</c:v>
                </c:pt>
                <c:pt idx="831">
                  <c:v>4</c:v>
                </c:pt>
                <c:pt idx="832">
                  <c:v>2</c:v>
                </c:pt>
                <c:pt idx="833">
                  <c:v>3</c:v>
                </c:pt>
                <c:pt idx="834">
                  <c:v>5</c:v>
                </c:pt>
                <c:pt idx="835">
                  <c:v>3</c:v>
                </c:pt>
                <c:pt idx="836">
                  <c:v>3</c:v>
                </c:pt>
                <c:pt idx="837">
                  <c:v>5</c:v>
                </c:pt>
                <c:pt idx="838">
                  <c:v>3</c:v>
                </c:pt>
                <c:pt idx="839">
                  <c:v>4</c:v>
                </c:pt>
                <c:pt idx="840">
                  <c:v>2</c:v>
                </c:pt>
                <c:pt idx="841">
                  <c:v>3</c:v>
                </c:pt>
                <c:pt idx="842">
                  <c:v>5</c:v>
                </c:pt>
                <c:pt idx="843">
                  <c:v>3</c:v>
                </c:pt>
                <c:pt idx="844">
                  <c:v>4</c:v>
                </c:pt>
                <c:pt idx="845">
                  <c:v>2</c:v>
                </c:pt>
                <c:pt idx="846">
                  <c:v>3</c:v>
                </c:pt>
                <c:pt idx="847">
                  <c:v>5</c:v>
                </c:pt>
                <c:pt idx="848">
                  <c:v>3</c:v>
                </c:pt>
                <c:pt idx="849">
                  <c:v>4</c:v>
                </c:pt>
                <c:pt idx="850">
                  <c:v>2</c:v>
                </c:pt>
                <c:pt idx="851">
                  <c:v>3</c:v>
                </c:pt>
                <c:pt idx="852">
                  <c:v>5</c:v>
                </c:pt>
                <c:pt idx="853">
                  <c:v>3</c:v>
                </c:pt>
                <c:pt idx="854">
                  <c:v>4</c:v>
                </c:pt>
                <c:pt idx="855">
                  <c:v>2</c:v>
                </c:pt>
                <c:pt idx="856">
                  <c:v>3</c:v>
                </c:pt>
                <c:pt idx="857">
                  <c:v>5</c:v>
                </c:pt>
                <c:pt idx="858">
                  <c:v>3</c:v>
                </c:pt>
                <c:pt idx="859">
                  <c:v>4</c:v>
                </c:pt>
                <c:pt idx="860">
                  <c:v>2</c:v>
                </c:pt>
                <c:pt idx="861">
                  <c:v>3</c:v>
                </c:pt>
                <c:pt idx="862">
                  <c:v>5</c:v>
                </c:pt>
                <c:pt idx="863">
                  <c:v>3</c:v>
                </c:pt>
                <c:pt idx="864">
                  <c:v>3</c:v>
                </c:pt>
                <c:pt idx="865">
                  <c:v>5</c:v>
                </c:pt>
                <c:pt idx="866">
                  <c:v>3</c:v>
                </c:pt>
                <c:pt idx="867">
                  <c:v>4</c:v>
                </c:pt>
                <c:pt idx="868">
                  <c:v>2</c:v>
                </c:pt>
                <c:pt idx="869">
                  <c:v>3</c:v>
                </c:pt>
                <c:pt idx="870">
                  <c:v>5</c:v>
                </c:pt>
                <c:pt idx="871">
                  <c:v>3</c:v>
                </c:pt>
                <c:pt idx="872">
                  <c:v>4</c:v>
                </c:pt>
                <c:pt idx="873">
                  <c:v>2</c:v>
                </c:pt>
                <c:pt idx="874">
                  <c:v>3</c:v>
                </c:pt>
                <c:pt idx="875">
                  <c:v>5</c:v>
                </c:pt>
                <c:pt idx="876">
                  <c:v>3</c:v>
                </c:pt>
                <c:pt idx="877">
                  <c:v>4</c:v>
                </c:pt>
                <c:pt idx="878">
                  <c:v>2</c:v>
                </c:pt>
                <c:pt idx="879">
                  <c:v>3</c:v>
                </c:pt>
                <c:pt idx="880">
                  <c:v>5</c:v>
                </c:pt>
                <c:pt idx="881">
                  <c:v>3</c:v>
                </c:pt>
                <c:pt idx="882">
                  <c:v>4</c:v>
                </c:pt>
                <c:pt idx="883">
                  <c:v>2</c:v>
                </c:pt>
                <c:pt idx="884">
                  <c:v>3</c:v>
                </c:pt>
                <c:pt idx="885">
                  <c:v>5</c:v>
                </c:pt>
                <c:pt idx="886">
                  <c:v>3</c:v>
                </c:pt>
                <c:pt idx="887">
                  <c:v>4</c:v>
                </c:pt>
                <c:pt idx="888">
                  <c:v>2</c:v>
                </c:pt>
                <c:pt idx="889">
                  <c:v>3</c:v>
                </c:pt>
                <c:pt idx="890">
                  <c:v>5</c:v>
                </c:pt>
                <c:pt idx="891">
                  <c:v>3</c:v>
                </c:pt>
                <c:pt idx="892">
                  <c:v>3</c:v>
                </c:pt>
                <c:pt idx="893">
                  <c:v>5</c:v>
                </c:pt>
                <c:pt idx="894">
                  <c:v>3</c:v>
                </c:pt>
                <c:pt idx="895">
                  <c:v>4</c:v>
                </c:pt>
                <c:pt idx="896">
                  <c:v>2</c:v>
                </c:pt>
                <c:pt idx="897">
                  <c:v>3</c:v>
                </c:pt>
                <c:pt idx="898">
                  <c:v>5</c:v>
                </c:pt>
                <c:pt idx="899">
                  <c:v>3</c:v>
                </c:pt>
                <c:pt idx="900">
                  <c:v>4</c:v>
                </c:pt>
                <c:pt idx="901">
                  <c:v>2</c:v>
                </c:pt>
                <c:pt idx="902">
                  <c:v>3</c:v>
                </c:pt>
                <c:pt idx="903">
                  <c:v>5</c:v>
                </c:pt>
                <c:pt idx="904">
                  <c:v>3</c:v>
                </c:pt>
                <c:pt idx="905">
                  <c:v>4</c:v>
                </c:pt>
                <c:pt idx="906">
                  <c:v>2</c:v>
                </c:pt>
                <c:pt idx="907">
                  <c:v>3</c:v>
                </c:pt>
                <c:pt idx="908">
                  <c:v>5</c:v>
                </c:pt>
                <c:pt idx="909">
                  <c:v>3</c:v>
                </c:pt>
                <c:pt idx="910">
                  <c:v>4</c:v>
                </c:pt>
                <c:pt idx="911">
                  <c:v>2</c:v>
                </c:pt>
                <c:pt idx="912">
                  <c:v>3</c:v>
                </c:pt>
                <c:pt idx="913">
                  <c:v>5</c:v>
                </c:pt>
                <c:pt idx="914">
                  <c:v>3</c:v>
                </c:pt>
                <c:pt idx="915">
                  <c:v>4</c:v>
                </c:pt>
                <c:pt idx="916">
                  <c:v>2</c:v>
                </c:pt>
                <c:pt idx="917">
                  <c:v>3</c:v>
                </c:pt>
                <c:pt idx="918">
                  <c:v>5</c:v>
                </c:pt>
                <c:pt idx="919">
                  <c:v>3</c:v>
                </c:pt>
                <c:pt idx="920">
                  <c:v>3</c:v>
                </c:pt>
                <c:pt idx="921">
                  <c:v>5</c:v>
                </c:pt>
                <c:pt idx="922">
                  <c:v>3</c:v>
                </c:pt>
                <c:pt idx="923">
                  <c:v>4</c:v>
                </c:pt>
                <c:pt idx="924">
                  <c:v>2</c:v>
                </c:pt>
                <c:pt idx="925">
                  <c:v>3</c:v>
                </c:pt>
                <c:pt idx="926">
                  <c:v>5</c:v>
                </c:pt>
                <c:pt idx="927">
                  <c:v>3</c:v>
                </c:pt>
                <c:pt idx="928">
                  <c:v>4</c:v>
                </c:pt>
                <c:pt idx="929">
                  <c:v>2</c:v>
                </c:pt>
                <c:pt idx="930">
                  <c:v>3</c:v>
                </c:pt>
                <c:pt idx="931">
                  <c:v>5</c:v>
                </c:pt>
                <c:pt idx="932">
                  <c:v>3</c:v>
                </c:pt>
                <c:pt idx="933">
                  <c:v>4</c:v>
                </c:pt>
                <c:pt idx="934">
                  <c:v>2</c:v>
                </c:pt>
                <c:pt idx="935">
                  <c:v>3</c:v>
                </c:pt>
                <c:pt idx="936">
                  <c:v>5</c:v>
                </c:pt>
                <c:pt idx="937">
                  <c:v>3</c:v>
                </c:pt>
                <c:pt idx="938">
                  <c:v>4</c:v>
                </c:pt>
                <c:pt idx="939">
                  <c:v>2</c:v>
                </c:pt>
                <c:pt idx="940">
                  <c:v>3</c:v>
                </c:pt>
                <c:pt idx="941">
                  <c:v>5</c:v>
                </c:pt>
                <c:pt idx="942">
                  <c:v>3</c:v>
                </c:pt>
                <c:pt idx="943">
                  <c:v>4</c:v>
                </c:pt>
                <c:pt idx="944">
                  <c:v>2</c:v>
                </c:pt>
                <c:pt idx="945">
                  <c:v>3</c:v>
                </c:pt>
                <c:pt idx="946">
                  <c:v>5</c:v>
                </c:pt>
                <c:pt idx="947">
                  <c:v>3</c:v>
                </c:pt>
                <c:pt idx="948">
                  <c:v>3</c:v>
                </c:pt>
                <c:pt idx="949">
                  <c:v>5</c:v>
                </c:pt>
                <c:pt idx="950">
                  <c:v>3</c:v>
                </c:pt>
                <c:pt idx="951">
                  <c:v>4</c:v>
                </c:pt>
                <c:pt idx="952">
                  <c:v>2</c:v>
                </c:pt>
                <c:pt idx="953">
                  <c:v>3</c:v>
                </c:pt>
                <c:pt idx="954">
                  <c:v>5</c:v>
                </c:pt>
                <c:pt idx="955">
                  <c:v>3</c:v>
                </c:pt>
                <c:pt idx="956">
                  <c:v>4</c:v>
                </c:pt>
                <c:pt idx="957">
                  <c:v>2</c:v>
                </c:pt>
                <c:pt idx="958">
                  <c:v>3</c:v>
                </c:pt>
                <c:pt idx="959">
                  <c:v>5</c:v>
                </c:pt>
                <c:pt idx="960">
                  <c:v>3</c:v>
                </c:pt>
                <c:pt idx="961">
                  <c:v>4</c:v>
                </c:pt>
                <c:pt idx="962">
                  <c:v>2</c:v>
                </c:pt>
                <c:pt idx="963">
                  <c:v>3</c:v>
                </c:pt>
                <c:pt idx="964">
                  <c:v>5</c:v>
                </c:pt>
                <c:pt idx="965">
                  <c:v>3</c:v>
                </c:pt>
                <c:pt idx="966">
                  <c:v>4</c:v>
                </c:pt>
                <c:pt idx="967">
                  <c:v>2</c:v>
                </c:pt>
                <c:pt idx="968">
                  <c:v>3</c:v>
                </c:pt>
                <c:pt idx="969">
                  <c:v>5</c:v>
                </c:pt>
                <c:pt idx="970">
                  <c:v>3</c:v>
                </c:pt>
                <c:pt idx="971">
                  <c:v>4</c:v>
                </c:pt>
                <c:pt idx="972">
                  <c:v>2</c:v>
                </c:pt>
                <c:pt idx="973">
                  <c:v>3</c:v>
                </c:pt>
                <c:pt idx="974">
                  <c:v>5</c:v>
                </c:pt>
                <c:pt idx="975">
                  <c:v>3</c:v>
                </c:pt>
                <c:pt idx="976">
                  <c:v>3</c:v>
                </c:pt>
                <c:pt idx="977">
                  <c:v>5</c:v>
                </c:pt>
                <c:pt idx="978">
                  <c:v>3</c:v>
                </c:pt>
                <c:pt idx="979">
                  <c:v>4</c:v>
                </c:pt>
                <c:pt idx="980">
                  <c:v>2</c:v>
                </c:pt>
                <c:pt idx="981">
                  <c:v>3</c:v>
                </c:pt>
                <c:pt idx="982">
                  <c:v>5</c:v>
                </c:pt>
                <c:pt idx="983">
                  <c:v>3</c:v>
                </c:pt>
                <c:pt idx="984">
                  <c:v>4</c:v>
                </c:pt>
                <c:pt idx="985">
                  <c:v>2</c:v>
                </c:pt>
                <c:pt idx="986">
                  <c:v>3</c:v>
                </c:pt>
                <c:pt idx="987">
                  <c:v>5</c:v>
                </c:pt>
                <c:pt idx="988">
                  <c:v>3</c:v>
                </c:pt>
                <c:pt idx="989">
                  <c:v>4</c:v>
                </c:pt>
                <c:pt idx="990">
                  <c:v>2</c:v>
                </c:pt>
                <c:pt idx="991">
                  <c:v>3</c:v>
                </c:pt>
                <c:pt idx="992">
                  <c:v>5</c:v>
                </c:pt>
                <c:pt idx="993">
                  <c:v>3</c:v>
                </c:pt>
                <c:pt idx="994">
                  <c:v>4</c:v>
                </c:pt>
                <c:pt idx="995">
                  <c:v>2</c:v>
                </c:pt>
                <c:pt idx="996">
                  <c:v>3</c:v>
                </c:pt>
                <c:pt idx="997">
                  <c:v>5</c:v>
                </c:pt>
                <c:pt idx="998">
                  <c:v>3</c:v>
                </c:pt>
                <c:pt idx="999">
                  <c:v>4</c:v>
                </c:pt>
                <c:pt idx="1000">
                  <c:v>2</c:v>
                </c:pt>
                <c:pt idx="1001">
                  <c:v>3</c:v>
                </c:pt>
                <c:pt idx="1002">
                  <c:v>5</c:v>
                </c:pt>
                <c:pt idx="100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09-B14E-9A74-42BCDADEF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711695"/>
        <c:axId val="1189701055"/>
      </c:scatterChart>
      <c:valAx>
        <c:axId val="118971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701055"/>
        <c:crosses val="autoZero"/>
        <c:crossBetween val="midCat"/>
      </c:valAx>
      <c:valAx>
        <c:axId val="118970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711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Delivery Duration vs Order Hour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'Pizza Delivery Table'!$Z$1</c:f>
              <c:strCache>
                <c:ptCount val="1"/>
                <c:pt idx="0">
                  <c:v>Order Hour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5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'Pizza Delivery Table'!$H$2:$H$1005</c:f>
              <c:numCache>
                <c:formatCode>General</c:formatCode>
                <c:ptCount val="1004"/>
                <c:pt idx="0">
                  <c:v>15</c:v>
                </c:pt>
                <c:pt idx="1">
                  <c:v>25</c:v>
                </c:pt>
                <c:pt idx="2">
                  <c:v>20</c:v>
                </c:pt>
                <c:pt idx="3">
                  <c:v>25</c:v>
                </c:pt>
                <c:pt idx="4">
                  <c:v>20</c:v>
                </c:pt>
                <c:pt idx="5">
                  <c:v>20</c:v>
                </c:pt>
                <c:pt idx="6">
                  <c:v>25</c:v>
                </c:pt>
                <c:pt idx="7">
                  <c:v>20</c:v>
                </c:pt>
                <c:pt idx="8">
                  <c:v>25</c:v>
                </c:pt>
                <c:pt idx="9">
                  <c:v>20</c:v>
                </c:pt>
                <c:pt idx="10">
                  <c:v>20</c:v>
                </c:pt>
                <c:pt idx="11">
                  <c:v>25</c:v>
                </c:pt>
                <c:pt idx="12">
                  <c:v>20</c:v>
                </c:pt>
                <c:pt idx="13">
                  <c:v>25</c:v>
                </c:pt>
                <c:pt idx="14">
                  <c:v>20</c:v>
                </c:pt>
                <c:pt idx="15">
                  <c:v>25</c:v>
                </c:pt>
                <c:pt idx="16">
                  <c:v>25</c:v>
                </c:pt>
                <c:pt idx="17">
                  <c:v>20</c:v>
                </c:pt>
                <c:pt idx="18">
                  <c:v>25</c:v>
                </c:pt>
                <c:pt idx="19">
                  <c:v>20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25</c:v>
                </c:pt>
                <c:pt idx="24">
                  <c:v>20</c:v>
                </c:pt>
                <c:pt idx="25">
                  <c:v>25</c:v>
                </c:pt>
                <c:pt idx="26">
                  <c:v>25</c:v>
                </c:pt>
                <c:pt idx="27">
                  <c:v>20</c:v>
                </c:pt>
                <c:pt idx="28">
                  <c:v>25</c:v>
                </c:pt>
                <c:pt idx="29">
                  <c:v>20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20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20</c:v>
                </c:pt>
                <c:pt idx="38">
                  <c:v>25</c:v>
                </c:pt>
                <c:pt idx="39">
                  <c:v>20</c:v>
                </c:pt>
                <c:pt idx="40">
                  <c:v>20</c:v>
                </c:pt>
                <c:pt idx="41">
                  <c:v>25</c:v>
                </c:pt>
                <c:pt idx="42">
                  <c:v>20</c:v>
                </c:pt>
                <c:pt idx="43">
                  <c:v>25</c:v>
                </c:pt>
                <c:pt idx="44">
                  <c:v>20</c:v>
                </c:pt>
                <c:pt idx="45">
                  <c:v>20</c:v>
                </c:pt>
                <c:pt idx="46">
                  <c:v>25</c:v>
                </c:pt>
                <c:pt idx="47">
                  <c:v>20</c:v>
                </c:pt>
                <c:pt idx="48">
                  <c:v>25</c:v>
                </c:pt>
                <c:pt idx="49">
                  <c:v>20</c:v>
                </c:pt>
                <c:pt idx="50">
                  <c:v>20</c:v>
                </c:pt>
                <c:pt idx="51">
                  <c:v>25</c:v>
                </c:pt>
                <c:pt idx="52">
                  <c:v>20</c:v>
                </c:pt>
                <c:pt idx="53">
                  <c:v>25</c:v>
                </c:pt>
                <c:pt idx="54">
                  <c:v>20</c:v>
                </c:pt>
                <c:pt idx="55">
                  <c:v>20</c:v>
                </c:pt>
                <c:pt idx="56">
                  <c:v>25</c:v>
                </c:pt>
                <c:pt idx="57">
                  <c:v>20</c:v>
                </c:pt>
                <c:pt idx="58">
                  <c:v>25</c:v>
                </c:pt>
                <c:pt idx="59">
                  <c:v>20</c:v>
                </c:pt>
                <c:pt idx="60">
                  <c:v>20</c:v>
                </c:pt>
                <c:pt idx="61">
                  <c:v>25</c:v>
                </c:pt>
                <c:pt idx="62">
                  <c:v>20</c:v>
                </c:pt>
                <c:pt idx="63">
                  <c:v>25</c:v>
                </c:pt>
                <c:pt idx="64">
                  <c:v>20</c:v>
                </c:pt>
                <c:pt idx="65">
                  <c:v>20</c:v>
                </c:pt>
                <c:pt idx="66">
                  <c:v>25</c:v>
                </c:pt>
                <c:pt idx="67">
                  <c:v>20</c:v>
                </c:pt>
                <c:pt idx="68">
                  <c:v>25</c:v>
                </c:pt>
                <c:pt idx="69">
                  <c:v>20</c:v>
                </c:pt>
                <c:pt idx="70">
                  <c:v>20</c:v>
                </c:pt>
                <c:pt idx="71">
                  <c:v>25</c:v>
                </c:pt>
                <c:pt idx="72">
                  <c:v>20</c:v>
                </c:pt>
                <c:pt idx="73">
                  <c:v>25</c:v>
                </c:pt>
                <c:pt idx="74">
                  <c:v>20</c:v>
                </c:pt>
                <c:pt idx="75">
                  <c:v>20</c:v>
                </c:pt>
                <c:pt idx="76">
                  <c:v>25</c:v>
                </c:pt>
                <c:pt idx="77">
                  <c:v>20</c:v>
                </c:pt>
                <c:pt idx="78">
                  <c:v>25</c:v>
                </c:pt>
                <c:pt idx="79">
                  <c:v>20</c:v>
                </c:pt>
                <c:pt idx="80">
                  <c:v>20</c:v>
                </c:pt>
                <c:pt idx="81">
                  <c:v>25</c:v>
                </c:pt>
                <c:pt idx="82">
                  <c:v>20</c:v>
                </c:pt>
                <c:pt idx="83">
                  <c:v>25</c:v>
                </c:pt>
                <c:pt idx="84">
                  <c:v>20</c:v>
                </c:pt>
                <c:pt idx="85">
                  <c:v>20</c:v>
                </c:pt>
                <c:pt idx="86">
                  <c:v>25</c:v>
                </c:pt>
                <c:pt idx="87">
                  <c:v>20</c:v>
                </c:pt>
                <c:pt idx="88">
                  <c:v>25</c:v>
                </c:pt>
                <c:pt idx="89">
                  <c:v>20</c:v>
                </c:pt>
                <c:pt idx="90">
                  <c:v>20</c:v>
                </c:pt>
                <c:pt idx="91">
                  <c:v>25</c:v>
                </c:pt>
                <c:pt idx="92">
                  <c:v>20</c:v>
                </c:pt>
                <c:pt idx="93">
                  <c:v>25</c:v>
                </c:pt>
                <c:pt idx="94">
                  <c:v>20</c:v>
                </c:pt>
                <c:pt idx="95">
                  <c:v>20</c:v>
                </c:pt>
                <c:pt idx="96">
                  <c:v>25</c:v>
                </c:pt>
                <c:pt idx="97">
                  <c:v>20</c:v>
                </c:pt>
                <c:pt idx="98">
                  <c:v>25</c:v>
                </c:pt>
                <c:pt idx="99">
                  <c:v>20</c:v>
                </c:pt>
                <c:pt idx="100">
                  <c:v>20</c:v>
                </c:pt>
                <c:pt idx="101">
                  <c:v>25</c:v>
                </c:pt>
                <c:pt idx="102">
                  <c:v>20</c:v>
                </c:pt>
                <c:pt idx="103">
                  <c:v>25</c:v>
                </c:pt>
                <c:pt idx="104">
                  <c:v>20</c:v>
                </c:pt>
                <c:pt idx="105">
                  <c:v>20</c:v>
                </c:pt>
                <c:pt idx="106">
                  <c:v>25</c:v>
                </c:pt>
                <c:pt idx="107">
                  <c:v>20</c:v>
                </c:pt>
                <c:pt idx="108">
                  <c:v>25</c:v>
                </c:pt>
                <c:pt idx="109">
                  <c:v>20</c:v>
                </c:pt>
                <c:pt idx="110">
                  <c:v>20</c:v>
                </c:pt>
                <c:pt idx="111">
                  <c:v>25</c:v>
                </c:pt>
                <c:pt idx="112">
                  <c:v>20</c:v>
                </c:pt>
                <c:pt idx="113">
                  <c:v>25</c:v>
                </c:pt>
                <c:pt idx="114">
                  <c:v>20</c:v>
                </c:pt>
                <c:pt idx="115">
                  <c:v>20</c:v>
                </c:pt>
                <c:pt idx="116">
                  <c:v>25</c:v>
                </c:pt>
                <c:pt idx="117">
                  <c:v>20</c:v>
                </c:pt>
                <c:pt idx="118">
                  <c:v>25</c:v>
                </c:pt>
                <c:pt idx="119">
                  <c:v>20</c:v>
                </c:pt>
                <c:pt idx="120">
                  <c:v>20</c:v>
                </c:pt>
                <c:pt idx="121">
                  <c:v>25</c:v>
                </c:pt>
                <c:pt idx="122">
                  <c:v>20</c:v>
                </c:pt>
                <c:pt idx="123">
                  <c:v>25</c:v>
                </c:pt>
                <c:pt idx="124">
                  <c:v>20</c:v>
                </c:pt>
                <c:pt idx="125">
                  <c:v>20</c:v>
                </c:pt>
                <c:pt idx="126">
                  <c:v>30</c:v>
                </c:pt>
                <c:pt idx="127">
                  <c:v>40</c:v>
                </c:pt>
                <c:pt idx="128">
                  <c:v>20</c:v>
                </c:pt>
                <c:pt idx="129">
                  <c:v>50</c:v>
                </c:pt>
                <c:pt idx="130">
                  <c:v>35</c:v>
                </c:pt>
                <c:pt idx="131">
                  <c:v>20</c:v>
                </c:pt>
                <c:pt idx="132">
                  <c:v>40</c:v>
                </c:pt>
                <c:pt idx="133">
                  <c:v>30</c:v>
                </c:pt>
                <c:pt idx="134">
                  <c:v>45</c:v>
                </c:pt>
                <c:pt idx="135">
                  <c:v>20</c:v>
                </c:pt>
                <c:pt idx="136">
                  <c:v>30</c:v>
                </c:pt>
                <c:pt idx="137">
                  <c:v>40</c:v>
                </c:pt>
                <c:pt idx="138">
                  <c:v>20</c:v>
                </c:pt>
                <c:pt idx="139">
                  <c:v>50</c:v>
                </c:pt>
                <c:pt idx="140">
                  <c:v>35</c:v>
                </c:pt>
                <c:pt idx="141">
                  <c:v>20</c:v>
                </c:pt>
                <c:pt idx="142">
                  <c:v>40</c:v>
                </c:pt>
                <c:pt idx="143">
                  <c:v>30</c:v>
                </c:pt>
                <c:pt idx="144">
                  <c:v>45</c:v>
                </c:pt>
                <c:pt idx="145">
                  <c:v>20</c:v>
                </c:pt>
                <c:pt idx="146">
                  <c:v>30</c:v>
                </c:pt>
                <c:pt idx="147">
                  <c:v>40</c:v>
                </c:pt>
                <c:pt idx="148">
                  <c:v>20</c:v>
                </c:pt>
                <c:pt idx="149">
                  <c:v>50</c:v>
                </c:pt>
                <c:pt idx="150">
                  <c:v>30</c:v>
                </c:pt>
                <c:pt idx="151">
                  <c:v>30</c:v>
                </c:pt>
                <c:pt idx="152">
                  <c:v>35</c:v>
                </c:pt>
                <c:pt idx="153">
                  <c:v>20</c:v>
                </c:pt>
                <c:pt idx="154">
                  <c:v>30</c:v>
                </c:pt>
                <c:pt idx="155">
                  <c:v>30</c:v>
                </c:pt>
                <c:pt idx="156">
                  <c:v>35</c:v>
                </c:pt>
                <c:pt idx="157">
                  <c:v>25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25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25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25</c:v>
                </c:pt>
                <c:pt idx="173">
                  <c:v>30</c:v>
                </c:pt>
                <c:pt idx="174">
                  <c:v>20</c:v>
                </c:pt>
                <c:pt idx="175">
                  <c:v>20</c:v>
                </c:pt>
                <c:pt idx="176">
                  <c:v>25</c:v>
                </c:pt>
                <c:pt idx="177">
                  <c:v>20</c:v>
                </c:pt>
                <c:pt idx="178">
                  <c:v>25</c:v>
                </c:pt>
                <c:pt idx="179">
                  <c:v>20</c:v>
                </c:pt>
                <c:pt idx="180">
                  <c:v>25</c:v>
                </c:pt>
                <c:pt idx="181">
                  <c:v>25</c:v>
                </c:pt>
                <c:pt idx="182">
                  <c:v>20</c:v>
                </c:pt>
                <c:pt idx="183">
                  <c:v>25</c:v>
                </c:pt>
                <c:pt idx="184">
                  <c:v>20</c:v>
                </c:pt>
                <c:pt idx="185">
                  <c:v>20</c:v>
                </c:pt>
                <c:pt idx="186">
                  <c:v>25</c:v>
                </c:pt>
                <c:pt idx="187">
                  <c:v>20</c:v>
                </c:pt>
                <c:pt idx="188">
                  <c:v>25</c:v>
                </c:pt>
                <c:pt idx="189">
                  <c:v>20</c:v>
                </c:pt>
                <c:pt idx="190">
                  <c:v>20</c:v>
                </c:pt>
                <c:pt idx="191">
                  <c:v>25</c:v>
                </c:pt>
                <c:pt idx="192">
                  <c:v>20</c:v>
                </c:pt>
                <c:pt idx="193">
                  <c:v>25</c:v>
                </c:pt>
                <c:pt idx="194">
                  <c:v>20</c:v>
                </c:pt>
                <c:pt idx="195">
                  <c:v>20</c:v>
                </c:pt>
                <c:pt idx="196">
                  <c:v>25</c:v>
                </c:pt>
                <c:pt idx="197">
                  <c:v>20</c:v>
                </c:pt>
                <c:pt idx="198">
                  <c:v>25</c:v>
                </c:pt>
                <c:pt idx="199">
                  <c:v>20</c:v>
                </c:pt>
                <c:pt idx="200">
                  <c:v>25</c:v>
                </c:pt>
                <c:pt idx="201">
                  <c:v>30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20</c:v>
                </c:pt>
                <c:pt idx="208">
                  <c:v>25</c:v>
                </c:pt>
                <c:pt idx="209">
                  <c:v>20</c:v>
                </c:pt>
                <c:pt idx="210">
                  <c:v>20</c:v>
                </c:pt>
                <c:pt idx="211">
                  <c:v>25</c:v>
                </c:pt>
                <c:pt idx="212">
                  <c:v>20</c:v>
                </c:pt>
                <c:pt idx="213">
                  <c:v>25</c:v>
                </c:pt>
                <c:pt idx="214">
                  <c:v>20</c:v>
                </c:pt>
                <c:pt idx="215">
                  <c:v>20</c:v>
                </c:pt>
                <c:pt idx="216">
                  <c:v>25</c:v>
                </c:pt>
                <c:pt idx="217">
                  <c:v>20</c:v>
                </c:pt>
                <c:pt idx="218">
                  <c:v>25</c:v>
                </c:pt>
                <c:pt idx="219">
                  <c:v>20</c:v>
                </c:pt>
                <c:pt idx="220">
                  <c:v>25</c:v>
                </c:pt>
                <c:pt idx="221">
                  <c:v>30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20</c:v>
                </c:pt>
                <c:pt idx="228">
                  <c:v>25</c:v>
                </c:pt>
                <c:pt idx="229">
                  <c:v>35</c:v>
                </c:pt>
                <c:pt idx="230">
                  <c:v>25</c:v>
                </c:pt>
                <c:pt idx="231">
                  <c:v>20</c:v>
                </c:pt>
                <c:pt idx="232">
                  <c:v>30</c:v>
                </c:pt>
                <c:pt idx="233">
                  <c:v>40</c:v>
                </c:pt>
                <c:pt idx="234">
                  <c:v>20</c:v>
                </c:pt>
                <c:pt idx="235">
                  <c:v>20</c:v>
                </c:pt>
                <c:pt idx="236">
                  <c:v>30</c:v>
                </c:pt>
                <c:pt idx="237">
                  <c:v>25</c:v>
                </c:pt>
                <c:pt idx="238">
                  <c:v>20</c:v>
                </c:pt>
                <c:pt idx="239">
                  <c:v>25</c:v>
                </c:pt>
                <c:pt idx="240">
                  <c:v>20</c:v>
                </c:pt>
                <c:pt idx="241">
                  <c:v>25</c:v>
                </c:pt>
                <c:pt idx="242">
                  <c:v>20</c:v>
                </c:pt>
                <c:pt idx="243">
                  <c:v>25</c:v>
                </c:pt>
                <c:pt idx="244">
                  <c:v>25</c:v>
                </c:pt>
                <c:pt idx="245">
                  <c:v>20</c:v>
                </c:pt>
                <c:pt idx="246">
                  <c:v>25</c:v>
                </c:pt>
                <c:pt idx="247">
                  <c:v>20</c:v>
                </c:pt>
                <c:pt idx="248">
                  <c:v>20</c:v>
                </c:pt>
                <c:pt idx="249">
                  <c:v>25</c:v>
                </c:pt>
                <c:pt idx="250">
                  <c:v>20</c:v>
                </c:pt>
                <c:pt idx="251">
                  <c:v>25</c:v>
                </c:pt>
                <c:pt idx="252">
                  <c:v>20</c:v>
                </c:pt>
                <c:pt idx="253">
                  <c:v>25</c:v>
                </c:pt>
                <c:pt idx="254">
                  <c:v>25</c:v>
                </c:pt>
                <c:pt idx="255">
                  <c:v>20</c:v>
                </c:pt>
                <c:pt idx="256">
                  <c:v>25</c:v>
                </c:pt>
                <c:pt idx="257">
                  <c:v>20</c:v>
                </c:pt>
                <c:pt idx="258">
                  <c:v>20</c:v>
                </c:pt>
                <c:pt idx="259">
                  <c:v>25</c:v>
                </c:pt>
                <c:pt idx="260">
                  <c:v>20</c:v>
                </c:pt>
                <c:pt idx="261">
                  <c:v>25</c:v>
                </c:pt>
                <c:pt idx="262">
                  <c:v>20</c:v>
                </c:pt>
                <c:pt idx="263">
                  <c:v>25</c:v>
                </c:pt>
                <c:pt idx="264">
                  <c:v>20</c:v>
                </c:pt>
                <c:pt idx="265">
                  <c:v>25</c:v>
                </c:pt>
                <c:pt idx="266">
                  <c:v>20</c:v>
                </c:pt>
                <c:pt idx="267">
                  <c:v>30</c:v>
                </c:pt>
                <c:pt idx="268">
                  <c:v>40</c:v>
                </c:pt>
                <c:pt idx="269">
                  <c:v>20</c:v>
                </c:pt>
                <c:pt idx="270">
                  <c:v>50</c:v>
                </c:pt>
                <c:pt idx="271">
                  <c:v>35</c:v>
                </c:pt>
                <c:pt idx="272">
                  <c:v>20</c:v>
                </c:pt>
                <c:pt idx="273">
                  <c:v>40</c:v>
                </c:pt>
                <c:pt idx="274">
                  <c:v>30</c:v>
                </c:pt>
                <c:pt idx="275">
                  <c:v>45</c:v>
                </c:pt>
                <c:pt idx="276">
                  <c:v>25</c:v>
                </c:pt>
                <c:pt idx="277">
                  <c:v>30</c:v>
                </c:pt>
                <c:pt idx="278">
                  <c:v>20</c:v>
                </c:pt>
                <c:pt idx="279">
                  <c:v>35</c:v>
                </c:pt>
                <c:pt idx="280">
                  <c:v>20</c:v>
                </c:pt>
                <c:pt idx="281">
                  <c:v>30</c:v>
                </c:pt>
                <c:pt idx="282">
                  <c:v>25</c:v>
                </c:pt>
                <c:pt idx="283">
                  <c:v>25</c:v>
                </c:pt>
                <c:pt idx="284">
                  <c:v>20</c:v>
                </c:pt>
                <c:pt idx="285">
                  <c:v>30</c:v>
                </c:pt>
                <c:pt idx="286">
                  <c:v>30</c:v>
                </c:pt>
                <c:pt idx="287">
                  <c:v>25</c:v>
                </c:pt>
                <c:pt idx="288">
                  <c:v>25</c:v>
                </c:pt>
                <c:pt idx="289">
                  <c:v>20</c:v>
                </c:pt>
                <c:pt idx="290">
                  <c:v>20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20</c:v>
                </c:pt>
                <c:pt idx="295">
                  <c:v>20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20</c:v>
                </c:pt>
                <c:pt idx="300">
                  <c:v>20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20</c:v>
                </c:pt>
                <c:pt idx="305">
                  <c:v>20</c:v>
                </c:pt>
                <c:pt idx="306">
                  <c:v>30</c:v>
                </c:pt>
                <c:pt idx="307">
                  <c:v>40</c:v>
                </c:pt>
                <c:pt idx="308">
                  <c:v>20</c:v>
                </c:pt>
                <c:pt idx="309">
                  <c:v>50</c:v>
                </c:pt>
                <c:pt idx="310">
                  <c:v>35</c:v>
                </c:pt>
                <c:pt idx="311">
                  <c:v>20</c:v>
                </c:pt>
                <c:pt idx="312">
                  <c:v>40</c:v>
                </c:pt>
                <c:pt idx="313">
                  <c:v>30</c:v>
                </c:pt>
                <c:pt idx="314">
                  <c:v>45</c:v>
                </c:pt>
                <c:pt idx="315">
                  <c:v>20</c:v>
                </c:pt>
                <c:pt idx="316">
                  <c:v>30</c:v>
                </c:pt>
                <c:pt idx="317">
                  <c:v>40</c:v>
                </c:pt>
                <c:pt idx="318">
                  <c:v>20</c:v>
                </c:pt>
                <c:pt idx="319">
                  <c:v>50</c:v>
                </c:pt>
                <c:pt idx="320">
                  <c:v>35</c:v>
                </c:pt>
                <c:pt idx="321">
                  <c:v>20</c:v>
                </c:pt>
                <c:pt idx="322">
                  <c:v>40</c:v>
                </c:pt>
                <c:pt idx="323">
                  <c:v>30</c:v>
                </c:pt>
                <c:pt idx="324">
                  <c:v>45</c:v>
                </c:pt>
                <c:pt idx="325">
                  <c:v>20</c:v>
                </c:pt>
                <c:pt idx="326">
                  <c:v>30</c:v>
                </c:pt>
                <c:pt idx="327">
                  <c:v>40</c:v>
                </c:pt>
                <c:pt idx="328">
                  <c:v>20</c:v>
                </c:pt>
                <c:pt idx="329">
                  <c:v>50</c:v>
                </c:pt>
                <c:pt idx="330">
                  <c:v>20</c:v>
                </c:pt>
                <c:pt idx="331">
                  <c:v>30</c:v>
                </c:pt>
                <c:pt idx="332">
                  <c:v>40</c:v>
                </c:pt>
                <c:pt idx="333">
                  <c:v>20</c:v>
                </c:pt>
                <c:pt idx="334">
                  <c:v>50</c:v>
                </c:pt>
                <c:pt idx="335">
                  <c:v>20</c:v>
                </c:pt>
                <c:pt idx="336">
                  <c:v>30</c:v>
                </c:pt>
                <c:pt idx="337">
                  <c:v>40</c:v>
                </c:pt>
                <c:pt idx="338">
                  <c:v>20</c:v>
                </c:pt>
                <c:pt idx="339">
                  <c:v>50</c:v>
                </c:pt>
                <c:pt idx="340">
                  <c:v>35</c:v>
                </c:pt>
                <c:pt idx="341">
                  <c:v>20</c:v>
                </c:pt>
                <c:pt idx="342">
                  <c:v>40</c:v>
                </c:pt>
                <c:pt idx="343">
                  <c:v>30</c:v>
                </c:pt>
                <c:pt idx="344">
                  <c:v>45</c:v>
                </c:pt>
                <c:pt idx="345">
                  <c:v>20</c:v>
                </c:pt>
                <c:pt idx="346">
                  <c:v>30</c:v>
                </c:pt>
                <c:pt idx="347">
                  <c:v>40</c:v>
                </c:pt>
                <c:pt idx="348">
                  <c:v>20</c:v>
                </c:pt>
                <c:pt idx="349">
                  <c:v>50</c:v>
                </c:pt>
                <c:pt idx="350">
                  <c:v>35</c:v>
                </c:pt>
                <c:pt idx="351">
                  <c:v>20</c:v>
                </c:pt>
                <c:pt idx="352">
                  <c:v>40</c:v>
                </c:pt>
                <c:pt idx="353">
                  <c:v>30</c:v>
                </c:pt>
                <c:pt idx="354">
                  <c:v>45</c:v>
                </c:pt>
                <c:pt idx="355">
                  <c:v>20</c:v>
                </c:pt>
                <c:pt idx="356">
                  <c:v>30</c:v>
                </c:pt>
                <c:pt idx="357">
                  <c:v>40</c:v>
                </c:pt>
                <c:pt idx="358">
                  <c:v>20</c:v>
                </c:pt>
                <c:pt idx="359">
                  <c:v>50</c:v>
                </c:pt>
                <c:pt idx="360">
                  <c:v>20</c:v>
                </c:pt>
                <c:pt idx="361">
                  <c:v>20</c:v>
                </c:pt>
                <c:pt idx="362">
                  <c:v>30</c:v>
                </c:pt>
                <c:pt idx="363">
                  <c:v>40</c:v>
                </c:pt>
                <c:pt idx="364">
                  <c:v>20</c:v>
                </c:pt>
                <c:pt idx="365">
                  <c:v>50</c:v>
                </c:pt>
                <c:pt idx="366">
                  <c:v>35</c:v>
                </c:pt>
                <c:pt idx="367">
                  <c:v>20</c:v>
                </c:pt>
                <c:pt idx="368">
                  <c:v>40</c:v>
                </c:pt>
                <c:pt idx="369">
                  <c:v>30</c:v>
                </c:pt>
                <c:pt idx="370">
                  <c:v>45</c:v>
                </c:pt>
                <c:pt idx="371">
                  <c:v>20</c:v>
                </c:pt>
                <c:pt idx="372">
                  <c:v>30</c:v>
                </c:pt>
                <c:pt idx="373">
                  <c:v>40</c:v>
                </c:pt>
                <c:pt idx="374">
                  <c:v>20</c:v>
                </c:pt>
                <c:pt idx="375">
                  <c:v>50</c:v>
                </c:pt>
                <c:pt idx="376">
                  <c:v>35</c:v>
                </c:pt>
                <c:pt idx="377">
                  <c:v>20</c:v>
                </c:pt>
                <c:pt idx="378">
                  <c:v>40</c:v>
                </c:pt>
                <c:pt idx="379">
                  <c:v>30</c:v>
                </c:pt>
                <c:pt idx="380">
                  <c:v>45</c:v>
                </c:pt>
                <c:pt idx="381">
                  <c:v>20</c:v>
                </c:pt>
                <c:pt idx="382">
                  <c:v>30</c:v>
                </c:pt>
                <c:pt idx="383">
                  <c:v>40</c:v>
                </c:pt>
                <c:pt idx="384">
                  <c:v>20</c:v>
                </c:pt>
                <c:pt idx="385">
                  <c:v>50</c:v>
                </c:pt>
                <c:pt idx="386">
                  <c:v>20</c:v>
                </c:pt>
                <c:pt idx="387">
                  <c:v>20</c:v>
                </c:pt>
                <c:pt idx="388">
                  <c:v>30</c:v>
                </c:pt>
                <c:pt idx="389">
                  <c:v>40</c:v>
                </c:pt>
                <c:pt idx="390">
                  <c:v>20</c:v>
                </c:pt>
                <c:pt idx="391">
                  <c:v>50</c:v>
                </c:pt>
                <c:pt idx="392">
                  <c:v>35</c:v>
                </c:pt>
                <c:pt idx="393">
                  <c:v>20</c:v>
                </c:pt>
                <c:pt idx="394">
                  <c:v>40</c:v>
                </c:pt>
                <c:pt idx="395">
                  <c:v>30</c:v>
                </c:pt>
                <c:pt idx="396">
                  <c:v>45</c:v>
                </c:pt>
                <c:pt idx="397">
                  <c:v>20</c:v>
                </c:pt>
                <c:pt idx="398">
                  <c:v>30</c:v>
                </c:pt>
                <c:pt idx="399">
                  <c:v>40</c:v>
                </c:pt>
                <c:pt idx="400">
                  <c:v>20</c:v>
                </c:pt>
                <c:pt idx="401">
                  <c:v>50</c:v>
                </c:pt>
                <c:pt idx="402">
                  <c:v>35</c:v>
                </c:pt>
                <c:pt idx="403">
                  <c:v>20</c:v>
                </c:pt>
                <c:pt idx="404">
                  <c:v>40</c:v>
                </c:pt>
                <c:pt idx="405">
                  <c:v>30</c:v>
                </c:pt>
                <c:pt idx="406">
                  <c:v>45</c:v>
                </c:pt>
                <c:pt idx="407">
                  <c:v>20</c:v>
                </c:pt>
                <c:pt idx="408">
                  <c:v>30</c:v>
                </c:pt>
                <c:pt idx="409">
                  <c:v>40</c:v>
                </c:pt>
                <c:pt idx="410">
                  <c:v>20</c:v>
                </c:pt>
                <c:pt idx="411">
                  <c:v>50</c:v>
                </c:pt>
                <c:pt idx="412">
                  <c:v>20</c:v>
                </c:pt>
                <c:pt idx="413">
                  <c:v>20</c:v>
                </c:pt>
                <c:pt idx="414">
                  <c:v>30</c:v>
                </c:pt>
                <c:pt idx="415">
                  <c:v>40</c:v>
                </c:pt>
                <c:pt idx="416">
                  <c:v>20</c:v>
                </c:pt>
                <c:pt idx="417">
                  <c:v>50</c:v>
                </c:pt>
                <c:pt idx="418">
                  <c:v>35</c:v>
                </c:pt>
                <c:pt idx="419">
                  <c:v>20</c:v>
                </c:pt>
                <c:pt idx="420">
                  <c:v>40</c:v>
                </c:pt>
                <c:pt idx="421">
                  <c:v>30</c:v>
                </c:pt>
                <c:pt idx="422">
                  <c:v>45</c:v>
                </c:pt>
                <c:pt idx="423">
                  <c:v>20</c:v>
                </c:pt>
                <c:pt idx="424">
                  <c:v>30</c:v>
                </c:pt>
                <c:pt idx="425">
                  <c:v>40</c:v>
                </c:pt>
                <c:pt idx="426">
                  <c:v>20</c:v>
                </c:pt>
                <c:pt idx="427">
                  <c:v>50</c:v>
                </c:pt>
                <c:pt idx="428">
                  <c:v>35</c:v>
                </c:pt>
                <c:pt idx="429">
                  <c:v>20</c:v>
                </c:pt>
                <c:pt idx="430">
                  <c:v>40</c:v>
                </c:pt>
                <c:pt idx="431">
                  <c:v>30</c:v>
                </c:pt>
                <c:pt idx="432">
                  <c:v>45</c:v>
                </c:pt>
                <c:pt idx="433">
                  <c:v>20</c:v>
                </c:pt>
                <c:pt idx="434">
                  <c:v>30</c:v>
                </c:pt>
                <c:pt idx="435">
                  <c:v>40</c:v>
                </c:pt>
                <c:pt idx="436">
                  <c:v>20</c:v>
                </c:pt>
                <c:pt idx="437">
                  <c:v>50</c:v>
                </c:pt>
                <c:pt idx="438">
                  <c:v>35</c:v>
                </c:pt>
                <c:pt idx="439">
                  <c:v>20</c:v>
                </c:pt>
                <c:pt idx="440">
                  <c:v>40</c:v>
                </c:pt>
                <c:pt idx="441">
                  <c:v>30</c:v>
                </c:pt>
                <c:pt idx="442">
                  <c:v>45</c:v>
                </c:pt>
                <c:pt idx="443">
                  <c:v>20</c:v>
                </c:pt>
                <c:pt idx="444">
                  <c:v>30</c:v>
                </c:pt>
                <c:pt idx="445">
                  <c:v>40</c:v>
                </c:pt>
                <c:pt idx="446">
                  <c:v>20</c:v>
                </c:pt>
                <c:pt idx="447">
                  <c:v>50</c:v>
                </c:pt>
                <c:pt idx="448">
                  <c:v>20</c:v>
                </c:pt>
                <c:pt idx="449">
                  <c:v>30</c:v>
                </c:pt>
                <c:pt idx="450">
                  <c:v>40</c:v>
                </c:pt>
                <c:pt idx="451">
                  <c:v>30</c:v>
                </c:pt>
                <c:pt idx="452">
                  <c:v>35</c:v>
                </c:pt>
                <c:pt idx="453">
                  <c:v>40</c:v>
                </c:pt>
                <c:pt idx="454">
                  <c:v>20</c:v>
                </c:pt>
                <c:pt idx="455">
                  <c:v>50</c:v>
                </c:pt>
                <c:pt idx="456">
                  <c:v>35</c:v>
                </c:pt>
                <c:pt idx="457">
                  <c:v>20</c:v>
                </c:pt>
                <c:pt idx="458">
                  <c:v>40</c:v>
                </c:pt>
                <c:pt idx="459">
                  <c:v>20</c:v>
                </c:pt>
                <c:pt idx="460">
                  <c:v>30</c:v>
                </c:pt>
                <c:pt idx="461">
                  <c:v>40</c:v>
                </c:pt>
                <c:pt idx="462">
                  <c:v>20</c:v>
                </c:pt>
                <c:pt idx="463">
                  <c:v>50</c:v>
                </c:pt>
                <c:pt idx="464">
                  <c:v>35</c:v>
                </c:pt>
                <c:pt idx="465">
                  <c:v>20</c:v>
                </c:pt>
                <c:pt idx="466">
                  <c:v>40</c:v>
                </c:pt>
                <c:pt idx="467">
                  <c:v>30</c:v>
                </c:pt>
                <c:pt idx="468">
                  <c:v>45</c:v>
                </c:pt>
                <c:pt idx="469">
                  <c:v>20</c:v>
                </c:pt>
                <c:pt idx="470">
                  <c:v>30</c:v>
                </c:pt>
                <c:pt idx="471">
                  <c:v>40</c:v>
                </c:pt>
                <c:pt idx="472">
                  <c:v>20</c:v>
                </c:pt>
                <c:pt idx="473">
                  <c:v>50</c:v>
                </c:pt>
                <c:pt idx="474">
                  <c:v>35</c:v>
                </c:pt>
                <c:pt idx="475">
                  <c:v>20</c:v>
                </c:pt>
                <c:pt idx="476">
                  <c:v>40</c:v>
                </c:pt>
                <c:pt idx="477">
                  <c:v>30</c:v>
                </c:pt>
                <c:pt idx="478">
                  <c:v>45</c:v>
                </c:pt>
                <c:pt idx="479">
                  <c:v>20</c:v>
                </c:pt>
                <c:pt idx="480">
                  <c:v>30</c:v>
                </c:pt>
                <c:pt idx="481">
                  <c:v>40</c:v>
                </c:pt>
                <c:pt idx="482">
                  <c:v>20</c:v>
                </c:pt>
                <c:pt idx="483">
                  <c:v>50</c:v>
                </c:pt>
                <c:pt idx="484">
                  <c:v>35</c:v>
                </c:pt>
                <c:pt idx="485">
                  <c:v>20</c:v>
                </c:pt>
                <c:pt idx="486">
                  <c:v>40</c:v>
                </c:pt>
                <c:pt idx="487">
                  <c:v>20</c:v>
                </c:pt>
                <c:pt idx="488">
                  <c:v>30</c:v>
                </c:pt>
                <c:pt idx="489">
                  <c:v>40</c:v>
                </c:pt>
                <c:pt idx="490">
                  <c:v>20</c:v>
                </c:pt>
                <c:pt idx="491">
                  <c:v>50</c:v>
                </c:pt>
                <c:pt idx="492">
                  <c:v>35</c:v>
                </c:pt>
                <c:pt idx="493">
                  <c:v>20</c:v>
                </c:pt>
                <c:pt idx="494">
                  <c:v>40</c:v>
                </c:pt>
                <c:pt idx="495">
                  <c:v>30</c:v>
                </c:pt>
                <c:pt idx="496">
                  <c:v>45</c:v>
                </c:pt>
                <c:pt idx="497">
                  <c:v>20</c:v>
                </c:pt>
                <c:pt idx="498">
                  <c:v>30</c:v>
                </c:pt>
                <c:pt idx="499">
                  <c:v>40</c:v>
                </c:pt>
                <c:pt idx="500">
                  <c:v>20</c:v>
                </c:pt>
                <c:pt idx="501">
                  <c:v>50</c:v>
                </c:pt>
                <c:pt idx="502">
                  <c:v>35</c:v>
                </c:pt>
                <c:pt idx="503">
                  <c:v>20</c:v>
                </c:pt>
                <c:pt idx="504">
                  <c:v>40</c:v>
                </c:pt>
                <c:pt idx="505">
                  <c:v>30</c:v>
                </c:pt>
                <c:pt idx="506">
                  <c:v>45</c:v>
                </c:pt>
                <c:pt idx="507">
                  <c:v>20</c:v>
                </c:pt>
                <c:pt idx="508">
                  <c:v>30</c:v>
                </c:pt>
                <c:pt idx="509">
                  <c:v>40</c:v>
                </c:pt>
                <c:pt idx="510">
                  <c:v>20</c:v>
                </c:pt>
                <c:pt idx="511">
                  <c:v>50</c:v>
                </c:pt>
                <c:pt idx="512">
                  <c:v>35</c:v>
                </c:pt>
                <c:pt idx="513">
                  <c:v>20</c:v>
                </c:pt>
                <c:pt idx="514">
                  <c:v>40</c:v>
                </c:pt>
                <c:pt idx="515">
                  <c:v>20</c:v>
                </c:pt>
                <c:pt idx="516">
                  <c:v>30</c:v>
                </c:pt>
                <c:pt idx="517">
                  <c:v>40</c:v>
                </c:pt>
                <c:pt idx="518">
                  <c:v>20</c:v>
                </c:pt>
                <c:pt idx="519">
                  <c:v>50</c:v>
                </c:pt>
                <c:pt idx="520">
                  <c:v>35</c:v>
                </c:pt>
                <c:pt idx="521">
                  <c:v>20</c:v>
                </c:pt>
                <c:pt idx="522">
                  <c:v>40</c:v>
                </c:pt>
                <c:pt idx="523">
                  <c:v>30</c:v>
                </c:pt>
                <c:pt idx="524">
                  <c:v>45</c:v>
                </c:pt>
                <c:pt idx="525">
                  <c:v>20</c:v>
                </c:pt>
                <c:pt idx="526">
                  <c:v>30</c:v>
                </c:pt>
                <c:pt idx="527">
                  <c:v>40</c:v>
                </c:pt>
                <c:pt idx="528">
                  <c:v>20</c:v>
                </c:pt>
                <c:pt idx="529">
                  <c:v>50</c:v>
                </c:pt>
                <c:pt idx="530">
                  <c:v>35</c:v>
                </c:pt>
                <c:pt idx="531">
                  <c:v>20</c:v>
                </c:pt>
                <c:pt idx="532">
                  <c:v>40</c:v>
                </c:pt>
                <c:pt idx="533">
                  <c:v>30</c:v>
                </c:pt>
                <c:pt idx="534">
                  <c:v>45</c:v>
                </c:pt>
                <c:pt idx="535">
                  <c:v>20</c:v>
                </c:pt>
                <c:pt idx="536">
                  <c:v>30</c:v>
                </c:pt>
                <c:pt idx="537">
                  <c:v>40</c:v>
                </c:pt>
                <c:pt idx="538">
                  <c:v>20</c:v>
                </c:pt>
                <c:pt idx="539">
                  <c:v>50</c:v>
                </c:pt>
                <c:pt idx="540">
                  <c:v>35</c:v>
                </c:pt>
                <c:pt idx="541">
                  <c:v>20</c:v>
                </c:pt>
                <c:pt idx="542">
                  <c:v>45</c:v>
                </c:pt>
                <c:pt idx="543">
                  <c:v>40</c:v>
                </c:pt>
                <c:pt idx="544">
                  <c:v>20</c:v>
                </c:pt>
                <c:pt idx="545">
                  <c:v>40</c:v>
                </c:pt>
                <c:pt idx="546">
                  <c:v>30</c:v>
                </c:pt>
                <c:pt idx="547">
                  <c:v>45</c:v>
                </c:pt>
                <c:pt idx="548">
                  <c:v>20</c:v>
                </c:pt>
                <c:pt idx="549">
                  <c:v>30</c:v>
                </c:pt>
                <c:pt idx="550">
                  <c:v>40</c:v>
                </c:pt>
                <c:pt idx="551">
                  <c:v>20</c:v>
                </c:pt>
                <c:pt idx="552">
                  <c:v>50</c:v>
                </c:pt>
                <c:pt idx="553">
                  <c:v>35</c:v>
                </c:pt>
                <c:pt idx="554">
                  <c:v>20</c:v>
                </c:pt>
                <c:pt idx="555">
                  <c:v>40</c:v>
                </c:pt>
                <c:pt idx="556">
                  <c:v>30</c:v>
                </c:pt>
                <c:pt idx="557">
                  <c:v>45</c:v>
                </c:pt>
                <c:pt idx="558">
                  <c:v>20</c:v>
                </c:pt>
                <c:pt idx="559">
                  <c:v>30</c:v>
                </c:pt>
                <c:pt idx="560">
                  <c:v>40</c:v>
                </c:pt>
                <c:pt idx="561">
                  <c:v>20</c:v>
                </c:pt>
                <c:pt idx="562">
                  <c:v>50</c:v>
                </c:pt>
                <c:pt idx="563">
                  <c:v>35</c:v>
                </c:pt>
                <c:pt idx="564">
                  <c:v>20</c:v>
                </c:pt>
                <c:pt idx="565">
                  <c:v>40</c:v>
                </c:pt>
                <c:pt idx="566">
                  <c:v>30</c:v>
                </c:pt>
                <c:pt idx="567">
                  <c:v>45</c:v>
                </c:pt>
                <c:pt idx="568">
                  <c:v>35</c:v>
                </c:pt>
                <c:pt idx="569">
                  <c:v>45</c:v>
                </c:pt>
                <c:pt idx="570">
                  <c:v>40</c:v>
                </c:pt>
                <c:pt idx="571">
                  <c:v>20</c:v>
                </c:pt>
                <c:pt idx="572">
                  <c:v>40</c:v>
                </c:pt>
                <c:pt idx="573">
                  <c:v>30</c:v>
                </c:pt>
                <c:pt idx="574">
                  <c:v>45</c:v>
                </c:pt>
                <c:pt idx="575">
                  <c:v>20</c:v>
                </c:pt>
                <c:pt idx="576">
                  <c:v>30</c:v>
                </c:pt>
                <c:pt idx="577">
                  <c:v>40</c:v>
                </c:pt>
                <c:pt idx="578">
                  <c:v>20</c:v>
                </c:pt>
                <c:pt idx="579">
                  <c:v>50</c:v>
                </c:pt>
                <c:pt idx="580">
                  <c:v>35</c:v>
                </c:pt>
                <c:pt idx="581">
                  <c:v>20</c:v>
                </c:pt>
                <c:pt idx="582">
                  <c:v>40</c:v>
                </c:pt>
                <c:pt idx="583">
                  <c:v>30</c:v>
                </c:pt>
                <c:pt idx="584">
                  <c:v>45</c:v>
                </c:pt>
                <c:pt idx="585">
                  <c:v>20</c:v>
                </c:pt>
                <c:pt idx="586">
                  <c:v>30</c:v>
                </c:pt>
                <c:pt idx="587">
                  <c:v>40</c:v>
                </c:pt>
                <c:pt idx="588">
                  <c:v>20</c:v>
                </c:pt>
                <c:pt idx="589">
                  <c:v>50</c:v>
                </c:pt>
                <c:pt idx="590">
                  <c:v>35</c:v>
                </c:pt>
                <c:pt idx="591">
                  <c:v>20</c:v>
                </c:pt>
                <c:pt idx="592">
                  <c:v>40</c:v>
                </c:pt>
                <c:pt idx="593">
                  <c:v>30</c:v>
                </c:pt>
                <c:pt idx="594">
                  <c:v>45</c:v>
                </c:pt>
                <c:pt idx="595">
                  <c:v>20</c:v>
                </c:pt>
                <c:pt idx="596">
                  <c:v>30</c:v>
                </c:pt>
                <c:pt idx="597">
                  <c:v>40</c:v>
                </c:pt>
                <c:pt idx="598">
                  <c:v>20</c:v>
                </c:pt>
                <c:pt idx="599">
                  <c:v>45</c:v>
                </c:pt>
                <c:pt idx="600">
                  <c:v>40</c:v>
                </c:pt>
                <c:pt idx="601">
                  <c:v>20</c:v>
                </c:pt>
                <c:pt idx="602">
                  <c:v>40</c:v>
                </c:pt>
                <c:pt idx="603">
                  <c:v>30</c:v>
                </c:pt>
                <c:pt idx="604">
                  <c:v>45</c:v>
                </c:pt>
                <c:pt idx="605">
                  <c:v>20</c:v>
                </c:pt>
                <c:pt idx="606">
                  <c:v>30</c:v>
                </c:pt>
                <c:pt idx="607">
                  <c:v>40</c:v>
                </c:pt>
                <c:pt idx="608">
                  <c:v>20</c:v>
                </c:pt>
                <c:pt idx="609">
                  <c:v>50</c:v>
                </c:pt>
                <c:pt idx="610">
                  <c:v>35</c:v>
                </c:pt>
                <c:pt idx="611">
                  <c:v>20</c:v>
                </c:pt>
                <c:pt idx="612">
                  <c:v>40</c:v>
                </c:pt>
                <c:pt idx="613">
                  <c:v>30</c:v>
                </c:pt>
                <c:pt idx="614">
                  <c:v>45</c:v>
                </c:pt>
                <c:pt idx="615">
                  <c:v>20</c:v>
                </c:pt>
                <c:pt idx="616">
                  <c:v>30</c:v>
                </c:pt>
                <c:pt idx="617">
                  <c:v>40</c:v>
                </c:pt>
                <c:pt idx="618">
                  <c:v>20</c:v>
                </c:pt>
                <c:pt idx="619">
                  <c:v>50</c:v>
                </c:pt>
                <c:pt idx="620">
                  <c:v>35</c:v>
                </c:pt>
                <c:pt idx="621">
                  <c:v>20</c:v>
                </c:pt>
                <c:pt idx="622">
                  <c:v>40</c:v>
                </c:pt>
                <c:pt idx="623">
                  <c:v>35</c:v>
                </c:pt>
                <c:pt idx="624">
                  <c:v>30</c:v>
                </c:pt>
                <c:pt idx="625">
                  <c:v>50</c:v>
                </c:pt>
                <c:pt idx="626">
                  <c:v>35</c:v>
                </c:pt>
                <c:pt idx="627">
                  <c:v>25</c:v>
                </c:pt>
                <c:pt idx="628">
                  <c:v>40</c:v>
                </c:pt>
                <c:pt idx="629">
                  <c:v>35</c:v>
                </c:pt>
                <c:pt idx="630">
                  <c:v>45</c:v>
                </c:pt>
                <c:pt idx="631">
                  <c:v>30</c:v>
                </c:pt>
                <c:pt idx="632">
                  <c:v>40</c:v>
                </c:pt>
                <c:pt idx="633">
                  <c:v>25</c:v>
                </c:pt>
                <c:pt idx="634">
                  <c:v>30</c:v>
                </c:pt>
                <c:pt idx="635">
                  <c:v>50</c:v>
                </c:pt>
                <c:pt idx="636">
                  <c:v>35</c:v>
                </c:pt>
                <c:pt idx="637">
                  <c:v>25</c:v>
                </c:pt>
                <c:pt idx="638">
                  <c:v>30</c:v>
                </c:pt>
                <c:pt idx="639">
                  <c:v>40</c:v>
                </c:pt>
                <c:pt idx="640">
                  <c:v>45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50</c:v>
                </c:pt>
                <c:pt idx="645">
                  <c:v>35</c:v>
                </c:pt>
                <c:pt idx="646">
                  <c:v>20</c:v>
                </c:pt>
                <c:pt idx="647">
                  <c:v>40</c:v>
                </c:pt>
                <c:pt idx="648">
                  <c:v>30</c:v>
                </c:pt>
                <c:pt idx="649">
                  <c:v>40</c:v>
                </c:pt>
                <c:pt idx="650">
                  <c:v>30</c:v>
                </c:pt>
                <c:pt idx="651">
                  <c:v>30</c:v>
                </c:pt>
                <c:pt idx="652">
                  <c:v>40</c:v>
                </c:pt>
                <c:pt idx="653">
                  <c:v>30</c:v>
                </c:pt>
                <c:pt idx="654">
                  <c:v>40</c:v>
                </c:pt>
                <c:pt idx="655">
                  <c:v>30</c:v>
                </c:pt>
                <c:pt idx="656">
                  <c:v>30</c:v>
                </c:pt>
                <c:pt idx="657">
                  <c:v>40</c:v>
                </c:pt>
                <c:pt idx="658">
                  <c:v>30</c:v>
                </c:pt>
                <c:pt idx="659">
                  <c:v>40</c:v>
                </c:pt>
                <c:pt idx="660">
                  <c:v>30</c:v>
                </c:pt>
                <c:pt idx="661">
                  <c:v>30</c:v>
                </c:pt>
                <c:pt idx="662">
                  <c:v>40</c:v>
                </c:pt>
                <c:pt idx="663">
                  <c:v>30</c:v>
                </c:pt>
                <c:pt idx="664">
                  <c:v>40</c:v>
                </c:pt>
                <c:pt idx="665">
                  <c:v>30</c:v>
                </c:pt>
                <c:pt idx="666">
                  <c:v>30</c:v>
                </c:pt>
                <c:pt idx="667">
                  <c:v>40</c:v>
                </c:pt>
                <c:pt idx="668">
                  <c:v>30</c:v>
                </c:pt>
                <c:pt idx="669">
                  <c:v>35</c:v>
                </c:pt>
                <c:pt idx="670">
                  <c:v>40</c:v>
                </c:pt>
                <c:pt idx="671">
                  <c:v>25</c:v>
                </c:pt>
                <c:pt idx="672">
                  <c:v>40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35</c:v>
                </c:pt>
                <c:pt idx="677">
                  <c:v>45</c:v>
                </c:pt>
                <c:pt idx="678">
                  <c:v>30</c:v>
                </c:pt>
                <c:pt idx="679">
                  <c:v>35</c:v>
                </c:pt>
                <c:pt idx="680">
                  <c:v>30</c:v>
                </c:pt>
                <c:pt idx="681">
                  <c:v>30</c:v>
                </c:pt>
                <c:pt idx="682">
                  <c:v>40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30</c:v>
                </c:pt>
                <c:pt idx="687">
                  <c:v>40</c:v>
                </c:pt>
                <c:pt idx="688">
                  <c:v>30</c:v>
                </c:pt>
                <c:pt idx="689">
                  <c:v>30</c:v>
                </c:pt>
                <c:pt idx="690">
                  <c:v>30</c:v>
                </c:pt>
                <c:pt idx="691">
                  <c:v>30</c:v>
                </c:pt>
                <c:pt idx="692">
                  <c:v>40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</c:v>
                </c:pt>
                <c:pt idx="755">
                  <c:v>30</c:v>
                </c:pt>
                <c:pt idx="756">
                  <c:v>30</c:v>
                </c:pt>
                <c:pt idx="757">
                  <c:v>30</c:v>
                </c:pt>
                <c:pt idx="758">
                  <c:v>30</c:v>
                </c:pt>
                <c:pt idx="759">
                  <c:v>30</c:v>
                </c:pt>
                <c:pt idx="760">
                  <c:v>30</c:v>
                </c:pt>
                <c:pt idx="761">
                  <c:v>30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30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30</c:v>
                </c:pt>
                <c:pt idx="774">
                  <c:v>30</c:v>
                </c:pt>
                <c:pt idx="775">
                  <c:v>30</c:v>
                </c:pt>
                <c:pt idx="776">
                  <c:v>30</c:v>
                </c:pt>
                <c:pt idx="777">
                  <c:v>30</c:v>
                </c:pt>
                <c:pt idx="778">
                  <c:v>30</c:v>
                </c:pt>
                <c:pt idx="779">
                  <c:v>30</c:v>
                </c:pt>
                <c:pt idx="780">
                  <c:v>30</c:v>
                </c:pt>
                <c:pt idx="781">
                  <c:v>30</c:v>
                </c:pt>
                <c:pt idx="782">
                  <c:v>30</c:v>
                </c:pt>
                <c:pt idx="783">
                  <c:v>30</c:v>
                </c:pt>
                <c:pt idx="784">
                  <c:v>30</c:v>
                </c:pt>
                <c:pt idx="785">
                  <c:v>30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30</c:v>
                </c:pt>
                <c:pt idx="795">
                  <c:v>30</c:v>
                </c:pt>
                <c:pt idx="796">
                  <c:v>30</c:v>
                </c:pt>
                <c:pt idx="797">
                  <c:v>30</c:v>
                </c:pt>
                <c:pt idx="798">
                  <c:v>30</c:v>
                </c:pt>
                <c:pt idx="799">
                  <c:v>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30</c:v>
                </c:pt>
                <c:pt idx="851">
                  <c:v>30</c:v>
                </c:pt>
                <c:pt idx="852">
                  <c:v>30</c:v>
                </c:pt>
                <c:pt idx="853">
                  <c:v>30</c:v>
                </c:pt>
                <c:pt idx="854">
                  <c:v>30</c:v>
                </c:pt>
                <c:pt idx="855">
                  <c:v>30</c:v>
                </c:pt>
                <c:pt idx="856">
                  <c:v>30</c:v>
                </c:pt>
                <c:pt idx="857">
                  <c:v>30</c:v>
                </c:pt>
                <c:pt idx="858">
                  <c:v>30</c:v>
                </c:pt>
                <c:pt idx="859">
                  <c:v>30</c:v>
                </c:pt>
                <c:pt idx="860">
                  <c:v>30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30</c:v>
                </c:pt>
                <c:pt idx="865">
                  <c:v>30</c:v>
                </c:pt>
                <c:pt idx="866">
                  <c:v>30</c:v>
                </c:pt>
                <c:pt idx="867">
                  <c:v>30</c:v>
                </c:pt>
                <c:pt idx="868">
                  <c:v>30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30</c:v>
                </c:pt>
                <c:pt idx="878">
                  <c:v>30</c:v>
                </c:pt>
                <c:pt idx="879">
                  <c:v>30</c:v>
                </c:pt>
                <c:pt idx="880">
                  <c:v>30</c:v>
                </c:pt>
                <c:pt idx="881">
                  <c:v>30</c:v>
                </c:pt>
                <c:pt idx="882">
                  <c:v>30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30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30</c:v>
                </c:pt>
                <c:pt idx="898">
                  <c:v>30</c:v>
                </c:pt>
                <c:pt idx="899">
                  <c:v>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30</c:v>
                </c:pt>
                <c:pt idx="952">
                  <c:v>30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</c:v>
                </c:pt>
                <c:pt idx="957">
                  <c:v>30</c:v>
                </c:pt>
                <c:pt idx="958">
                  <c:v>30</c:v>
                </c:pt>
                <c:pt idx="959">
                  <c:v>30</c:v>
                </c:pt>
                <c:pt idx="960">
                  <c:v>30</c:v>
                </c:pt>
                <c:pt idx="961">
                  <c:v>30</c:v>
                </c:pt>
                <c:pt idx="962">
                  <c:v>30</c:v>
                </c:pt>
                <c:pt idx="963">
                  <c:v>30</c:v>
                </c:pt>
                <c:pt idx="964">
                  <c:v>30</c:v>
                </c:pt>
                <c:pt idx="965">
                  <c:v>30</c:v>
                </c:pt>
                <c:pt idx="966">
                  <c:v>30</c:v>
                </c:pt>
                <c:pt idx="967">
                  <c:v>30</c:v>
                </c:pt>
                <c:pt idx="968">
                  <c:v>30</c:v>
                </c:pt>
                <c:pt idx="969">
                  <c:v>30</c:v>
                </c:pt>
                <c:pt idx="970">
                  <c:v>30</c:v>
                </c:pt>
                <c:pt idx="971">
                  <c:v>30</c:v>
                </c:pt>
                <c:pt idx="972">
                  <c:v>30</c:v>
                </c:pt>
                <c:pt idx="973">
                  <c:v>30</c:v>
                </c:pt>
                <c:pt idx="974">
                  <c:v>30</c:v>
                </c:pt>
                <c:pt idx="975">
                  <c:v>30</c:v>
                </c:pt>
                <c:pt idx="976">
                  <c:v>30</c:v>
                </c:pt>
                <c:pt idx="977">
                  <c:v>30</c:v>
                </c:pt>
                <c:pt idx="978">
                  <c:v>30</c:v>
                </c:pt>
                <c:pt idx="979">
                  <c:v>30</c:v>
                </c:pt>
                <c:pt idx="980">
                  <c:v>30</c:v>
                </c:pt>
                <c:pt idx="981">
                  <c:v>30</c:v>
                </c:pt>
                <c:pt idx="982">
                  <c:v>30</c:v>
                </c:pt>
                <c:pt idx="983">
                  <c:v>30</c:v>
                </c:pt>
                <c:pt idx="984">
                  <c:v>30</c:v>
                </c:pt>
                <c:pt idx="985">
                  <c:v>30</c:v>
                </c:pt>
                <c:pt idx="986">
                  <c:v>30</c:v>
                </c:pt>
                <c:pt idx="987">
                  <c:v>30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30</c:v>
                </c:pt>
                <c:pt idx="992">
                  <c:v>30</c:v>
                </c:pt>
                <c:pt idx="993">
                  <c:v>30</c:v>
                </c:pt>
                <c:pt idx="994">
                  <c:v>30</c:v>
                </c:pt>
                <c:pt idx="995">
                  <c:v>30</c:v>
                </c:pt>
                <c:pt idx="996">
                  <c:v>30</c:v>
                </c:pt>
                <c:pt idx="997">
                  <c:v>30</c:v>
                </c:pt>
                <c:pt idx="998">
                  <c:v>30</c:v>
                </c:pt>
                <c:pt idx="999">
                  <c:v>30</c:v>
                </c:pt>
                <c:pt idx="1000">
                  <c:v>30</c:v>
                </c:pt>
                <c:pt idx="1001">
                  <c:v>30</c:v>
                </c:pt>
                <c:pt idx="1002">
                  <c:v>30</c:v>
                </c:pt>
                <c:pt idx="1003">
                  <c:v>30</c:v>
                </c:pt>
              </c:numCache>
            </c:numRef>
          </c:xVal>
          <c:yVal>
            <c:numRef>
              <c:f>'Pizza Delivery Table'!$Z$2:$Z$1005</c:f>
              <c:numCache>
                <c:formatCode>General</c:formatCode>
                <c:ptCount val="1004"/>
                <c:pt idx="0">
                  <c:v>18</c:v>
                </c:pt>
                <c:pt idx="1">
                  <c:v>20</c:v>
                </c:pt>
                <c:pt idx="2">
                  <c:v>12</c:v>
                </c:pt>
                <c:pt idx="3">
                  <c:v>19</c:v>
                </c:pt>
                <c:pt idx="4">
                  <c:v>13</c:v>
                </c:pt>
                <c:pt idx="5">
                  <c:v>19</c:v>
                </c:pt>
                <c:pt idx="6">
                  <c:v>20</c:v>
                </c:pt>
                <c:pt idx="7">
                  <c:v>18</c:v>
                </c:pt>
                <c:pt idx="8">
                  <c:v>19</c:v>
                </c:pt>
                <c:pt idx="9">
                  <c:v>13</c:v>
                </c:pt>
                <c:pt idx="10">
                  <c:v>17</c:v>
                </c:pt>
                <c:pt idx="11">
                  <c:v>19</c:v>
                </c:pt>
                <c:pt idx="12">
                  <c:v>18</c:v>
                </c:pt>
                <c:pt idx="13">
                  <c:v>20</c:v>
                </c:pt>
                <c:pt idx="14">
                  <c:v>14</c:v>
                </c:pt>
                <c:pt idx="15">
                  <c:v>19</c:v>
                </c:pt>
                <c:pt idx="16">
                  <c:v>18</c:v>
                </c:pt>
                <c:pt idx="17">
                  <c:v>20</c:v>
                </c:pt>
                <c:pt idx="18">
                  <c:v>19</c:v>
                </c:pt>
                <c:pt idx="19">
                  <c:v>13</c:v>
                </c:pt>
                <c:pt idx="20">
                  <c:v>18</c:v>
                </c:pt>
                <c:pt idx="21">
                  <c:v>20</c:v>
                </c:pt>
                <c:pt idx="22">
                  <c:v>19</c:v>
                </c:pt>
                <c:pt idx="23">
                  <c:v>18</c:v>
                </c:pt>
                <c:pt idx="24">
                  <c:v>14</c:v>
                </c:pt>
                <c:pt idx="25">
                  <c:v>20</c:v>
                </c:pt>
                <c:pt idx="26">
                  <c:v>19</c:v>
                </c:pt>
                <c:pt idx="27">
                  <c:v>18</c:v>
                </c:pt>
                <c:pt idx="28">
                  <c:v>20</c:v>
                </c:pt>
                <c:pt idx="29">
                  <c:v>13</c:v>
                </c:pt>
                <c:pt idx="30">
                  <c:v>19</c:v>
                </c:pt>
                <c:pt idx="31">
                  <c:v>18</c:v>
                </c:pt>
                <c:pt idx="32">
                  <c:v>20</c:v>
                </c:pt>
                <c:pt idx="33">
                  <c:v>14</c:v>
                </c:pt>
                <c:pt idx="34">
                  <c:v>19</c:v>
                </c:pt>
                <c:pt idx="35">
                  <c:v>18</c:v>
                </c:pt>
                <c:pt idx="36">
                  <c:v>20</c:v>
                </c:pt>
                <c:pt idx="37">
                  <c:v>19</c:v>
                </c:pt>
                <c:pt idx="38">
                  <c:v>18</c:v>
                </c:pt>
                <c:pt idx="39">
                  <c:v>14</c:v>
                </c:pt>
                <c:pt idx="40">
                  <c:v>19</c:v>
                </c:pt>
                <c:pt idx="41">
                  <c:v>20</c:v>
                </c:pt>
                <c:pt idx="42">
                  <c:v>18</c:v>
                </c:pt>
                <c:pt idx="43">
                  <c:v>19</c:v>
                </c:pt>
                <c:pt idx="44">
                  <c:v>13</c:v>
                </c:pt>
                <c:pt idx="45">
                  <c:v>18</c:v>
                </c:pt>
                <c:pt idx="46">
                  <c:v>20</c:v>
                </c:pt>
                <c:pt idx="47">
                  <c:v>19</c:v>
                </c:pt>
                <c:pt idx="48">
                  <c:v>20</c:v>
                </c:pt>
                <c:pt idx="49">
                  <c:v>14</c:v>
                </c:pt>
                <c:pt idx="50">
                  <c:v>19</c:v>
                </c:pt>
                <c:pt idx="51">
                  <c:v>20</c:v>
                </c:pt>
                <c:pt idx="52">
                  <c:v>18</c:v>
                </c:pt>
                <c:pt idx="53">
                  <c:v>19</c:v>
                </c:pt>
                <c:pt idx="54">
                  <c:v>13</c:v>
                </c:pt>
                <c:pt idx="55">
                  <c:v>18</c:v>
                </c:pt>
                <c:pt idx="56">
                  <c:v>20</c:v>
                </c:pt>
                <c:pt idx="57">
                  <c:v>19</c:v>
                </c:pt>
                <c:pt idx="58">
                  <c:v>20</c:v>
                </c:pt>
                <c:pt idx="59">
                  <c:v>14</c:v>
                </c:pt>
                <c:pt idx="60">
                  <c:v>19</c:v>
                </c:pt>
                <c:pt idx="61">
                  <c:v>20</c:v>
                </c:pt>
                <c:pt idx="62">
                  <c:v>18</c:v>
                </c:pt>
                <c:pt idx="63">
                  <c:v>19</c:v>
                </c:pt>
                <c:pt idx="64">
                  <c:v>13</c:v>
                </c:pt>
                <c:pt idx="65">
                  <c:v>18</c:v>
                </c:pt>
                <c:pt idx="66">
                  <c:v>20</c:v>
                </c:pt>
                <c:pt idx="67">
                  <c:v>19</c:v>
                </c:pt>
                <c:pt idx="68">
                  <c:v>19</c:v>
                </c:pt>
                <c:pt idx="69">
                  <c:v>13</c:v>
                </c:pt>
                <c:pt idx="70">
                  <c:v>18</c:v>
                </c:pt>
                <c:pt idx="71">
                  <c:v>20</c:v>
                </c:pt>
                <c:pt idx="72">
                  <c:v>18</c:v>
                </c:pt>
                <c:pt idx="73">
                  <c:v>19</c:v>
                </c:pt>
                <c:pt idx="74">
                  <c:v>13</c:v>
                </c:pt>
                <c:pt idx="75">
                  <c:v>18</c:v>
                </c:pt>
                <c:pt idx="76">
                  <c:v>20</c:v>
                </c:pt>
                <c:pt idx="77">
                  <c:v>19</c:v>
                </c:pt>
                <c:pt idx="78">
                  <c:v>19</c:v>
                </c:pt>
                <c:pt idx="79">
                  <c:v>13</c:v>
                </c:pt>
                <c:pt idx="80">
                  <c:v>18</c:v>
                </c:pt>
                <c:pt idx="81">
                  <c:v>20</c:v>
                </c:pt>
                <c:pt idx="82">
                  <c:v>18</c:v>
                </c:pt>
                <c:pt idx="83">
                  <c:v>19</c:v>
                </c:pt>
                <c:pt idx="84">
                  <c:v>13</c:v>
                </c:pt>
                <c:pt idx="85">
                  <c:v>18</c:v>
                </c:pt>
                <c:pt idx="86">
                  <c:v>20</c:v>
                </c:pt>
                <c:pt idx="87">
                  <c:v>19</c:v>
                </c:pt>
                <c:pt idx="88">
                  <c:v>19</c:v>
                </c:pt>
                <c:pt idx="89">
                  <c:v>13</c:v>
                </c:pt>
                <c:pt idx="90">
                  <c:v>18</c:v>
                </c:pt>
                <c:pt idx="91">
                  <c:v>20</c:v>
                </c:pt>
                <c:pt idx="92">
                  <c:v>18</c:v>
                </c:pt>
                <c:pt idx="93">
                  <c:v>19</c:v>
                </c:pt>
                <c:pt idx="94">
                  <c:v>13</c:v>
                </c:pt>
                <c:pt idx="95">
                  <c:v>18</c:v>
                </c:pt>
                <c:pt idx="96">
                  <c:v>20</c:v>
                </c:pt>
                <c:pt idx="97">
                  <c:v>19</c:v>
                </c:pt>
                <c:pt idx="98">
                  <c:v>19</c:v>
                </c:pt>
                <c:pt idx="99">
                  <c:v>13</c:v>
                </c:pt>
                <c:pt idx="100">
                  <c:v>18</c:v>
                </c:pt>
                <c:pt idx="101">
                  <c:v>20</c:v>
                </c:pt>
                <c:pt idx="102">
                  <c:v>18</c:v>
                </c:pt>
                <c:pt idx="103">
                  <c:v>19</c:v>
                </c:pt>
                <c:pt idx="104">
                  <c:v>13</c:v>
                </c:pt>
                <c:pt idx="105">
                  <c:v>18</c:v>
                </c:pt>
                <c:pt idx="106">
                  <c:v>20</c:v>
                </c:pt>
                <c:pt idx="107">
                  <c:v>19</c:v>
                </c:pt>
                <c:pt idx="108">
                  <c:v>19</c:v>
                </c:pt>
                <c:pt idx="109">
                  <c:v>13</c:v>
                </c:pt>
                <c:pt idx="110">
                  <c:v>18</c:v>
                </c:pt>
                <c:pt idx="111">
                  <c:v>20</c:v>
                </c:pt>
                <c:pt idx="112">
                  <c:v>18</c:v>
                </c:pt>
                <c:pt idx="113">
                  <c:v>19</c:v>
                </c:pt>
                <c:pt idx="114">
                  <c:v>13</c:v>
                </c:pt>
                <c:pt idx="115">
                  <c:v>18</c:v>
                </c:pt>
                <c:pt idx="116">
                  <c:v>20</c:v>
                </c:pt>
                <c:pt idx="117">
                  <c:v>19</c:v>
                </c:pt>
                <c:pt idx="118">
                  <c:v>19</c:v>
                </c:pt>
                <c:pt idx="119">
                  <c:v>13</c:v>
                </c:pt>
                <c:pt idx="120">
                  <c:v>18</c:v>
                </c:pt>
                <c:pt idx="121">
                  <c:v>20</c:v>
                </c:pt>
                <c:pt idx="122">
                  <c:v>18</c:v>
                </c:pt>
                <c:pt idx="123">
                  <c:v>19</c:v>
                </c:pt>
                <c:pt idx="124">
                  <c:v>13</c:v>
                </c:pt>
                <c:pt idx="125">
                  <c:v>18</c:v>
                </c:pt>
                <c:pt idx="126">
                  <c:v>19</c:v>
                </c:pt>
                <c:pt idx="127">
                  <c:v>20</c:v>
                </c:pt>
                <c:pt idx="128">
                  <c:v>18</c:v>
                </c:pt>
                <c:pt idx="129">
                  <c:v>19</c:v>
                </c:pt>
                <c:pt idx="130">
                  <c:v>20</c:v>
                </c:pt>
                <c:pt idx="131">
                  <c:v>18</c:v>
                </c:pt>
                <c:pt idx="132">
                  <c:v>19</c:v>
                </c:pt>
                <c:pt idx="133">
                  <c:v>18</c:v>
                </c:pt>
                <c:pt idx="134">
                  <c:v>20</c:v>
                </c:pt>
                <c:pt idx="135">
                  <c:v>18</c:v>
                </c:pt>
                <c:pt idx="136">
                  <c:v>19</c:v>
                </c:pt>
                <c:pt idx="137">
                  <c:v>20</c:v>
                </c:pt>
                <c:pt idx="138">
                  <c:v>18</c:v>
                </c:pt>
                <c:pt idx="139">
                  <c:v>19</c:v>
                </c:pt>
                <c:pt idx="140">
                  <c:v>20</c:v>
                </c:pt>
                <c:pt idx="141">
                  <c:v>18</c:v>
                </c:pt>
                <c:pt idx="142">
                  <c:v>19</c:v>
                </c:pt>
                <c:pt idx="143">
                  <c:v>18</c:v>
                </c:pt>
                <c:pt idx="144">
                  <c:v>20</c:v>
                </c:pt>
                <c:pt idx="145">
                  <c:v>18</c:v>
                </c:pt>
                <c:pt idx="146">
                  <c:v>19</c:v>
                </c:pt>
                <c:pt idx="147">
                  <c:v>20</c:v>
                </c:pt>
                <c:pt idx="148">
                  <c:v>18</c:v>
                </c:pt>
                <c:pt idx="149">
                  <c:v>19</c:v>
                </c:pt>
                <c:pt idx="150">
                  <c:v>18</c:v>
                </c:pt>
                <c:pt idx="151">
                  <c:v>19</c:v>
                </c:pt>
                <c:pt idx="152">
                  <c:v>20</c:v>
                </c:pt>
                <c:pt idx="153">
                  <c:v>17</c:v>
                </c:pt>
                <c:pt idx="154">
                  <c:v>13</c:v>
                </c:pt>
                <c:pt idx="155">
                  <c:v>18</c:v>
                </c:pt>
                <c:pt idx="156">
                  <c:v>20</c:v>
                </c:pt>
                <c:pt idx="157">
                  <c:v>18</c:v>
                </c:pt>
                <c:pt idx="158">
                  <c:v>19</c:v>
                </c:pt>
                <c:pt idx="159">
                  <c:v>12</c:v>
                </c:pt>
                <c:pt idx="160">
                  <c:v>18</c:v>
                </c:pt>
                <c:pt idx="161">
                  <c:v>20</c:v>
                </c:pt>
                <c:pt idx="162">
                  <c:v>18</c:v>
                </c:pt>
                <c:pt idx="163">
                  <c:v>19</c:v>
                </c:pt>
                <c:pt idx="164">
                  <c:v>13</c:v>
                </c:pt>
                <c:pt idx="165">
                  <c:v>18</c:v>
                </c:pt>
                <c:pt idx="166">
                  <c:v>20</c:v>
                </c:pt>
                <c:pt idx="167">
                  <c:v>18</c:v>
                </c:pt>
                <c:pt idx="168">
                  <c:v>19</c:v>
                </c:pt>
                <c:pt idx="169">
                  <c:v>13</c:v>
                </c:pt>
                <c:pt idx="170">
                  <c:v>18</c:v>
                </c:pt>
                <c:pt idx="171">
                  <c:v>20</c:v>
                </c:pt>
                <c:pt idx="172">
                  <c:v>18</c:v>
                </c:pt>
                <c:pt idx="173">
                  <c:v>19</c:v>
                </c:pt>
                <c:pt idx="174">
                  <c:v>13</c:v>
                </c:pt>
                <c:pt idx="175">
                  <c:v>18</c:v>
                </c:pt>
                <c:pt idx="176">
                  <c:v>20</c:v>
                </c:pt>
                <c:pt idx="177">
                  <c:v>18</c:v>
                </c:pt>
                <c:pt idx="178">
                  <c:v>19</c:v>
                </c:pt>
                <c:pt idx="179">
                  <c:v>13</c:v>
                </c:pt>
                <c:pt idx="180">
                  <c:v>18</c:v>
                </c:pt>
                <c:pt idx="181">
                  <c:v>20</c:v>
                </c:pt>
                <c:pt idx="182">
                  <c:v>19</c:v>
                </c:pt>
                <c:pt idx="183">
                  <c:v>19</c:v>
                </c:pt>
                <c:pt idx="184">
                  <c:v>13</c:v>
                </c:pt>
                <c:pt idx="185">
                  <c:v>18</c:v>
                </c:pt>
                <c:pt idx="186">
                  <c:v>20</c:v>
                </c:pt>
                <c:pt idx="187">
                  <c:v>18</c:v>
                </c:pt>
                <c:pt idx="188">
                  <c:v>19</c:v>
                </c:pt>
                <c:pt idx="189">
                  <c:v>13</c:v>
                </c:pt>
                <c:pt idx="190">
                  <c:v>18</c:v>
                </c:pt>
                <c:pt idx="191">
                  <c:v>20</c:v>
                </c:pt>
                <c:pt idx="192">
                  <c:v>18</c:v>
                </c:pt>
                <c:pt idx="193">
                  <c:v>19</c:v>
                </c:pt>
                <c:pt idx="194">
                  <c:v>13</c:v>
                </c:pt>
                <c:pt idx="195">
                  <c:v>18</c:v>
                </c:pt>
                <c:pt idx="196">
                  <c:v>20</c:v>
                </c:pt>
                <c:pt idx="197">
                  <c:v>19</c:v>
                </c:pt>
                <c:pt idx="198">
                  <c:v>19</c:v>
                </c:pt>
                <c:pt idx="199">
                  <c:v>13</c:v>
                </c:pt>
                <c:pt idx="200">
                  <c:v>18</c:v>
                </c:pt>
                <c:pt idx="201">
                  <c:v>19</c:v>
                </c:pt>
                <c:pt idx="202">
                  <c:v>20</c:v>
                </c:pt>
                <c:pt idx="203">
                  <c:v>19</c:v>
                </c:pt>
                <c:pt idx="204">
                  <c:v>13</c:v>
                </c:pt>
                <c:pt idx="205">
                  <c:v>18</c:v>
                </c:pt>
                <c:pt idx="206">
                  <c:v>20</c:v>
                </c:pt>
                <c:pt idx="207">
                  <c:v>18</c:v>
                </c:pt>
                <c:pt idx="208">
                  <c:v>19</c:v>
                </c:pt>
                <c:pt idx="209">
                  <c:v>13</c:v>
                </c:pt>
                <c:pt idx="210">
                  <c:v>18</c:v>
                </c:pt>
                <c:pt idx="211">
                  <c:v>20</c:v>
                </c:pt>
                <c:pt idx="212">
                  <c:v>18</c:v>
                </c:pt>
                <c:pt idx="213">
                  <c:v>19</c:v>
                </c:pt>
                <c:pt idx="214">
                  <c:v>13</c:v>
                </c:pt>
                <c:pt idx="215">
                  <c:v>18</c:v>
                </c:pt>
                <c:pt idx="216">
                  <c:v>20</c:v>
                </c:pt>
                <c:pt idx="217">
                  <c:v>19</c:v>
                </c:pt>
                <c:pt idx="218">
                  <c:v>19</c:v>
                </c:pt>
                <c:pt idx="219">
                  <c:v>13</c:v>
                </c:pt>
                <c:pt idx="220">
                  <c:v>18</c:v>
                </c:pt>
                <c:pt idx="221">
                  <c:v>19</c:v>
                </c:pt>
                <c:pt idx="222">
                  <c:v>20</c:v>
                </c:pt>
                <c:pt idx="223">
                  <c:v>19</c:v>
                </c:pt>
                <c:pt idx="224">
                  <c:v>13</c:v>
                </c:pt>
                <c:pt idx="225">
                  <c:v>18</c:v>
                </c:pt>
                <c:pt idx="226">
                  <c:v>20</c:v>
                </c:pt>
                <c:pt idx="227">
                  <c:v>18</c:v>
                </c:pt>
                <c:pt idx="228">
                  <c:v>19</c:v>
                </c:pt>
                <c:pt idx="229">
                  <c:v>18</c:v>
                </c:pt>
                <c:pt idx="230">
                  <c:v>20</c:v>
                </c:pt>
                <c:pt idx="231">
                  <c:v>19</c:v>
                </c:pt>
                <c:pt idx="232">
                  <c:v>13</c:v>
                </c:pt>
                <c:pt idx="233">
                  <c:v>18</c:v>
                </c:pt>
                <c:pt idx="234">
                  <c:v>20</c:v>
                </c:pt>
                <c:pt idx="235">
                  <c:v>18</c:v>
                </c:pt>
                <c:pt idx="236">
                  <c:v>19</c:v>
                </c:pt>
                <c:pt idx="237">
                  <c:v>13</c:v>
                </c:pt>
                <c:pt idx="238">
                  <c:v>18</c:v>
                </c:pt>
                <c:pt idx="239">
                  <c:v>20</c:v>
                </c:pt>
                <c:pt idx="240">
                  <c:v>18</c:v>
                </c:pt>
                <c:pt idx="241">
                  <c:v>19</c:v>
                </c:pt>
                <c:pt idx="242">
                  <c:v>13</c:v>
                </c:pt>
                <c:pt idx="243">
                  <c:v>18</c:v>
                </c:pt>
                <c:pt idx="244">
                  <c:v>20</c:v>
                </c:pt>
                <c:pt idx="245">
                  <c:v>18</c:v>
                </c:pt>
                <c:pt idx="246">
                  <c:v>19</c:v>
                </c:pt>
                <c:pt idx="247">
                  <c:v>13</c:v>
                </c:pt>
                <c:pt idx="248">
                  <c:v>18</c:v>
                </c:pt>
                <c:pt idx="249">
                  <c:v>20</c:v>
                </c:pt>
                <c:pt idx="250">
                  <c:v>18</c:v>
                </c:pt>
                <c:pt idx="251">
                  <c:v>19</c:v>
                </c:pt>
                <c:pt idx="252">
                  <c:v>13</c:v>
                </c:pt>
                <c:pt idx="253">
                  <c:v>18</c:v>
                </c:pt>
                <c:pt idx="254">
                  <c:v>20</c:v>
                </c:pt>
                <c:pt idx="255">
                  <c:v>18</c:v>
                </c:pt>
                <c:pt idx="256">
                  <c:v>18</c:v>
                </c:pt>
                <c:pt idx="257">
                  <c:v>19</c:v>
                </c:pt>
                <c:pt idx="258">
                  <c:v>20</c:v>
                </c:pt>
                <c:pt idx="259">
                  <c:v>18</c:v>
                </c:pt>
                <c:pt idx="260">
                  <c:v>19</c:v>
                </c:pt>
                <c:pt idx="261">
                  <c:v>20</c:v>
                </c:pt>
                <c:pt idx="262">
                  <c:v>18</c:v>
                </c:pt>
                <c:pt idx="263">
                  <c:v>19</c:v>
                </c:pt>
                <c:pt idx="264">
                  <c:v>18</c:v>
                </c:pt>
                <c:pt idx="265">
                  <c:v>20</c:v>
                </c:pt>
                <c:pt idx="266">
                  <c:v>18</c:v>
                </c:pt>
                <c:pt idx="267">
                  <c:v>19</c:v>
                </c:pt>
                <c:pt idx="268">
                  <c:v>20</c:v>
                </c:pt>
                <c:pt idx="269">
                  <c:v>18</c:v>
                </c:pt>
                <c:pt idx="270">
                  <c:v>19</c:v>
                </c:pt>
                <c:pt idx="271">
                  <c:v>20</c:v>
                </c:pt>
                <c:pt idx="272">
                  <c:v>18</c:v>
                </c:pt>
                <c:pt idx="273">
                  <c:v>19</c:v>
                </c:pt>
                <c:pt idx="274">
                  <c:v>18</c:v>
                </c:pt>
                <c:pt idx="275">
                  <c:v>20</c:v>
                </c:pt>
                <c:pt idx="276">
                  <c:v>18</c:v>
                </c:pt>
                <c:pt idx="277">
                  <c:v>20</c:v>
                </c:pt>
                <c:pt idx="278">
                  <c:v>19</c:v>
                </c:pt>
                <c:pt idx="279">
                  <c:v>18</c:v>
                </c:pt>
                <c:pt idx="280">
                  <c:v>13</c:v>
                </c:pt>
                <c:pt idx="281">
                  <c:v>18</c:v>
                </c:pt>
                <c:pt idx="282">
                  <c:v>20</c:v>
                </c:pt>
                <c:pt idx="283">
                  <c:v>19</c:v>
                </c:pt>
                <c:pt idx="284">
                  <c:v>18</c:v>
                </c:pt>
                <c:pt idx="285">
                  <c:v>13</c:v>
                </c:pt>
                <c:pt idx="286">
                  <c:v>18</c:v>
                </c:pt>
                <c:pt idx="287">
                  <c:v>19</c:v>
                </c:pt>
                <c:pt idx="288">
                  <c:v>20</c:v>
                </c:pt>
                <c:pt idx="289">
                  <c:v>18</c:v>
                </c:pt>
                <c:pt idx="290">
                  <c:v>13</c:v>
                </c:pt>
                <c:pt idx="291">
                  <c:v>18</c:v>
                </c:pt>
                <c:pt idx="292">
                  <c:v>19</c:v>
                </c:pt>
                <c:pt idx="293">
                  <c:v>20</c:v>
                </c:pt>
                <c:pt idx="294">
                  <c:v>18</c:v>
                </c:pt>
                <c:pt idx="295">
                  <c:v>13</c:v>
                </c:pt>
                <c:pt idx="296">
                  <c:v>18</c:v>
                </c:pt>
                <c:pt idx="297">
                  <c:v>19</c:v>
                </c:pt>
                <c:pt idx="298">
                  <c:v>20</c:v>
                </c:pt>
                <c:pt idx="299">
                  <c:v>18</c:v>
                </c:pt>
                <c:pt idx="300">
                  <c:v>13</c:v>
                </c:pt>
                <c:pt idx="301">
                  <c:v>18</c:v>
                </c:pt>
                <c:pt idx="302">
                  <c:v>19</c:v>
                </c:pt>
                <c:pt idx="303">
                  <c:v>20</c:v>
                </c:pt>
                <c:pt idx="304">
                  <c:v>18</c:v>
                </c:pt>
                <c:pt idx="305">
                  <c:v>18</c:v>
                </c:pt>
                <c:pt idx="306">
                  <c:v>19</c:v>
                </c:pt>
                <c:pt idx="307">
                  <c:v>20</c:v>
                </c:pt>
                <c:pt idx="308">
                  <c:v>18</c:v>
                </c:pt>
                <c:pt idx="309">
                  <c:v>19</c:v>
                </c:pt>
                <c:pt idx="310">
                  <c:v>20</c:v>
                </c:pt>
                <c:pt idx="311">
                  <c:v>18</c:v>
                </c:pt>
                <c:pt idx="312">
                  <c:v>19</c:v>
                </c:pt>
                <c:pt idx="313">
                  <c:v>18</c:v>
                </c:pt>
                <c:pt idx="314">
                  <c:v>20</c:v>
                </c:pt>
                <c:pt idx="315">
                  <c:v>18</c:v>
                </c:pt>
                <c:pt idx="316">
                  <c:v>19</c:v>
                </c:pt>
                <c:pt idx="317">
                  <c:v>20</c:v>
                </c:pt>
                <c:pt idx="318">
                  <c:v>18</c:v>
                </c:pt>
                <c:pt idx="319">
                  <c:v>19</c:v>
                </c:pt>
                <c:pt idx="320">
                  <c:v>20</c:v>
                </c:pt>
                <c:pt idx="321">
                  <c:v>18</c:v>
                </c:pt>
                <c:pt idx="322">
                  <c:v>19</c:v>
                </c:pt>
                <c:pt idx="323">
                  <c:v>18</c:v>
                </c:pt>
                <c:pt idx="324">
                  <c:v>20</c:v>
                </c:pt>
                <c:pt idx="325">
                  <c:v>18</c:v>
                </c:pt>
                <c:pt idx="326">
                  <c:v>19</c:v>
                </c:pt>
                <c:pt idx="327">
                  <c:v>20</c:v>
                </c:pt>
                <c:pt idx="328">
                  <c:v>18</c:v>
                </c:pt>
                <c:pt idx="329">
                  <c:v>19</c:v>
                </c:pt>
                <c:pt idx="330">
                  <c:v>18</c:v>
                </c:pt>
                <c:pt idx="331">
                  <c:v>19</c:v>
                </c:pt>
                <c:pt idx="332">
                  <c:v>20</c:v>
                </c:pt>
                <c:pt idx="333">
                  <c:v>18</c:v>
                </c:pt>
                <c:pt idx="334">
                  <c:v>19</c:v>
                </c:pt>
                <c:pt idx="335">
                  <c:v>20</c:v>
                </c:pt>
                <c:pt idx="336">
                  <c:v>19</c:v>
                </c:pt>
                <c:pt idx="337">
                  <c:v>20</c:v>
                </c:pt>
                <c:pt idx="338">
                  <c:v>18</c:v>
                </c:pt>
                <c:pt idx="339">
                  <c:v>19</c:v>
                </c:pt>
                <c:pt idx="340">
                  <c:v>20</c:v>
                </c:pt>
                <c:pt idx="341">
                  <c:v>18</c:v>
                </c:pt>
                <c:pt idx="342">
                  <c:v>19</c:v>
                </c:pt>
                <c:pt idx="343">
                  <c:v>18</c:v>
                </c:pt>
                <c:pt idx="344">
                  <c:v>20</c:v>
                </c:pt>
                <c:pt idx="345">
                  <c:v>18</c:v>
                </c:pt>
                <c:pt idx="346">
                  <c:v>19</c:v>
                </c:pt>
                <c:pt idx="347">
                  <c:v>20</c:v>
                </c:pt>
                <c:pt idx="348">
                  <c:v>18</c:v>
                </c:pt>
                <c:pt idx="349">
                  <c:v>19</c:v>
                </c:pt>
                <c:pt idx="350">
                  <c:v>20</c:v>
                </c:pt>
                <c:pt idx="351">
                  <c:v>18</c:v>
                </c:pt>
                <c:pt idx="352">
                  <c:v>19</c:v>
                </c:pt>
                <c:pt idx="353">
                  <c:v>18</c:v>
                </c:pt>
                <c:pt idx="354">
                  <c:v>20</c:v>
                </c:pt>
                <c:pt idx="355">
                  <c:v>18</c:v>
                </c:pt>
                <c:pt idx="356">
                  <c:v>19</c:v>
                </c:pt>
                <c:pt idx="357">
                  <c:v>20</c:v>
                </c:pt>
                <c:pt idx="358">
                  <c:v>18</c:v>
                </c:pt>
                <c:pt idx="359">
                  <c:v>19</c:v>
                </c:pt>
                <c:pt idx="360">
                  <c:v>18</c:v>
                </c:pt>
                <c:pt idx="361">
                  <c:v>20</c:v>
                </c:pt>
                <c:pt idx="362">
                  <c:v>19</c:v>
                </c:pt>
                <c:pt idx="363">
                  <c:v>20</c:v>
                </c:pt>
                <c:pt idx="364">
                  <c:v>18</c:v>
                </c:pt>
                <c:pt idx="365">
                  <c:v>19</c:v>
                </c:pt>
                <c:pt idx="366">
                  <c:v>20</c:v>
                </c:pt>
                <c:pt idx="367">
                  <c:v>18</c:v>
                </c:pt>
                <c:pt idx="368">
                  <c:v>19</c:v>
                </c:pt>
                <c:pt idx="369">
                  <c:v>18</c:v>
                </c:pt>
                <c:pt idx="370">
                  <c:v>20</c:v>
                </c:pt>
                <c:pt idx="371">
                  <c:v>18</c:v>
                </c:pt>
                <c:pt idx="372">
                  <c:v>19</c:v>
                </c:pt>
                <c:pt idx="373">
                  <c:v>20</c:v>
                </c:pt>
                <c:pt idx="374">
                  <c:v>18</c:v>
                </c:pt>
                <c:pt idx="375">
                  <c:v>19</c:v>
                </c:pt>
                <c:pt idx="376">
                  <c:v>20</c:v>
                </c:pt>
                <c:pt idx="377">
                  <c:v>18</c:v>
                </c:pt>
                <c:pt idx="378">
                  <c:v>19</c:v>
                </c:pt>
                <c:pt idx="379">
                  <c:v>18</c:v>
                </c:pt>
                <c:pt idx="380">
                  <c:v>20</c:v>
                </c:pt>
                <c:pt idx="381">
                  <c:v>18</c:v>
                </c:pt>
                <c:pt idx="382">
                  <c:v>19</c:v>
                </c:pt>
                <c:pt idx="383">
                  <c:v>20</c:v>
                </c:pt>
                <c:pt idx="384">
                  <c:v>18</c:v>
                </c:pt>
                <c:pt idx="385">
                  <c:v>19</c:v>
                </c:pt>
                <c:pt idx="386">
                  <c:v>18</c:v>
                </c:pt>
                <c:pt idx="387">
                  <c:v>20</c:v>
                </c:pt>
                <c:pt idx="388">
                  <c:v>19</c:v>
                </c:pt>
                <c:pt idx="389">
                  <c:v>20</c:v>
                </c:pt>
                <c:pt idx="390">
                  <c:v>18</c:v>
                </c:pt>
                <c:pt idx="391">
                  <c:v>19</c:v>
                </c:pt>
                <c:pt idx="392">
                  <c:v>20</c:v>
                </c:pt>
                <c:pt idx="393">
                  <c:v>18</c:v>
                </c:pt>
                <c:pt idx="394">
                  <c:v>19</c:v>
                </c:pt>
                <c:pt idx="395">
                  <c:v>18</c:v>
                </c:pt>
                <c:pt idx="396">
                  <c:v>20</c:v>
                </c:pt>
                <c:pt idx="397">
                  <c:v>18</c:v>
                </c:pt>
                <c:pt idx="398">
                  <c:v>19</c:v>
                </c:pt>
                <c:pt idx="399">
                  <c:v>20</c:v>
                </c:pt>
                <c:pt idx="400">
                  <c:v>18</c:v>
                </c:pt>
                <c:pt idx="401">
                  <c:v>19</c:v>
                </c:pt>
                <c:pt idx="402">
                  <c:v>20</c:v>
                </c:pt>
                <c:pt idx="403">
                  <c:v>18</c:v>
                </c:pt>
                <c:pt idx="404">
                  <c:v>19</c:v>
                </c:pt>
                <c:pt idx="405">
                  <c:v>18</c:v>
                </c:pt>
                <c:pt idx="406">
                  <c:v>20</c:v>
                </c:pt>
                <c:pt idx="407">
                  <c:v>18</c:v>
                </c:pt>
                <c:pt idx="408">
                  <c:v>19</c:v>
                </c:pt>
                <c:pt idx="409">
                  <c:v>20</c:v>
                </c:pt>
                <c:pt idx="410">
                  <c:v>18</c:v>
                </c:pt>
                <c:pt idx="411">
                  <c:v>19</c:v>
                </c:pt>
                <c:pt idx="412">
                  <c:v>18</c:v>
                </c:pt>
                <c:pt idx="413">
                  <c:v>20</c:v>
                </c:pt>
                <c:pt idx="414">
                  <c:v>19</c:v>
                </c:pt>
                <c:pt idx="415">
                  <c:v>20</c:v>
                </c:pt>
                <c:pt idx="416">
                  <c:v>18</c:v>
                </c:pt>
                <c:pt idx="417">
                  <c:v>19</c:v>
                </c:pt>
                <c:pt idx="418">
                  <c:v>20</c:v>
                </c:pt>
                <c:pt idx="419">
                  <c:v>18</c:v>
                </c:pt>
                <c:pt idx="420">
                  <c:v>19</c:v>
                </c:pt>
                <c:pt idx="421">
                  <c:v>18</c:v>
                </c:pt>
                <c:pt idx="422">
                  <c:v>20</c:v>
                </c:pt>
                <c:pt idx="423">
                  <c:v>20</c:v>
                </c:pt>
                <c:pt idx="424">
                  <c:v>19</c:v>
                </c:pt>
                <c:pt idx="425">
                  <c:v>20</c:v>
                </c:pt>
                <c:pt idx="426">
                  <c:v>18</c:v>
                </c:pt>
                <c:pt idx="427">
                  <c:v>19</c:v>
                </c:pt>
                <c:pt idx="428">
                  <c:v>20</c:v>
                </c:pt>
                <c:pt idx="429">
                  <c:v>18</c:v>
                </c:pt>
                <c:pt idx="430">
                  <c:v>19</c:v>
                </c:pt>
                <c:pt idx="431">
                  <c:v>18</c:v>
                </c:pt>
                <c:pt idx="432">
                  <c:v>20</c:v>
                </c:pt>
                <c:pt idx="433">
                  <c:v>18</c:v>
                </c:pt>
                <c:pt idx="434">
                  <c:v>19</c:v>
                </c:pt>
                <c:pt idx="435">
                  <c:v>20</c:v>
                </c:pt>
                <c:pt idx="436">
                  <c:v>18</c:v>
                </c:pt>
                <c:pt idx="437">
                  <c:v>19</c:v>
                </c:pt>
                <c:pt idx="438">
                  <c:v>20</c:v>
                </c:pt>
                <c:pt idx="439">
                  <c:v>18</c:v>
                </c:pt>
                <c:pt idx="440">
                  <c:v>19</c:v>
                </c:pt>
                <c:pt idx="441">
                  <c:v>18</c:v>
                </c:pt>
                <c:pt idx="442">
                  <c:v>20</c:v>
                </c:pt>
                <c:pt idx="443">
                  <c:v>18</c:v>
                </c:pt>
                <c:pt idx="444">
                  <c:v>19</c:v>
                </c:pt>
                <c:pt idx="445">
                  <c:v>20</c:v>
                </c:pt>
                <c:pt idx="446">
                  <c:v>18</c:v>
                </c:pt>
                <c:pt idx="447">
                  <c:v>19</c:v>
                </c:pt>
                <c:pt idx="448">
                  <c:v>18</c:v>
                </c:pt>
                <c:pt idx="449">
                  <c:v>19</c:v>
                </c:pt>
                <c:pt idx="450">
                  <c:v>20</c:v>
                </c:pt>
                <c:pt idx="451">
                  <c:v>18</c:v>
                </c:pt>
                <c:pt idx="452">
                  <c:v>19</c:v>
                </c:pt>
                <c:pt idx="453">
                  <c:v>20</c:v>
                </c:pt>
                <c:pt idx="454">
                  <c:v>18</c:v>
                </c:pt>
                <c:pt idx="455">
                  <c:v>19</c:v>
                </c:pt>
                <c:pt idx="456">
                  <c:v>20</c:v>
                </c:pt>
                <c:pt idx="457">
                  <c:v>18</c:v>
                </c:pt>
                <c:pt idx="458">
                  <c:v>19</c:v>
                </c:pt>
                <c:pt idx="459">
                  <c:v>18</c:v>
                </c:pt>
                <c:pt idx="460">
                  <c:v>19</c:v>
                </c:pt>
                <c:pt idx="461">
                  <c:v>20</c:v>
                </c:pt>
                <c:pt idx="462">
                  <c:v>18</c:v>
                </c:pt>
                <c:pt idx="463">
                  <c:v>19</c:v>
                </c:pt>
                <c:pt idx="464">
                  <c:v>20</c:v>
                </c:pt>
                <c:pt idx="465">
                  <c:v>18</c:v>
                </c:pt>
                <c:pt idx="466">
                  <c:v>19</c:v>
                </c:pt>
                <c:pt idx="467">
                  <c:v>18</c:v>
                </c:pt>
                <c:pt idx="468">
                  <c:v>20</c:v>
                </c:pt>
                <c:pt idx="469">
                  <c:v>18</c:v>
                </c:pt>
                <c:pt idx="470">
                  <c:v>19</c:v>
                </c:pt>
                <c:pt idx="471">
                  <c:v>20</c:v>
                </c:pt>
                <c:pt idx="472">
                  <c:v>18</c:v>
                </c:pt>
                <c:pt idx="473">
                  <c:v>19</c:v>
                </c:pt>
                <c:pt idx="474">
                  <c:v>20</c:v>
                </c:pt>
                <c:pt idx="475">
                  <c:v>18</c:v>
                </c:pt>
                <c:pt idx="476">
                  <c:v>19</c:v>
                </c:pt>
                <c:pt idx="477">
                  <c:v>18</c:v>
                </c:pt>
                <c:pt idx="478">
                  <c:v>20</c:v>
                </c:pt>
                <c:pt idx="479">
                  <c:v>18</c:v>
                </c:pt>
                <c:pt idx="480">
                  <c:v>19</c:v>
                </c:pt>
                <c:pt idx="481">
                  <c:v>20</c:v>
                </c:pt>
                <c:pt idx="482">
                  <c:v>18</c:v>
                </c:pt>
                <c:pt idx="483">
                  <c:v>19</c:v>
                </c:pt>
                <c:pt idx="484">
                  <c:v>20</c:v>
                </c:pt>
                <c:pt idx="485">
                  <c:v>18</c:v>
                </c:pt>
                <c:pt idx="486">
                  <c:v>19</c:v>
                </c:pt>
                <c:pt idx="487">
                  <c:v>18</c:v>
                </c:pt>
                <c:pt idx="488">
                  <c:v>19</c:v>
                </c:pt>
                <c:pt idx="489">
                  <c:v>20</c:v>
                </c:pt>
                <c:pt idx="490">
                  <c:v>18</c:v>
                </c:pt>
                <c:pt idx="491">
                  <c:v>19</c:v>
                </c:pt>
                <c:pt idx="492">
                  <c:v>20</c:v>
                </c:pt>
                <c:pt idx="493">
                  <c:v>18</c:v>
                </c:pt>
                <c:pt idx="494">
                  <c:v>19</c:v>
                </c:pt>
                <c:pt idx="495">
                  <c:v>18</c:v>
                </c:pt>
                <c:pt idx="496">
                  <c:v>20</c:v>
                </c:pt>
                <c:pt idx="497">
                  <c:v>18</c:v>
                </c:pt>
                <c:pt idx="498">
                  <c:v>19</c:v>
                </c:pt>
                <c:pt idx="499">
                  <c:v>20</c:v>
                </c:pt>
                <c:pt idx="500">
                  <c:v>18</c:v>
                </c:pt>
                <c:pt idx="501">
                  <c:v>19</c:v>
                </c:pt>
                <c:pt idx="502">
                  <c:v>20</c:v>
                </c:pt>
                <c:pt idx="503">
                  <c:v>18</c:v>
                </c:pt>
                <c:pt idx="504">
                  <c:v>19</c:v>
                </c:pt>
                <c:pt idx="505">
                  <c:v>18</c:v>
                </c:pt>
                <c:pt idx="506">
                  <c:v>20</c:v>
                </c:pt>
                <c:pt idx="507">
                  <c:v>18</c:v>
                </c:pt>
                <c:pt idx="508">
                  <c:v>19</c:v>
                </c:pt>
                <c:pt idx="509">
                  <c:v>20</c:v>
                </c:pt>
                <c:pt idx="510">
                  <c:v>18</c:v>
                </c:pt>
                <c:pt idx="511">
                  <c:v>19</c:v>
                </c:pt>
                <c:pt idx="512">
                  <c:v>20</c:v>
                </c:pt>
                <c:pt idx="513">
                  <c:v>18</c:v>
                </c:pt>
                <c:pt idx="514">
                  <c:v>19</c:v>
                </c:pt>
                <c:pt idx="515">
                  <c:v>18</c:v>
                </c:pt>
                <c:pt idx="516">
                  <c:v>19</c:v>
                </c:pt>
                <c:pt idx="517">
                  <c:v>20</c:v>
                </c:pt>
                <c:pt idx="518">
                  <c:v>18</c:v>
                </c:pt>
                <c:pt idx="519">
                  <c:v>19</c:v>
                </c:pt>
                <c:pt idx="520">
                  <c:v>20</c:v>
                </c:pt>
                <c:pt idx="521">
                  <c:v>18</c:v>
                </c:pt>
                <c:pt idx="522">
                  <c:v>19</c:v>
                </c:pt>
                <c:pt idx="523">
                  <c:v>18</c:v>
                </c:pt>
                <c:pt idx="524">
                  <c:v>20</c:v>
                </c:pt>
                <c:pt idx="525">
                  <c:v>18</c:v>
                </c:pt>
                <c:pt idx="526">
                  <c:v>19</c:v>
                </c:pt>
                <c:pt idx="527">
                  <c:v>20</c:v>
                </c:pt>
                <c:pt idx="528">
                  <c:v>18</c:v>
                </c:pt>
                <c:pt idx="529">
                  <c:v>19</c:v>
                </c:pt>
                <c:pt idx="530">
                  <c:v>20</c:v>
                </c:pt>
                <c:pt idx="531">
                  <c:v>18</c:v>
                </c:pt>
                <c:pt idx="532">
                  <c:v>19</c:v>
                </c:pt>
                <c:pt idx="533">
                  <c:v>18</c:v>
                </c:pt>
                <c:pt idx="534">
                  <c:v>20</c:v>
                </c:pt>
                <c:pt idx="535">
                  <c:v>18</c:v>
                </c:pt>
                <c:pt idx="536">
                  <c:v>19</c:v>
                </c:pt>
                <c:pt idx="537">
                  <c:v>20</c:v>
                </c:pt>
                <c:pt idx="538">
                  <c:v>18</c:v>
                </c:pt>
                <c:pt idx="539">
                  <c:v>19</c:v>
                </c:pt>
                <c:pt idx="540">
                  <c:v>20</c:v>
                </c:pt>
                <c:pt idx="541">
                  <c:v>18</c:v>
                </c:pt>
                <c:pt idx="542">
                  <c:v>19</c:v>
                </c:pt>
                <c:pt idx="543">
                  <c:v>20</c:v>
                </c:pt>
                <c:pt idx="544">
                  <c:v>18</c:v>
                </c:pt>
                <c:pt idx="545">
                  <c:v>19</c:v>
                </c:pt>
                <c:pt idx="546">
                  <c:v>18</c:v>
                </c:pt>
                <c:pt idx="547">
                  <c:v>20</c:v>
                </c:pt>
                <c:pt idx="548">
                  <c:v>18</c:v>
                </c:pt>
                <c:pt idx="549">
                  <c:v>19</c:v>
                </c:pt>
                <c:pt idx="550">
                  <c:v>20</c:v>
                </c:pt>
                <c:pt idx="551">
                  <c:v>18</c:v>
                </c:pt>
                <c:pt idx="552">
                  <c:v>19</c:v>
                </c:pt>
                <c:pt idx="553">
                  <c:v>20</c:v>
                </c:pt>
                <c:pt idx="554">
                  <c:v>18</c:v>
                </c:pt>
                <c:pt idx="555">
                  <c:v>19</c:v>
                </c:pt>
                <c:pt idx="556">
                  <c:v>18</c:v>
                </c:pt>
                <c:pt idx="557">
                  <c:v>20</c:v>
                </c:pt>
                <c:pt idx="558">
                  <c:v>18</c:v>
                </c:pt>
                <c:pt idx="559">
                  <c:v>19</c:v>
                </c:pt>
                <c:pt idx="560">
                  <c:v>20</c:v>
                </c:pt>
                <c:pt idx="561">
                  <c:v>18</c:v>
                </c:pt>
                <c:pt idx="562">
                  <c:v>19</c:v>
                </c:pt>
                <c:pt idx="563">
                  <c:v>20</c:v>
                </c:pt>
                <c:pt idx="564">
                  <c:v>18</c:v>
                </c:pt>
                <c:pt idx="565">
                  <c:v>19</c:v>
                </c:pt>
                <c:pt idx="566">
                  <c:v>18</c:v>
                </c:pt>
                <c:pt idx="567">
                  <c:v>20</c:v>
                </c:pt>
                <c:pt idx="568">
                  <c:v>20</c:v>
                </c:pt>
                <c:pt idx="569">
                  <c:v>19</c:v>
                </c:pt>
                <c:pt idx="570">
                  <c:v>20</c:v>
                </c:pt>
                <c:pt idx="571">
                  <c:v>18</c:v>
                </c:pt>
                <c:pt idx="572">
                  <c:v>19</c:v>
                </c:pt>
                <c:pt idx="573">
                  <c:v>18</c:v>
                </c:pt>
                <c:pt idx="574">
                  <c:v>20</c:v>
                </c:pt>
                <c:pt idx="575">
                  <c:v>18</c:v>
                </c:pt>
                <c:pt idx="576">
                  <c:v>19</c:v>
                </c:pt>
                <c:pt idx="577">
                  <c:v>20</c:v>
                </c:pt>
                <c:pt idx="578">
                  <c:v>18</c:v>
                </c:pt>
                <c:pt idx="579">
                  <c:v>19</c:v>
                </c:pt>
                <c:pt idx="580">
                  <c:v>20</c:v>
                </c:pt>
                <c:pt idx="581">
                  <c:v>18</c:v>
                </c:pt>
                <c:pt idx="582">
                  <c:v>19</c:v>
                </c:pt>
                <c:pt idx="583">
                  <c:v>18</c:v>
                </c:pt>
                <c:pt idx="584">
                  <c:v>20</c:v>
                </c:pt>
                <c:pt idx="585">
                  <c:v>18</c:v>
                </c:pt>
                <c:pt idx="586">
                  <c:v>19</c:v>
                </c:pt>
                <c:pt idx="587">
                  <c:v>20</c:v>
                </c:pt>
                <c:pt idx="588">
                  <c:v>18</c:v>
                </c:pt>
                <c:pt idx="589">
                  <c:v>19</c:v>
                </c:pt>
                <c:pt idx="590">
                  <c:v>20</c:v>
                </c:pt>
                <c:pt idx="591">
                  <c:v>18</c:v>
                </c:pt>
                <c:pt idx="592">
                  <c:v>19</c:v>
                </c:pt>
                <c:pt idx="593">
                  <c:v>18</c:v>
                </c:pt>
                <c:pt idx="594">
                  <c:v>20</c:v>
                </c:pt>
                <c:pt idx="595">
                  <c:v>18</c:v>
                </c:pt>
                <c:pt idx="596">
                  <c:v>19</c:v>
                </c:pt>
                <c:pt idx="597">
                  <c:v>20</c:v>
                </c:pt>
                <c:pt idx="598">
                  <c:v>18</c:v>
                </c:pt>
                <c:pt idx="599">
                  <c:v>19</c:v>
                </c:pt>
                <c:pt idx="600">
                  <c:v>20</c:v>
                </c:pt>
                <c:pt idx="601">
                  <c:v>18</c:v>
                </c:pt>
                <c:pt idx="602">
                  <c:v>19</c:v>
                </c:pt>
                <c:pt idx="603">
                  <c:v>18</c:v>
                </c:pt>
                <c:pt idx="604">
                  <c:v>20</c:v>
                </c:pt>
                <c:pt idx="605">
                  <c:v>18</c:v>
                </c:pt>
                <c:pt idx="606">
                  <c:v>19</c:v>
                </c:pt>
                <c:pt idx="607">
                  <c:v>20</c:v>
                </c:pt>
                <c:pt idx="608">
                  <c:v>18</c:v>
                </c:pt>
                <c:pt idx="609">
                  <c:v>19</c:v>
                </c:pt>
                <c:pt idx="610">
                  <c:v>20</c:v>
                </c:pt>
                <c:pt idx="611">
                  <c:v>18</c:v>
                </c:pt>
                <c:pt idx="612">
                  <c:v>19</c:v>
                </c:pt>
                <c:pt idx="613">
                  <c:v>18</c:v>
                </c:pt>
                <c:pt idx="614">
                  <c:v>20</c:v>
                </c:pt>
                <c:pt idx="615">
                  <c:v>18</c:v>
                </c:pt>
                <c:pt idx="616">
                  <c:v>19</c:v>
                </c:pt>
                <c:pt idx="617">
                  <c:v>20</c:v>
                </c:pt>
                <c:pt idx="618">
                  <c:v>18</c:v>
                </c:pt>
                <c:pt idx="619">
                  <c:v>19</c:v>
                </c:pt>
                <c:pt idx="620">
                  <c:v>20</c:v>
                </c:pt>
                <c:pt idx="621">
                  <c:v>18</c:v>
                </c:pt>
                <c:pt idx="622">
                  <c:v>19</c:v>
                </c:pt>
                <c:pt idx="623">
                  <c:v>19</c:v>
                </c:pt>
                <c:pt idx="624">
                  <c:v>20</c:v>
                </c:pt>
                <c:pt idx="625">
                  <c:v>20</c:v>
                </c:pt>
                <c:pt idx="626">
                  <c:v>21</c:v>
                </c:pt>
                <c:pt idx="627">
                  <c:v>17</c:v>
                </c:pt>
                <c:pt idx="628">
                  <c:v>18</c:v>
                </c:pt>
                <c:pt idx="629">
                  <c:v>19</c:v>
                </c:pt>
                <c:pt idx="630">
                  <c:v>20</c:v>
                </c:pt>
                <c:pt idx="631">
                  <c:v>21</c:v>
                </c:pt>
                <c:pt idx="632">
                  <c:v>18</c:v>
                </c:pt>
                <c:pt idx="633">
                  <c:v>19</c:v>
                </c:pt>
                <c:pt idx="634">
                  <c:v>20</c:v>
                </c:pt>
                <c:pt idx="635">
                  <c:v>17</c:v>
                </c:pt>
                <c:pt idx="636">
                  <c:v>19</c:v>
                </c:pt>
                <c:pt idx="637">
                  <c:v>20</c:v>
                </c:pt>
                <c:pt idx="638">
                  <c:v>21</c:v>
                </c:pt>
                <c:pt idx="639">
                  <c:v>18</c:v>
                </c:pt>
                <c:pt idx="640">
                  <c:v>19</c:v>
                </c:pt>
                <c:pt idx="641">
                  <c:v>20</c:v>
                </c:pt>
                <c:pt idx="642">
                  <c:v>18</c:v>
                </c:pt>
                <c:pt idx="643">
                  <c:v>19</c:v>
                </c:pt>
                <c:pt idx="644">
                  <c:v>19</c:v>
                </c:pt>
                <c:pt idx="645">
                  <c:v>20</c:v>
                </c:pt>
                <c:pt idx="646">
                  <c:v>18</c:v>
                </c:pt>
                <c:pt idx="647">
                  <c:v>19</c:v>
                </c:pt>
                <c:pt idx="648">
                  <c:v>18</c:v>
                </c:pt>
                <c:pt idx="649">
                  <c:v>19</c:v>
                </c:pt>
                <c:pt idx="650">
                  <c:v>20</c:v>
                </c:pt>
                <c:pt idx="651">
                  <c:v>18</c:v>
                </c:pt>
                <c:pt idx="652">
                  <c:v>19</c:v>
                </c:pt>
                <c:pt idx="653">
                  <c:v>20</c:v>
                </c:pt>
                <c:pt idx="654">
                  <c:v>18</c:v>
                </c:pt>
                <c:pt idx="655">
                  <c:v>20</c:v>
                </c:pt>
                <c:pt idx="656">
                  <c:v>18</c:v>
                </c:pt>
                <c:pt idx="657">
                  <c:v>19</c:v>
                </c:pt>
                <c:pt idx="658">
                  <c:v>18</c:v>
                </c:pt>
                <c:pt idx="659">
                  <c:v>19</c:v>
                </c:pt>
                <c:pt idx="660">
                  <c:v>20</c:v>
                </c:pt>
                <c:pt idx="661">
                  <c:v>18</c:v>
                </c:pt>
                <c:pt idx="662">
                  <c:v>20</c:v>
                </c:pt>
                <c:pt idx="663">
                  <c:v>18</c:v>
                </c:pt>
                <c:pt idx="664">
                  <c:v>19</c:v>
                </c:pt>
                <c:pt idx="665">
                  <c:v>20</c:v>
                </c:pt>
                <c:pt idx="666">
                  <c:v>18</c:v>
                </c:pt>
                <c:pt idx="667">
                  <c:v>19</c:v>
                </c:pt>
                <c:pt idx="668">
                  <c:v>20</c:v>
                </c:pt>
                <c:pt idx="669">
                  <c:v>19</c:v>
                </c:pt>
                <c:pt idx="670">
                  <c:v>18</c:v>
                </c:pt>
                <c:pt idx="671">
                  <c:v>20</c:v>
                </c:pt>
                <c:pt idx="672">
                  <c:v>19</c:v>
                </c:pt>
                <c:pt idx="673">
                  <c:v>18</c:v>
                </c:pt>
                <c:pt idx="674">
                  <c:v>20</c:v>
                </c:pt>
                <c:pt idx="675">
                  <c:v>19</c:v>
                </c:pt>
                <c:pt idx="676">
                  <c:v>18</c:v>
                </c:pt>
                <c:pt idx="677">
                  <c:v>20</c:v>
                </c:pt>
                <c:pt idx="678">
                  <c:v>19</c:v>
                </c:pt>
                <c:pt idx="679">
                  <c:v>18</c:v>
                </c:pt>
                <c:pt idx="680">
                  <c:v>19</c:v>
                </c:pt>
                <c:pt idx="681">
                  <c:v>20</c:v>
                </c:pt>
                <c:pt idx="682">
                  <c:v>18</c:v>
                </c:pt>
                <c:pt idx="683">
                  <c:v>19</c:v>
                </c:pt>
                <c:pt idx="684">
                  <c:v>20</c:v>
                </c:pt>
                <c:pt idx="685">
                  <c:v>18</c:v>
                </c:pt>
                <c:pt idx="686">
                  <c:v>19</c:v>
                </c:pt>
                <c:pt idx="687">
                  <c:v>20</c:v>
                </c:pt>
                <c:pt idx="688">
                  <c:v>18</c:v>
                </c:pt>
                <c:pt idx="689">
                  <c:v>19</c:v>
                </c:pt>
                <c:pt idx="690">
                  <c:v>20</c:v>
                </c:pt>
                <c:pt idx="691">
                  <c:v>18</c:v>
                </c:pt>
                <c:pt idx="692">
                  <c:v>19</c:v>
                </c:pt>
                <c:pt idx="693">
                  <c:v>20</c:v>
                </c:pt>
                <c:pt idx="694">
                  <c:v>18</c:v>
                </c:pt>
                <c:pt idx="695">
                  <c:v>19</c:v>
                </c:pt>
                <c:pt idx="696">
                  <c:v>20</c:v>
                </c:pt>
                <c:pt idx="697">
                  <c:v>19</c:v>
                </c:pt>
                <c:pt idx="698">
                  <c:v>18</c:v>
                </c:pt>
                <c:pt idx="699">
                  <c:v>20</c:v>
                </c:pt>
                <c:pt idx="700">
                  <c:v>19</c:v>
                </c:pt>
                <c:pt idx="701">
                  <c:v>20</c:v>
                </c:pt>
                <c:pt idx="702">
                  <c:v>19</c:v>
                </c:pt>
                <c:pt idx="703">
                  <c:v>18</c:v>
                </c:pt>
                <c:pt idx="704">
                  <c:v>20</c:v>
                </c:pt>
                <c:pt idx="705">
                  <c:v>19</c:v>
                </c:pt>
                <c:pt idx="706">
                  <c:v>20</c:v>
                </c:pt>
                <c:pt idx="707">
                  <c:v>19</c:v>
                </c:pt>
                <c:pt idx="708">
                  <c:v>18</c:v>
                </c:pt>
                <c:pt idx="709">
                  <c:v>19</c:v>
                </c:pt>
                <c:pt idx="710">
                  <c:v>20</c:v>
                </c:pt>
                <c:pt idx="711">
                  <c:v>18</c:v>
                </c:pt>
                <c:pt idx="712">
                  <c:v>19</c:v>
                </c:pt>
                <c:pt idx="713">
                  <c:v>20</c:v>
                </c:pt>
                <c:pt idx="714">
                  <c:v>19</c:v>
                </c:pt>
                <c:pt idx="715">
                  <c:v>20</c:v>
                </c:pt>
                <c:pt idx="716">
                  <c:v>18</c:v>
                </c:pt>
                <c:pt idx="717">
                  <c:v>19</c:v>
                </c:pt>
                <c:pt idx="718">
                  <c:v>18</c:v>
                </c:pt>
                <c:pt idx="719">
                  <c:v>19</c:v>
                </c:pt>
                <c:pt idx="720">
                  <c:v>20</c:v>
                </c:pt>
                <c:pt idx="721">
                  <c:v>18</c:v>
                </c:pt>
                <c:pt idx="722">
                  <c:v>19</c:v>
                </c:pt>
                <c:pt idx="723">
                  <c:v>20</c:v>
                </c:pt>
                <c:pt idx="724">
                  <c:v>20</c:v>
                </c:pt>
                <c:pt idx="725">
                  <c:v>19</c:v>
                </c:pt>
                <c:pt idx="726">
                  <c:v>18</c:v>
                </c:pt>
                <c:pt idx="727">
                  <c:v>19</c:v>
                </c:pt>
                <c:pt idx="728">
                  <c:v>20</c:v>
                </c:pt>
                <c:pt idx="729">
                  <c:v>18</c:v>
                </c:pt>
                <c:pt idx="730">
                  <c:v>19</c:v>
                </c:pt>
                <c:pt idx="731">
                  <c:v>20</c:v>
                </c:pt>
                <c:pt idx="732">
                  <c:v>19</c:v>
                </c:pt>
                <c:pt idx="733">
                  <c:v>20</c:v>
                </c:pt>
                <c:pt idx="734">
                  <c:v>18</c:v>
                </c:pt>
                <c:pt idx="735">
                  <c:v>19</c:v>
                </c:pt>
                <c:pt idx="736">
                  <c:v>20</c:v>
                </c:pt>
                <c:pt idx="737">
                  <c:v>19</c:v>
                </c:pt>
                <c:pt idx="738">
                  <c:v>20</c:v>
                </c:pt>
                <c:pt idx="739">
                  <c:v>18</c:v>
                </c:pt>
                <c:pt idx="740">
                  <c:v>19</c:v>
                </c:pt>
                <c:pt idx="741">
                  <c:v>18</c:v>
                </c:pt>
                <c:pt idx="742">
                  <c:v>19</c:v>
                </c:pt>
                <c:pt idx="743">
                  <c:v>20</c:v>
                </c:pt>
                <c:pt idx="744">
                  <c:v>18</c:v>
                </c:pt>
                <c:pt idx="745">
                  <c:v>19</c:v>
                </c:pt>
                <c:pt idx="746">
                  <c:v>20</c:v>
                </c:pt>
                <c:pt idx="747">
                  <c:v>19</c:v>
                </c:pt>
                <c:pt idx="748">
                  <c:v>20</c:v>
                </c:pt>
                <c:pt idx="749">
                  <c:v>18</c:v>
                </c:pt>
                <c:pt idx="750">
                  <c:v>19</c:v>
                </c:pt>
                <c:pt idx="751">
                  <c:v>20</c:v>
                </c:pt>
                <c:pt idx="752">
                  <c:v>18</c:v>
                </c:pt>
                <c:pt idx="753">
                  <c:v>19</c:v>
                </c:pt>
                <c:pt idx="754">
                  <c:v>20</c:v>
                </c:pt>
                <c:pt idx="755">
                  <c:v>19</c:v>
                </c:pt>
                <c:pt idx="756">
                  <c:v>20</c:v>
                </c:pt>
                <c:pt idx="757">
                  <c:v>18</c:v>
                </c:pt>
                <c:pt idx="758">
                  <c:v>19</c:v>
                </c:pt>
                <c:pt idx="759">
                  <c:v>20</c:v>
                </c:pt>
                <c:pt idx="760">
                  <c:v>19</c:v>
                </c:pt>
                <c:pt idx="761">
                  <c:v>20</c:v>
                </c:pt>
                <c:pt idx="762">
                  <c:v>18</c:v>
                </c:pt>
                <c:pt idx="763">
                  <c:v>19</c:v>
                </c:pt>
                <c:pt idx="764">
                  <c:v>20</c:v>
                </c:pt>
                <c:pt idx="765">
                  <c:v>19</c:v>
                </c:pt>
                <c:pt idx="766">
                  <c:v>20</c:v>
                </c:pt>
                <c:pt idx="767">
                  <c:v>18</c:v>
                </c:pt>
                <c:pt idx="768">
                  <c:v>19</c:v>
                </c:pt>
                <c:pt idx="769">
                  <c:v>20</c:v>
                </c:pt>
                <c:pt idx="770">
                  <c:v>19</c:v>
                </c:pt>
                <c:pt idx="771">
                  <c:v>20</c:v>
                </c:pt>
                <c:pt idx="772">
                  <c:v>18</c:v>
                </c:pt>
                <c:pt idx="773">
                  <c:v>19</c:v>
                </c:pt>
                <c:pt idx="774">
                  <c:v>20</c:v>
                </c:pt>
                <c:pt idx="775">
                  <c:v>19</c:v>
                </c:pt>
                <c:pt idx="776">
                  <c:v>20</c:v>
                </c:pt>
                <c:pt idx="777">
                  <c:v>18</c:v>
                </c:pt>
                <c:pt idx="778">
                  <c:v>19</c:v>
                </c:pt>
                <c:pt idx="779">
                  <c:v>20</c:v>
                </c:pt>
                <c:pt idx="780">
                  <c:v>18</c:v>
                </c:pt>
                <c:pt idx="781">
                  <c:v>19</c:v>
                </c:pt>
                <c:pt idx="782">
                  <c:v>20</c:v>
                </c:pt>
                <c:pt idx="783">
                  <c:v>19</c:v>
                </c:pt>
                <c:pt idx="784">
                  <c:v>20</c:v>
                </c:pt>
                <c:pt idx="785">
                  <c:v>18</c:v>
                </c:pt>
                <c:pt idx="786">
                  <c:v>19</c:v>
                </c:pt>
                <c:pt idx="787">
                  <c:v>20</c:v>
                </c:pt>
                <c:pt idx="788">
                  <c:v>19</c:v>
                </c:pt>
                <c:pt idx="789">
                  <c:v>20</c:v>
                </c:pt>
                <c:pt idx="790">
                  <c:v>18</c:v>
                </c:pt>
                <c:pt idx="791">
                  <c:v>19</c:v>
                </c:pt>
                <c:pt idx="792">
                  <c:v>20</c:v>
                </c:pt>
                <c:pt idx="793">
                  <c:v>19</c:v>
                </c:pt>
                <c:pt idx="794">
                  <c:v>20</c:v>
                </c:pt>
                <c:pt idx="795">
                  <c:v>18</c:v>
                </c:pt>
                <c:pt idx="796">
                  <c:v>19</c:v>
                </c:pt>
                <c:pt idx="797">
                  <c:v>20</c:v>
                </c:pt>
                <c:pt idx="798">
                  <c:v>19</c:v>
                </c:pt>
                <c:pt idx="799">
                  <c:v>20</c:v>
                </c:pt>
                <c:pt idx="800">
                  <c:v>18</c:v>
                </c:pt>
                <c:pt idx="801">
                  <c:v>19</c:v>
                </c:pt>
                <c:pt idx="802">
                  <c:v>20</c:v>
                </c:pt>
                <c:pt idx="803">
                  <c:v>19</c:v>
                </c:pt>
                <c:pt idx="804">
                  <c:v>20</c:v>
                </c:pt>
                <c:pt idx="805">
                  <c:v>18</c:v>
                </c:pt>
                <c:pt idx="806">
                  <c:v>19</c:v>
                </c:pt>
                <c:pt idx="807">
                  <c:v>20</c:v>
                </c:pt>
                <c:pt idx="808">
                  <c:v>18</c:v>
                </c:pt>
                <c:pt idx="809">
                  <c:v>19</c:v>
                </c:pt>
                <c:pt idx="810">
                  <c:v>20</c:v>
                </c:pt>
                <c:pt idx="811">
                  <c:v>19</c:v>
                </c:pt>
                <c:pt idx="812">
                  <c:v>20</c:v>
                </c:pt>
                <c:pt idx="813">
                  <c:v>18</c:v>
                </c:pt>
                <c:pt idx="814">
                  <c:v>19</c:v>
                </c:pt>
                <c:pt idx="815">
                  <c:v>20</c:v>
                </c:pt>
                <c:pt idx="816">
                  <c:v>19</c:v>
                </c:pt>
                <c:pt idx="817">
                  <c:v>20</c:v>
                </c:pt>
                <c:pt idx="818">
                  <c:v>18</c:v>
                </c:pt>
                <c:pt idx="819">
                  <c:v>19</c:v>
                </c:pt>
                <c:pt idx="820">
                  <c:v>20</c:v>
                </c:pt>
                <c:pt idx="821">
                  <c:v>19</c:v>
                </c:pt>
                <c:pt idx="822">
                  <c:v>20</c:v>
                </c:pt>
                <c:pt idx="823">
                  <c:v>18</c:v>
                </c:pt>
                <c:pt idx="824">
                  <c:v>19</c:v>
                </c:pt>
                <c:pt idx="825">
                  <c:v>20</c:v>
                </c:pt>
                <c:pt idx="826">
                  <c:v>19</c:v>
                </c:pt>
                <c:pt idx="827">
                  <c:v>20</c:v>
                </c:pt>
                <c:pt idx="828">
                  <c:v>18</c:v>
                </c:pt>
                <c:pt idx="829">
                  <c:v>19</c:v>
                </c:pt>
                <c:pt idx="830">
                  <c:v>20</c:v>
                </c:pt>
                <c:pt idx="831">
                  <c:v>19</c:v>
                </c:pt>
                <c:pt idx="832">
                  <c:v>20</c:v>
                </c:pt>
                <c:pt idx="833">
                  <c:v>18</c:v>
                </c:pt>
                <c:pt idx="834">
                  <c:v>19</c:v>
                </c:pt>
                <c:pt idx="835">
                  <c:v>20</c:v>
                </c:pt>
                <c:pt idx="836">
                  <c:v>18</c:v>
                </c:pt>
                <c:pt idx="837">
                  <c:v>19</c:v>
                </c:pt>
                <c:pt idx="838">
                  <c:v>20</c:v>
                </c:pt>
                <c:pt idx="839">
                  <c:v>19</c:v>
                </c:pt>
                <c:pt idx="840">
                  <c:v>20</c:v>
                </c:pt>
                <c:pt idx="841">
                  <c:v>18</c:v>
                </c:pt>
                <c:pt idx="842">
                  <c:v>19</c:v>
                </c:pt>
                <c:pt idx="843">
                  <c:v>20</c:v>
                </c:pt>
                <c:pt idx="844">
                  <c:v>19</c:v>
                </c:pt>
                <c:pt idx="845">
                  <c:v>20</c:v>
                </c:pt>
                <c:pt idx="846">
                  <c:v>18</c:v>
                </c:pt>
                <c:pt idx="847">
                  <c:v>19</c:v>
                </c:pt>
                <c:pt idx="848">
                  <c:v>20</c:v>
                </c:pt>
                <c:pt idx="849">
                  <c:v>19</c:v>
                </c:pt>
                <c:pt idx="850">
                  <c:v>20</c:v>
                </c:pt>
                <c:pt idx="851">
                  <c:v>18</c:v>
                </c:pt>
                <c:pt idx="852">
                  <c:v>19</c:v>
                </c:pt>
                <c:pt idx="853">
                  <c:v>20</c:v>
                </c:pt>
                <c:pt idx="854">
                  <c:v>19</c:v>
                </c:pt>
                <c:pt idx="855">
                  <c:v>20</c:v>
                </c:pt>
                <c:pt idx="856">
                  <c:v>18</c:v>
                </c:pt>
                <c:pt idx="857">
                  <c:v>19</c:v>
                </c:pt>
                <c:pt idx="858">
                  <c:v>20</c:v>
                </c:pt>
                <c:pt idx="859">
                  <c:v>19</c:v>
                </c:pt>
                <c:pt idx="860">
                  <c:v>20</c:v>
                </c:pt>
                <c:pt idx="861">
                  <c:v>18</c:v>
                </c:pt>
                <c:pt idx="862">
                  <c:v>19</c:v>
                </c:pt>
                <c:pt idx="863">
                  <c:v>20</c:v>
                </c:pt>
                <c:pt idx="864">
                  <c:v>18</c:v>
                </c:pt>
                <c:pt idx="865">
                  <c:v>19</c:v>
                </c:pt>
                <c:pt idx="866">
                  <c:v>20</c:v>
                </c:pt>
                <c:pt idx="867">
                  <c:v>19</c:v>
                </c:pt>
                <c:pt idx="868">
                  <c:v>20</c:v>
                </c:pt>
                <c:pt idx="869">
                  <c:v>18</c:v>
                </c:pt>
                <c:pt idx="870">
                  <c:v>19</c:v>
                </c:pt>
                <c:pt idx="871">
                  <c:v>20</c:v>
                </c:pt>
                <c:pt idx="872">
                  <c:v>19</c:v>
                </c:pt>
                <c:pt idx="873">
                  <c:v>20</c:v>
                </c:pt>
                <c:pt idx="874">
                  <c:v>18</c:v>
                </c:pt>
                <c:pt idx="875">
                  <c:v>19</c:v>
                </c:pt>
                <c:pt idx="876">
                  <c:v>20</c:v>
                </c:pt>
                <c:pt idx="877">
                  <c:v>19</c:v>
                </c:pt>
                <c:pt idx="878">
                  <c:v>20</c:v>
                </c:pt>
                <c:pt idx="879">
                  <c:v>18</c:v>
                </c:pt>
                <c:pt idx="880">
                  <c:v>19</c:v>
                </c:pt>
                <c:pt idx="881">
                  <c:v>20</c:v>
                </c:pt>
                <c:pt idx="882">
                  <c:v>19</c:v>
                </c:pt>
                <c:pt idx="883">
                  <c:v>20</c:v>
                </c:pt>
                <c:pt idx="884">
                  <c:v>18</c:v>
                </c:pt>
                <c:pt idx="885">
                  <c:v>19</c:v>
                </c:pt>
                <c:pt idx="886">
                  <c:v>20</c:v>
                </c:pt>
                <c:pt idx="887">
                  <c:v>19</c:v>
                </c:pt>
                <c:pt idx="888">
                  <c:v>20</c:v>
                </c:pt>
                <c:pt idx="889">
                  <c:v>18</c:v>
                </c:pt>
                <c:pt idx="890">
                  <c:v>19</c:v>
                </c:pt>
                <c:pt idx="891">
                  <c:v>20</c:v>
                </c:pt>
                <c:pt idx="892">
                  <c:v>18</c:v>
                </c:pt>
                <c:pt idx="893">
                  <c:v>19</c:v>
                </c:pt>
                <c:pt idx="894">
                  <c:v>20</c:v>
                </c:pt>
                <c:pt idx="895">
                  <c:v>19</c:v>
                </c:pt>
                <c:pt idx="896">
                  <c:v>20</c:v>
                </c:pt>
                <c:pt idx="897">
                  <c:v>18</c:v>
                </c:pt>
                <c:pt idx="898">
                  <c:v>19</c:v>
                </c:pt>
                <c:pt idx="899">
                  <c:v>20</c:v>
                </c:pt>
                <c:pt idx="900">
                  <c:v>19</c:v>
                </c:pt>
                <c:pt idx="901">
                  <c:v>20</c:v>
                </c:pt>
                <c:pt idx="902">
                  <c:v>18</c:v>
                </c:pt>
                <c:pt idx="903">
                  <c:v>19</c:v>
                </c:pt>
                <c:pt idx="904">
                  <c:v>20</c:v>
                </c:pt>
                <c:pt idx="905">
                  <c:v>19</c:v>
                </c:pt>
                <c:pt idx="906">
                  <c:v>20</c:v>
                </c:pt>
                <c:pt idx="907">
                  <c:v>18</c:v>
                </c:pt>
                <c:pt idx="908">
                  <c:v>19</c:v>
                </c:pt>
                <c:pt idx="909">
                  <c:v>20</c:v>
                </c:pt>
                <c:pt idx="910">
                  <c:v>19</c:v>
                </c:pt>
                <c:pt idx="911">
                  <c:v>20</c:v>
                </c:pt>
                <c:pt idx="912">
                  <c:v>18</c:v>
                </c:pt>
                <c:pt idx="913">
                  <c:v>19</c:v>
                </c:pt>
                <c:pt idx="914">
                  <c:v>20</c:v>
                </c:pt>
                <c:pt idx="915">
                  <c:v>19</c:v>
                </c:pt>
                <c:pt idx="916">
                  <c:v>20</c:v>
                </c:pt>
                <c:pt idx="917">
                  <c:v>18</c:v>
                </c:pt>
                <c:pt idx="918">
                  <c:v>19</c:v>
                </c:pt>
                <c:pt idx="919">
                  <c:v>20</c:v>
                </c:pt>
                <c:pt idx="920">
                  <c:v>18</c:v>
                </c:pt>
                <c:pt idx="921">
                  <c:v>19</c:v>
                </c:pt>
                <c:pt idx="922">
                  <c:v>20</c:v>
                </c:pt>
                <c:pt idx="923">
                  <c:v>19</c:v>
                </c:pt>
                <c:pt idx="924">
                  <c:v>20</c:v>
                </c:pt>
                <c:pt idx="925">
                  <c:v>18</c:v>
                </c:pt>
                <c:pt idx="926">
                  <c:v>19</c:v>
                </c:pt>
                <c:pt idx="927">
                  <c:v>20</c:v>
                </c:pt>
                <c:pt idx="928">
                  <c:v>19</c:v>
                </c:pt>
                <c:pt idx="929">
                  <c:v>20</c:v>
                </c:pt>
                <c:pt idx="930">
                  <c:v>18</c:v>
                </c:pt>
                <c:pt idx="931">
                  <c:v>19</c:v>
                </c:pt>
                <c:pt idx="932">
                  <c:v>20</c:v>
                </c:pt>
                <c:pt idx="933">
                  <c:v>19</c:v>
                </c:pt>
                <c:pt idx="934">
                  <c:v>20</c:v>
                </c:pt>
                <c:pt idx="935">
                  <c:v>18</c:v>
                </c:pt>
                <c:pt idx="936">
                  <c:v>19</c:v>
                </c:pt>
                <c:pt idx="937">
                  <c:v>20</c:v>
                </c:pt>
                <c:pt idx="938">
                  <c:v>19</c:v>
                </c:pt>
                <c:pt idx="939">
                  <c:v>20</c:v>
                </c:pt>
                <c:pt idx="940">
                  <c:v>18</c:v>
                </c:pt>
                <c:pt idx="941">
                  <c:v>19</c:v>
                </c:pt>
                <c:pt idx="942">
                  <c:v>20</c:v>
                </c:pt>
                <c:pt idx="943">
                  <c:v>19</c:v>
                </c:pt>
                <c:pt idx="944">
                  <c:v>20</c:v>
                </c:pt>
                <c:pt idx="945">
                  <c:v>18</c:v>
                </c:pt>
                <c:pt idx="946">
                  <c:v>19</c:v>
                </c:pt>
                <c:pt idx="947">
                  <c:v>20</c:v>
                </c:pt>
                <c:pt idx="948">
                  <c:v>18</c:v>
                </c:pt>
                <c:pt idx="949">
                  <c:v>19</c:v>
                </c:pt>
                <c:pt idx="950">
                  <c:v>20</c:v>
                </c:pt>
                <c:pt idx="951">
                  <c:v>19</c:v>
                </c:pt>
                <c:pt idx="952">
                  <c:v>20</c:v>
                </c:pt>
                <c:pt idx="953">
                  <c:v>18</c:v>
                </c:pt>
                <c:pt idx="954">
                  <c:v>19</c:v>
                </c:pt>
                <c:pt idx="955">
                  <c:v>20</c:v>
                </c:pt>
                <c:pt idx="956">
                  <c:v>19</c:v>
                </c:pt>
                <c:pt idx="957">
                  <c:v>20</c:v>
                </c:pt>
                <c:pt idx="958">
                  <c:v>18</c:v>
                </c:pt>
                <c:pt idx="959">
                  <c:v>19</c:v>
                </c:pt>
                <c:pt idx="960">
                  <c:v>20</c:v>
                </c:pt>
                <c:pt idx="961">
                  <c:v>19</c:v>
                </c:pt>
                <c:pt idx="962">
                  <c:v>20</c:v>
                </c:pt>
                <c:pt idx="963">
                  <c:v>18</c:v>
                </c:pt>
                <c:pt idx="964">
                  <c:v>19</c:v>
                </c:pt>
                <c:pt idx="965">
                  <c:v>20</c:v>
                </c:pt>
                <c:pt idx="966">
                  <c:v>19</c:v>
                </c:pt>
                <c:pt idx="967">
                  <c:v>20</c:v>
                </c:pt>
                <c:pt idx="968">
                  <c:v>18</c:v>
                </c:pt>
                <c:pt idx="969">
                  <c:v>19</c:v>
                </c:pt>
                <c:pt idx="970">
                  <c:v>20</c:v>
                </c:pt>
                <c:pt idx="971">
                  <c:v>19</c:v>
                </c:pt>
                <c:pt idx="972">
                  <c:v>20</c:v>
                </c:pt>
                <c:pt idx="973">
                  <c:v>18</c:v>
                </c:pt>
                <c:pt idx="974">
                  <c:v>19</c:v>
                </c:pt>
                <c:pt idx="975">
                  <c:v>20</c:v>
                </c:pt>
                <c:pt idx="976">
                  <c:v>18</c:v>
                </c:pt>
                <c:pt idx="977">
                  <c:v>19</c:v>
                </c:pt>
                <c:pt idx="978">
                  <c:v>20</c:v>
                </c:pt>
                <c:pt idx="979">
                  <c:v>19</c:v>
                </c:pt>
                <c:pt idx="980">
                  <c:v>20</c:v>
                </c:pt>
                <c:pt idx="981">
                  <c:v>18</c:v>
                </c:pt>
                <c:pt idx="982">
                  <c:v>19</c:v>
                </c:pt>
                <c:pt idx="983">
                  <c:v>20</c:v>
                </c:pt>
                <c:pt idx="984">
                  <c:v>19</c:v>
                </c:pt>
                <c:pt idx="985">
                  <c:v>20</c:v>
                </c:pt>
                <c:pt idx="986">
                  <c:v>18</c:v>
                </c:pt>
                <c:pt idx="987">
                  <c:v>19</c:v>
                </c:pt>
                <c:pt idx="988">
                  <c:v>20</c:v>
                </c:pt>
                <c:pt idx="989">
                  <c:v>19</c:v>
                </c:pt>
                <c:pt idx="990">
                  <c:v>20</c:v>
                </c:pt>
                <c:pt idx="991">
                  <c:v>18</c:v>
                </c:pt>
                <c:pt idx="992">
                  <c:v>19</c:v>
                </c:pt>
                <c:pt idx="993">
                  <c:v>20</c:v>
                </c:pt>
                <c:pt idx="994">
                  <c:v>19</c:v>
                </c:pt>
                <c:pt idx="995">
                  <c:v>20</c:v>
                </c:pt>
                <c:pt idx="996">
                  <c:v>18</c:v>
                </c:pt>
                <c:pt idx="997">
                  <c:v>19</c:v>
                </c:pt>
                <c:pt idx="998">
                  <c:v>20</c:v>
                </c:pt>
                <c:pt idx="999">
                  <c:v>19</c:v>
                </c:pt>
                <c:pt idx="1000">
                  <c:v>20</c:v>
                </c:pt>
                <c:pt idx="1001">
                  <c:v>18</c:v>
                </c:pt>
                <c:pt idx="1002">
                  <c:v>19</c:v>
                </c:pt>
                <c:pt idx="100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34-CC4F-88F9-EC4B88756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184303"/>
        <c:axId val="1105163807"/>
      </c:scatterChart>
      <c:valAx>
        <c:axId val="110518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163807"/>
        <c:crosses val="autoZero"/>
        <c:crossBetween val="midCat"/>
      </c:valAx>
      <c:valAx>
        <c:axId val="110516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18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Delivery Duration vs Traffic Impact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'Pizza Delivery Table'!$Y$1</c:f>
              <c:strCache>
                <c:ptCount val="1"/>
                <c:pt idx="0">
                  <c:v>Traffic Impact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5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'Pizza Delivery Table'!$H$2:$H$1005</c:f>
              <c:numCache>
                <c:formatCode>General</c:formatCode>
                <c:ptCount val="1004"/>
                <c:pt idx="0">
                  <c:v>15</c:v>
                </c:pt>
                <c:pt idx="1">
                  <c:v>25</c:v>
                </c:pt>
                <c:pt idx="2">
                  <c:v>20</c:v>
                </c:pt>
                <c:pt idx="3">
                  <c:v>25</c:v>
                </c:pt>
                <c:pt idx="4">
                  <c:v>20</c:v>
                </c:pt>
                <c:pt idx="5">
                  <c:v>20</c:v>
                </c:pt>
                <c:pt idx="6">
                  <c:v>25</c:v>
                </c:pt>
                <c:pt idx="7">
                  <c:v>20</c:v>
                </c:pt>
                <c:pt idx="8">
                  <c:v>25</c:v>
                </c:pt>
                <c:pt idx="9">
                  <c:v>20</c:v>
                </c:pt>
                <c:pt idx="10">
                  <c:v>20</c:v>
                </c:pt>
                <c:pt idx="11">
                  <c:v>25</c:v>
                </c:pt>
                <c:pt idx="12">
                  <c:v>20</c:v>
                </c:pt>
                <c:pt idx="13">
                  <c:v>25</c:v>
                </c:pt>
                <c:pt idx="14">
                  <c:v>20</c:v>
                </c:pt>
                <c:pt idx="15">
                  <c:v>25</c:v>
                </c:pt>
                <c:pt idx="16">
                  <c:v>25</c:v>
                </c:pt>
                <c:pt idx="17">
                  <c:v>20</c:v>
                </c:pt>
                <c:pt idx="18">
                  <c:v>25</c:v>
                </c:pt>
                <c:pt idx="19">
                  <c:v>20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25</c:v>
                </c:pt>
                <c:pt idx="24">
                  <c:v>20</c:v>
                </c:pt>
                <c:pt idx="25">
                  <c:v>25</c:v>
                </c:pt>
                <c:pt idx="26">
                  <c:v>25</c:v>
                </c:pt>
                <c:pt idx="27">
                  <c:v>20</c:v>
                </c:pt>
                <c:pt idx="28">
                  <c:v>25</c:v>
                </c:pt>
                <c:pt idx="29">
                  <c:v>20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20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20</c:v>
                </c:pt>
                <c:pt idx="38">
                  <c:v>25</c:v>
                </c:pt>
                <c:pt idx="39">
                  <c:v>20</c:v>
                </c:pt>
                <c:pt idx="40">
                  <c:v>20</c:v>
                </c:pt>
                <c:pt idx="41">
                  <c:v>25</c:v>
                </c:pt>
                <c:pt idx="42">
                  <c:v>20</c:v>
                </c:pt>
                <c:pt idx="43">
                  <c:v>25</c:v>
                </c:pt>
                <c:pt idx="44">
                  <c:v>20</c:v>
                </c:pt>
                <c:pt idx="45">
                  <c:v>20</c:v>
                </c:pt>
                <c:pt idx="46">
                  <c:v>25</c:v>
                </c:pt>
                <c:pt idx="47">
                  <c:v>20</c:v>
                </c:pt>
                <c:pt idx="48">
                  <c:v>25</c:v>
                </c:pt>
                <c:pt idx="49">
                  <c:v>20</c:v>
                </c:pt>
                <c:pt idx="50">
                  <c:v>20</c:v>
                </c:pt>
                <c:pt idx="51">
                  <c:v>25</c:v>
                </c:pt>
                <c:pt idx="52">
                  <c:v>20</c:v>
                </c:pt>
                <c:pt idx="53">
                  <c:v>25</c:v>
                </c:pt>
                <c:pt idx="54">
                  <c:v>20</c:v>
                </c:pt>
                <c:pt idx="55">
                  <c:v>20</c:v>
                </c:pt>
                <c:pt idx="56">
                  <c:v>25</c:v>
                </c:pt>
                <c:pt idx="57">
                  <c:v>20</c:v>
                </c:pt>
                <c:pt idx="58">
                  <c:v>25</c:v>
                </c:pt>
                <c:pt idx="59">
                  <c:v>20</c:v>
                </c:pt>
                <c:pt idx="60">
                  <c:v>20</c:v>
                </c:pt>
                <c:pt idx="61">
                  <c:v>25</c:v>
                </c:pt>
                <c:pt idx="62">
                  <c:v>20</c:v>
                </c:pt>
                <c:pt idx="63">
                  <c:v>25</c:v>
                </c:pt>
                <c:pt idx="64">
                  <c:v>20</c:v>
                </c:pt>
                <c:pt idx="65">
                  <c:v>20</c:v>
                </c:pt>
                <c:pt idx="66">
                  <c:v>25</c:v>
                </c:pt>
                <c:pt idx="67">
                  <c:v>20</c:v>
                </c:pt>
                <c:pt idx="68">
                  <c:v>25</c:v>
                </c:pt>
                <c:pt idx="69">
                  <c:v>20</c:v>
                </c:pt>
                <c:pt idx="70">
                  <c:v>20</c:v>
                </c:pt>
                <c:pt idx="71">
                  <c:v>25</c:v>
                </c:pt>
                <c:pt idx="72">
                  <c:v>20</c:v>
                </c:pt>
                <c:pt idx="73">
                  <c:v>25</c:v>
                </c:pt>
                <c:pt idx="74">
                  <c:v>20</c:v>
                </c:pt>
                <c:pt idx="75">
                  <c:v>20</c:v>
                </c:pt>
                <c:pt idx="76">
                  <c:v>25</c:v>
                </c:pt>
                <c:pt idx="77">
                  <c:v>20</c:v>
                </c:pt>
                <c:pt idx="78">
                  <c:v>25</c:v>
                </c:pt>
                <c:pt idx="79">
                  <c:v>20</c:v>
                </c:pt>
                <c:pt idx="80">
                  <c:v>20</c:v>
                </c:pt>
                <c:pt idx="81">
                  <c:v>25</c:v>
                </c:pt>
                <c:pt idx="82">
                  <c:v>20</c:v>
                </c:pt>
                <c:pt idx="83">
                  <c:v>25</c:v>
                </c:pt>
                <c:pt idx="84">
                  <c:v>20</c:v>
                </c:pt>
                <c:pt idx="85">
                  <c:v>20</c:v>
                </c:pt>
                <c:pt idx="86">
                  <c:v>25</c:v>
                </c:pt>
                <c:pt idx="87">
                  <c:v>20</c:v>
                </c:pt>
                <c:pt idx="88">
                  <c:v>25</c:v>
                </c:pt>
                <c:pt idx="89">
                  <c:v>20</c:v>
                </c:pt>
                <c:pt idx="90">
                  <c:v>20</c:v>
                </c:pt>
                <c:pt idx="91">
                  <c:v>25</c:v>
                </c:pt>
                <c:pt idx="92">
                  <c:v>20</c:v>
                </c:pt>
                <c:pt idx="93">
                  <c:v>25</c:v>
                </c:pt>
                <c:pt idx="94">
                  <c:v>20</c:v>
                </c:pt>
                <c:pt idx="95">
                  <c:v>20</c:v>
                </c:pt>
                <c:pt idx="96">
                  <c:v>25</c:v>
                </c:pt>
                <c:pt idx="97">
                  <c:v>20</c:v>
                </c:pt>
                <c:pt idx="98">
                  <c:v>25</c:v>
                </c:pt>
                <c:pt idx="99">
                  <c:v>20</c:v>
                </c:pt>
                <c:pt idx="100">
                  <c:v>20</c:v>
                </c:pt>
                <c:pt idx="101">
                  <c:v>25</c:v>
                </c:pt>
                <c:pt idx="102">
                  <c:v>20</c:v>
                </c:pt>
                <c:pt idx="103">
                  <c:v>25</c:v>
                </c:pt>
                <c:pt idx="104">
                  <c:v>20</c:v>
                </c:pt>
                <c:pt idx="105">
                  <c:v>20</c:v>
                </c:pt>
                <c:pt idx="106">
                  <c:v>25</c:v>
                </c:pt>
                <c:pt idx="107">
                  <c:v>20</c:v>
                </c:pt>
                <c:pt idx="108">
                  <c:v>25</c:v>
                </c:pt>
                <c:pt idx="109">
                  <c:v>20</c:v>
                </c:pt>
                <c:pt idx="110">
                  <c:v>20</c:v>
                </c:pt>
                <c:pt idx="111">
                  <c:v>25</c:v>
                </c:pt>
                <c:pt idx="112">
                  <c:v>20</c:v>
                </c:pt>
                <c:pt idx="113">
                  <c:v>25</c:v>
                </c:pt>
                <c:pt idx="114">
                  <c:v>20</c:v>
                </c:pt>
                <c:pt idx="115">
                  <c:v>20</c:v>
                </c:pt>
                <c:pt idx="116">
                  <c:v>25</c:v>
                </c:pt>
                <c:pt idx="117">
                  <c:v>20</c:v>
                </c:pt>
                <c:pt idx="118">
                  <c:v>25</c:v>
                </c:pt>
                <c:pt idx="119">
                  <c:v>20</c:v>
                </c:pt>
                <c:pt idx="120">
                  <c:v>20</c:v>
                </c:pt>
                <c:pt idx="121">
                  <c:v>25</c:v>
                </c:pt>
                <c:pt idx="122">
                  <c:v>20</c:v>
                </c:pt>
                <c:pt idx="123">
                  <c:v>25</c:v>
                </c:pt>
                <c:pt idx="124">
                  <c:v>20</c:v>
                </c:pt>
                <c:pt idx="125">
                  <c:v>20</c:v>
                </c:pt>
                <c:pt idx="126">
                  <c:v>30</c:v>
                </c:pt>
                <c:pt idx="127">
                  <c:v>40</c:v>
                </c:pt>
                <c:pt idx="128">
                  <c:v>20</c:v>
                </c:pt>
                <c:pt idx="129">
                  <c:v>50</c:v>
                </c:pt>
                <c:pt idx="130">
                  <c:v>35</c:v>
                </c:pt>
                <c:pt idx="131">
                  <c:v>20</c:v>
                </c:pt>
                <c:pt idx="132">
                  <c:v>40</c:v>
                </c:pt>
                <c:pt idx="133">
                  <c:v>30</c:v>
                </c:pt>
                <c:pt idx="134">
                  <c:v>45</c:v>
                </c:pt>
                <c:pt idx="135">
                  <c:v>20</c:v>
                </c:pt>
                <c:pt idx="136">
                  <c:v>30</c:v>
                </c:pt>
                <c:pt idx="137">
                  <c:v>40</c:v>
                </c:pt>
                <c:pt idx="138">
                  <c:v>20</c:v>
                </c:pt>
                <c:pt idx="139">
                  <c:v>50</c:v>
                </c:pt>
                <c:pt idx="140">
                  <c:v>35</c:v>
                </c:pt>
                <c:pt idx="141">
                  <c:v>20</c:v>
                </c:pt>
                <c:pt idx="142">
                  <c:v>40</c:v>
                </c:pt>
                <c:pt idx="143">
                  <c:v>30</c:v>
                </c:pt>
                <c:pt idx="144">
                  <c:v>45</c:v>
                </c:pt>
                <c:pt idx="145">
                  <c:v>20</c:v>
                </c:pt>
                <c:pt idx="146">
                  <c:v>30</c:v>
                </c:pt>
                <c:pt idx="147">
                  <c:v>40</c:v>
                </c:pt>
                <c:pt idx="148">
                  <c:v>20</c:v>
                </c:pt>
                <c:pt idx="149">
                  <c:v>50</c:v>
                </c:pt>
                <c:pt idx="150">
                  <c:v>30</c:v>
                </c:pt>
                <c:pt idx="151">
                  <c:v>30</c:v>
                </c:pt>
                <c:pt idx="152">
                  <c:v>35</c:v>
                </c:pt>
                <c:pt idx="153">
                  <c:v>20</c:v>
                </c:pt>
                <c:pt idx="154">
                  <c:v>30</c:v>
                </c:pt>
                <c:pt idx="155">
                  <c:v>30</c:v>
                </c:pt>
                <c:pt idx="156">
                  <c:v>35</c:v>
                </c:pt>
                <c:pt idx="157">
                  <c:v>25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25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25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25</c:v>
                </c:pt>
                <c:pt idx="173">
                  <c:v>30</c:v>
                </c:pt>
                <c:pt idx="174">
                  <c:v>20</c:v>
                </c:pt>
                <c:pt idx="175">
                  <c:v>20</c:v>
                </c:pt>
                <c:pt idx="176">
                  <c:v>25</c:v>
                </c:pt>
                <c:pt idx="177">
                  <c:v>20</c:v>
                </c:pt>
                <c:pt idx="178">
                  <c:v>25</c:v>
                </c:pt>
                <c:pt idx="179">
                  <c:v>20</c:v>
                </c:pt>
                <c:pt idx="180">
                  <c:v>25</c:v>
                </c:pt>
                <c:pt idx="181">
                  <c:v>25</c:v>
                </c:pt>
                <c:pt idx="182">
                  <c:v>20</c:v>
                </c:pt>
                <c:pt idx="183">
                  <c:v>25</c:v>
                </c:pt>
                <c:pt idx="184">
                  <c:v>20</c:v>
                </c:pt>
                <c:pt idx="185">
                  <c:v>20</c:v>
                </c:pt>
                <c:pt idx="186">
                  <c:v>25</c:v>
                </c:pt>
                <c:pt idx="187">
                  <c:v>20</c:v>
                </c:pt>
                <c:pt idx="188">
                  <c:v>25</c:v>
                </c:pt>
                <c:pt idx="189">
                  <c:v>20</c:v>
                </c:pt>
                <c:pt idx="190">
                  <c:v>20</c:v>
                </c:pt>
                <c:pt idx="191">
                  <c:v>25</c:v>
                </c:pt>
                <c:pt idx="192">
                  <c:v>20</c:v>
                </c:pt>
                <c:pt idx="193">
                  <c:v>25</c:v>
                </c:pt>
                <c:pt idx="194">
                  <c:v>20</c:v>
                </c:pt>
                <c:pt idx="195">
                  <c:v>20</c:v>
                </c:pt>
                <c:pt idx="196">
                  <c:v>25</c:v>
                </c:pt>
                <c:pt idx="197">
                  <c:v>20</c:v>
                </c:pt>
                <c:pt idx="198">
                  <c:v>25</c:v>
                </c:pt>
                <c:pt idx="199">
                  <c:v>20</c:v>
                </c:pt>
                <c:pt idx="200">
                  <c:v>25</c:v>
                </c:pt>
                <c:pt idx="201">
                  <c:v>30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20</c:v>
                </c:pt>
                <c:pt idx="208">
                  <c:v>25</c:v>
                </c:pt>
                <c:pt idx="209">
                  <c:v>20</c:v>
                </c:pt>
                <c:pt idx="210">
                  <c:v>20</c:v>
                </c:pt>
                <c:pt idx="211">
                  <c:v>25</c:v>
                </c:pt>
                <c:pt idx="212">
                  <c:v>20</c:v>
                </c:pt>
                <c:pt idx="213">
                  <c:v>25</c:v>
                </c:pt>
                <c:pt idx="214">
                  <c:v>20</c:v>
                </c:pt>
                <c:pt idx="215">
                  <c:v>20</c:v>
                </c:pt>
                <c:pt idx="216">
                  <c:v>25</c:v>
                </c:pt>
                <c:pt idx="217">
                  <c:v>20</c:v>
                </c:pt>
                <c:pt idx="218">
                  <c:v>25</c:v>
                </c:pt>
                <c:pt idx="219">
                  <c:v>20</c:v>
                </c:pt>
                <c:pt idx="220">
                  <c:v>25</c:v>
                </c:pt>
                <c:pt idx="221">
                  <c:v>30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20</c:v>
                </c:pt>
                <c:pt idx="228">
                  <c:v>25</c:v>
                </c:pt>
                <c:pt idx="229">
                  <c:v>35</c:v>
                </c:pt>
                <c:pt idx="230">
                  <c:v>25</c:v>
                </c:pt>
                <c:pt idx="231">
                  <c:v>20</c:v>
                </c:pt>
                <c:pt idx="232">
                  <c:v>30</c:v>
                </c:pt>
                <c:pt idx="233">
                  <c:v>40</c:v>
                </c:pt>
                <c:pt idx="234">
                  <c:v>20</c:v>
                </c:pt>
                <c:pt idx="235">
                  <c:v>20</c:v>
                </c:pt>
                <c:pt idx="236">
                  <c:v>30</c:v>
                </c:pt>
                <c:pt idx="237">
                  <c:v>25</c:v>
                </c:pt>
                <c:pt idx="238">
                  <c:v>20</c:v>
                </c:pt>
                <c:pt idx="239">
                  <c:v>25</c:v>
                </c:pt>
                <c:pt idx="240">
                  <c:v>20</c:v>
                </c:pt>
                <c:pt idx="241">
                  <c:v>25</c:v>
                </c:pt>
                <c:pt idx="242">
                  <c:v>20</c:v>
                </c:pt>
                <c:pt idx="243">
                  <c:v>25</c:v>
                </c:pt>
                <c:pt idx="244">
                  <c:v>25</c:v>
                </c:pt>
                <c:pt idx="245">
                  <c:v>20</c:v>
                </c:pt>
                <c:pt idx="246">
                  <c:v>25</c:v>
                </c:pt>
                <c:pt idx="247">
                  <c:v>20</c:v>
                </c:pt>
                <c:pt idx="248">
                  <c:v>20</c:v>
                </c:pt>
                <c:pt idx="249">
                  <c:v>25</c:v>
                </c:pt>
                <c:pt idx="250">
                  <c:v>20</c:v>
                </c:pt>
                <c:pt idx="251">
                  <c:v>25</c:v>
                </c:pt>
                <c:pt idx="252">
                  <c:v>20</c:v>
                </c:pt>
                <c:pt idx="253">
                  <c:v>25</c:v>
                </c:pt>
                <c:pt idx="254">
                  <c:v>25</c:v>
                </c:pt>
                <c:pt idx="255">
                  <c:v>20</c:v>
                </c:pt>
                <c:pt idx="256">
                  <c:v>25</c:v>
                </c:pt>
                <c:pt idx="257">
                  <c:v>20</c:v>
                </c:pt>
                <c:pt idx="258">
                  <c:v>20</c:v>
                </c:pt>
                <c:pt idx="259">
                  <c:v>25</c:v>
                </c:pt>
                <c:pt idx="260">
                  <c:v>20</c:v>
                </c:pt>
                <c:pt idx="261">
                  <c:v>25</c:v>
                </c:pt>
                <c:pt idx="262">
                  <c:v>20</c:v>
                </c:pt>
                <c:pt idx="263">
                  <c:v>25</c:v>
                </c:pt>
                <c:pt idx="264">
                  <c:v>20</c:v>
                </c:pt>
                <c:pt idx="265">
                  <c:v>25</c:v>
                </c:pt>
                <c:pt idx="266">
                  <c:v>20</c:v>
                </c:pt>
                <c:pt idx="267">
                  <c:v>30</c:v>
                </c:pt>
                <c:pt idx="268">
                  <c:v>40</c:v>
                </c:pt>
                <c:pt idx="269">
                  <c:v>20</c:v>
                </c:pt>
                <c:pt idx="270">
                  <c:v>50</c:v>
                </c:pt>
                <c:pt idx="271">
                  <c:v>35</c:v>
                </c:pt>
                <c:pt idx="272">
                  <c:v>20</c:v>
                </c:pt>
                <c:pt idx="273">
                  <c:v>40</c:v>
                </c:pt>
                <c:pt idx="274">
                  <c:v>30</c:v>
                </c:pt>
                <c:pt idx="275">
                  <c:v>45</c:v>
                </c:pt>
                <c:pt idx="276">
                  <c:v>25</c:v>
                </c:pt>
                <c:pt idx="277">
                  <c:v>30</c:v>
                </c:pt>
                <c:pt idx="278">
                  <c:v>20</c:v>
                </c:pt>
                <c:pt idx="279">
                  <c:v>35</c:v>
                </c:pt>
                <c:pt idx="280">
                  <c:v>20</c:v>
                </c:pt>
                <c:pt idx="281">
                  <c:v>30</c:v>
                </c:pt>
                <c:pt idx="282">
                  <c:v>25</c:v>
                </c:pt>
                <c:pt idx="283">
                  <c:v>25</c:v>
                </c:pt>
                <c:pt idx="284">
                  <c:v>20</c:v>
                </c:pt>
                <c:pt idx="285">
                  <c:v>30</c:v>
                </c:pt>
                <c:pt idx="286">
                  <c:v>30</c:v>
                </c:pt>
                <c:pt idx="287">
                  <c:v>25</c:v>
                </c:pt>
                <c:pt idx="288">
                  <c:v>25</c:v>
                </c:pt>
                <c:pt idx="289">
                  <c:v>20</c:v>
                </c:pt>
                <c:pt idx="290">
                  <c:v>20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20</c:v>
                </c:pt>
                <c:pt idx="295">
                  <c:v>20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20</c:v>
                </c:pt>
                <c:pt idx="300">
                  <c:v>20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20</c:v>
                </c:pt>
                <c:pt idx="305">
                  <c:v>20</c:v>
                </c:pt>
                <c:pt idx="306">
                  <c:v>30</c:v>
                </c:pt>
                <c:pt idx="307">
                  <c:v>40</c:v>
                </c:pt>
                <c:pt idx="308">
                  <c:v>20</c:v>
                </c:pt>
                <c:pt idx="309">
                  <c:v>50</c:v>
                </c:pt>
                <c:pt idx="310">
                  <c:v>35</c:v>
                </c:pt>
                <c:pt idx="311">
                  <c:v>20</c:v>
                </c:pt>
                <c:pt idx="312">
                  <c:v>40</c:v>
                </c:pt>
                <c:pt idx="313">
                  <c:v>30</c:v>
                </c:pt>
                <c:pt idx="314">
                  <c:v>45</c:v>
                </c:pt>
                <c:pt idx="315">
                  <c:v>20</c:v>
                </c:pt>
                <c:pt idx="316">
                  <c:v>30</c:v>
                </c:pt>
                <c:pt idx="317">
                  <c:v>40</c:v>
                </c:pt>
                <c:pt idx="318">
                  <c:v>20</c:v>
                </c:pt>
                <c:pt idx="319">
                  <c:v>50</c:v>
                </c:pt>
                <c:pt idx="320">
                  <c:v>35</c:v>
                </c:pt>
                <c:pt idx="321">
                  <c:v>20</c:v>
                </c:pt>
                <c:pt idx="322">
                  <c:v>40</c:v>
                </c:pt>
                <c:pt idx="323">
                  <c:v>30</c:v>
                </c:pt>
                <c:pt idx="324">
                  <c:v>45</c:v>
                </c:pt>
                <c:pt idx="325">
                  <c:v>20</c:v>
                </c:pt>
                <c:pt idx="326">
                  <c:v>30</c:v>
                </c:pt>
                <c:pt idx="327">
                  <c:v>40</c:v>
                </c:pt>
                <c:pt idx="328">
                  <c:v>20</c:v>
                </c:pt>
                <c:pt idx="329">
                  <c:v>50</c:v>
                </c:pt>
                <c:pt idx="330">
                  <c:v>20</c:v>
                </c:pt>
                <c:pt idx="331">
                  <c:v>30</c:v>
                </c:pt>
                <c:pt idx="332">
                  <c:v>40</c:v>
                </c:pt>
                <c:pt idx="333">
                  <c:v>20</c:v>
                </c:pt>
                <c:pt idx="334">
                  <c:v>50</c:v>
                </c:pt>
                <c:pt idx="335">
                  <c:v>20</c:v>
                </c:pt>
                <c:pt idx="336">
                  <c:v>30</c:v>
                </c:pt>
                <c:pt idx="337">
                  <c:v>40</c:v>
                </c:pt>
                <c:pt idx="338">
                  <c:v>20</c:v>
                </c:pt>
                <c:pt idx="339">
                  <c:v>50</c:v>
                </c:pt>
                <c:pt idx="340">
                  <c:v>35</c:v>
                </c:pt>
                <c:pt idx="341">
                  <c:v>20</c:v>
                </c:pt>
                <c:pt idx="342">
                  <c:v>40</c:v>
                </c:pt>
                <c:pt idx="343">
                  <c:v>30</c:v>
                </c:pt>
                <c:pt idx="344">
                  <c:v>45</c:v>
                </c:pt>
                <c:pt idx="345">
                  <c:v>20</c:v>
                </c:pt>
                <c:pt idx="346">
                  <c:v>30</c:v>
                </c:pt>
                <c:pt idx="347">
                  <c:v>40</c:v>
                </c:pt>
                <c:pt idx="348">
                  <c:v>20</c:v>
                </c:pt>
                <c:pt idx="349">
                  <c:v>50</c:v>
                </c:pt>
                <c:pt idx="350">
                  <c:v>35</c:v>
                </c:pt>
                <c:pt idx="351">
                  <c:v>20</c:v>
                </c:pt>
                <c:pt idx="352">
                  <c:v>40</c:v>
                </c:pt>
                <c:pt idx="353">
                  <c:v>30</c:v>
                </c:pt>
                <c:pt idx="354">
                  <c:v>45</c:v>
                </c:pt>
                <c:pt idx="355">
                  <c:v>20</c:v>
                </c:pt>
                <c:pt idx="356">
                  <c:v>30</c:v>
                </c:pt>
                <c:pt idx="357">
                  <c:v>40</c:v>
                </c:pt>
                <c:pt idx="358">
                  <c:v>20</c:v>
                </c:pt>
                <c:pt idx="359">
                  <c:v>50</c:v>
                </c:pt>
                <c:pt idx="360">
                  <c:v>20</c:v>
                </c:pt>
                <c:pt idx="361">
                  <c:v>20</c:v>
                </c:pt>
                <c:pt idx="362">
                  <c:v>30</c:v>
                </c:pt>
                <c:pt idx="363">
                  <c:v>40</c:v>
                </c:pt>
                <c:pt idx="364">
                  <c:v>20</c:v>
                </c:pt>
                <c:pt idx="365">
                  <c:v>50</c:v>
                </c:pt>
                <c:pt idx="366">
                  <c:v>35</c:v>
                </c:pt>
                <c:pt idx="367">
                  <c:v>20</c:v>
                </c:pt>
                <c:pt idx="368">
                  <c:v>40</c:v>
                </c:pt>
                <c:pt idx="369">
                  <c:v>30</c:v>
                </c:pt>
                <c:pt idx="370">
                  <c:v>45</c:v>
                </c:pt>
                <c:pt idx="371">
                  <c:v>20</c:v>
                </c:pt>
                <c:pt idx="372">
                  <c:v>30</c:v>
                </c:pt>
                <c:pt idx="373">
                  <c:v>40</c:v>
                </c:pt>
                <c:pt idx="374">
                  <c:v>20</c:v>
                </c:pt>
                <c:pt idx="375">
                  <c:v>50</c:v>
                </c:pt>
                <c:pt idx="376">
                  <c:v>35</c:v>
                </c:pt>
                <c:pt idx="377">
                  <c:v>20</c:v>
                </c:pt>
                <c:pt idx="378">
                  <c:v>40</c:v>
                </c:pt>
                <c:pt idx="379">
                  <c:v>30</c:v>
                </c:pt>
                <c:pt idx="380">
                  <c:v>45</c:v>
                </c:pt>
                <c:pt idx="381">
                  <c:v>20</c:v>
                </c:pt>
                <c:pt idx="382">
                  <c:v>30</c:v>
                </c:pt>
                <c:pt idx="383">
                  <c:v>40</c:v>
                </c:pt>
                <c:pt idx="384">
                  <c:v>20</c:v>
                </c:pt>
                <c:pt idx="385">
                  <c:v>50</c:v>
                </c:pt>
                <c:pt idx="386">
                  <c:v>20</c:v>
                </c:pt>
                <c:pt idx="387">
                  <c:v>20</c:v>
                </c:pt>
                <c:pt idx="388">
                  <c:v>30</c:v>
                </c:pt>
                <c:pt idx="389">
                  <c:v>40</c:v>
                </c:pt>
                <c:pt idx="390">
                  <c:v>20</c:v>
                </c:pt>
                <c:pt idx="391">
                  <c:v>50</c:v>
                </c:pt>
                <c:pt idx="392">
                  <c:v>35</c:v>
                </c:pt>
                <c:pt idx="393">
                  <c:v>20</c:v>
                </c:pt>
                <c:pt idx="394">
                  <c:v>40</c:v>
                </c:pt>
                <c:pt idx="395">
                  <c:v>30</c:v>
                </c:pt>
                <c:pt idx="396">
                  <c:v>45</c:v>
                </c:pt>
                <c:pt idx="397">
                  <c:v>20</c:v>
                </c:pt>
                <c:pt idx="398">
                  <c:v>30</c:v>
                </c:pt>
                <c:pt idx="399">
                  <c:v>40</c:v>
                </c:pt>
                <c:pt idx="400">
                  <c:v>20</c:v>
                </c:pt>
                <c:pt idx="401">
                  <c:v>50</c:v>
                </c:pt>
                <c:pt idx="402">
                  <c:v>35</c:v>
                </c:pt>
                <c:pt idx="403">
                  <c:v>20</c:v>
                </c:pt>
                <c:pt idx="404">
                  <c:v>40</c:v>
                </c:pt>
                <c:pt idx="405">
                  <c:v>30</c:v>
                </c:pt>
                <c:pt idx="406">
                  <c:v>45</c:v>
                </c:pt>
                <c:pt idx="407">
                  <c:v>20</c:v>
                </c:pt>
                <c:pt idx="408">
                  <c:v>30</c:v>
                </c:pt>
                <c:pt idx="409">
                  <c:v>40</c:v>
                </c:pt>
                <c:pt idx="410">
                  <c:v>20</c:v>
                </c:pt>
                <c:pt idx="411">
                  <c:v>50</c:v>
                </c:pt>
                <c:pt idx="412">
                  <c:v>20</c:v>
                </c:pt>
                <c:pt idx="413">
                  <c:v>20</c:v>
                </c:pt>
                <c:pt idx="414">
                  <c:v>30</c:v>
                </c:pt>
                <c:pt idx="415">
                  <c:v>40</c:v>
                </c:pt>
                <c:pt idx="416">
                  <c:v>20</c:v>
                </c:pt>
                <c:pt idx="417">
                  <c:v>50</c:v>
                </c:pt>
                <c:pt idx="418">
                  <c:v>35</c:v>
                </c:pt>
                <c:pt idx="419">
                  <c:v>20</c:v>
                </c:pt>
                <c:pt idx="420">
                  <c:v>40</c:v>
                </c:pt>
                <c:pt idx="421">
                  <c:v>30</c:v>
                </c:pt>
                <c:pt idx="422">
                  <c:v>45</c:v>
                </c:pt>
                <c:pt idx="423">
                  <c:v>20</c:v>
                </c:pt>
                <c:pt idx="424">
                  <c:v>30</c:v>
                </c:pt>
                <c:pt idx="425">
                  <c:v>40</c:v>
                </c:pt>
                <c:pt idx="426">
                  <c:v>20</c:v>
                </c:pt>
                <c:pt idx="427">
                  <c:v>50</c:v>
                </c:pt>
                <c:pt idx="428">
                  <c:v>35</c:v>
                </c:pt>
                <c:pt idx="429">
                  <c:v>20</c:v>
                </c:pt>
                <c:pt idx="430">
                  <c:v>40</c:v>
                </c:pt>
                <c:pt idx="431">
                  <c:v>30</c:v>
                </c:pt>
                <c:pt idx="432">
                  <c:v>45</c:v>
                </c:pt>
                <c:pt idx="433">
                  <c:v>20</c:v>
                </c:pt>
                <c:pt idx="434">
                  <c:v>30</c:v>
                </c:pt>
                <c:pt idx="435">
                  <c:v>40</c:v>
                </c:pt>
                <c:pt idx="436">
                  <c:v>20</c:v>
                </c:pt>
                <c:pt idx="437">
                  <c:v>50</c:v>
                </c:pt>
                <c:pt idx="438">
                  <c:v>35</c:v>
                </c:pt>
                <c:pt idx="439">
                  <c:v>20</c:v>
                </c:pt>
                <c:pt idx="440">
                  <c:v>40</c:v>
                </c:pt>
                <c:pt idx="441">
                  <c:v>30</c:v>
                </c:pt>
                <c:pt idx="442">
                  <c:v>45</c:v>
                </c:pt>
                <c:pt idx="443">
                  <c:v>20</c:v>
                </c:pt>
                <c:pt idx="444">
                  <c:v>30</c:v>
                </c:pt>
                <c:pt idx="445">
                  <c:v>40</c:v>
                </c:pt>
                <c:pt idx="446">
                  <c:v>20</c:v>
                </c:pt>
                <c:pt idx="447">
                  <c:v>50</c:v>
                </c:pt>
                <c:pt idx="448">
                  <c:v>20</c:v>
                </c:pt>
                <c:pt idx="449">
                  <c:v>30</c:v>
                </c:pt>
                <c:pt idx="450">
                  <c:v>40</c:v>
                </c:pt>
                <c:pt idx="451">
                  <c:v>30</c:v>
                </c:pt>
                <c:pt idx="452">
                  <c:v>35</c:v>
                </c:pt>
                <c:pt idx="453">
                  <c:v>40</c:v>
                </c:pt>
                <c:pt idx="454">
                  <c:v>20</c:v>
                </c:pt>
                <c:pt idx="455">
                  <c:v>50</c:v>
                </c:pt>
                <c:pt idx="456">
                  <c:v>35</c:v>
                </c:pt>
                <c:pt idx="457">
                  <c:v>20</c:v>
                </c:pt>
                <c:pt idx="458">
                  <c:v>40</c:v>
                </c:pt>
                <c:pt idx="459">
                  <c:v>20</c:v>
                </c:pt>
                <c:pt idx="460">
                  <c:v>30</c:v>
                </c:pt>
                <c:pt idx="461">
                  <c:v>40</c:v>
                </c:pt>
                <c:pt idx="462">
                  <c:v>20</c:v>
                </c:pt>
                <c:pt idx="463">
                  <c:v>50</c:v>
                </c:pt>
                <c:pt idx="464">
                  <c:v>35</c:v>
                </c:pt>
                <c:pt idx="465">
                  <c:v>20</c:v>
                </c:pt>
                <c:pt idx="466">
                  <c:v>40</c:v>
                </c:pt>
                <c:pt idx="467">
                  <c:v>30</c:v>
                </c:pt>
                <c:pt idx="468">
                  <c:v>45</c:v>
                </c:pt>
                <c:pt idx="469">
                  <c:v>20</c:v>
                </c:pt>
                <c:pt idx="470">
                  <c:v>30</c:v>
                </c:pt>
                <c:pt idx="471">
                  <c:v>40</c:v>
                </c:pt>
                <c:pt idx="472">
                  <c:v>20</c:v>
                </c:pt>
                <c:pt idx="473">
                  <c:v>50</c:v>
                </c:pt>
                <c:pt idx="474">
                  <c:v>35</c:v>
                </c:pt>
                <c:pt idx="475">
                  <c:v>20</c:v>
                </c:pt>
                <c:pt idx="476">
                  <c:v>40</c:v>
                </c:pt>
                <c:pt idx="477">
                  <c:v>30</c:v>
                </c:pt>
                <c:pt idx="478">
                  <c:v>45</c:v>
                </c:pt>
                <c:pt idx="479">
                  <c:v>20</c:v>
                </c:pt>
                <c:pt idx="480">
                  <c:v>30</c:v>
                </c:pt>
                <c:pt idx="481">
                  <c:v>40</c:v>
                </c:pt>
                <c:pt idx="482">
                  <c:v>20</c:v>
                </c:pt>
                <c:pt idx="483">
                  <c:v>50</c:v>
                </c:pt>
                <c:pt idx="484">
                  <c:v>35</c:v>
                </c:pt>
                <c:pt idx="485">
                  <c:v>20</c:v>
                </c:pt>
                <c:pt idx="486">
                  <c:v>40</c:v>
                </c:pt>
                <c:pt idx="487">
                  <c:v>20</c:v>
                </c:pt>
                <c:pt idx="488">
                  <c:v>30</c:v>
                </c:pt>
                <c:pt idx="489">
                  <c:v>40</c:v>
                </c:pt>
                <c:pt idx="490">
                  <c:v>20</c:v>
                </c:pt>
                <c:pt idx="491">
                  <c:v>50</c:v>
                </c:pt>
                <c:pt idx="492">
                  <c:v>35</c:v>
                </c:pt>
                <c:pt idx="493">
                  <c:v>20</c:v>
                </c:pt>
                <c:pt idx="494">
                  <c:v>40</c:v>
                </c:pt>
                <c:pt idx="495">
                  <c:v>30</c:v>
                </c:pt>
                <c:pt idx="496">
                  <c:v>45</c:v>
                </c:pt>
                <c:pt idx="497">
                  <c:v>20</c:v>
                </c:pt>
                <c:pt idx="498">
                  <c:v>30</c:v>
                </c:pt>
                <c:pt idx="499">
                  <c:v>40</c:v>
                </c:pt>
                <c:pt idx="500">
                  <c:v>20</c:v>
                </c:pt>
                <c:pt idx="501">
                  <c:v>50</c:v>
                </c:pt>
                <c:pt idx="502">
                  <c:v>35</c:v>
                </c:pt>
                <c:pt idx="503">
                  <c:v>20</c:v>
                </c:pt>
                <c:pt idx="504">
                  <c:v>40</c:v>
                </c:pt>
                <c:pt idx="505">
                  <c:v>30</c:v>
                </c:pt>
                <c:pt idx="506">
                  <c:v>45</c:v>
                </c:pt>
                <c:pt idx="507">
                  <c:v>20</c:v>
                </c:pt>
                <c:pt idx="508">
                  <c:v>30</c:v>
                </c:pt>
                <c:pt idx="509">
                  <c:v>40</c:v>
                </c:pt>
                <c:pt idx="510">
                  <c:v>20</c:v>
                </c:pt>
                <c:pt idx="511">
                  <c:v>50</c:v>
                </c:pt>
                <c:pt idx="512">
                  <c:v>35</c:v>
                </c:pt>
                <c:pt idx="513">
                  <c:v>20</c:v>
                </c:pt>
                <c:pt idx="514">
                  <c:v>40</c:v>
                </c:pt>
                <c:pt idx="515">
                  <c:v>20</c:v>
                </c:pt>
                <c:pt idx="516">
                  <c:v>30</c:v>
                </c:pt>
                <c:pt idx="517">
                  <c:v>40</c:v>
                </c:pt>
                <c:pt idx="518">
                  <c:v>20</c:v>
                </c:pt>
                <c:pt idx="519">
                  <c:v>50</c:v>
                </c:pt>
                <c:pt idx="520">
                  <c:v>35</c:v>
                </c:pt>
                <c:pt idx="521">
                  <c:v>20</c:v>
                </c:pt>
                <c:pt idx="522">
                  <c:v>40</c:v>
                </c:pt>
                <c:pt idx="523">
                  <c:v>30</c:v>
                </c:pt>
                <c:pt idx="524">
                  <c:v>45</c:v>
                </c:pt>
                <c:pt idx="525">
                  <c:v>20</c:v>
                </c:pt>
                <c:pt idx="526">
                  <c:v>30</c:v>
                </c:pt>
                <c:pt idx="527">
                  <c:v>40</c:v>
                </c:pt>
                <c:pt idx="528">
                  <c:v>20</c:v>
                </c:pt>
                <c:pt idx="529">
                  <c:v>50</c:v>
                </c:pt>
                <c:pt idx="530">
                  <c:v>35</c:v>
                </c:pt>
                <c:pt idx="531">
                  <c:v>20</c:v>
                </c:pt>
                <c:pt idx="532">
                  <c:v>40</c:v>
                </c:pt>
                <c:pt idx="533">
                  <c:v>30</c:v>
                </c:pt>
                <c:pt idx="534">
                  <c:v>45</c:v>
                </c:pt>
                <c:pt idx="535">
                  <c:v>20</c:v>
                </c:pt>
                <c:pt idx="536">
                  <c:v>30</c:v>
                </c:pt>
                <c:pt idx="537">
                  <c:v>40</c:v>
                </c:pt>
                <c:pt idx="538">
                  <c:v>20</c:v>
                </c:pt>
                <c:pt idx="539">
                  <c:v>50</c:v>
                </c:pt>
                <c:pt idx="540">
                  <c:v>35</c:v>
                </c:pt>
                <c:pt idx="541">
                  <c:v>20</c:v>
                </c:pt>
                <c:pt idx="542">
                  <c:v>45</c:v>
                </c:pt>
                <c:pt idx="543">
                  <c:v>40</c:v>
                </c:pt>
                <c:pt idx="544">
                  <c:v>20</c:v>
                </c:pt>
                <c:pt idx="545">
                  <c:v>40</c:v>
                </c:pt>
                <c:pt idx="546">
                  <c:v>30</c:v>
                </c:pt>
                <c:pt idx="547">
                  <c:v>45</c:v>
                </c:pt>
                <c:pt idx="548">
                  <c:v>20</c:v>
                </c:pt>
                <c:pt idx="549">
                  <c:v>30</c:v>
                </c:pt>
                <c:pt idx="550">
                  <c:v>40</c:v>
                </c:pt>
                <c:pt idx="551">
                  <c:v>20</c:v>
                </c:pt>
                <c:pt idx="552">
                  <c:v>50</c:v>
                </c:pt>
                <c:pt idx="553">
                  <c:v>35</c:v>
                </c:pt>
                <c:pt idx="554">
                  <c:v>20</c:v>
                </c:pt>
                <c:pt idx="555">
                  <c:v>40</c:v>
                </c:pt>
                <c:pt idx="556">
                  <c:v>30</c:v>
                </c:pt>
                <c:pt idx="557">
                  <c:v>45</c:v>
                </c:pt>
                <c:pt idx="558">
                  <c:v>20</c:v>
                </c:pt>
                <c:pt idx="559">
                  <c:v>30</c:v>
                </c:pt>
                <c:pt idx="560">
                  <c:v>40</c:v>
                </c:pt>
                <c:pt idx="561">
                  <c:v>20</c:v>
                </c:pt>
                <c:pt idx="562">
                  <c:v>50</c:v>
                </c:pt>
                <c:pt idx="563">
                  <c:v>35</c:v>
                </c:pt>
                <c:pt idx="564">
                  <c:v>20</c:v>
                </c:pt>
                <c:pt idx="565">
                  <c:v>40</c:v>
                </c:pt>
                <c:pt idx="566">
                  <c:v>30</c:v>
                </c:pt>
                <c:pt idx="567">
                  <c:v>45</c:v>
                </c:pt>
                <c:pt idx="568">
                  <c:v>35</c:v>
                </c:pt>
                <c:pt idx="569">
                  <c:v>45</c:v>
                </c:pt>
                <c:pt idx="570">
                  <c:v>40</c:v>
                </c:pt>
                <c:pt idx="571">
                  <c:v>20</c:v>
                </c:pt>
                <c:pt idx="572">
                  <c:v>40</c:v>
                </c:pt>
                <c:pt idx="573">
                  <c:v>30</c:v>
                </c:pt>
                <c:pt idx="574">
                  <c:v>45</c:v>
                </c:pt>
                <c:pt idx="575">
                  <c:v>20</c:v>
                </c:pt>
                <c:pt idx="576">
                  <c:v>30</c:v>
                </c:pt>
                <c:pt idx="577">
                  <c:v>40</c:v>
                </c:pt>
                <c:pt idx="578">
                  <c:v>20</c:v>
                </c:pt>
                <c:pt idx="579">
                  <c:v>50</c:v>
                </c:pt>
                <c:pt idx="580">
                  <c:v>35</c:v>
                </c:pt>
                <c:pt idx="581">
                  <c:v>20</c:v>
                </c:pt>
                <c:pt idx="582">
                  <c:v>40</c:v>
                </c:pt>
                <c:pt idx="583">
                  <c:v>30</c:v>
                </c:pt>
                <c:pt idx="584">
                  <c:v>45</c:v>
                </c:pt>
                <c:pt idx="585">
                  <c:v>20</c:v>
                </c:pt>
                <c:pt idx="586">
                  <c:v>30</c:v>
                </c:pt>
                <c:pt idx="587">
                  <c:v>40</c:v>
                </c:pt>
                <c:pt idx="588">
                  <c:v>20</c:v>
                </c:pt>
                <c:pt idx="589">
                  <c:v>50</c:v>
                </c:pt>
                <c:pt idx="590">
                  <c:v>35</c:v>
                </c:pt>
                <c:pt idx="591">
                  <c:v>20</c:v>
                </c:pt>
                <c:pt idx="592">
                  <c:v>40</c:v>
                </c:pt>
                <c:pt idx="593">
                  <c:v>30</c:v>
                </c:pt>
                <c:pt idx="594">
                  <c:v>45</c:v>
                </c:pt>
                <c:pt idx="595">
                  <c:v>20</c:v>
                </c:pt>
                <c:pt idx="596">
                  <c:v>30</c:v>
                </c:pt>
                <c:pt idx="597">
                  <c:v>40</c:v>
                </c:pt>
                <c:pt idx="598">
                  <c:v>20</c:v>
                </c:pt>
                <c:pt idx="599">
                  <c:v>45</c:v>
                </c:pt>
                <c:pt idx="600">
                  <c:v>40</c:v>
                </c:pt>
                <c:pt idx="601">
                  <c:v>20</c:v>
                </c:pt>
                <c:pt idx="602">
                  <c:v>40</c:v>
                </c:pt>
                <c:pt idx="603">
                  <c:v>30</c:v>
                </c:pt>
                <c:pt idx="604">
                  <c:v>45</c:v>
                </c:pt>
                <c:pt idx="605">
                  <c:v>20</c:v>
                </c:pt>
                <c:pt idx="606">
                  <c:v>30</c:v>
                </c:pt>
                <c:pt idx="607">
                  <c:v>40</c:v>
                </c:pt>
                <c:pt idx="608">
                  <c:v>20</c:v>
                </c:pt>
                <c:pt idx="609">
                  <c:v>50</c:v>
                </c:pt>
                <c:pt idx="610">
                  <c:v>35</c:v>
                </c:pt>
                <c:pt idx="611">
                  <c:v>20</c:v>
                </c:pt>
                <c:pt idx="612">
                  <c:v>40</c:v>
                </c:pt>
                <c:pt idx="613">
                  <c:v>30</c:v>
                </c:pt>
                <c:pt idx="614">
                  <c:v>45</c:v>
                </c:pt>
                <c:pt idx="615">
                  <c:v>20</c:v>
                </c:pt>
                <c:pt idx="616">
                  <c:v>30</c:v>
                </c:pt>
                <c:pt idx="617">
                  <c:v>40</c:v>
                </c:pt>
                <c:pt idx="618">
                  <c:v>20</c:v>
                </c:pt>
                <c:pt idx="619">
                  <c:v>50</c:v>
                </c:pt>
                <c:pt idx="620">
                  <c:v>35</c:v>
                </c:pt>
                <c:pt idx="621">
                  <c:v>20</c:v>
                </c:pt>
                <c:pt idx="622">
                  <c:v>40</c:v>
                </c:pt>
                <c:pt idx="623">
                  <c:v>35</c:v>
                </c:pt>
                <c:pt idx="624">
                  <c:v>30</c:v>
                </c:pt>
                <c:pt idx="625">
                  <c:v>50</c:v>
                </c:pt>
                <c:pt idx="626">
                  <c:v>35</c:v>
                </c:pt>
                <c:pt idx="627">
                  <c:v>25</c:v>
                </c:pt>
                <c:pt idx="628">
                  <c:v>40</c:v>
                </c:pt>
                <c:pt idx="629">
                  <c:v>35</c:v>
                </c:pt>
                <c:pt idx="630">
                  <c:v>45</c:v>
                </c:pt>
                <c:pt idx="631">
                  <c:v>30</c:v>
                </c:pt>
                <c:pt idx="632">
                  <c:v>40</c:v>
                </c:pt>
                <c:pt idx="633">
                  <c:v>25</c:v>
                </c:pt>
                <c:pt idx="634">
                  <c:v>30</c:v>
                </c:pt>
                <c:pt idx="635">
                  <c:v>50</c:v>
                </c:pt>
                <c:pt idx="636">
                  <c:v>35</c:v>
                </c:pt>
                <c:pt idx="637">
                  <c:v>25</c:v>
                </c:pt>
                <c:pt idx="638">
                  <c:v>30</c:v>
                </c:pt>
                <c:pt idx="639">
                  <c:v>40</c:v>
                </c:pt>
                <c:pt idx="640">
                  <c:v>45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50</c:v>
                </c:pt>
                <c:pt idx="645">
                  <c:v>35</c:v>
                </c:pt>
                <c:pt idx="646">
                  <c:v>20</c:v>
                </c:pt>
                <c:pt idx="647">
                  <c:v>40</c:v>
                </c:pt>
                <c:pt idx="648">
                  <c:v>30</c:v>
                </c:pt>
                <c:pt idx="649">
                  <c:v>40</c:v>
                </c:pt>
                <c:pt idx="650">
                  <c:v>30</c:v>
                </c:pt>
                <c:pt idx="651">
                  <c:v>30</c:v>
                </c:pt>
                <c:pt idx="652">
                  <c:v>40</c:v>
                </c:pt>
                <c:pt idx="653">
                  <c:v>30</c:v>
                </c:pt>
                <c:pt idx="654">
                  <c:v>40</c:v>
                </c:pt>
                <c:pt idx="655">
                  <c:v>30</c:v>
                </c:pt>
                <c:pt idx="656">
                  <c:v>30</c:v>
                </c:pt>
                <c:pt idx="657">
                  <c:v>40</c:v>
                </c:pt>
                <c:pt idx="658">
                  <c:v>30</c:v>
                </c:pt>
                <c:pt idx="659">
                  <c:v>40</c:v>
                </c:pt>
                <c:pt idx="660">
                  <c:v>30</c:v>
                </c:pt>
                <c:pt idx="661">
                  <c:v>30</c:v>
                </c:pt>
                <c:pt idx="662">
                  <c:v>40</c:v>
                </c:pt>
                <c:pt idx="663">
                  <c:v>30</c:v>
                </c:pt>
                <c:pt idx="664">
                  <c:v>40</c:v>
                </c:pt>
                <c:pt idx="665">
                  <c:v>30</c:v>
                </c:pt>
                <c:pt idx="666">
                  <c:v>30</c:v>
                </c:pt>
                <c:pt idx="667">
                  <c:v>40</c:v>
                </c:pt>
                <c:pt idx="668">
                  <c:v>30</c:v>
                </c:pt>
                <c:pt idx="669">
                  <c:v>35</c:v>
                </c:pt>
                <c:pt idx="670">
                  <c:v>40</c:v>
                </c:pt>
                <c:pt idx="671">
                  <c:v>25</c:v>
                </c:pt>
                <c:pt idx="672">
                  <c:v>40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35</c:v>
                </c:pt>
                <c:pt idx="677">
                  <c:v>45</c:v>
                </c:pt>
                <c:pt idx="678">
                  <c:v>30</c:v>
                </c:pt>
                <c:pt idx="679">
                  <c:v>35</c:v>
                </c:pt>
                <c:pt idx="680">
                  <c:v>30</c:v>
                </c:pt>
                <c:pt idx="681">
                  <c:v>30</c:v>
                </c:pt>
                <c:pt idx="682">
                  <c:v>40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30</c:v>
                </c:pt>
                <c:pt idx="687">
                  <c:v>40</c:v>
                </c:pt>
                <c:pt idx="688">
                  <c:v>30</c:v>
                </c:pt>
                <c:pt idx="689">
                  <c:v>30</c:v>
                </c:pt>
                <c:pt idx="690">
                  <c:v>30</c:v>
                </c:pt>
                <c:pt idx="691">
                  <c:v>30</c:v>
                </c:pt>
                <c:pt idx="692">
                  <c:v>40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30</c:v>
                </c:pt>
                <c:pt idx="721">
                  <c:v>30</c:v>
                </c:pt>
                <c:pt idx="722">
                  <c:v>30</c:v>
                </c:pt>
                <c:pt idx="723">
                  <c:v>30</c:v>
                </c:pt>
                <c:pt idx="724">
                  <c:v>30</c:v>
                </c:pt>
                <c:pt idx="725">
                  <c:v>30</c:v>
                </c:pt>
                <c:pt idx="726">
                  <c:v>30</c:v>
                </c:pt>
                <c:pt idx="727">
                  <c:v>30</c:v>
                </c:pt>
                <c:pt idx="728">
                  <c:v>30</c:v>
                </c:pt>
                <c:pt idx="729">
                  <c:v>30</c:v>
                </c:pt>
                <c:pt idx="730">
                  <c:v>30</c:v>
                </c:pt>
                <c:pt idx="731">
                  <c:v>30</c:v>
                </c:pt>
                <c:pt idx="732">
                  <c:v>30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</c:v>
                </c:pt>
                <c:pt idx="745">
                  <c:v>30</c:v>
                </c:pt>
                <c:pt idx="746">
                  <c:v>30</c:v>
                </c:pt>
                <c:pt idx="747">
                  <c:v>30</c:v>
                </c:pt>
                <c:pt idx="748">
                  <c:v>30</c:v>
                </c:pt>
                <c:pt idx="749">
                  <c:v>30</c:v>
                </c:pt>
                <c:pt idx="750">
                  <c:v>30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</c:v>
                </c:pt>
                <c:pt idx="755">
                  <c:v>30</c:v>
                </c:pt>
                <c:pt idx="756">
                  <c:v>30</c:v>
                </c:pt>
                <c:pt idx="757">
                  <c:v>30</c:v>
                </c:pt>
                <c:pt idx="758">
                  <c:v>30</c:v>
                </c:pt>
                <c:pt idx="759">
                  <c:v>30</c:v>
                </c:pt>
                <c:pt idx="760">
                  <c:v>30</c:v>
                </c:pt>
                <c:pt idx="761">
                  <c:v>30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30</c:v>
                </c:pt>
                <c:pt idx="766">
                  <c:v>30</c:v>
                </c:pt>
                <c:pt idx="767">
                  <c:v>30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30</c:v>
                </c:pt>
                <c:pt idx="774">
                  <c:v>30</c:v>
                </c:pt>
                <c:pt idx="775">
                  <c:v>30</c:v>
                </c:pt>
                <c:pt idx="776">
                  <c:v>30</c:v>
                </c:pt>
                <c:pt idx="777">
                  <c:v>30</c:v>
                </c:pt>
                <c:pt idx="778">
                  <c:v>30</c:v>
                </c:pt>
                <c:pt idx="779">
                  <c:v>30</c:v>
                </c:pt>
                <c:pt idx="780">
                  <c:v>30</c:v>
                </c:pt>
                <c:pt idx="781">
                  <c:v>30</c:v>
                </c:pt>
                <c:pt idx="782">
                  <c:v>30</c:v>
                </c:pt>
                <c:pt idx="783">
                  <c:v>30</c:v>
                </c:pt>
                <c:pt idx="784">
                  <c:v>30</c:v>
                </c:pt>
                <c:pt idx="785">
                  <c:v>30</c:v>
                </c:pt>
                <c:pt idx="786">
                  <c:v>30</c:v>
                </c:pt>
                <c:pt idx="787">
                  <c:v>30</c:v>
                </c:pt>
                <c:pt idx="788">
                  <c:v>30</c:v>
                </c:pt>
                <c:pt idx="789">
                  <c:v>30</c:v>
                </c:pt>
                <c:pt idx="790">
                  <c:v>30</c:v>
                </c:pt>
                <c:pt idx="791">
                  <c:v>30</c:v>
                </c:pt>
                <c:pt idx="792">
                  <c:v>30</c:v>
                </c:pt>
                <c:pt idx="793">
                  <c:v>30</c:v>
                </c:pt>
                <c:pt idx="794">
                  <c:v>30</c:v>
                </c:pt>
                <c:pt idx="795">
                  <c:v>30</c:v>
                </c:pt>
                <c:pt idx="796">
                  <c:v>30</c:v>
                </c:pt>
                <c:pt idx="797">
                  <c:v>30</c:v>
                </c:pt>
                <c:pt idx="798">
                  <c:v>30</c:v>
                </c:pt>
                <c:pt idx="799">
                  <c:v>30</c:v>
                </c:pt>
                <c:pt idx="800">
                  <c:v>30</c:v>
                </c:pt>
                <c:pt idx="801">
                  <c:v>30</c:v>
                </c:pt>
                <c:pt idx="802">
                  <c:v>30</c:v>
                </c:pt>
                <c:pt idx="803">
                  <c:v>30</c:v>
                </c:pt>
                <c:pt idx="804">
                  <c:v>30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</c:v>
                </c:pt>
                <c:pt idx="811">
                  <c:v>30</c:v>
                </c:pt>
                <c:pt idx="812">
                  <c:v>30</c:v>
                </c:pt>
                <c:pt idx="813">
                  <c:v>30</c:v>
                </c:pt>
                <c:pt idx="814">
                  <c:v>30</c:v>
                </c:pt>
                <c:pt idx="815">
                  <c:v>30</c:v>
                </c:pt>
                <c:pt idx="816">
                  <c:v>30</c:v>
                </c:pt>
                <c:pt idx="817">
                  <c:v>30</c:v>
                </c:pt>
                <c:pt idx="818">
                  <c:v>30</c:v>
                </c:pt>
                <c:pt idx="819">
                  <c:v>30</c:v>
                </c:pt>
                <c:pt idx="820">
                  <c:v>30</c:v>
                </c:pt>
                <c:pt idx="821">
                  <c:v>30</c:v>
                </c:pt>
                <c:pt idx="822">
                  <c:v>30</c:v>
                </c:pt>
                <c:pt idx="823">
                  <c:v>30</c:v>
                </c:pt>
                <c:pt idx="824">
                  <c:v>30</c:v>
                </c:pt>
                <c:pt idx="825">
                  <c:v>30</c:v>
                </c:pt>
                <c:pt idx="826">
                  <c:v>30</c:v>
                </c:pt>
                <c:pt idx="827">
                  <c:v>30</c:v>
                </c:pt>
                <c:pt idx="828">
                  <c:v>30</c:v>
                </c:pt>
                <c:pt idx="829">
                  <c:v>30</c:v>
                </c:pt>
                <c:pt idx="830">
                  <c:v>30</c:v>
                </c:pt>
                <c:pt idx="831">
                  <c:v>30</c:v>
                </c:pt>
                <c:pt idx="832">
                  <c:v>30</c:v>
                </c:pt>
                <c:pt idx="833">
                  <c:v>30</c:v>
                </c:pt>
                <c:pt idx="834">
                  <c:v>30</c:v>
                </c:pt>
                <c:pt idx="835">
                  <c:v>30</c:v>
                </c:pt>
                <c:pt idx="836">
                  <c:v>30</c:v>
                </c:pt>
                <c:pt idx="837">
                  <c:v>30</c:v>
                </c:pt>
                <c:pt idx="838">
                  <c:v>30</c:v>
                </c:pt>
                <c:pt idx="839">
                  <c:v>30</c:v>
                </c:pt>
                <c:pt idx="840">
                  <c:v>30</c:v>
                </c:pt>
                <c:pt idx="841">
                  <c:v>30</c:v>
                </c:pt>
                <c:pt idx="842">
                  <c:v>30</c:v>
                </c:pt>
                <c:pt idx="843">
                  <c:v>30</c:v>
                </c:pt>
                <c:pt idx="844">
                  <c:v>30</c:v>
                </c:pt>
                <c:pt idx="845">
                  <c:v>30</c:v>
                </c:pt>
                <c:pt idx="846">
                  <c:v>30</c:v>
                </c:pt>
                <c:pt idx="847">
                  <c:v>30</c:v>
                </c:pt>
                <c:pt idx="848">
                  <c:v>30</c:v>
                </c:pt>
                <c:pt idx="849">
                  <c:v>30</c:v>
                </c:pt>
                <c:pt idx="850">
                  <c:v>30</c:v>
                </c:pt>
                <c:pt idx="851">
                  <c:v>30</c:v>
                </c:pt>
                <c:pt idx="852">
                  <c:v>30</c:v>
                </c:pt>
                <c:pt idx="853">
                  <c:v>30</c:v>
                </c:pt>
                <c:pt idx="854">
                  <c:v>30</c:v>
                </c:pt>
                <c:pt idx="855">
                  <c:v>30</c:v>
                </c:pt>
                <c:pt idx="856">
                  <c:v>30</c:v>
                </c:pt>
                <c:pt idx="857">
                  <c:v>30</c:v>
                </c:pt>
                <c:pt idx="858">
                  <c:v>30</c:v>
                </c:pt>
                <c:pt idx="859">
                  <c:v>30</c:v>
                </c:pt>
                <c:pt idx="860">
                  <c:v>30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30</c:v>
                </c:pt>
                <c:pt idx="865">
                  <c:v>30</c:v>
                </c:pt>
                <c:pt idx="866">
                  <c:v>30</c:v>
                </c:pt>
                <c:pt idx="867">
                  <c:v>30</c:v>
                </c:pt>
                <c:pt idx="868">
                  <c:v>30</c:v>
                </c:pt>
                <c:pt idx="869">
                  <c:v>30</c:v>
                </c:pt>
                <c:pt idx="870">
                  <c:v>30</c:v>
                </c:pt>
                <c:pt idx="871">
                  <c:v>30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30</c:v>
                </c:pt>
                <c:pt idx="878">
                  <c:v>30</c:v>
                </c:pt>
                <c:pt idx="879">
                  <c:v>30</c:v>
                </c:pt>
                <c:pt idx="880">
                  <c:v>30</c:v>
                </c:pt>
                <c:pt idx="881">
                  <c:v>30</c:v>
                </c:pt>
                <c:pt idx="882">
                  <c:v>30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30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30</c:v>
                </c:pt>
                <c:pt idx="898">
                  <c:v>30</c:v>
                </c:pt>
                <c:pt idx="899">
                  <c:v>30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30</c:v>
                </c:pt>
                <c:pt idx="905">
                  <c:v>30</c:v>
                </c:pt>
                <c:pt idx="906">
                  <c:v>30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30</c:v>
                </c:pt>
                <c:pt idx="917">
                  <c:v>30</c:v>
                </c:pt>
                <c:pt idx="918">
                  <c:v>30</c:v>
                </c:pt>
                <c:pt idx="919">
                  <c:v>30</c:v>
                </c:pt>
                <c:pt idx="920">
                  <c:v>30</c:v>
                </c:pt>
                <c:pt idx="921">
                  <c:v>30</c:v>
                </c:pt>
                <c:pt idx="922">
                  <c:v>30</c:v>
                </c:pt>
                <c:pt idx="923">
                  <c:v>30</c:v>
                </c:pt>
                <c:pt idx="924">
                  <c:v>30</c:v>
                </c:pt>
                <c:pt idx="925">
                  <c:v>30</c:v>
                </c:pt>
                <c:pt idx="926">
                  <c:v>30</c:v>
                </c:pt>
                <c:pt idx="927">
                  <c:v>30</c:v>
                </c:pt>
                <c:pt idx="928">
                  <c:v>30</c:v>
                </c:pt>
                <c:pt idx="929">
                  <c:v>30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30</c:v>
                </c:pt>
                <c:pt idx="934">
                  <c:v>30</c:v>
                </c:pt>
                <c:pt idx="935">
                  <c:v>30</c:v>
                </c:pt>
                <c:pt idx="936">
                  <c:v>30</c:v>
                </c:pt>
                <c:pt idx="937">
                  <c:v>30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30</c:v>
                </c:pt>
                <c:pt idx="952">
                  <c:v>30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</c:v>
                </c:pt>
                <c:pt idx="957">
                  <c:v>30</c:v>
                </c:pt>
                <c:pt idx="958">
                  <c:v>30</c:v>
                </c:pt>
                <c:pt idx="959">
                  <c:v>30</c:v>
                </c:pt>
                <c:pt idx="960">
                  <c:v>30</c:v>
                </c:pt>
                <c:pt idx="961">
                  <c:v>30</c:v>
                </c:pt>
                <c:pt idx="962">
                  <c:v>30</c:v>
                </c:pt>
                <c:pt idx="963">
                  <c:v>30</c:v>
                </c:pt>
                <c:pt idx="964">
                  <c:v>30</c:v>
                </c:pt>
                <c:pt idx="965">
                  <c:v>30</c:v>
                </c:pt>
                <c:pt idx="966">
                  <c:v>30</c:v>
                </c:pt>
                <c:pt idx="967">
                  <c:v>30</c:v>
                </c:pt>
                <c:pt idx="968">
                  <c:v>30</c:v>
                </c:pt>
                <c:pt idx="969">
                  <c:v>30</c:v>
                </c:pt>
                <c:pt idx="970">
                  <c:v>30</c:v>
                </c:pt>
                <c:pt idx="971">
                  <c:v>30</c:v>
                </c:pt>
                <c:pt idx="972">
                  <c:v>30</c:v>
                </c:pt>
                <c:pt idx="973">
                  <c:v>30</c:v>
                </c:pt>
                <c:pt idx="974">
                  <c:v>30</c:v>
                </c:pt>
                <c:pt idx="975">
                  <c:v>30</c:v>
                </c:pt>
                <c:pt idx="976">
                  <c:v>30</c:v>
                </c:pt>
                <c:pt idx="977">
                  <c:v>30</c:v>
                </c:pt>
                <c:pt idx="978">
                  <c:v>30</c:v>
                </c:pt>
                <c:pt idx="979">
                  <c:v>30</c:v>
                </c:pt>
                <c:pt idx="980">
                  <c:v>30</c:v>
                </c:pt>
                <c:pt idx="981">
                  <c:v>30</c:v>
                </c:pt>
                <c:pt idx="982">
                  <c:v>30</c:v>
                </c:pt>
                <c:pt idx="983">
                  <c:v>30</c:v>
                </c:pt>
                <c:pt idx="984">
                  <c:v>30</c:v>
                </c:pt>
                <c:pt idx="985">
                  <c:v>30</c:v>
                </c:pt>
                <c:pt idx="986">
                  <c:v>30</c:v>
                </c:pt>
                <c:pt idx="987">
                  <c:v>30</c:v>
                </c:pt>
                <c:pt idx="988">
                  <c:v>30</c:v>
                </c:pt>
                <c:pt idx="989">
                  <c:v>30</c:v>
                </c:pt>
                <c:pt idx="990">
                  <c:v>30</c:v>
                </c:pt>
                <c:pt idx="991">
                  <c:v>30</c:v>
                </c:pt>
                <c:pt idx="992">
                  <c:v>30</c:v>
                </c:pt>
                <c:pt idx="993">
                  <c:v>30</c:v>
                </c:pt>
                <c:pt idx="994">
                  <c:v>30</c:v>
                </c:pt>
                <c:pt idx="995">
                  <c:v>30</c:v>
                </c:pt>
                <c:pt idx="996">
                  <c:v>30</c:v>
                </c:pt>
                <c:pt idx="997">
                  <c:v>30</c:v>
                </c:pt>
                <c:pt idx="998">
                  <c:v>30</c:v>
                </c:pt>
                <c:pt idx="999">
                  <c:v>30</c:v>
                </c:pt>
                <c:pt idx="1000">
                  <c:v>30</c:v>
                </c:pt>
                <c:pt idx="1001">
                  <c:v>30</c:v>
                </c:pt>
                <c:pt idx="1002">
                  <c:v>30</c:v>
                </c:pt>
                <c:pt idx="1003">
                  <c:v>30</c:v>
                </c:pt>
              </c:numCache>
            </c:numRef>
          </c:xVal>
          <c:yVal>
            <c:numRef>
              <c:f>'Pizza Delivery Table'!$Y$2:$Y$1005</c:f>
              <c:numCache>
                <c:formatCode>General</c:formatCode>
                <c:ptCount val="100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1</c:v>
                </c:pt>
                <c:pt idx="38">
                  <c:v>2</c:v>
                </c:pt>
                <c:pt idx="39">
                  <c:v>3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1</c:v>
                </c:pt>
                <c:pt idx="44">
                  <c:v>2</c:v>
                </c:pt>
                <c:pt idx="45">
                  <c:v>3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1</c:v>
                </c:pt>
                <c:pt idx="56">
                  <c:v>3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1</c:v>
                </c:pt>
                <c:pt idx="64">
                  <c:v>1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2</c:v>
                </c:pt>
                <c:pt idx="71">
                  <c:v>3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1</c:v>
                </c:pt>
                <c:pt idx="76">
                  <c:v>3</c:v>
                </c:pt>
                <c:pt idx="77">
                  <c:v>1</c:v>
                </c:pt>
                <c:pt idx="78">
                  <c:v>2</c:v>
                </c:pt>
                <c:pt idx="79">
                  <c:v>3</c:v>
                </c:pt>
                <c:pt idx="80">
                  <c:v>1</c:v>
                </c:pt>
                <c:pt idx="81">
                  <c:v>3</c:v>
                </c:pt>
                <c:pt idx="82">
                  <c:v>3</c:v>
                </c:pt>
                <c:pt idx="83">
                  <c:v>1</c:v>
                </c:pt>
                <c:pt idx="84">
                  <c:v>2</c:v>
                </c:pt>
                <c:pt idx="85">
                  <c:v>3</c:v>
                </c:pt>
                <c:pt idx="86">
                  <c:v>1</c:v>
                </c:pt>
                <c:pt idx="87">
                  <c:v>1</c:v>
                </c:pt>
                <c:pt idx="88">
                  <c:v>3</c:v>
                </c:pt>
                <c:pt idx="89">
                  <c:v>2</c:v>
                </c:pt>
                <c:pt idx="90">
                  <c:v>1</c:v>
                </c:pt>
                <c:pt idx="91">
                  <c:v>3</c:v>
                </c:pt>
                <c:pt idx="92">
                  <c:v>1</c:v>
                </c:pt>
                <c:pt idx="93">
                  <c:v>2</c:v>
                </c:pt>
                <c:pt idx="94">
                  <c:v>3</c:v>
                </c:pt>
                <c:pt idx="95">
                  <c:v>3</c:v>
                </c:pt>
                <c:pt idx="96">
                  <c:v>2</c:v>
                </c:pt>
                <c:pt idx="97">
                  <c:v>1</c:v>
                </c:pt>
                <c:pt idx="98">
                  <c:v>3</c:v>
                </c:pt>
                <c:pt idx="99">
                  <c:v>1</c:v>
                </c:pt>
                <c:pt idx="100">
                  <c:v>2</c:v>
                </c:pt>
                <c:pt idx="101">
                  <c:v>3</c:v>
                </c:pt>
                <c:pt idx="102">
                  <c:v>1</c:v>
                </c:pt>
                <c:pt idx="103">
                  <c:v>2</c:v>
                </c:pt>
                <c:pt idx="104">
                  <c:v>3</c:v>
                </c:pt>
                <c:pt idx="105">
                  <c:v>1</c:v>
                </c:pt>
                <c:pt idx="106">
                  <c:v>3</c:v>
                </c:pt>
                <c:pt idx="107">
                  <c:v>1</c:v>
                </c:pt>
                <c:pt idx="108">
                  <c:v>2</c:v>
                </c:pt>
                <c:pt idx="109">
                  <c:v>3</c:v>
                </c:pt>
                <c:pt idx="110">
                  <c:v>1</c:v>
                </c:pt>
                <c:pt idx="111">
                  <c:v>3</c:v>
                </c:pt>
                <c:pt idx="112">
                  <c:v>3</c:v>
                </c:pt>
                <c:pt idx="113">
                  <c:v>1</c:v>
                </c:pt>
                <c:pt idx="114">
                  <c:v>2</c:v>
                </c:pt>
                <c:pt idx="115">
                  <c:v>3</c:v>
                </c:pt>
                <c:pt idx="116">
                  <c:v>1</c:v>
                </c:pt>
                <c:pt idx="117">
                  <c:v>1</c:v>
                </c:pt>
                <c:pt idx="118">
                  <c:v>3</c:v>
                </c:pt>
                <c:pt idx="119">
                  <c:v>2</c:v>
                </c:pt>
                <c:pt idx="120">
                  <c:v>1</c:v>
                </c:pt>
                <c:pt idx="121">
                  <c:v>3</c:v>
                </c:pt>
                <c:pt idx="122">
                  <c:v>1</c:v>
                </c:pt>
                <c:pt idx="123">
                  <c:v>2</c:v>
                </c:pt>
                <c:pt idx="124">
                  <c:v>3</c:v>
                </c:pt>
                <c:pt idx="125">
                  <c:v>1</c:v>
                </c:pt>
                <c:pt idx="126">
                  <c:v>2</c:v>
                </c:pt>
                <c:pt idx="127">
                  <c:v>3</c:v>
                </c:pt>
                <c:pt idx="128">
                  <c:v>1</c:v>
                </c:pt>
                <c:pt idx="129">
                  <c:v>3</c:v>
                </c:pt>
                <c:pt idx="130">
                  <c:v>2</c:v>
                </c:pt>
                <c:pt idx="131">
                  <c:v>1</c:v>
                </c:pt>
                <c:pt idx="132">
                  <c:v>3</c:v>
                </c:pt>
                <c:pt idx="133">
                  <c:v>2</c:v>
                </c:pt>
                <c:pt idx="134">
                  <c:v>3</c:v>
                </c:pt>
                <c:pt idx="135">
                  <c:v>1</c:v>
                </c:pt>
                <c:pt idx="136">
                  <c:v>2</c:v>
                </c:pt>
                <c:pt idx="137">
                  <c:v>3</c:v>
                </c:pt>
                <c:pt idx="138">
                  <c:v>1</c:v>
                </c:pt>
                <c:pt idx="139">
                  <c:v>3</c:v>
                </c:pt>
                <c:pt idx="140">
                  <c:v>2</c:v>
                </c:pt>
                <c:pt idx="141">
                  <c:v>1</c:v>
                </c:pt>
                <c:pt idx="142">
                  <c:v>3</c:v>
                </c:pt>
                <c:pt idx="143">
                  <c:v>2</c:v>
                </c:pt>
                <c:pt idx="144">
                  <c:v>3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1</c:v>
                </c:pt>
                <c:pt idx="149">
                  <c:v>3</c:v>
                </c:pt>
                <c:pt idx="150">
                  <c:v>3</c:v>
                </c:pt>
                <c:pt idx="151">
                  <c:v>2</c:v>
                </c:pt>
                <c:pt idx="152">
                  <c:v>1</c:v>
                </c:pt>
                <c:pt idx="153">
                  <c:v>1</c:v>
                </c:pt>
                <c:pt idx="154">
                  <c:v>3</c:v>
                </c:pt>
                <c:pt idx="155">
                  <c:v>2</c:v>
                </c:pt>
                <c:pt idx="156">
                  <c:v>3</c:v>
                </c:pt>
                <c:pt idx="157">
                  <c:v>1</c:v>
                </c:pt>
                <c:pt idx="158">
                  <c:v>2</c:v>
                </c:pt>
                <c:pt idx="159">
                  <c:v>3</c:v>
                </c:pt>
                <c:pt idx="160">
                  <c:v>2</c:v>
                </c:pt>
                <c:pt idx="161">
                  <c:v>1</c:v>
                </c:pt>
                <c:pt idx="162">
                  <c:v>3</c:v>
                </c:pt>
                <c:pt idx="163">
                  <c:v>2</c:v>
                </c:pt>
                <c:pt idx="164">
                  <c:v>3</c:v>
                </c:pt>
                <c:pt idx="165">
                  <c:v>2</c:v>
                </c:pt>
                <c:pt idx="166">
                  <c:v>1</c:v>
                </c:pt>
                <c:pt idx="167">
                  <c:v>3</c:v>
                </c:pt>
                <c:pt idx="168">
                  <c:v>2</c:v>
                </c:pt>
                <c:pt idx="169">
                  <c:v>1</c:v>
                </c:pt>
                <c:pt idx="170">
                  <c:v>3</c:v>
                </c:pt>
                <c:pt idx="171">
                  <c:v>2</c:v>
                </c:pt>
                <c:pt idx="172">
                  <c:v>1</c:v>
                </c:pt>
                <c:pt idx="173">
                  <c:v>3</c:v>
                </c:pt>
                <c:pt idx="174">
                  <c:v>2</c:v>
                </c:pt>
                <c:pt idx="175">
                  <c:v>1</c:v>
                </c:pt>
                <c:pt idx="176">
                  <c:v>3</c:v>
                </c:pt>
                <c:pt idx="177">
                  <c:v>3</c:v>
                </c:pt>
                <c:pt idx="178">
                  <c:v>1</c:v>
                </c:pt>
                <c:pt idx="179">
                  <c:v>2</c:v>
                </c:pt>
                <c:pt idx="180">
                  <c:v>3</c:v>
                </c:pt>
                <c:pt idx="181">
                  <c:v>2</c:v>
                </c:pt>
                <c:pt idx="182">
                  <c:v>1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1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3</c:v>
                </c:pt>
                <c:pt idx="192">
                  <c:v>3</c:v>
                </c:pt>
                <c:pt idx="193">
                  <c:v>1</c:v>
                </c:pt>
                <c:pt idx="194">
                  <c:v>2</c:v>
                </c:pt>
                <c:pt idx="195">
                  <c:v>3</c:v>
                </c:pt>
                <c:pt idx="196">
                  <c:v>1</c:v>
                </c:pt>
                <c:pt idx="197">
                  <c:v>1</c:v>
                </c:pt>
                <c:pt idx="198">
                  <c:v>3</c:v>
                </c:pt>
                <c:pt idx="199">
                  <c:v>2</c:v>
                </c:pt>
                <c:pt idx="200">
                  <c:v>3</c:v>
                </c:pt>
                <c:pt idx="201">
                  <c:v>2</c:v>
                </c:pt>
                <c:pt idx="202">
                  <c:v>1</c:v>
                </c:pt>
                <c:pt idx="203">
                  <c:v>3</c:v>
                </c:pt>
                <c:pt idx="204">
                  <c:v>1</c:v>
                </c:pt>
                <c:pt idx="205">
                  <c:v>3</c:v>
                </c:pt>
                <c:pt idx="206">
                  <c:v>2</c:v>
                </c:pt>
                <c:pt idx="207">
                  <c:v>1</c:v>
                </c:pt>
                <c:pt idx="208">
                  <c:v>3</c:v>
                </c:pt>
                <c:pt idx="209">
                  <c:v>1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2</c:v>
                </c:pt>
                <c:pt idx="215">
                  <c:v>3</c:v>
                </c:pt>
                <c:pt idx="216">
                  <c:v>1</c:v>
                </c:pt>
                <c:pt idx="217">
                  <c:v>1</c:v>
                </c:pt>
                <c:pt idx="218">
                  <c:v>3</c:v>
                </c:pt>
                <c:pt idx="219">
                  <c:v>2</c:v>
                </c:pt>
                <c:pt idx="220">
                  <c:v>3</c:v>
                </c:pt>
                <c:pt idx="221">
                  <c:v>2</c:v>
                </c:pt>
                <c:pt idx="222">
                  <c:v>1</c:v>
                </c:pt>
                <c:pt idx="223">
                  <c:v>3</c:v>
                </c:pt>
                <c:pt idx="224">
                  <c:v>1</c:v>
                </c:pt>
                <c:pt idx="225">
                  <c:v>3</c:v>
                </c:pt>
                <c:pt idx="226">
                  <c:v>2</c:v>
                </c:pt>
                <c:pt idx="227">
                  <c:v>1</c:v>
                </c:pt>
                <c:pt idx="228">
                  <c:v>1</c:v>
                </c:pt>
                <c:pt idx="229">
                  <c:v>3</c:v>
                </c:pt>
                <c:pt idx="230">
                  <c:v>2</c:v>
                </c:pt>
                <c:pt idx="231">
                  <c:v>1</c:v>
                </c:pt>
                <c:pt idx="232">
                  <c:v>3</c:v>
                </c:pt>
                <c:pt idx="233">
                  <c:v>3</c:v>
                </c:pt>
                <c:pt idx="234">
                  <c:v>2</c:v>
                </c:pt>
                <c:pt idx="235">
                  <c:v>1</c:v>
                </c:pt>
                <c:pt idx="236">
                  <c:v>3</c:v>
                </c:pt>
                <c:pt idx="237">
                  <c:v>1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1</c:v>
                </c:pt>
                <c:pt idx="242">
                  <c:v>2</c:v>
                </c:pt>
                <c:pt idx="243">
                  <c:v>3</c:v>
                </c:pt>
                <c:pt idx="244">
                  <c:v>2</c:v>
                </c:pt>
                <c:pt idx="245">
                  <c:v>1</c:v>
                </c:pt>
                <c:pt idx="246">
                  <c:v>3</c:v>
                </c:pt>
                <c:pt idx="247">
                  <c:v>1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1</c:v>
                </c:pt>
                <c:pt idx="252">
                  <c:v>2</c:v>
                </c:pt>
                <c:pt idx="253">
                  <c:v>3</c:v>
                </c:pt>
                <c:pt idx="254">
                  <c:v>2</c:v>
                </c:pt>
                <c:pt idx="255">
                  <c:v>1</c:v>
                </c:pt>
                <c:pt idx="256">
                  <c:v>3</c:v>
                </c:pt>
                <c:pt idx="257">
                  <c:v>2</c:v>
                </c:pt>
                <c:pt idx="258">
                  <c:v>1</c:v>
                </c:pt>
                <c:pt idx="259">
                  <c:v>3</c:v>
                </c:pt>
                <c:pt idx="260">
                  <c:v>2</c:v>
                </c:pt>
                <c:pt idx="261">
                  <c:v>3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3</c:v>
                </c:pt>
                <c:pt idx="266">
                  <c:v>1</c:v>
                </c:pt>
                <c:pt idx="267">
                  <c:v>2</c:v>
                </c:pt>
                <c:pt idx="268">
                  <c:v>3</c:v>
                </c:pt>
                <c:pt idx="269">
                  <c:v>1</c:v>
                </c:pt>
                <c:pt idx="270">
                  <c:v>3</c:v>
                </c:pt>
                <c:pt idx="271">
                  <c:v>2</c:v>
                </c:pt>
                <c:pt idx="272">
                  <c:v>1</c:v>
                </c:pt>
                <c:pt idx="273">
                  <c:v>3</c:v>
                </c:pt>
                <c:pt idx="274">
                  <c:v>2</c:v>
                </c:pt>
                <c:pt idx="275">
                  <c:v>3</c:v>
                </c:pt>
                <c:pt idx="276">
                  <c:v>3</c:v>
                </c:pt>
                <c:pt idx="277">
                  <c:v>2</c:v>
                </c:pt>
                <c:pt idx="278">
                  <c:v>1</c:v>
                </c:pt>
                <c:pt idx="279">
                  <c:v>3</c:v>
                </c:pt>
                <c:pt idx="280">
                  <c:v>1</c:v>
                </c:pt>
                <c:pt idx="281">
                  <c:v>2</c:v>
                </c:pt>
                <c:pt idx="282">
                  <c:v>1</c:v>
                </c:pt>
                <c:pt idx="283">
                  <c:v>3</c:v>
                </c:pt>
                <c:pt idx="284">
                  <c:v>2</c:v>
                </c:pt>
                <c:pt idx="285">
                  <c:v>3</c:v>
                </c:pt>
                <c:pt idx="286">
                  <c:v>3</c:v>
                </c:pt>
                <c:pt idx="287">
                  <c:v>1</c:v>
                </c:pt>
                <c:pt idx="288">
                  <c:v>2</c:v>
                </c:pt>
                <c:pt idx="289">
                  <c:v>1</c:v>
                </c:pt>
                <c:pt idx="290">
                  <c:v>1</c:v>
                </c:pt>
                <c:pt idx="291">
                  <c:v>3</c:v>
                </c:pt>
                <c:pt idx="292">
                  <c:v>3</c:v>
                </c:pt>
                <c:pt idx="293">
                  <c:v>2</c:v>
                </c:pt>
                <c:pt idx="294">
                  <c:v>1</c:v>
                </c:pt>
                <c:pt idx="295">
                  <c:v>1</c:v>
                </c:pt>
                <c:pt idx="296">
                  <c:v>3</c:v>
                </c:pt>
                <c:pt idx="297">
                  <c:v>1</c:v>
                </c:pt>
                <c:pt idx="298">
                  <c:v>2</c:v>
                </c:pt>
                <c:pt idx="299">
                  <c:v>1</c:v>
                </c:pt>
                <c:pt idx="300">
                  <c:v>1</c:v>
                </c:pt>
                <c:pt idx="301">
                  <c:v>3</c:v>
                </c:pt>
                <c:pt idx="302">
                  <c:v>1</c:v>
                </c:pt>
                <c:pt idx="303">
                  <c:v>2</c:v>
                </c:pt>
                <c:pt idx="304">
                  <c:v>1</c:v>
                </c:pt>
                <c:pt idx="305">
                  <c:v>1</c:v>
                </c:pt>
                <c:pt idx="306">
                  <c:v>2</c:v>
                </c:pt>
                <c:pt idx="307">
                  <c:v>3</c:v>
                </c:pt>
                <c:pt idx="308">
                  <c:v>1</c:v>
                </c:pt>
                <c:pt idx="309">
                  <c:v>3</c:v>
                </c:pt>
                <c:pt idx="310">
                  <c:v>2</c:v>
                </c:pt>
                <c:pt idx="311">
                  <c:v>1</c:v>
                </c:pt>
                <c:pt idx="312">
                  <c:v>3</c:v>
                </c:pt>
                <c:pt idx="313">
                  <c:v>2</c:v>
                </c:pt>
                <c:pt idx="314">
                  <c:v>3</c:v>
                </c:pt>
                <c:pt idx="315">
                  <c:v>1</c:v>
                </c:pt>
                <c:pt idx="316">
                  <c:v>2</c:v>
                </c:pt>
                <c:pt idx="317">
                  <c:v>3</c:v>
                </c:pt>
                <c:pt idx="318">
                  <c:v>1</c:v>
                </c:pt>
                <c:pt idx="319">
                  <c:v>3</c:v>
                </c:pt>
                <c:pt idx="320">
                  <c:v>2</c:v>
                </c:pt>
                <c:pt idx="321">
                  <c:v>1</c:v>
                </c:pt>
                <c:pt idx="322">
                  <c:v>3</c:v>
                </c:pt>
                <c:pt idx="323">
                  <c:v>2</c:v>
                </c:pt>
                <c:pt idx="324">
                  <c:v>3</c:v>
                </c:pt>
                <c:pt idx="325">
                  <c:v>1</c:v>
                </c:pt>
                <c:pt idx="326">
                  <c:v>2</c:v>
                </c:pt>
                <c:pt idx="327">
                  <c:v>3</c:v>
                </c:pt>
                <c:pt idx="328">
                  <c:v>1</c:v>
                </c:pt>
                <c:pt idx="329">
                  <c:v>3</c:v>
                </c:pt>
                <c:pt idx="330">
                  <c:v>1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3</c:v>
                </c:pt>
                <c:pt idx="335">
                  <c:v>1</c:v>
                </c:pt>
                <c:pt idx="336">
                  <c:v>2</c:v>
                </c:pt>
                <c:pt idx="337">
                  <c:v>3</c:v>
                </c:pt>
                <c:pt idx="338">
                  <c:v>1</c:v>
                </c:pt>
                <c:pt idx="339">
                  <c:v>3</c:v>
                </c:pt>
                <c:pt idx="340">
                  <c:v>2</c:v>
                </c:pt>
                <c:pt idx="341">
                  <c:v>1</c:v>
                </c:pt>
                <c:pt idx="342">
                  <c:v>3</c:v>
                </c:pt>
                <c:pt idx="343">
                  <c:v>2</c:v>
                </c:pt>
                <c:pt idx="344">
                  <c:v>3</c:v>
                </c:pt>
                <c:pt idx="345">
                  <c:v>1</c:v>
                </c:pt>
                <c:pt idx="346">
                  <c:v>2</c:v>
                </c:pt>
                <c:pt idx="347">
                  <c:v>3</c:v>
                </c:pt>
                <c:pt idx="348">
                  <c:v>1</c:v>
                </c:pt>
                <c:pt idx="349">
                  <c:v>3</c:v>
                </c:pt>
                <c:pt idx="350">
                  <c:v>2</c:v>
                </c:pt>
                <c:pt idx="351">
                  <c:v>1</c:v>
                </c:pt>
                <c:pt idx="352">
                  <c:v>3</c:v>
                </c:pt>
                <c:pt idx="353">
                  <c:v>2</c:v>
                </c:pt>
                <c:pt idx="354">
                  <c:v>3</c:v>
                </c:pt>
                <c:pt idx="355">
                  <c:v>1</c:v>
                </c:pt>
                <c:pt idx="356">
                  <c:v>2</c:v>
                </c:pt>
                <c:pt idx="357">
                  <c:v>3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1</c:v>
                </c:pt>
                <c:pt idx="368">
                  <c:v>3</c:v>
                </c:pt>
                <c:pt idx="369">
                  <c:v>2</c:v>
                </c:pt>
                <c:pt idx="370">
                  <c:v>3</c:v>
                </c:pt>
                <c:pt idx="371">
                  <c:v>1</c:v>
                </c:pt>
                <c:pt idx="372">
                  <c:v>2</c:v>
                </c:pt>
                <c:pt idx="373">
                  <c:v>3</c:v>
                </c:pt>
                <c:pt idx="374">
                  <c:v>1</c:v>
                </c:pt>
                <c:pt idx="375">
                  <c:v>3</c:v>
                </c:pt>
                <c:pt idx="376">
                  <c:v>2</c:v>
                </c:pt>
                <c:pt idx="377">
                  <c:v>1</c:v>
                </c:pt>
                <c:pt idx="378">
                  <c:v>3</c:v>
                </c:pt>
                <c:pt idx="379">
                  <c:v>2</c:v>
                </c:pt>
                <c:pt idx="380">
                  <c:v>3</c:v>
                </c:pt>
                <c:pt idx="381">
                  <c:v>1</c:v>
                </c:pt>
                <c:pt idx="382">
                  <c:v>2</c:v>
                </c:pt>
                <c:pt idx="383">
                  <c:v>3</c:v>
                </c:pt>
                <c:pt idx="384">
                  <c:v>1</c:v>
                </c:pt>
                <c:pt idx="385">
                  <c:v>3</c:v>
                </c:pt>
                <c:pt idx="386">
                  <c:v>1</c:v>
                </c:pt>
                <c:pt idx="387">
                  <c:v>1</c:v>
                </c:pt>
                <c:pt idx="388">
                  <c:v>2</c:v>
                </c:pt>
                <c:pt idx="389">
                  <c:v>3</c:v>
                </c:pt>
                <c:pt idx="390">
                  <c:v>1</c:v>
                </c:pt>
                <c:pt idx="391">
                  <c:v>3</c:v>
                </c:pt>
                <c:pt idx="392">
                  <c:v>2</c:v>
                </c:pt>
                <c:pt idx="393">
                  <c:v>1</c:v>
                </c:pt>
                <c:pt idx="394">
                  <c:v>3</c:v>
                </c:pt>
                <c:pt idx="395">
                  <c:v>2</c:v>
                </c:pt>
                <c:pt idx="396">
                  <c:v>3</c:v>
                </c:pt>
                <c:pt idx="397">
                  <c:v>1</c:v>
                </c:pt>
                <c:pt idx="398">
                  <c:v>2</c:v>
                </c:pt>
                <c:pt idx="399">
                  <c:v>3</c:v>
                </c:pt>
                <c:pt idx="400">
                  <c:v>1</c:v>
                </c:pt>
                <c:pt idx="401">
                  <c:v>3</c:v>
                </c:pt>
                <c:pt idx="402">
                  <c:v>2</c:v>
                </c:pt>
                <c:pt idx="403">
                  <c:v>1</c:v>
                </c:pt>
                <c:pt idx="404">
                  <c:v>3</c:v>
                </c:pt>
                <c:pt idx="405">
                  <c:v>2</c:v>
                </c:pt>
                <c:pt idx="406">
                  <c:v>3</c:v>
                </c:pt>
                <c:pt idx="407">
                  <c:v>1</c:v>
                </c:pt>
                <c:pt idx="408">
                  <c:v>2</c:v>
                </c:pt>
                <c:pt idx="409">
                  <c:v>3</c:v>
                </c:pt>
                <c:pt idx="410">
                  <c:v>1</c:v>
                </c:pt>
                <c:pt idx="411">
                  <c:v>3</c:v>
                </c:pt>
                <c:pt idx="412">
                  <c:v>1</c:v>
                </c:pt>
                <c:pt idx="413">
                  <c:v>1</c:v>
                </c:pt>
                <c:pt idx="414">
                  <c:v>2</c:v>
                </c:pt>
                <c:pt idx="415">
                  <c:v>3</c:v>
                </c:pt>
                <c:pt idx="416">
                  <c:v>1</c:v>
                </c:pt>
                <c:pt idx="417">
                  <c:v>3</c:v>
                </c:pt>
                <c:pt idx="418">
                  <c:v>2</c:v>
                </c:pt>
                <c:pt idx="419">
                  <c:v>1</c:v>
                </c:pt>
                <c:pt idx="420">
                  <c:v>3</c:v>
                </c:pt>
                <c:pt idx="421">
                  <c:v>2</c:v>
                </c:pt>
                <c:pt idx="422">
                  <c:v>3</c:v>
                </c:pt>
                <c:pt idx="423">
                  <c:v>1</c:v>
                </c:pt>
                <c:pt idx="424">
                  <c:v>2</c:v>
                </c:pt>
                <c:pt idx="425">
                  <c:v>3</c:v>
                </c:pt>
                <c:pt idx="426">
                  <c:v>1</c:v>
                </c:pt>
                <c:pt idx="427">
                  <c:v>3</c:v>
                </c:pt>
                <c:pt idx="428">
                  <c:v>2</c:v>
                </c:pt>
                <c:pt idx="429">
                  <c:v>1</c:v>
                </c:pt>
                <c:pt idx="430">
                  <c:v>3</c:v>
                </c:pt>
                <c:pt idx="431">
                  <c:v>2</c:v>
                </c:pt>
                <c:pt idx="432">
                  <c:v>3</c:v>
                </c:pt>
                <c:pt idx="433">
                  <c:v>1</c:v>
                </c:pt>
                <c:pt idx="434">
                  <c:v>2</c:v>
                </c:pt>
                <c:pt idx="435">
                  <c:v>3</c:v>
                </c:pt>
                <c:pt idx="436">
                  <c:v>1</c:v>
                </c:pt>
                <c:pt idx="437">
                  <c:v>3</c:v>
                </c:pt>
                <c:pt idx="438">
                  <c:v>2</c:v>
                </c:pt>
                <c:pt idx="439">
                  <c:v>1</c:v>
                </c:pt>
                <c:pt idx="440">
                  <c:v>3</c:v>
                </c:pt>
                <c:pt idx="441">
                  <c:v>2</c:v>
                </c:pt>
                <c:pt idx="442">
                  <c:v>3</c:v>
                </c:pt>
                <c:pt idx="443">
                  <c:v>1</c:v>
                </c:pt>
                <c:pt idx="444">
                  <c:v>2</c:v>
                </c:pt>
                <c:pt idx="445">
                  <c:v>3</c:v>
                </c:pt>
                <c:pt idx="446">
                  <c:v>1</c:v>
                </c:pt>
                <c:pt idx="447">
                  <c:v>3</c:v>
                </c:pt>
                <c:pt idx="448">
                  <c:v>1</c:v>
                </c:pt>
                <c:pt idx="449">
                  <c:v>2</c:v>
                </c:pt>
                <c:pt idx="450">
                  <c:v>3</c:v>
                </c:pt>
                <c:pt idx="451">
                  <c:v>2</c:v>
                </c:pt>
                <c:pt idx="452">
                  <c:v>3</c:v>
                </c:pt>
                <c:pt idx="453">
                  <c:v>3</c:v>
                </c:pt>
                <c:pt idx="454">
                  <c:v>1</c:v>
                </c:pt>
                <c:pt idx="455">
                  <c:v>3</c:v>
                </c:pt>
                <c:pt idx="456">
                  <c:v>2</c:v>
                </c:pt>
                <c:pt idx="457">
                  <c:v>1</c:v>
                </c:pt>
                <c:pt idx="458">
                  <c:v>3</c:v>
                </c:pt>
                <c:pt idx="459">
                  <c:v>1</c:v>
                </c:pt>
                <c:pt idx="460">
                  <c:v>2</c:v>
                </c:pt>
                <c:pt idx="461">
                  <c:v>3</c:v>
                </c:pt>
                <c:pt idx="462">
                  <c:v>1</c:v>
                </c:pt>
                <c:pt idx="463">
                  <c:v>3</c:v>
                </c:pt>
                <c:pt idx="464">
                  <c:v>2</c:v>
                </c:pt>
                <c:pt idx="465">
                  <c:v>1</c:v>
                </c:pt>
                <c:pt idx="466">
                  <c:v>3</c:v>
                </c:pt>
                <c:pt idx="467">
                  <c:v>2</c:v>
                </c:pt>
                <c:pt idx="468">
                  <c:v>3</c:v>
                </c:pt>
                <c:pt idx="469">
                  <c:v>1</c:v>
                </c:pt>
                <c:pt idx="470">
                  <c:v>2</c:v>
                </c:pt>
                <c:pt idx="471">
                  <c:v>3</c:v>
                </c:pt>
                <c:pt idx="472">
                  <c:v>1</c:v>
                </c:pt>
                <c:pt idx="473">
                  <c:v>3</c:v>
                </c:pt>
                <c:pt idx="474">
                  <c:v>2</c:v>
                </c:pt>
                <c:pt idx="475">
                  <c:v>1</c:v>
                </c:pt>
                <c:pt idx="476">
                  <c:v>3</c:v>
                </c:pt>
                <c:pt idx="477">
                  <c:v>2</c:v>
                </c:pt>
                <c:pt idx="478">
                  <c:v>3</c:v>
                </c:pt>
                <c:pt idx="479">
                  <c:v>1</c:v>
                </c:pt>
                <c:pt idx="480">
                  <c:v>2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2</c:v>
                </c:pt>
                <c:pt idx="485">
                  <c:v>1</c:v>
                </c:pt>
                <c:pt idx="486">
                  <c:v>3</c:v>
                </c:pt>
                <c:pt idx="487">
                  <c:v>1</c:v>
                </c:pt>
                <c:pt idx="488">
                  <c:v>2</c:v>
                </c:pt>
                <c:pt idx="489">
                  <c:v>3</c:v>
                </c:pt>
                <c:pt idx="490">
                  <c:v>1</c:v>
                </c:pt>
                <c:pt idx="491">
                  <c:v>3</c:v>
                </c:pt>
                <c:pt idx="492">
                  <c:v>2</c:v>
                </c:pt>
                <c:pt idx="493">
                  <c:v>1</c:v>
                </c:pt>
                <c:pt idx="494">
                  <c:v>3</c:v>
                </c:pt>
                <c:pt idx="495">
                  <c:v>2</c:v>
                </c:pt>
                <c:pt idx="496">
                  <c:v>3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1</c:v>
                </c:pt>
                <c:pt idx="501">
                  <c:v>3</c:v>
                </c:pt>
                <c:pt idx="502">
                  <c:v>2</c:v>
                </c:pt>
                <c:pt idx="503">
                  <c:v>1</c:v>
                </c:pt>
                <c:pt idx="504">
                  <c:v>3</c:v>
                </c:pt>
                <c:pt idx="505">
                  <c:v>2</c:v>
                </c:pt>
                <c:pt idx="506">
                  <c:v>3</c:v>
                </c:pt>
                <c:pt idx="507">
                  <c:v>1</c:v>
                </c:pt>
                <c:pt idx="508">
                  <c:v>2</c:v>
                </c:pt>
                <c:pt idx="509">
                  <c:v>3</c:v>
                </c:pt>
                <c:pt idx="510">
                  <c:v>1</c:v>
                </c:pt>
                <c:pt idx="511">
                  <c:v>3</c:v>
                </c:pt>
                <c:pt idx="512">
                  <c:v>2</c:v>
                </c:pt>
                <c:pt idx="513">
                  <c:v>1</c:v>
                </c:pt>
                <c:pt idx="514">
                  <c:v>3</c:v>
                </c:pt>
                <c:pt idx="515">
                  <c:v>1</c:v>
                </c:pt>
                <c:pt idx="516">
                  <c:v>2</c:v>
                </c:pt>
                <c:pt idx="517">
                  <c:v>3</c:v>
                </c:pt>
                <c:pt idx="518">
                  <c:v>1</c:v>
                </c:pt>
                <c:pt idx="519">
                  <c:v>3</c:v>
                </c:pt>
                <c:pt idx="520">
                  <c:v>2</c:v>
                </c:pt>
                <c:pt idx="521">
                  <c:v>1</c:v>
                </c:pt>
                <c:pt idx="522">
                  <c:v>3</c:v>
                </c:pt>
                <c:pt idx="523">
                  <c:v>2</c:v>
                </c:pt>
                <c:pt idx="524">
                  <c:v>3</c:v>
                </c:pt>
                <c:pt idx="525">
                  <c:v>1</c:v>
                </c:pt>
                <c:pt idx="526">
                  <c:v>2</c:v>
                </c:pt>
                <c:pt idx="527">
                  <c:v>3</c:v>
                </c:pt>
                <c:pt idx="528">
                  <c:v>1</c:v>
                </c:pt>
                <c:pt idx="529">
                  <c:v>3</c:v>
                </c:pt>
                <c:pt idx="530">
                  <c:v>2</c:v>
                </c:pt>
                <c:pt idx="531">
                  <c:v>1</c:v>
                </c:pt>
                <c:pt idx="532">
                  <c:v>3</c:v>
                </c:pt>
                <c:pt idx="533">
                  <c:v>2</c:v>
                </c:pt>
                <c:pt idx="534">
                  <c:v>3</c:v>
                </c:pt>
                <c:pt idx="535">
                  <c:v>1</c:v>
                </c:pt>
                <c:pt idx="536">
                  <c:v>2</c:v>
                </c:pt>
                <c:pt idx="537">
                  <c:v>3</c:v>
                </c:pt>
                <c:pt idx="538">
                  <c:v>1</c:v>
                </c:pt>
                <c:pt idx="539">
                  <c:v>3</c:v>
                </c:pt>
                <c:pt idx="540">
                  <c:v>2</c:v>
                </c:pt>
                <c:pt idx="541">
                  <c:v>1</c:v>
                </c:pt>
                <c:pt idx="542">
                  <c:v>2</c:v>
                </c:pt>
                <c:pt idx="543">
                  <c:v>3</c:v>
                </c:pt>
                <c:pt idx="544">
                  <c:v>1</c:v>
                </c:pt>
                <c:pt idx="545">
                  <c:v>3</c:v>
                </c:pt>
                <c:pt idx="546">
                  <c:v>2</c:v>
                </c:pt>
                <c:pt idx="547">
                  <c:v>3</c:v>
                </c:pt>
                <c:pt idx="548">
                  <c:v>1</c:v>
                </c:pt>
                <c:pt idx="549">
                  <c:v>2</c:v>
                </c:pt>
                <c:pt idx="550">
                  <c:v>3</c:v>
                </c:pt>
                <c:pt idx="551">
                  <c:v>1</c:v>
                </c:pt>
                <c:pt idx="552">
                  <c:v>3</c:v>
                </c:pt>
                <c:pt idx="553">
                  <c:v>2</c:v>
                </c:pt>
                <c:pt idx="554">
                  <c:v>1</c:v>
                </c:pt>
                <c:pt idx="555">
                  <c:v>3</c:v>
                </c:pt>
                <c:pt idx="556">
                  <c:v>2</c:v>
                </c:pt>
                <c:pt idx="557">
                  <c:v>3</c:v>
                </c:pt>
                <c:pt idx="558">
                  <c:v>1</c:v>
                </c:pt>
                <c:pt idx="559">
                  <c:v>2</c:v>
                </c:pt>
                <c:pt idx="560">
                  <c:v>3</c:v>
                </c:pt>
                <c:pt idx="561">
                  <c:v>1</c:v>
                </c:pt>
                <c:pt idx="562">
                  <c:v>3</c:v>
                </c:pt>
                <c:pt idx="563">
                  <c:v>2</c:v>
                </c:pt>
                <c:pt idx="564">
                  <c:v>1</c:v>
                </c:pt>
                <c:pt idx="565">
                  <c:v>3</c:v>
                </c:pt>
                <c:pt idx="566">
                  <c:v>2</c:v>
                </c:pt>
                <c:pt idx="567">
                  <c:v>3</c:v>
                </c:pt>
                <c:pt idx="568">
                  <c:v>2</c:v>
                </c:pt>
                <c:pt idx="569">
                  <c:v>2</c:v>
                </c:pt>
                <c:pt idx="570">
                  <c:v>3</c:v>
                </c:pt>
                <c:pt idx="571">
                  <c:v>1</c:v>
                </c:pt>
                <c:pt idx="572">
                  <c:v>3</c:v>
                </c:pt>
                <c:pt idx="573">
                  <c:v>2</c:v>
                </c:pt>
                <c:pt idx="574">
                  <c:v>3</c:v>
                </c:pt>
                <c:pt idx="575">
                  <c:v>1</c:v>
                </c:pt>
                <c:pt idx="576">
                  <c:v>2</c:v>
                </c:pt>
                <c:pt idx="577">
                  <c:v>3</c:v>
                </c:pt>
                <c:pt idx="578">
                  <c:v>1</c:v>
                </c:pt>
                <c:pt idx="579">
                  <c:v>3</c:v>
                </c:pt>
                <c:pt idx="580">
                  <c:v>2</c:v>
                </c:pt>
                <c:pt idx="581">
                  <c:v>1</c:v>
                </c:pt>
                <c:pt idx="582">
                  <c:v>3</c:v>
                </c:pt>
                <c:pt idx="583">
                  <c:v>2</c:v>
                </c:pt>
                <c:pt idx="584">
                  <c:v>3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1</c:v>
                </c:pt>
                <c:pt idx="589">
                  <c:v>3</c:v>
                </c:pt>
                <c:pt idx="590">
                  <c:v>2</c:v>
                </c:pt>
                <c:pt idx="591">
                  <c:v>1</c:v>
                </c:pt>
                <c:pt idx="592">
                  <c:v>3</c:v>
                </c:pt>
                <c:pt idx="593">
                  <c:v>2</c:v>
                </c:pt>
                <c:pt idx="594">
                  <c:v>3</c:v>
                </c:pt>
                <c:pt idx="595">
                  <c:v>1</c:v>
                </c:pt>
                <c:pt idx="596">
                  <c:v>2</c:v>
                </c:pt>
                <c:pt idx="597">
                  <c:v>3</c:v>
                </c:pt>
                <c:pt idx="598">
                  <c:v>1</c:v>
                </c:pt>
                <c:pt idx="599">
                  <c:v>2</c:v>
                </c:pt>
                <c:pt idx="600">
                  <c:v>3</c:v>
                </c:pt>
                <c:pt idx="601">
                  <c:v>1</c:v>
                </c:pt>
                <c:pt idx="602">
                  <c:v>3</c:v>
                </c:pt>
                <c:pt idx="603">
                  <c:v>2</c:v>
                </c:pt>
                <c:pt idx="604">
                  <c:v>3</c:v>
                </c:pt>
                <c:pt idx="605">
                  <c:v>1</c:v>
                </c:pt>
                <c:pt idx="606">
                  <c:v>2</c:v>
                </c:pt>
                <c:pt idx="607">
                  <c:v>3</c:v>
                </c:pt>
                <c:pt idx="608">
                  <c:v>1</c:v>
                </c:pt>
                <c:pt idx="609">
                  <c:v>3</c:v>
                </c:pt>
                <c:pt idx="610">
                  <c:v>2</c:v>
                </c:pt>
                <c:pt idx="611">
                  <c:v>1</c:v>
                </c:pt>
                <c:pt idx="612">
                  <c:v>3</c:v>
                </c:pt>
                <c:pt idx="613">
                  <c:v>2</c:v>
                </c:pt>
                <c:pt idx="614">
                  <c:v>3</c:v>
                </c:pt>
                <c:pt idx="615">
                  <c:v>1</c:v>
                </c:pt>
                <c:pt idx="616">
                  <c:v>2</c:v>
                </c:pt>
                <c:pt idx="617">
                  <c:v>3</c:v>
                </c:pt>
                <c:pt idx="618">
                  <c:v>1</c:v>
                </c:pt>
                <c:pt idx="619">
                  <c:v>3</c:v>
                </c:pt>
                <c:pt idx="620">
                  <c:v>2</c:v>
                </c:pt>
                <c:pt idx="621">
                  <c:v>1</c:v>
                </c:pt>
                <c:pt idx="622">
                  <c:v>3</c:v>
                </c:pt>
                <c:pt idx="623">
                  <c:v>2</c:v>
                </c:pt>
                <c:pt idx="624">
                  <c:v>1</c:v>
                </c:pt>
                <c:pt idx="625">
                  <c:v>3</c:v>
                </c:pt>
                <c:pt idx="626">
                  <c:v>2</c:v>
                </c:pt>
                <c:pt idx="627">
                  <c:v>1</c:v>
                </c:pt>
                <c:pt idx="628">
                  <c:v>2</c:v>
                </c:pt>
                <c:pt idx="629">
                  <c:v>2</c:v>
                </c:pt>
                <c:pt idx="630">
                  <c:v>3</c:v>
                </c:pt>
                <c:pt idx="631">
                  <c:v>2</c:v>
                </c:pt>
                <c:pt idx="632">
                  <c:v>3</c:v>
                </c:pt>
                <c:pt idx="633">
                  <c:v>2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1</c:v>
                </c:pt>
                <c:pt idx="638">
                  <c:v>1</c:v>
                </c:pt>
                <c:pt idx="639">
                  <c:v>2</c:v>
                </c:pt>
                <c:pt idx="640">
                  <c:v>3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3</c:v>
                </c:pt>
                <c:pt idx="645">
                  <c:v>2</c:v>
                </c:pt>
                <c:pt idx="646">
                  <c:v>1</c:v>
                </c:pt>
                <c:pt idx="647">
                  <c:v>3</c:v>
                </c:pt>
                <c:pt idx="648">
                  <c:v>2</c:v>
                </c:pt>
                <c:pt idx="649">
                  <c:v>3</c:v>
                </c:pt>
                <c:pt idx="650">
                  <c:v>1</c:v>
                </c:pt>
                <c:pt idx="651">
                  <c:v>2</c:v>
                </c:pt>
                <c:pt idx="652">
                  <c:v>3</c:v>
                </c:pt>
                <c:pt idx="653">
                  <c:v>2</c:v>
                </c:pt>
                <c:pt idx="654">
                  <c:v>3</c:v>
                </c:pt>
                <c:pt idx="655">
                  <c:v>2</c:v>
                </c:pt>
                <c:pt idx="656">
                  <c:v>1</c:v>
                </c:pt>
                <c:pt idx="657">
                  <c:v>3</c:v>
                </c:pt>
                <c:pt idx="658">
                  <c:v>2</c:v>
                </c:pt>
                <c:pt idx="659">
                  <c:v>3</c:v>
                </c:pt>
                <c:pt idx="660">
                  <c:v>1</c:v>
                </c:pt>
                <c:pt idx="661">
                  <c:v>2</c:v>
                </c:pt>
                <c:pt idx="662">
                  <c:v>3</c:v>
                </c:pt>
                <c:pt idx="663">
                  <c:v>1</c:v>
                </c:pt>
                <c:pt idx="664">
                  <c:v>3</c:v>
                </c:pt>
                <c:pt idx="665">
                  <c:v>2</c:v>
                </c:pt>
                <c:pt idx="666">
                  <c:v>1</c:v>
                </c:pt>
                <c:pt idx="667">
                  <c:v>3</c:v>
                </c:pt>
                <c:pt idx="668">
                  <c:v>2</c:v>
                </c:pt>
                <c:pt idx="669">
                  <c:v>2</c:v>
                </c:pt>
                <c:pt idx="670">
                  <c:v>3</c:v>
                </c:pt>
                <c:pt idx="671">
                  <c:v>1</c:v>
                </c:pt>
                <c:pt idx="672">
                  <c:v>3</c:v>
                </c:pt>
                <c:pt idx="673">
                  <c:v>2</c:v>
                </c:pt>
                <c:pt idx="674">
                  <c:v>2</c:v>
                </c:pt>
                <c:pt idx="675">
                  <c:v>1</c:v>
                </c:pt>
                <c:pt idx="676">
                  <c:v>2</c:v>
                </c:pt>
                <c:pt idx="677">
                  <c:v>3</c:v>
                </c:pt>
                <c:pt idx="678">
                  <c:v>2</c:v>
                </c:pt>
                <c:pt idx="679">
                  <c:v>2</c:v>
                </c:pt>
                <c:pt idx="680">
                  <c:v>1</c:v>
                </c:pt>
                <c:pt idx="681">
                  <c:v>2</c:v>
                </c:pt>
                <c:pt idx="682">
                  <c:v>3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2</c:v>
                </c:pt>
                <c:pt idx="687">
                  <c:v>3</c:v>
                </c:pt>
                <c:pt idx="688">
                  <c:v>2</c:v>
                </c:pt>
                <c:pt idx="689">
                  <c:v>2</c:v>
                </c:pt>
                <c:pt idx="690">
                  <c:v>1</c:v>
                </c:pt>
                <c:pt idx="691">
                  <c:v>2</c:v>
                </c:pt>
                <c:pt idx="692">
                  <c:v>3</c:v>
                </c:pt>
                <c:pt idx="693">
                  <c:v>2</c:v>
                </c:pt>
                <c:pt idx="694">
                  <c:v>2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2</c:v>
                </c:pt>
                <c:pt idx="699">
                  <c:v>2</c:v>
                </c:pt>
                <c:pt idx="700">
                  <c:v>1</c:v>
                </c:pt>
                <c:pt idx="701">
                  <c:v>2</c:v>
                </c:pt>
                <c:pt idx="702">
                  <c:v>3</c:v>
                </c:pt>
                <c:pt idx="703">
                  <c:v>2</c:v>
                </c:pt>
                <c:pt idx="704">
                  <c:v>2</c:v>
                </c:pt>
                <c:pt idx="705">
                  <c:v>1</c:v>
                </c:pt>
                <c:pt idx="706">
                  <c:v>2</c:v>
                </c:pt>
                <c:pt idx="707">
                  <c:v>3</c:v>
                </c:pt>
                <c:pt idx="708">
                  <c:v>2</c:v>
                </c:pt>
                <c:pt idx="709">
                  <c:v>2</c:v>
                </c:pt>
                <c:pt idx="710">
                  <c:v>1</c:v>
                </c:pt>
                <c:pt idx="711">
                  <c:v>2</c:v>
                </c:pt>
                <c:pt idx="712">
                  <c:v>3</c:v>
                </c:pt>
                <c:pt idx="713">
                  <c:v>2</c:v>
                </c:pt>
                <c:pt idx="714">
                  <c:v>2</c:v>
                </c:pt>
                <c:pt idx="715">
                  <c:v>1</c:v>
                </c:pt>
                <c:pt idx="716">
                  <c:v>2</c:v>
                </c:pt>
                <c:pt idx="717">
                  <c:v>3</c:v>
                </c:pt>
                <c:pt idx="718">
                  <c:v>2</c:v>
                </c:pt>
                <c:pt idx="719">
                  <c:v>2</c:v>
                </c:pt>
                <c:pt idx="720">
                  <c:v>1</c:v>
                </c:pt>
                <c:pt idx="721">
                  <c:v>2</c:v>
                </c:pt>
                <c:pt idx="722">
                  <c:v>3</c:v>
                </c:pt>
                <c:pt idx="723">
                  <c:v>2</c:v>
                </c:pt>
                <c:pt idx="724">
                  <c:v>2</c:v>
                </c:pt>
                <c:pt idx="725">
                  <c:v>3</c:v>
                </c:pt>
                <c:pt idx="726">
                  <c:v>2</c:v>
                </c:pt>
                <c:pt idx="727">
                  <c:v>2</c:v>
                </c:pt>
                <c:pt idx="728">
                  <c:v>1</c:v>
                </c:pt>
                <c:pt idx="729">
                  <c:v>2</c:v>
                </c:pt>
                <c:pt idx="730">
                  <c:v>3</c:v>
                </c:pt>
                <c:pt idx="731">
                  <c:v>2</c:v>
                </c:pt>
                <c:pt idx="732">
                  <c:v>2</c:v>
                </c:pt>
                <c:pt idx="733">
                  <c:v>1</c:v>
                </c:pt>
                <c:pt idx="734">
                  <c:v>2</c:v>
                </c:pt>
                <c:pt idx="735">
                  <c:v>3</c:v>
                </c:pt>
                <c:pt idx="736">
                  <c:v>2</c:v>
                </c:pt>
                <c:pt idx="737">
                  <c:v>2</c:v>
                </c:pt>
                <c:pt idx="738">
                  <c:v>1</c:v>
                </c:pt>
                <c:pt idx="739">
                  <c:v>2</c:v>
                </c:pt>
                <c:pt idx="740">
                  <c:v>3</c:v>
                </c:pt>
                <c:pt idx="741">
                  <c:v>2</c:v>
                </c:pt>
                <c:pt idx="742">
                  <c:v>2</c:v>
                </c:pt>
                <c:pt idx="743">
                  <c:v>1</c:v>
                </c:pt>
                <c:pt idx="744">
                  <c:v>2</c:v>
                </c:pt>
                <c:pt idx="745">
                  <c:v>3</c:v>
                </c:pt>
                <c:pt idx="746">
                  <c:v>2</c:v>
                </c:pt>
                <c:pt idx="747">
                  <c:v>2</c:v>
                </c:pt>
                <c:pt idx="748">
                  <c:v>1</c:v>
                </c:pt>
                <c:pt idx="749">
                  <c:v>2</c:v>
                </c:pt>
                <c:pt idx="750">
                  <c:v>3</c:v>
                </c:pt>
                <c:pt idx="751">
                  <c:v>2</c:v>
                </c:pt>
                <c:pt idx="752">
                  <c:v>2</c:v>
                </c:pt>
                <c:pt idx="753">
                  <c:v>3</c:v>
                </c:pt>
                <c:pt idx="754">
                  <c:v>2</c:v>
                </c:pt>
                <c:pt idx="755">
                  <c:v>2</c:v>
                </c:pt>
                <c:pt idx="756">
                  <c:v>1</c:v>
                </c:pt>
                <c:pt idx="757">
                  <c:v>2</c:v>
                </c:pt>
                <c:pt idx="758">
                  <c:v>3</c:v>
                </c:pt>
                <c:pt idx="759">
                  <c:v>2</c:v>
                </c:pt>
                <c:pt idx="760">
                  <c:v>2</c:v>
                </c:pt>
                <c:pt idx="761">
                  <c:v>1</c:v>
                </c:pt>
                <c:pt idx="762">
                  <c:v>2</c:v>
                </c:pt>
                <c:pt idx="763">
                  <c:v>3</c:v>
                </c:pt>
                <c:pt idx="764">
                  <c:v>2</c:v>
                </c:pt>
                <c:pt idx="765">
                  <c:v>2</c:v>
                </c:pt>
                <c:pt idx="766">
                  <c:v>1</c:v>
                </c:pt>
                <c:pt idx="767">
                  <c:v>2</c:v>
                </c:pt>
                <c:pt idx="768">
                  <c:v>3</c:v>
                </c:pt>
                <c:pt idx="769">
                  <c:v>2</c:v>
                </c:pt>
                <c:pt idx="770">
                  <c:v>2</c:v>
                </c:pt>
                <c:pt idx="771">
                  <c:v>1</c:v>
                </c:pt>
                <c:pt idx="772">
                  <c:v>2</c:v>
                </c:pt>
                <c:pt idx="773">
                  <c:v>3</c:v>
                </c:pt>
                <c:pt idx="774">
                  <c:v>2</c:v>
                </c:pt>
                <c:pt idx="775">
                  <c:v>2</c:v>
                </c:pt>
                <c:pt idx="776">
                  <c:v>1</c:v>
                </c:pt>
                <c:pt idx="777">
                  <c:v>2</c:v>
                </c:pt>
                <c:pt idx="778">
                  <c:v>3</c:v>
                </c:pt>
                <c:pt idx="779">
                  <c:v>2</c:v>
                </c:pt>
                <c:pt idx="780">
                  <c:v>2</c:v>
                </c:pt>
                <c:pt idx="781">
                  <c:v>3</c:v>
                </c:pt>
                <c:pt idx="782">
                  <c:v>2</c:v>
                </c:pt>
                <c:pt idx="783">
                  <c:v>2</c:v>
                </c:pt>
                <c:pt idx="784">
                  <c:v>1</c:v>
                </c:pt>
                <c:pt idx="785">
                  <c:v>2</c:v>
                </c:pt>
                <c:pt idx="786">
                  <c:v>3</c:v>
                </c:pt>
                <c:pt idx="787">
                  <c:v>2</c:v>
                </c:pt>
                <c:pt idx="788">
                  <c:v>2</c:v>
                </c:pt>
                <c:pt idx="789">
                  <c:v>1</c:v>
                </c:pt>
                <c:pt idx="790">
                  <c:v>2</c:v>
                </c:pt>
                <c:pt idx="791">
                  <c:v>3</c:v>
                </c:pt>
                <c:pt idx="792">
                  <c:v>2</c:v>
                </c:pt>
                <c:pt idx="793">
                  <c:v>2</c:v>
                </c:pt>
                <c:pt idx="794">
                  <c:v>1</c:v>
                </c:pt>
                <c:pt idx="795">
                  <c:v>2</c:v>
                </c:pt>
                <c:pt idx="796">
                  <c:v>3</c:v>
                </c:pt>
                <c:pt idx="797">
                  <c:v>2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2</c:v>
                </c:pt>
                <c:pt idx="804">
                  <c:v>1</c:v>
                </c:pt>
                <c:pt idx="805">
                  <c:v>2</c:v>
                </c:pt>
                <c:pt idx="806">
                  <c:v>3</c:v>
                </c:pt>
                <c:pt idx="807">
                  <c:v>2</c:v>
                </c:pt>
                <c:pt idx="808">
                  <c:v>2</c:v>
                </c:pt>
                <c:pt idx="809">
                  <c:v>3</c:v>
                </c:pt>
                <c:pt idx="810">
                  <c:v>2</c:v>
                </c:pt>
                <c:pt idx="811">
                  <c:v>2</c:v>
                </c:pt>
                <c:pt idx="812">
                  <c:v>1</c:v>
                </c:pt>
                <c:pt idx="813">
                  <c:v>2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1</c:v>
                </c:pt>
                <c:pt idx="818">
                  <c:v>2</c:v>
                </c:pt>
                <c:pt idx="819">
                  <c:v>3</c:v>
                </c:pt>
                <c:pt idx="820">
                  <c:v>2</c:v>
                </c:pt>
                <c:pt idx="821">
                  <c:v>2</c:v>
                </c:pt>
                <c:pt idx="822">
                  <c:v>1</c:v>
                </c:pt>
                <c:pt idx="823">
                  <c:v>2</c:v>
                </c:pt>
                <c:pt idx="824">
                  <c:v>3</c:v>
                </c:pt>
                <c:pt idx="825">
                  <c:v>2</c:v>
                </c:pt>
                <c:pt idx="826">
                  <c:v>2</c:v>
                </c:pt>
                <c:pt idx="827">
                  <c:v>1</c:v>
                </c:pt>
                <c:pt idx="828">
                  <c:v>2</c:v>
                </c:pt>
                <c:pt idx="829">
                  <c:v>3</c:v>
                </c:pt>
                <c:pt idx="830">
                  <c:v>2</c:v>
                </c:pt>
                <c:pt idx="831">
                  <c:v>2</c:v>
                </c:pt>
                <c:pt idx="832">
                  <c:v>1</c:v>
                </c:pt>
                <c:pt idx="833">
                  <c:v>2</c:v>
                </c:pt>
                <c:pt idx="834">
                  <c:v>3</c:v>
                </c:pt>
                <c:pt idx="835">
                  <c:v>2</c:v>
                </c:pt>
                <c:pt idx="836">
                  <c:v>2</c:v>
                </c:pt>
                <c:pt idx="837">
                  <c:v>3</c:v>
                </c:pt>
                <c:pt idx="838">
                  <c:v>2</c:v>
                </c:pt>
                <c:pt idx="839">
                  <c:v>2</c:v>
                </c:pt>
                <c:pt idx="840">
                  <c:v>1</c:v>
                </c:pt>
                <c:pt idx="841">
                  <c:v>2</c:v>
                </c:pt>
                <c:pt idx="842">
                  <c:v>3</c:v>
                </c:pt>
                <c:pt idx="843">
                  <c:v>2</c:v>
                </c:pt>
                <c:pt idx="844">
                  <c:v>2</c:v>
                </c:pt>
                <c:pt idx="845">
                  <c:v>1</c:v>
                </c:pt>
                <c:pt idx="846">
                  <c:v>2</c:v>
                </c:pt>
                <c:pt idx="847">
                  <c:v>3</c:v>
                </c:pt>
                <c:pt idx="848">
                  <c:v>2</c:v>
                </c:pt>
                <c:pt idx="849">
                  <c:v>2</c:v>
                </c:pt>
                <c:pt idx="850">
                  <c:v>1</c:v>
                </c:pt>
                <c:pt idx="851">
                  <c:v>2</c:v>
                </c:pt>
                <c:pt idx="852">
                  <c:v>3</c:v>
                </c:pt>
                <c:pt idx="853">
                  <c:v>2</c:v>
                </c:pt>
                <c:pt idx="854">
                  <c:v>2</c:v>
                </c:pt>
                <c:pt idx="855">
                  <c:v>1</c:v>
                </c:pt>
                <c:pt idx="856">
                  <c:v>2</c:v>
                </c:pt>
                <c:pt idx="857">
                  <c:v>3</c:v>
                </c:pt>
                <c:pt idx="858">
                  <c:v>2</c:v>
                </c:pt>
                <c:pt idx="859">
                  <c:v>2</c:v>
                </c:pt>
                <c:pt idx="860">
                  <c:v>1</c:v>
                </c:pt>
                <c:pt idx="861">
                  <c:v>2</c:v>
                </c:pt>
                <c:pt idx="862">
                  <c:v>3</c:v>
                </c:pt>
                <c:pt idx="863">
                  <c:v>2</c:v>
                </c:pt>
                <c:pt idx="864">
                  <c:v>2</c:v>
                </c:pt>
                <c:pt idx="865">
                  <c:v>3</c:v>
                </c:pt>
                <c:pt idx="866">
                  <c:v>2</c:v>
                </c:pt>
                <c:pt idx="867">
                  <c:v>2</c:v>
                </c:pt>
                <c:pt idx="868">
                  <c:v>1</c:v>
                </c:pt>
                <c:pt idx="869">
                  <c:v>2</c:v>
                </c:pt>
                <c:pt idx="870">
                  <c:v>3</c:v>
                </c:pt>
                <c:pt idx="871">
                  <c:v>2</c:v>
                </c:pt>
                <c:pt idx="872">
                  <c:v>2</c:v>
                </c:pt>
                <c:pt idx="873">
                  <c:v>1</c:v>
                </c:pt>
                <c:pt idx="874">
                  <c:v>2</c:v>
                </c:pt>
                <c:pt idx="875">
                  <c:v>3</c:v>
                </c:pt>
                <c:pt idx="876">
                  <c:v>2</c:v>
                </c:pt>
                <c:pt idx="877">
                  <c:v>2</c:v>
                </c:pt>
                <c:pt idx="878">
                  <c:v>1</c:v>
                </c:pt>
                <c:pt idx="879">
                  <c:v>2</c:v>
                </c:pt>
                <c:pt idx="880">
                  <c:v>3</c:v>
                </c:pt>
                <c:pt idx="881">
                  <c:v>2</c:v>
                </c:pt>
                <c:pt idx="882">
                  <c:v>2</c:v>
                </c:pt>
                <c:pt idx="883">
                  <c:v>1</c:v>
                </c:pt>
                <c:pt idx="884">
                  <c:v>2</c:v>
                </c:pt>
                <c:pt idx="885">
                  <c:v>3</c:v>
                </c:pt>
                <c:pt idx="886">
                  <c:v>2</c:v>
                </c:pt>
                <c:pt idx="887">
                  <c:v>2</c:v>
                </c:pt>
                <c:pt idx="888">
                  <c:v>1</c:v>
                </c:pt>
                <c:pt idx="889">
                  <c:v>2</c:v>
                </c:pt>
                <c:pt idx="890">
                  <c:v>3</c:v>
                </c:pt>
                <c:pt idx="891">
                  <c:v>2</c:v>
                </c:pt>
                <c:pt idx="892">
                  <c:v>2</c:v>
                </c:pt>
                <c:pt idx="893">
                  <c:v>3</c:v>
                </c:pt>
                <c:pt idx="894">
                  <c:v>2</c:v>
                </c:pt>
                <c:pt idx="895">
                  <c:v>2</c:v>
                </c:pt>
                <c:pt idx="896">
                  <c:v>1</c:v>
                </c:pt>
                <c:pt idx="897">
                  <c:v>2</c:v>
                </c:pt>
                <c:pt idx="898">
                  <c:v>3</c:v>
                </c:pt>
                <c:pt idx="899">
                  <c:v>2</c:v>
                </c:pt>
                <c:pt idx="900">
                  <c:v>2</c:v>
                </c:pt>
                <c:pt idx="901">
                  <c:v>1</c:v>
                </c:pt>
                <c:pt idx="902">
                  <c:v>2</c:v>
                </c:pt>
                <c:pt idx="903">
                  <c:v>3</c:v>
                </c:pt>
                <c:pt idx="904">
                  <c:v>2</c:v>
                </c:pt>
                <c:pt idx="905">
                  <c:v>2</c:v>
                </c:pt>
                <c:pt idx="906">
                  <c:v>1</c:v>
                </c:pt>
                <c:pt idx="907">
                  <c:v>2</c:v>
                </c:pt>
                <c:pt idx="908">
                  <c:v>3</c:v>
                </c:pt>
                <c:pt idx="909">
                  <c:v>2</c:v>
                </c:pt>
                <c:pt idx="910">
                  <c:v>2</c:v>
                </c:pt>
                <c:pt idx="911">
                  <c:v>1</c:v>
                </c:pt>
                <c:pt idx="912">
                  <c:v>2</c:v>
                </c:pt>
                <c:pt idx="913">
                  <c:v>3</c:v>
                </c:pt>
                <c:pt idx="914">
                  <c:v>2</c:v>
                </c:pt>
                <c:pt idx="915">
                  <c:v>2</c:v>
                </c:pt>
                <c:pt idx="916">
                  <c:v>1</c:v>
                </c:pt>
                <c:pt idx="917">
                  <c:v>2</c:v>
                </c:pt>
                <c:pt idx="918">
                  <c:v>3</c:v>
                </c:pt>
                <c:pt idx="919">
                  <c:v>2</c:v>
                </c:pt>
                <c:pt idx="920">
                  <c:v>2</c:v>
                </c:pt>
                <c:pt idx="921">
                  <c:v>3</c:v>
                </c:pt>
                <c:pt idx="922">
                  <c:v>2</c:v>
                </c:pt>
                <c:pt idx="923">
                  <c:v>2</c:v>
                </c:pt>
                <c:pt idx="924">
                  <c:v>1</c:v>
                </c:pt>
                <c:pt idx="925">
                  <c:v>2</c:v>
                </c:pt>
                <c:pt idx="926">
                  <c:v>3</c:v>
                </c:pt>
                <c:pt idx="927">
                  <c:v>2</c:v>
                </c:pt>
                <c:pt idx="928">
                  <c:v>2</c:v>
                </c:pt>
                <c:pt idx="929">
                  <c:v>1</c:v>
                </c:pt>
                <c:pt idx="930">
                  <c:v>2</c:v>
                </c:pt>
                <c:pt idx="931">
                  <c:v>3</c:v>
                </c:pt>
                <c:pt idx="932">
                  <c:v>2</c:v>
                </c:pt>
                <c:pt idx="933">
                  <c:v>2</c:v>
                </c:pt>
                <c:pt idx="934">
                  <c:v>1</c:v>
                </c:pt>
                <c:pt idx="935">
                  <c:v>2</c:v>
                </c:pt>
                <c:pt idx="936">
                  <c:v>3</c:v>
                </c:pt>
                <c:pt idx="937">
                  <c:v>2</c:v>
                </c:pt>
                <c:pt idx="938">
                  <c:v>2</c:v>
                </c:pt>
                <c:pt idx="939">
                  <c:v>1</c:v>
                </c:pt>
                <c:pt idx="940">
                  <c:v>2</c:v>
                </c:pt>
                <c:pt idx="941">
                  <c:v>3</c:v>
                </c:pt>
                <c:pt idx="942">
                  <c:v>2</c:v>
                </c:pt>
                <c:pt idx="943">
                  <c:v>2</c:v>
                </c:pt>
                <c:pt idx="944">
                  <c:v>1</c:v>
                </c:pt>
                <c:pt idx="945">
                  <c:v>2</c:v>
                </c:pt>
                <c:pt idx="946">
                  <c:v>3</c:v>
                </c:pt>
                <c:pt idx="947">
                  <c:v>2</c:v>
                </c:pt>
                <c:pt idx="948">
                  <c:v>2</c:v>
                </c:pt>
                <c:pt idx="949">
                  <c:v>3</c:v>
                </c:pt>
                <c:pt idx="950">
                  <c:v>2</c:v>
                </c:pt>
                <c:pt idx="951">
                  <c:v>2</c:v>
                </c:pt>
                <c:pt idx="952">
                  <c:v>1</c:v>
                </c:pt>
                <c:pt idx="953">
                  <c:v>2</c:v>
                </c:pt>
                <c:pt idx="954">
                  <c:v>3</c:v>
                </c:pt>
                <c:pt idx="955">
                  <c:v>2</c:v>
                </c:pt>
                <c:pt idx="956">
                  <c:v>2</c:v>
                </c:pt>
                <c:pt idx="957">
                  <c:v>1</c:v>
                </c:pt>
                <c:pt idx="958">
                  <c:v>2</c:v>
                </c:pt>
                <c:pt idx="959">
                  <c:v>3</c:v>
                </c:pt>
                <c:pt idx="960">
                  <c:v>2</c:v>
                </c:pt>
                <c:pt idx="961">
                  <c:v>2</c:v>
                </c:pt>
                <c:pt idx="962">
                  <c:v>1</c:v>
                </c:pt>
                <c:pt idx="963">
                  <c:v>2</c:v>
                </c:pt>
                <c:pt idx="964">
                  <c:v>3</c:v>
                </c:pt>
                <c:pt idx="965">
                  <c:v>2</c:v>
                </c:pt>
                <c:pt idx="966">
                  <c:v>2</c:v>
                </c:pt>
                <c:pt idx="967">
                  <c:v>1</c:v>
                </c:pt>
                <c:pt idx="968">
                  <c:v>2</c:v>
                </c:pt>
                <c:pt idx="969">
                  <c:v>3</c:v>
                </c:pt>
                <c:pt idx="970">
                  <c:v>2</c:v>
                </c:pt>
                <c:pt idx="971">
                  <c:v>2</c:v>
                </c:pt>
                <c:pt idx="972">
                  <c:v>1</c:v>
                </c:pt>
                <c:pt idx="973">
                  <c:v>2</c:v>
                </c:pt>
                <c:pt idx="974">
                  <c:v>3</c:v>
                </c:pt>
                <c:pt idx="975">
                  <c:v>2</c:v>
                </c:pt>
                <c:pt idx="976">
                  <c:v>2</c:v>
                </c:pt>
                <c:pt idx="977">
                  <c:v>3</c:v>
                </c:pt>
                <c:pt idx="978">
                  <c:v>2</c:v>
                </c:pt>
                <c:pt idx="979">
                  <c:v>2</c:v>
                </c:pt>
                <c:pt idx="980">
                  <c:v>1</c:v>
                </c:pt>
                <c:pt idx="981">
                  <c:v>2</c:v>
                </c:pt>
                <c:pt idx="982">
                  <c:v>3</c:v>
                </c:pt>
                <c:pt idx="983">
                  <c:v>2</c:v>
                </c:pt>
                <c:pt idx="984">
                  <c:v>2</c:v>
                </c:pt>
                <c:pt idx="985">
                  <c:v>1</c:v>
                </c:pt>
                <c:pt idx="986">
                  <c:v>2</c:v>
                </c:pt>
                <c:pt idx="987">
                  <c:v>3</c:v>
                </c:pt>
                <c:pt idx="988">
                  <c:v>2</c:v>
                </c:pt>
                <c:pt idx="989">
                  <c:v>2</c:v>
                </c:pt>
                <c:pt idx="990">
                  <c:v>1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2</c:v>
                </c:pt>
                <c:pt idx="995">
                  <c:v>1</c:v>
                </c:pt>
                <c:pt idx="996">
                  <c:v>2</c:v>
                </c:pt>
                <c:pt idx="997">
                  <c:v>3</c:v>
                </c:pt>
                <c:pt idx="998">
                  <c:v>2</c:v>
                </c:pt>
                <c:pt idx="999">
                  <c:v>2</c:v>
                </c:pt>
                <c:pt idx="1000">
                  <c:v>1</c:v>
                </c:pt>
                <c:pt idx="1001">
                  <c:v>2</c:v>
                </c:pt>
                <c:pt idx="1002">
                  <c:v>3</c:v>
                </c:pt>
                <c:pt idx="100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23-2B4C-8660-C1A084D1A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155023"/>
        <c:axId val="1371262095"/>
      </c:scatterChart>
      <c:valAx>
        <c:axId val="137115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262095"/>
        <c:crosses val="autoZero"/>
        <c:crossBetween val="midCat"/>
      </c:valAx>
      <c:valAx>
        <c:axId val="137126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5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</cx:f>
      </cx:numDim>
    </cx:data>
  </cx:chartData>
  <cx:chart>
    <cx:title pos="t" align="ctr" overlay="0">
      <cx:tx>
        <cx:txData>
          <cx:v>Delivery Duration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 b="1">
              <a:solidFill>
                <a:schemeClr val="tx1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r>
            <a:rPr lang="en-US" sz="1600" b="1" i="0" u="none" strike="noStrike" baseline="0">
              <a:solidFill>
                <a:schemeClr val="tx1"/>
              </a:solidFill>
              <a:latin typeface="Aptos Narrow" panose="020B0004020202020204" pitchFamily="34" charset="0"/>
              <a:ea typeface="Tahoma" panose="020B0604030504040204" pitchFamily="34" charset="0"/>
              <a:cs typeface="Tahoma" panose="020B0604030504040204" pitchFamily="34" charset="0"/>
            </a:rPr>
            <a:t>Delivery Duration Histogram</a:t>
          </a:r>
        </a:p>
      </cx:txPr>
    </cx:title>
    <cx:plotArea>
      <cx:plotAreaRegion>
        <cx:series layoutId="clusteredColumn" uniqueId="{51F62E5F-13C9-4410-84B5-82104C011FB1}">
          <cx:tx>
            <cx:txData>
              <cx:f>_xlchart.v1.33</cx:f>
              <cx:v>Delivery Duration (min)</cx:v>
            </cx:txData>
          </cx:tx>
          <cx:spPr>
            <a:solidFill>
              <a:schemeClr val="accent1">
                <a:lumMod val="20000"/>
                <a:lumOff val="80000"/>
              </a:schemeClr>
            </a:solidFill>
          </cx:spPr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Delivery Duration (min)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 b="1">
                  <a:solidFill>
                    <a:schemeClr val="tx1"/>
                  </a:solidFill>
                </a:defRPr>
              </a:pPr>
              <a:r>
                <a:rPr lang="en-US" sz="1100" b="1" i="0" u="none" strike="noStrike" baseline="0">
                  <a:solidFill>
                    <a:schemeClr val="tx1"/>
                  </a:solidFill>
                  <a:latin typeface="Aptos Narrow" panose="02110004020202020204"/>
                </a:rPr>
                <a:t>Delivery Duration (min)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050" b="1" i="0" u="none" strike="noStrike" baseline="0">
              <a:solidFill>
                <a:schemeClr val="tx1"/>
              </a:solidFill>
              <a:latin typeface="Aptos Narrow" panose="020B000402020202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>
                  <a:defRPr sz="1200">
                    <a:solidFill>
                      <a:schemeClr val="tx1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r>
                  <a:rPr lang="en-US" sz="1200" b="1" i="0" baseline="0">
                    <a:solidFill>
                      <a:schemeClr val="tx1"/>
                    </a:solidFill>
                    <a:effectLst/>
                    <a:latin typeface="Aptos Narrow" panose="020B0004020202020204" pitchFamily="34" charset="0"/>
                  </a:rPr>
                  <a:t>Count of Orders </a:t>
                </a:r>
                <a:endParaRPr lang="en-US" sz="1200">
                  <a:solidFill>
                    <a:schemeClr val="tx1"/>
                  </a:solidFill>
                  <a:effectLst/>
                  <a:latin typeface="Aptos Narrow" panose="020B0004020202020204" pitchFamily="34" charset="0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 sz="1050" b="1" i="0" u="none" strike="noStrike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Delivery Duration Boxplot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 b="1">
              <a:solidFill>
                <a:schemeClr val="tx1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r>
            <a:rPr lang="en-US" sz="1600" b="1" i="0" u="none" strike="noStrike" baseline="0">
              <a:solidFill>
                <a:schemeClr val="tx1"/>
              </a:solidFill>
              <a:latin typeface="Aptos Narrow" panose="020B0004020202020204" pitchFamily="34" charset="0"/>
              <a:ea typeface="Tahoma" panose="020B0604030504040204" pitchFamily="34" charset="0"/>
              <a:cs typeface="Tahoma" panose="020B0604030504040204" pitchFamily="34" charset="0"/>
            </a:rPr>
            <a:t>Delivery Duration Boxplot</a:t>
          </a:r>
        </a:p>
      </cx:txPr>
    </cx:title>
    <cx:plotArea>
      <cx:plotAreaRegion>
        <cx:series layoutId="boxWhisker" uniqueId="{99AC9EF4-5D14-477D-8315-94377F18ACA1}">
          <cx:tx>
            <cx:txData>
              <cx:f>_xlchart.v1.0</cx:f>
              <cx:v>Delivery Duration (min)</cx:v>
            </cx:txData>
          </cx:tx>
          <cx:spPr>
            <a:solidFill>
              <a:schemeClr val="accent1">
                <a:lumMod val="20000"/>
                <a:lumOff val="8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76999998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1" i="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b="1">
              <a:solidFill>
                <a:schemeClr val="bg1"/>
              </a:solidFill>
            </a:endParaRPr>
          </a:p>
        </cx:txPr>
      </cx:axis>
      <cx:axis id="1">
        <cx:valScaling/>
        <cx:title>
          <cx:tx>
            <cx:txData>
              <cx:v>Delivery Duration (min)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 b="1">
                  <a:solidFill>
                    <a:schemeClr val="tx1"/>
                  </a:solidFill>
                </a:defRPr>
              </a:pPr>
              <a:r>
                <a:rPr lang="en-US" sz="1100" b="1" i="0" u="none" strike="noStrike" baseline="0">
                  <a:solidFill>
                    <a:schemeClr val="tx1"/>
                  </a:solidFill>
                  <a:latin typeface="Aptos Narrow" panose="02110004020202020204"/>
                </a:rPr>
                <a:t>Delivery Duration (min)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1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sz="1100" b="1">
              <a:solidFill>
                <a:schemeClr val="tx1"/>
              </a:solidFill>
              <a:latin typeface="Aptos Narrow" panose="020B0004020202020204" pitchFamily="34" charset="0"/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Distance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 b="1"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r>
            <a:rPr lang="en-US" sz="1600" b="1" i="0" u="none" strike="noStrike" baseline="0">
              <a:solidFill>
                <a:schemeClr val="tx1"/>
              </a:solidFill>
              <a:latin typeface="Aptos Narrow" panose="020B0004020202020204" pitchFamily="34" charset="0"/>
              <a:ea typeface="Tahoma" panose="020B0604030504040204" pitchFamily="34" charset="0"/>
              <a:cs typeface="Tahoma" panose="020B0604030504040204" pitchFamily="34" charset="0"/>
            </a:rPr>
            <a:t>Distance Histogram</a:t>
          </a:r>
        </a:p>
      </cx:txPr>
    </cx:title>
    <cx:plotArea>
      <cx:plotAreaRegion>
        <cx:series layoutId="clusteredColumn" uniqueId="{D100E160-6F12-4FD2-9A00-CB1E3BA3FED4}">
          <cx:tx>
            <cx:txData>
              <cx:f>_xlchart.v1.8</cx:f>
              <cx:v>Distance (km)</cx:v>
            </cx:txData>
          </cx:tx>
          <cx:spPr>
            <a:solidFill>
              <a:schemeClr val="tx2">
                <a:lumMod val="25000"/>
                <a:lumOff val="75000"/>
              </a:schemeClr>
            </a:solidFill>
          </cx:spPr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>
                    <a:solidFill>
                      <a:schemeClr val="tx1"/>
                    </a:solidFill>
                  </a:defRPr>
                </a:pPr>
                <a:r>
                  <a:rPr lang="en-US" sz="1050" b="1" i="0" u="none" strike="noStrike" baseline="0">
                    <a:solidFill>
                      <a:schemeClr val="tx1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Distance (km) </a:t>
                </a:r>
                <a:endParaRPr lang="en-US" sz="1050" b="0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100" b="1" i="0" u="none" strike="noStrike" baseline="0">
              <a:solidFill>
                <a:schemeClr val="tx1"/>
              </a:solidFill>
              <a:latin typeface="Aptos Narrow" panose="020B000402020202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>
                  <a:defRPr sz="1100">
                    <a:solidFill>
                      <a:schemeClr val="tx1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r>
                  <a:rPr lang="en-US" sz="1100" b="1" i="0" baseline="0">
                    <a:solidFill>
                      <a:schemeClr val="tx1"/>
                    </a:solidFill>
                    <a:effectLst/>
                    <a:latin typeface="Aptos Narrow" panose="020B0004020202020204" pitchFamily="34" charset="0"/>
                  </a:rPr>
                  <a:t>Count of Orders </a:t>
                </a:r>
                <a:endParaRPr lang="en-US" sz="1100">
                  <a:solidFill>
                    <a:schemeClr val="tx1"/>
                  </a:solidFill>
                  <a:effectLst/>
                  <a:latin typeface="Aptos Narrow" panose="020B0004020202020204" pitchFamily="34" charset="0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100" b="1" i="0" u="none" strike="noStrike" baseline="0">
              <a:solidFill>
                <a:schemeClr val="tx1"/>
              </a:solidFill>
              <a:latin typeface="Aptos Narrow" panose="020B000402020202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Distance 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 b="1"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r>
            <a:rPr lang="en-US" sz="1600" b="1" i="0" u="none" strike="noStrike" baseline="0">
              <a:solidFill>
                <a:schemeClr val="tx1"/>
              </a:solidFill>
              <a:latin typeface="Aptos Narrow" panose="020B0004020202020204" pitchFamily="34" charset="0"/>
              <a:ea typeface="Tahoma" panose="020B0604030504040204" pitchFamily="34" charset="0"/>
              <a:cs typeface="Tahoma" panose="020B0604030504040204" pitchFamily="34" charset="0"/>
            </a:rPr>
            <a:t>Distance Box Plot</a:t>
          </a:r>
        </a:p>
      </cx:txPr>
    </cx:title>
    <cx:plotArea>
      <cx:plotAreaRegion>
        <cx:series layoutId="boxWhisker" uniqueId="{F8C9A062-C418-4C39-BB14-B71E533F7F9B}">
          <cx:tx>
            <cx:txData>
              <cx:f>_xlchart.v1.2</cx:f>
              <cx:v>Distance (km)</cx:v>
            </cx:txData>
          </cx:tx>
          <cx:spPr>
            <a:solidFill>
              <a:schemeClr val="tx2">
                <a:lumMod val="25000"/>
                <a:lumOff val="75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1" i="0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b="1">
              <a:solidFill>
                <a:schemeClr val="bg1"/>
              </a:solidFill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>
                  <a:defRPr sz="1100">
                    <a:solidFill>
                      <a:schemeClr val="tx1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r>
                  <a:rPr lang="en-US" sz="1100" b="1" i="0" baseline="0">
                    <a:solidFill>
                      <a:schemeClr val="tx1"/>
                    </a:solidFill>
                    <a:effectLst/>
                    <a:latin typeface="Aptos Narrow" panose="020B0004020202020204" pitchFamily="34" charset="0"/>
                  </a:rPr>
                  <a:t>Distance (km) </a:t>
                </a:r>
                <a:endParaRPr lang="en-US" sz="1100">
                  <a:solidFill>
                    <a:schemeClr val="tx1"/>
                  </a:solidFill>
                  <a:effectLst/>
                  <a:latin typeface="Aptos Narrow" panose="020B0004020202020204" pitchFamily="34" charset="0"/>
                </a:endParaRPr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1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sz="1100" b="1">
              <a:solidFill>
                <a:schemeClr val="tx1"/>
              </a:solidFill>
            </a:endParaRPr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>
                <a:solidFill>
                  <a:schemeClr val="tx1"/>
                </a:solidFill>
              </a:defRPr>
            </a:pPr>
            <a:r>
              <a:rPr lang="en-US" sz="1600" b="1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Toppings Count Histogram</a:t>
            </a:r>
            <a:r>
              <a:rPr lang="en-US" sz="1600">
                <a:solidFill>
                  <a:schemeClr val="tx1"/>
                </a:solidFill>
              </a:rPr>
              <a:t> </a:t>
            </a:r>
            <a:endParaRPr lang="en-US" sz="16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9A2E511-995A-0B4F-9133-669B917464F5}">
          <cx:tx>
            <cx:txData>
              <cx:f>_xlchart.v1.6</cx:f>
              <cx:v>Toppings Count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</cx:spPr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>
                    <a:solidFill>
                      <a:schemeClr val="tx1"/>
                    </a:solidFill>
                  </a:defRPr>
                </a:pP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Toppings Count </a:t>
                </a:r>
                <a:endParaRPr lang="en-US" sz="1100" b="0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rich>
          </cx:tx>
        </cx:title>
        <cx:tickLabels/>
        <cx:numFmt formatCode="0_);(0)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>
                <a:solidFill>
                  <a:schemeClr val="tx1"/>
                </a:solidFill>
              </a:defRPr>
            </a:pPr>
            <a:endParaRPr lang="en-US" sz="105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>
                  <a:defRPr sz="1100">
                    <a:solidFill>
                      <a:schemeClr val="tx1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r>
                  <a:rPr lang="en-US" sz="1100" b="1" i="0" baseline="0">
                    <a:solidFill>
                      <a:schemeClr val="tx1"/>
                    </a:solidFill>
                    <a:effectLst/>
                    <a:latin typeface="Aptos Narrow" panose="020B0004020202020204" pitchFamily="34" charset="0"/>
                  </a:rPr>
                  <a:t>Count of Orders </a:t>
                </a:r>
                <a:endParaRPr lang="en-US" sz="1100">
                  <a:solidFill>
                    <a:schemeClr val="tx1"/>
                  </a:solidFill>
                  <a:effectLst/>
                  <a:latin typeface="Aptos Narrow" panose="020B0004020202020204" pitchFamily="34" charset="0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>
                <a:solidFill>
                  <a:schemeClr val="tx1"/>
                </a:solidFill>
              </a:defRPr>
            </a:pPr>
            <a:endParaRPr lang="en-US" sz="110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600">
                <a:solidFill>
                  <a:schemeClr val="tx1"/>
                </a:solidFill>
                <a:latin typeface="+mn-lt"/>
              </a:defRPr>
            </a:pPr>
            <a:r>
              <a:rPr lang="en-US" sz="1600" b="1" i="0" baseline="0">
                <a:solidFill>
                  <a:schemeClr val="tx1"/>
                </a:solidFill>
                <a:effectLst/>
                <a:latin typeface="+mn-lt"/>
              </a:rPr>
              <a:t>Toppings Count Box Plot</a:t>
            </a:r>
            <a:endParaRPr lang="en-US" sz="1600">
              <a:solidFill>
                <a:schemeClr val="tx1"/>
              </a:solidFill>
              <a:effectLst/>
              <a:latin typeface="+mn-lt"/>
            </a:endParaRPr>
          </a:p>
        </cx:rich>
      </cx:tx>
    </cx:title>
    <cx:plotArea>
      <cx:plotAreaRegion>
        <cx:series layoutId="boxWhisker" uniqueId="{0A143786-B5FF-9840-862C-791182C89772}">
          <cx:tx>
            <cx:txData>
              <cx:f>_xlchart.v1.4</cx:f>
              <cx:v>Toppings Count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n-US" sz="9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>
                  <a:defRPr sz="1100">
                    <a:solidFill>
                      <a:schemeClr val="tx1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r>
                  <a:rPr lang="en-US" sz="1100" b="1" i="0" baseline="0">
                    <a:solidFill>
                      <a:schemeClr val="tx1"/>
                    </a:solidFill>
                    <a:effectLst/>
                    <a:latin typeface="Aptos Narrow" panose="020B0004020202020204" pitchFamily="34" charset="0"/>
                  </a:rPr>
                  <a:t>Toppings Count </a:t>
                </a:r>
                <a:endParaRPr lang="en-US" sz="1100">
                  <a:solidFill>
                    <a:schemeClr val="tx1"/>
                  </a:solidFill>
                  <a:effectLst/>
                  <a:latin typeface="Aptos Narrow" panose="020B0004020202020204" pitchFamily="34" charset="0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/>
            </a:pPr>
            <a:endParaRPr lang="en-US" sz="105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_xlchart.v1.23</cx:f>
      </cx:strDim>
      <cx:numDim type="val">
        <cx:f>_xlchart.v1.25</cx:f>
      </cx:numDim>
    </cx:data>
  </cx:chartData>
  <cx:chart>
    <cx:title pos="t" align="ctr" overlay="0">
      <cx:tx>
        <cx:txData>
          <cx:v>Box Plot of Delivery Duration by Reataurant Name</cx:v>
        </cx:txData>
      </cx:tx>
      <cx:txPr>
        <a:bodyPr vertOverflow="overflow" horzOverflow="overflow" wrap="square" lIns="0" tIns="0" rIns="0" bIns="0"/>
        <a:lstStyle/>
        <a:p>
          <a:pPr algn="ctr" rtl="0">
            <a:defRPr sz="1600" b="1" i="0">
              <a:solidFill>
                <a:schemeClr val="tx1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r>
            <a:rPr lang="en-US" sz="1600" b="1">
              <a:solidFill>
                <a:schemeClr val="tx1"/>
              </a:solidFill>
            </a:rPr>
            <a:t>Box Plot of Delivery Duration by Reataurant Name</a:t>
          </a:r>
        </a:p>
      </cx:txPr>
    </cx:title>
    <cx:plotArea>
      <cx:plotAreaRegion>
        <cx:series layoutId="boxWhisker" uniqueId="{894B48CD-8BAE-2848-A3BA-701F50EFB766}">
          <cx:tx>
            <cx:txData>
              <cx:f>_xlchart.v1.24</cx:f>
              <cx:v>Delivery Duration (min)</cx:v>
            </cx:txData>
          </cx:tx>
          <cx:spPr>
            <a:solidFill>
              <a:srgbClr val="C1E5F5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400" b="1">
              <a:solidFill>
                <a:schemeClr val="tx1"/>
              </a:solidFill>
            </a:endParaRPr>
          </a:p>
        </cx:txPr>
      </cx:axis>
      <cx:axis id="1">
        <cx:valScaling/>
        <cx:title>
          <cx:tx>
            <cx:txData>
              <cx:v>Delivery Duration (min)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 b="1">
                  <a:solidFill>
                    <a:schemeClr val="tx1"/>
                  </a:solidFill>
                </a:defRPr>
              </a:pPr>
              <a:r>
                <a:rPr lang="en-US" sz="1100" b="1" i="0" u="none" strike="noStrike" baseline="0">
                  <a:solidFill>
                    <a:schemeClr val="tx1"/>
                  </a:solidFill>
                  <a:latin typeface="Aptos Narrow" panose="02110004020202020204"/>
                </a:rPr>
                <a:t>Delivery Duration (min)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400" b="1">
              <a:solidFill>
                <a:schemeClr val="tx1"/>
              </a:solidFill>
            </a:endParaRPr>
          </a:p>
        </cx:txPr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</cx:f>
      </cx:strDim>
      <cx:numDim type="val">
        <cx:f>_xlchart.v1.32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>
                <a:solidFill>
                  <a:schemeClr val="tx1"/>
                </a:solidFill>
              </a:defRPr>
            </a:pPr>
            <a:r>
              <a:rPr lang="en-US" sz="1600" b="1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Box Plot of Toppings Count  by Reataurant Name</a:t>
            </a:r>
            <a:r>
              <a:rPr lang="en-US" sz="1600">
                <a:solidFill>
                  <a:schemeClr val="tx1"/>
                </a:solidFill>
              </a:rPr>
              <a:t> </a:t>
            </a:r>
            <a:r>
              <a:rPr lang="en-US" sz="1600" b="1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</a:t>
            </a:r>
            <a:endParaRPr lang="en-US" sz="16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876EDA36-1D7B-5C47-AC5E-41CBE31F5244}">
          <cx:tx>
            <cx:txData>
              <cx:f>_xlchart.v1.31</cx:f>
              <cx:v>Toppings Count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>
                <a:solidFill>
                  <a:schemeClr val="tx1"/>
                </a:solidFill>
              </a:defRPr>
            </a:pPr>
            <a:endParaRPr lang="en-US" sz="105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en-US" sz="1100" b="1" i="0" baseline="0">
                    <a:solidFill>
                      <a:schemeClr val="tx1"/>
                    </a:solidFill>
                    <a:effectLst/>
                    <a:latin typeface="Aptos Narrow" panose="020B0004020202020204" pitchFamily="34" charset="0"/>
                  </a:rPr>
                  <a:t>Toppings Count </a:t>
                </a:r>
                <a:endParaRPr lang="en-US" sz="500">
                  <a:solidFill>
                    <a:schemeClr val="tx1"/>
                  </a:solidFill>
                  <a:effectLst/>
                  <a:latin typeface="Aptos Narrow" panose="020B0004020202020204" pitchFamily="34" charset="0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>
                <a:solidFill>
                  <a:schemeClr val="tx1"/>
                </a:solidFill>
              </a:defRPr>
            </a:pPr>
            <a:endParaRPr lang="en-US" sz="110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600" b="1">
                <a:solidFill>
                  <a:schemeClr val="tx1"/>
                </a:solidFill>
              </a:defRPr>
            </a:pPr>
            <a:r>
              <a:rPr lang="en-US" sz="1600" b="1" i="0" baseline="0">
                <a:solidFill>
                  <a:schemeClr val="tx1"/>
                </a:solidFill>
                <a:effectLst/>
              </a:rPr>
              <a:t>Box Plot of Distance by Reataurant Name</a:t>
            </a:r>
            <a:endParaRPr lang="en-US" sz="1600" b="1">
              <a:solidFill>
                <a:schemeClr val="tx1"/>
              </a:solidFill>
              <a:effectLst/>
            </a:endParaRPr>
          </a:p>
        </cx:rich>
      </cx:tx>
    </cx:title>
    <cx:plotArea>
      <cx:plotAreaRegion>
        <cx:series layoutId="boxWhisker" uniqueId="{14A41350-6D5D-2545-B127-F2664ED479DC}">
          <cx:tx>
            <cx:txData>
              <cx:f>_xlchart.v1.17</cx:f>
              <cx:v>Distance (km)</cx:v>
            </cx:txData>
          </cx:tx>
          <cx:spPr>
            <a:solidFill>
              <a:srgbClr val="A6CAED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1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100" b="1">
              <a:solidFill>
                <a:schemeClr val="tx1"/>
              </a:solidFill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>
                  <a:defRPr sz="1100">
                    <a:solidFill>
                      <a:schemeClr val="tx1"/>
                    </a:solidFill>
                  </a:defRPr>
                </a:pPr>
                <a:r>
                  <a:rPr lang="en-US" sz="1100" b="1" i="0" baseline="0">
                    <a:solidFill>
                      <a:schemeClr val="tx1"/>
                    </a:solidFill>
                    <a:effectLst/>
                  </a:rPr>
                  <a:t>Distance (km) </a:t>
                </a:r>
                <a:endParaRPr lang="en-US" sz="1100">
                  <a:solidFill>
                    <a:schemeClr val="tx1"/>
                  </a:solidFill>
                  <a:effectLst/>
                </a:endParaRPr>
              </a:p>
            </cx:rich>
          </cx:tx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100" b="1" i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100" b="1">
              <a:solidFill>
                <a:schemeClr val="tx1"/>
              </a:solidFill>
            </a:endParaRPr>
          </a:p>
        </cx:txPr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Traffic Impact Histogram</a:t>
            </a:r>
            <a:r>
              <a:rPr lang="en-US" sz="1400" b="0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</a:t>
            </a:r>
            <a:endParaRPr lang="en-US" sz="14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90C7E4F8-D644-CE46-859F-8FAF5DD30996}">
          <cx:tx>
            <cx:txData>
              <cx:f>_xlchart.v1.28</cx:f>
              <cx:v>Traffic Impact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</cx:spPr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/>
                </a:pP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Traffic Impact </a:t>
                </a:r>
                <a:endParaRPr lang="en-US" sz="1100" b="0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 b="1">
                <a:solidFill>
                  <a:schemeClr val="tx1"/>
                </a:solidFill>
              </a:defRPr>
            </a:pPr>
            <a:endParaRPr lang="en-US" sz="90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>
                  <a:defRPr>
                    <a:solidFill>
                      <a:schemeClr val="tx1"/>
                    </a:solidFill>
                  </a:defRPr>
                </a:pPr>
                <a:r>
                  <a:rPr lang="en-US" sz="1100" b="1" i="0" baseline="0">
                    <a:solidFill>
                      <a:schemeClr val="tx1"/>
                    </a:solidFill>
                    <a:effectLst/>
                    <a:latin typeface="Aptos Narrow" panose="020B0004020202020204" pitchFamily="34" charset="0"/>
                  </a:rPr>
                  <a:t>Count of Orders </a:t>
                </a:r>
                <a:endParaRPr lang="en-US" sz="500">
                  <a:solidFill>
                    <a:schemeClr val="tx1"/>
                  </a:solidFill>
                  <a:effectLst/>
                  <a:latin typeface="Aptos Narrow" panose="020B0004020202020204" pitchFamily="34" charset="0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1"/>
                </a:solidFill>
              </a:defRPr>
            </a:pPr>
            <a:endParaRPr lang="en-US" sz="100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Traffic Impact Box Plot</a:t>
            </a:r>
            <a:r>
              <a:rPr lang="en-US">
                <a:solidFill>
                  <a:schemeClr val="tx1"/>
                </a:solidFill>
              </a:rPr>
              <a:t> </a:t>
            </a:r>
            <a:endParaRPr lang="en-US" sz="14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0AF61466-D071-FF4C-A139-208BFC890EE1}">
          <cx:tx>
            <cx:txData>
              <cx:f>_xlchart.v1.21</cx:f>
              <cx:v>Traffic Impact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n-US" sz="9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>
                  <a:defRPr sz="1100">
                    <a:solidFill>
                      <a:schemeClr val="tx1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r>
                  <a:rPr lang="en-US" sz="1100" b="1" i="0" baseline="0">
                    <a:solidFill>
                      <a:schemeClr val="tx1"/>
                    </a:solidFill>
                    <a:effectLst/>
                    <a:latin typeface="Aptos Narrow" panose="020B0004020202020204" pitchFamily="34" charset="0"/>
                  </a:rPr>
                  <a:t>Traffic Impact </a:t>
                </a:r>
                <a:endParaRPr lang="en-US" sz="1100">
                  <a:solidFill>
                    <a:schemeClr val="tx1"/>
                  </a:solidFill>
                  <a:effectLst/>
                  <a:latin typeface="Aptos Narrow" panose="020B0004020202020204" pitchFamily="34" charset="0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>
                <a:solidFill>
                  <a:schemeClr val="tx1"/>
                </a:solidFill>
              </a:defRPr>
            </a:pPr>
            <a:endParaRPr lang="en-US" sz="110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val">
        <cx:f>_xlchart.v1.15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600">
                <a:solidFill>
                  <a:schemeClr val="tx1"/>
                </a:solidFill>
              </a:defRPr>
            </a:pPr>
            <a:r>
              <a:rPr lang="en-US" sz="1600" b="1" i="0" baseline="0">
                <a:solidFill>
                  <a:schemeClr val="tx1"/>
                </a:solidFill>
                <a:effectLst/>
              </a:rPr>
              <a:t>Box Plot of Traffic Impact by Reataurant Name</a:t>
            </a:r>
            <a:r>
              <a:rPr lang="en-US" sz="1600" b="0" i="0" baseline="0">
                <a:solidFill>
                  <a:schemeClr val="tx1"/>
                </a:solidFill>
                <a:effectLst/>
              </a:rPr>
              <a:t> </a:t>
            </a:r>
            <a:r>
              <a:rPr lang="en-US" sz="1600" b="1" i="0" baseline="0">
                <a:solidFill>
                  <a:schemeClr val="tx1"/>
                </a:solidFill>
                <a:effectLst/>
              </a:rPr>
              <a:t> </a:t>
            </a:r>
            <a:endParaRPr lang="en-US" sz="1600">
              <a:solidFill>
                <a:schemeClr val="tx1"/>
              </a:solidFill>
              <a:effectLst/>
            </a:endParaRPr>
          </a:p>
        </cx:rich>
      </cx:tx>
    </cx:title>
    <cx:plotArea>
      <cx:plotAreaRegion>
        <cx:series layoutId="boxWhisker" uniqueId="{2A92BD73-0BD9-B94F-87AE-8C647C6902E7}">
          <cx:tx>
            <cx:txData>
              <cx:f>_xlchart.v1.14</cx:f>
              <cx:v>Traffic Impact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>
                <a:solidFill>
                  <a:schemeClr val="tx1"/>
                </a:solidFill>
              </a:defRPr>
            </a:pPr>
            <a:endParaRPr lang="en-US" sz="105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>
                  <a:defRPr sz="1100">
                    <a:solidFill>
                      <a:schemeClr val="tx1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r>
                  <a:rPr lang="en-US" sz="1100" b="1" i="0" baseline="0">
                    <a:solidFill>
                      <a:schemeClr val="tx1"/>
                    </a:solidFill>
                    <a:effectLst/>
                    <a:latin typeface="Aptos Narrow" panose="020B0004020202020204" pitchFamily="34" charset="0"/>
                  </a:rPr>
                  <a:t>Traffic Impact </a:t>
                </a:r>
                <a:endParaRPr lang="en-US" sz="1100">
                  <a:solidFill>
                    <a:schemeClr val="tx1"/>
                  </a:solidFill>
                  <a:effectLst/>
                  <a:latin typeface="Aptos Narrow" panose="020B0004020202020204" pitchFamily="34" charset="0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>
                <a:solidFill>
                  <a:schemeClr val="tx1"/>
                </a:solidFill>
              </a:defRPr>
            </a:pPr>
            <a:endParaRPr lang="en-US" sz="105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Order Hour Histogram</a:t>
            </a:r>
            <a:r>
              <a:rPr lang="en-US" sz="1400" b="0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</a:t>
            </a:r>
            <a:endParaRPr lang="en-US" sz="14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2BD11129-AB23-D342-AF29-A5F72C8E6F14}">
          <cx:tx>
            <cx:txData>
              <cx:f>_xlchart.v1.19</cx:f>
              <cx:v>Order Hour</cx:v>
            </cx:txData>
          </cx:tx>
          <cx:spPr>
            <a:solidFill>
              <a:srgbClr val="BFC7FF"/>
            </a:solidFill>
          </cx:spPr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>
                    <a:solidFill>
                      <a:schemeClr val="tx1"/>
                    </a:solidFill>
                  </a:defRPr>
                </a:pP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Order Hour </a:t>
                </a:r>
                <a:endParaRPr lang="en-US" sz="1100" b="0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tx1"/>
                </a:solidFill>
              </a:defRPr>
            </a:pPr>
            <a:endParaRPr lang="en-US" sz="90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en-US" sz="1100" b="1" i="0" baseline="0">
                    <a:solidFill>
                      <a:schemeClr val="tx1"/>
                    </a:solidFill>
                    <a:effectLst/>
                    <a:latin typeface="Aptos Narrow" panose="020B0004020202020204" pitchFamily="34" charset="0"/>
                  </a:rPr>
                  <a:t>Count of Orders </a:t>
                </a:r>
                <a:endParaRPr lang="en-US" sz="500">
                  <a:solidFill>
                    <a:schemeClr val="tx1"/>
                  </a:solidFill>
                  <a:effectLst/>
                  <a:latin typeface="Aptos Narrow" panose="020B0004020202020204" pitchFamily="34" charset="0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chemeClr val="tx1"/>
                </a:solidFill>
              </a:defRPr>
            </a:pPr>
            <a:endParaRPr lang="en-US" sz="100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Order Hour Box Plot</a:t>
            </a:r>
            <a:r>
              <a:rPr lang="en-US">
                <a:solidFill>
                  <a:schemeClr val="tx1"/>
                </a:solidFill>
              </a:rPr>
              <a:t> </a:t>
            </a:r>
            <a:endParaRPr lang="en-US" sz="1400" b="0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590CE440-C580-434F-83EE-E9196FF681FB}">
          <cx:tx>
            <cx:txData>
              <cx:f>_xlchart.v1.26</cx:f>
              <cx:v>Order Hour</cx:v>
            </cx:txData>
          </cx:tx>
          <cx:spPr>
            <a:solidFill>
              <a:srgbClr val="BFC7FF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n-US" sz="9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>
                    <a:solidFill>
                      <a:schemeClr val="tx1"/>
                    </a:solidFill>
                  </a:defRPr>
                </a:pP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Order Hour </a:t>
                </a:r>
                <a:endParaRPr lang="en-US" sz="1100" b="0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>
                <a:solidFill>
                  <a:schemeClr val="tx1"/>
                </a:solidFill>
              </a:defRPr>
            </a:pPr>
            <a:endParaRPr lang="en-US" sz="105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600">
                <a:solidFill>
                  <a:schemeClr val="tx1"/>
                </a:solidFill>
              </a:defRPr>
            </a:pPr>
            <a:r>
              <a:rPr lang="en-US" sz="1600" b="1" i="0" baseline="0">
                <a:solidFill>
                  <a:schemeClr val="tx1"/>
                </a:solidFill>
                <a:effectLst/>
              </a:rPr>
              <a:t>Box Plot of Order Hour by Reataurant Name</a:t>
            </a:r>
            <a:r>
              <a:rPr lang="en-US" sz="1600" b="0" i="0" baseline="0">
                <a:solidFill>
                  <a:schemeClr val="tx1"/>
                </a:solidFill>
                <a:effectLst/>
              </a:rPr>
              <a:t> </a:t>
            </a:r>
            <a:r>
              <a:rPr lang="en-US" sz="1600" b="1" i="0" baseline="0">
                <a:solidFill>
                  <a:schemeClr val="tx1"/>
                </a:solidFill>
                <a:effectLst/>
              </a:rPr>
              <a:t> </a:t>
            </a:r>
            <a:endParaRPr lang="en-US" sz="1600">
              <a:solidFill>
                <a:schemeClr val="tx1"/>
              </a:solidFill>
              <a:effectLst/>
            </a:endParaRPr>
          </a:p>
        </cx:rich>
      </cx:tx>
    </cx:title>
    <cx:plotArea>
      <cx:plotAreaRegion>
        <cx:series layoutId="boxWhisker" uniqueId="{6B5DE490-04F5-2F4B-B5D0-E5CF1F0CA739}">
          <cx:tx>
            <cx:txData>
              <cx:f>_xlchart.v1.11</cx:f>
              <cx:v>Order Hour</cx:v>
            </cx:txData>
          </cx:tx>
          <cx:spPr>
            <a:solidFill>
              <a:srgbClr val="BFC7FF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>
                <a:solidFill>
                  <a:schemeClr val="tx1"/>
                </a:solidFill>
              </a:defRPr>
            </a:pPr>
            <a:endParaRPr lang="en-US" sz="105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>
                    <a:solidFill>
                      <a:schemeClr val="tx1"/>
                    </a:solidFill>
                  </a:defRPr>
                </a:pP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rPr>
                  <a:t>Order Hour </a:t>
                </a:r>
                <a:endParaRPr lang="en-US" sz="1100" b="0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 b="1">
                <a:solidFill>
                  <a:schemeClr val="tx1"/>
                </a:solidFill>
              </a:defRPr>
            </a:pPr>
            <a:endParaRPr lang="en-US" sz="105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13" Type="http://schemas.microsoft.com/office/2014/relationships/chartEx" Target="../charts/chartEx13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12" Type="http://schemas.microsoft.com/office/2014/relationships/chartEx" Target="../charts/chartEx12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5" Type="http://schemas.microsoft.com/office/2014/relationships/chartEx" Target="../charts/chartEx5.xml"/><Relationship Id="rId15" Type="http://schemas.microsoft.com/office/2014/relationships/chartEx" Target="../charts/chartEx15.xml"/><Relationship Id="rId10" Type="http://schemas.microsoft.com/office/2014/relationships/chartEx" Target="../charts/chartEx10.xml"/><Relationship Id="rId4" Type="http://schemas.microsoft.com/office/2014/relationships/chartEx" Target="../charts/chartEx4.xml"/><Relationship Id="rId9" Type="http://schemas.microsoft.com/office/2014/relationships/chartEx" Target="../charts/chartEx9.xml"/><Relationship Id="rId14" Type="http://schemas.microsoft.com/office/2014/relationships/chartEx" Target="../charts/chartEx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2</xdr:row>
      <xdr:rowOff>16933</xdr:rowOff>
    </xdr:from>
    <xdr:to>
      <xdr:col>10</xdr:col>
      <xdr:colOff>289560</xdr:colOff>
      <xdr:row>17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elivery Duration Histogram&#10;">
              <a:extLst>
                <a:ext uri="{FF2B5EF4-FFF2-40B4-BE49-F238E27FC236}">
                  <a16:creationId xmlns:a16="http://schemas.microsoft.com/office/drawing/2014/main" id="{DADEA87A-E8CE-43AD-81A7-0D6C5AC069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9560" y="448733"/>
              <a:ext cx="5080000" cy="32215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76200</xdr:colOff>
      <xdr:row>2</xdr:row>
      <xdr:rowOff>59267</xdr:rowOff>
    </xdr:from>
    <xdr:to>
      <xdr:col>18</xdr:col>
      <xdr:colOff>406400</xdr:colOff>
      <xdr:row>17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0" name="Delivery Duration Boxplot&#10;">
              <a:extLst>
                <a:ext uri="{FF2B5EF4-FFF2-40B4-BE49-F238E27FC236}">
                  <a16:creationId xmlns:a16="http://schemas.microsoft.com/office/drawing/2014/main" id="{47C7DA3A-E8C7-41A8-9CB8-B45421BA1E15}"/>
                </a:ext>
                <a:ext uri="{147F2762-F138-4A5C-976F-8EAC2B608ADB}">
                  <a16:predDERef xmlns:a16="http://schemas.microsoft.com/office/drawing/2014/main" pred="{DADEA87A-E8CE-43AD-81A7-0D6C5AC069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69300" y="491067"/>
              <a:ext cx="5041900" cy="31792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474134</xdr:colOff>
      <xdr:row>22</xdr:row>
      <xdr:rowOff>50800</xdr:rowOff>
    </xdr:from>
    <xdr:to>
      <xdr:col>10</xdr:col>
      <xdr:colOff>169334</xdr:colOff>
      <xdr:row>36</xdr:row>
      <xdr:rowOff>186267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1" name="Distance (km) Histogram&#10;">
              <a:extLst>
                <a:ext uri="{FF2B5EF4-FFF2-40B4-BE49-F238E27FC236}">
                  <a16:creationId xmlns:a16="http://schemas.microsoft.com/office/drawing/2014/main" id="{AEE8636F-E0ED-4E8D-BCEE-FFC2D5A4F898}"/>
                </a:ext>
                <a:ext uri="{147F2762-F138-4A5C-976F-8EAC2B608ADB}">
                  <a16:predDERef xmlns:a16="http://schemas.microsoft.com/office/drawing/2014/main" pred="{47C7DA3A-E8C7-41A8-9CB8-B45421BA1E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9334" y="4800600"/>
              <a:ext cx="5080000" cy="33358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558800</xdr:colOff>
      <xdr:row>22</xdr:row>
      <xdr:rowOff>50800</xdr:rowOff>
    </xdr:from>
    <xdr:to>
      <xdr:col>18</xdr:col>
      <xdr:colOff>254000</xdr:colOff>
      <xdr:row>36</xdr:row>
      <xdr:rowOff>186267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9" name="Distance (km) Box Plot&#10;">
              <a:extLst>
                <a:ext uri="{FF2B5EF4-FFF2-40B4-BE49-F238E27FC236}">
                  <a16:creationId xmlns:a16="http://schemas.microsoft.com/office/drawing/2014/main" id="{EE426401-9E07-46C3-8509-D31AAEF2855E}"/>
                </a:ext>
                <a:ext uri="{147F2762-F138-4A5C-976F-8EAC2B608ADB}">
                  <a16:predDERef xmlns:a16="http://schemas.microsoft.com/office/drawing/2014/main" pred="{AEE8636F-E0ED-4E8D-BCEE-FFC2D5A4F8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78800" y="4800600"/>
              <a:ext cx="5080000" cy="33358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344715</xdr:colOff>
      <xdr:row>42</xdr:row>
      <xdr:rowOff>18143</xdr:rowOff>
    </xdr:from>
    <xdr:to>
      <xdr:col>10</xdr:col>
      <xdr:colOff>375847</xdr:colOff>
      <xdr:row>57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Toppings Count Histogram &#10;">
              <a:extLst>
                <a:ext uri="{FF2B5EF4-FFF2-40B4-BE49-F238E27FC236}">
                  <a16:creationId xmlns:a16="http://schemas.microsoft.com/office/drawing/2014/main" id="{746BAC12-54FF-1744-877C-D8B32BAA0BE9}"/>
                </a:ext>
                <a:ext uri="{147F2762-F138-4A5C-976F-8EAC2B608ADB}">
                  <a16:predDERef xmlns:a16="http://schemas.microsoft.com/office/drawing/2014/main" pred="{EE426401-9E07-46C3-8509-D31AAEF285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9915" y="9339943"/>
              <a:ext cx="5415932" cy="34108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677332</xdr:colOff>
      <xdr:row>42</xdr:row>
      <xdr:rowOff>0</xdr:rowOff>
    </xdr:from>
    <xdr:to>
      <xdr:col>18</xdr:col>
      <xdr:colOff>304799</xdr:colOff>
      <xdr:row>57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Toppings Count Box Plot&#10;">
              <a:extLst>
                <a:ext uri="{FF2B5EF4-FFF2-40B4-BE49-F238E27FC236}">
                  <a16:creationId xmlns:a16="http://schemas.microsoft.com/office/drawing/2014/main" id="{593DB21C-CED8-3E46-AA67-D3FC0097DD3D}"/>
                </a:ext>
                <a:ext uri="{147F2762-F138-4A5C-976F-8EAC2B608ADB}">
                  <a16:predDERef xmlns:a16="http://schemas.microsoft.com/office/drawing/2014/main" pred="{746BAC12-54FF-1744-877C-D8B32BAA0B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97332" y="9321800"/>
              <a:ext cx="5012267" cy="342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2</xdr:row>
      <xdr:rowOff>1</xdr:rowOff>
    </xdr:from>
    <xdr:to>
      <xdr:col>28</xdr:col>
      <xdr:colOff>272143</xdr:colOff>
      <xdr:row>17</xdr:row>
      <xdr:rowOff>36286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5FDE877B-8846-E049-94AD-168B4A29411C}"/>
                </a:ext>
                <a:ext uri="{147F2762-F138-4A5C-976F-8EAC2B608ADB}">
                  <a16:predDERef xmlns:a16="http://schemas.microsoft.com/office/drawing/2014/main" pred="{593DB21C-CED8-3E46-AA67-D3FC0097DD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77900" y="431801"/>
              <a:ext cx="6330043" cy="3274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152399</xdr:colOff>
      <xdr:row>42</xdr:row>
      <xdr:rowOff>0</xdr:rowOff>
    </xdr:from>
    <xdr:to>
      <xdr:col>28</xdr:col>
      <xdr:colOff>169332</xdr:colOff>
      <xdr:row>57</xdr:row>
      <xdr:rowOff>16933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Toppings Count  by Reataurant">
              <a:extLst>
                <a:ext uri="{FF2B5EF4-FFF2-40B4-BE49-F238E27FC236}">
                  <a16:creationId xmlns:a16="http://schemas.microsoft.com/office/drawing/2014/main" id="{8D075215-16E4-4A42-A3FC-0F07215889A5}"/>
                </a:ext>
                <a:ext uri="{147F2762-F138-4A5C-976F-8EAC2B608ADB}">
                  <a16:predDERef xmlns:a16="http://schemas.microsoft.com/office/drawing/2014/main" pred="{5FDE877B-8846-E049-94AD-168B4A2941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30299" y="9321800"/>
              <a:ext cx="6074833" cy="34459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22</xdr:row>
      <xdr:rowOff>0</xdr:rowOff>
    </xdr:from>
    <xdr:to>
      <xdr:col>28</xdr:col>
      <xdr:colOff>135466</xdr:colOff>
      <xdr:row>36</xdr:row>
      <xdr:rowOff>203200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Distance (km) by Reataurant Name">
              <a:extLst>
                <a:ext uri="{FF2B5EF4-FFF2-40B4-BE49-F238E27FC236}">
                  <a16:creationId xmlns:a16="http://schemas.microsoft.com/office/drawing/2014/main" id="{A2BF96FE-FC2A-CD44-8023-A0C0D0FDC5A6}"/>
                </a:ext>
                <a:ext uri="{147F2762-F138-4A5C-976F-8EAC2B608ADB}">
                  <a16:predDERef xmlns:a16="http://schemas.microsoft.com/office/drawing/2014/main" pred="{8D075215-16E4-4A42-A3FC-0F07215889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77900" y="4749800"/>
              <a:ext cx="6193366" cy="340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61</xdr:row>
      <xdr:rowOff>237066</xdr:rowOff>
    </xdr:from>
    <xdr:to>
      <xdr:col>10</xdr:col>
      <xdr:colOff>422432</xdr:colOff>
      <xdr:row>77</xdr:row>
      <xdr:rowOff>16932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Traffic Impact Histogram &#10;">
              <a:extLst>
                <a:ext uri="{FF2B5EF4-FFF2-40B4-BE49-F238E27FC236}">
                  <a16:creationId xmlns:a16="http://schemas.microsoft.com/office/drawing/2014/main" id="{B1030A39-A780-F044-9880-BBB41A7CC18C}"/>
                </a:ext>
                <a:ext uri="{147F2762-F138-4A5C-976F-8EAC2B608ADB}">
                  <a16:predDERef xmlns:a16="http://schemas.microsoft.com/office/drawing/2014/main" pred="{A2BF96FE-FC2A-CD44-8023-A0C0D0FDC5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8300" y="13889566"/>
              <a:ext cx="5134132" cy="3450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61</xdr:row>
      <xdr:rowOff>237066</xdr:rowOff>
    </xdr:from>
    <xdr:to>
      <xdr:col>18</xdr:col>
      <xdr:colOff>440267</xdr:colOff>
      <xdr:row>77</xdr:row>
      <xdr:rowOff>16932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Traffic Impact Box Plot &#10;">
              <a:extLst>
                <a:ext uri="{FF2B5EF4-FFF2-40B4-BE49-F238E27FC236}">
                  <a16:creationId xmlns:a16="http://schemas.microsoft.com/office/drawing/2014/main" id="{15D99B92-94F4-024D-8240-917D1D72CD22}"/>
                </a:ext>
                <a:ext uri="{147F2762-F138-4A5C-976F-8EAC2B608ADB}">
                  <a16:predDERef xmlns:a16="http://schemas.microsoft.com/office/drawing/2014/main" pred="{B1030A39-A780-F044-9880-BBB41A7CC1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93100" y="13889566"/>
              <a:ext cx="5151967" cy="3450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-1</xdr:colOff>
      <xdr:row>61</xdr:row>
      <xdr:rowOff>237066</xdr:rowOff>
    </xdr:from>
    <xdr:to>
      <xdr:col>28</xdr:col>
      <xdr:colOff>118532</xdr:colOff>
      <xdr:row>77</xdr:row>
      <xdr:rowOff>16932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of Traffic Impact by Reataurant">
              <a:extLst>
                <a:ext uri="{FF2B5EF4-FFF2-40B4-BE49-F238E27FC236}">
                  <a16:creationId xmlns:a16="http://schemas.microsoft.com/office/drawing/2014/main" id="{21CE6A24-6FBE-2F41-B7CB-E801BB2BAAD8}"/>
                </a:ext>
                <a:ext uri="{147F2762-F138-4A5C-976F-8EAC2B608ADB}">
                  <a16:predDERef xmlns:a16="http://schemas.microsoft.com/office/drawing/2014/main" pred="{15D99B92-94F4-024D-8240-917D1D72CD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77899" y="13889566"/>
              <a:ext cx="6176433" cy="3450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82</xdr:row>
      <xdr:rowOff>0</xdr:rowOff>
    </xdr:from>
    <xdr:to>
      <xdr:col>10</xdr:col>
      <xdr:colOff>592666</xdr:colOff>
      <xdr:row>97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Order Hour Histogram &#10;">
              <a:extLst>
                <a:ext uri="{FF2B5EF4-FFF2-40B4-BE49-F238E27FC236}">
                  <a16:creationId xmlns:a16="http://schemas.microsoft.com/office/drawing/2014/main" id="{3A5DE33E-6FF0-0049-B897-4135BD1FF6EB}"/>
                </a:ext>
                <a:ext uri="{147F2762-F138-4A5C-976F-8EAC2B608ADB}">
                  <a16:predDERef xmlns:a16="http://schemas.microsoft.com/office/drawing/2014/main" pred="{21CE6A24-6FBE-2F41-B7CB-E801BB2BAA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8300" y="18465800"/>
              <a:ext cx="5304366" cy="342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118532</xdr:colOff>
      <xdr:row>82</xdr:row>
      <xdr:rowOff>0</xdr:rowOff>
    </xdr:from>
    <xdr:to>
      <xdr:col>18</xdr:col>
      <xdr:colOff>440266</xdr:colOff>
      <xdr:row>97</xdr:row>
      <xdr:rowOff>16934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Order Hour Box Plot &#10;">
              <a:extLst>
                <a:ext uri="{FF2B5EF4-FFF2-40B4-BE49-F238E27FC236}">
                  <a16:creationId xmlns:a16="http://schemas.microsoft.com/office/drawing/2014/main" id="{5E0C448B-A9B7-E240-8233-F5EAA8E2ACFA}"/>
                </a:ext>
                <a:ext uri="{147F2762-F138-4A5C-976F-8EAC2B608ADB}">
                  <a16:predDERef xmlns:a16="http://schemas.microsoft.com/office/drawing/2014/main" pred="{3A5DE33E-6FF0-0049-B897-4135BD1FF6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11632" y="18465800"/>
              <a:ext cx="5033434" cy="34459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0</xdr:colOff>
      <xdr:row>82</xdr:row>
      <xdr:rowOff>0</xdr:rowOff>
    </xdr:from>
    <xdr:to>
      <xdr:col>28</xdr:col>
      <xdr:colOff>84666</xdr:colOff>
      <xdr:row>97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Order Hour by Reataurant">
              <a:extLst>
                <a:ext uri="{FF2B5EF4-FFF2-40B4-BE49-F238E27FC236}">
                  <a16:creationId xmlns:a16="http://schemas.microsoft.com/office/drawing/2014/main" id="{E9F085FF-A9EA-6242-8BED-65765802E065}"/>
                </a:ext>
                <a:ext uri="{147F2762-F138-4A5C-976F-8EAC2B608ADB}">
                  <a16:predDERef xmlns:a16="http://schemas.microsoft.com/office/drawing/2014/main" pred="{5E0C448B-A9B7-E240-8233-F5EAA8E2AC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77900" y="18465800"/>
              <a:ext cx="6142566" cy="347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211005</xdr:colOff>
      <xdr:row>1</xdr:row>
      <xdr:rowOff>19737</xdr:rowOff>
    </xdr:from>
    <xdr:to>
      <xdr:col>9</xdr:col>
      <xdr:colOff>245242</xdr:colOff>
      <xdr:row>17</xdr:row>
      <xdr:rowOff>120432</xdr:rowOff>
    </xdr:to>
    <xdr:graphicFrame macro="">
      <xdr:nvGraphicFramePr>
        <xdr:cNvPr id="11" name="AverageDeliveryDurationbyOrderMonth">
          <a:extLst>
            <a:ext uri="{FF2B5EF4-FFF2-40B4-BE49-F238E27FC236}">
              <a16:creationId xmlns:a16="http://schemas.microsoft.com/office/drawing/2014/main" id="{FD2EE5AD-48EF-65F4-7560-0F7BD8C19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406399</xdr:colOff>
      <xdr:row>351</xdr:row>
      <xdr:rowOff>177508</xdr:rowOff>
    </xdr:from>
    <xdr:to>
      <xdr:col>7</xdr:col>
      <xdr:colOff>287867</xdr:colOff>
      <xdr:row>372</xdr:row>
      <xdr:rowOff>101600</xdr:rowOff>
    </xdr:to>
    <xdr:graphicFrame macro="">
      <xdr:nvGraphicFramePr>
        <xdr:cNvPr id="18" name="TrafficLevelvsOrderCountandDelays">
          <a:extLst>
            <a:ext uri="{FF2B5EF4-FFF2-40B4-BE49-F238E27FC236}">
              <a16:creationId xmlns:a16="http://schemas.microsoft.com/office/drawing/2014/main" id="{DBB9D91B-7162-1609-FC02-CA399858983C}"/>
            </a:ext>
            <a:ext uri="{147F2762-F138-4A5C-976F-8EAC2B608ADB}">
              <a16:predDERef xmlns:a16="http://schemas.microsoft.com/office/drawing/2014/main" pred="{FD2EE5AD-48EF-65F4-7560-0F7BD8C19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334799</xdr:colOff>
      <xdr:row>32</xdr:row>
      <xdr:rowOff>67831</xdr:rowOff>
    </xdr:from>
    <xdr:to>
      <xdr:col>8</xdr:col>
      <xdr:colOff>557544</xdr:colOff>
      <xdr:row>50</xdr:row>
      <xdr:rowOff>89057</xdr:rowOff>
    </xdr:to>
    <xdr:graphicFrame macro="">
      <xdr:nvGraphicFramePr>
        <xdr:cNvPr id="37" name="CountofOrderIDbyOrderMonth">
          <a:extLst>
            <a:ext uri="{FF2B5EF4-FFF2-40B4-BE49-F238E27FC236}">
              <a16:creationId xmlns:a16="http://schemas.microsoft.com/office/drawing/2014/main" id="{996BE014-739C-8456-85CC-C44B9FEA2BDA}"/>
            </a:ext>
            <a:ext uri="{147F2762-F138-4A5C-976F-8EAC2B608ADB}">
              <a16:predDERef xmlns:a16="http://schemas.microsoft.com/office/drawing/2014/main" pred="{DBB9D91B-7162-1609-FC02-CA3998589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762000</xdr:colOff>
      <xdr:row>301</xdr:row>
      <xdr:rowOff>152400</xdr:rowOff>
    </xdr:from>
    <xdr:to>
      <xdr:col>14</xdr:col>
      <xdr:colOff>939800</xdr:colOff>
      <xdr:row>330</xdr:row>
      <xdr:rowOff>101600</xdr:rowOff>
    </xdr:to>
    <xdr:graphicFrame macro="">
      <xdr:nvGraphicFramePr>
        <xdr:cNvPr id="26" name="AverageDeliveryDurationbyToppingsCountandRestaurant">
          <a:extLst>
            <a:ext uri="{FF2B5EF4-FFF2-40B4-BE49-F238E27FC236}">
              <a16:creationId xmlns:a16="http://schemas.microsoft.com/office/drawing/2014/main" id="{83A24835-6596-B368-104D-659EC87F07D0}"/>
            </a:ext>
            <a:ext uri="{147F2762-F138-4A5C-976F-8EAC2B608ADB}">
              <a16:predDERef xmlns:a16="http://schemas.microsoft.com/office/drawing/2014/main" pred="{996BE014-739C-8456-85CC-C44B9FEA2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640639</xdr:colOff>
      <xdr:row>137</xdr:row>
      <xdr:rowOff>287534</xdr:rowOff>
    </xdr:from>
    <xdr:to>
      <xdr:col>16</xdr:col>
      <xdr:colOff>348344</xdr:colOff>
      <xdr:row>173</xdr:row>
      <xdr:rowOff>203200</xdr:rowOff>
    </xdr:to>
    <xdr:graphicFrame macro="">
      <xdr:nvGraphicFramePr>
        <xdr:cNvPr id="27" name="AverageDeliveryDurationbyOrderHourandRestaurant">
          <a:extLst>
            <a:ext uri="{FF2B5EF4-FFF2-40B4-BE49-F238E27FC236}">
              <a16:creationId xmlns:a16="http://schemas.microsoft.com/office/drawing/2014/main" id="{A4F09BCE-25F6-1BFF-6B25-BEFC8281B2B6}"/>
            </a:ext>
            <a:ext uri="{147F2762-F138-4A5C-976F-8EAC2B608ADB}">
              <a16:predDERef xmlns:a16="http://schemas.microsoft.com/office/drawing/2014/main" pred="{83A24835-6596-B368-104D-659EC87F0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524810</xdr:colOff>
      <xdr:row>86</xdr:row>
      <xdr:rowOff>166346</xdr:rowOff>
    </xdr:from>
    <xdr:to>
      <xdr:col>7</xdr:col>
      <xdr:colOff>287867</xdr:colOff>
      <xdr:row>108</xdr:row>
      <xdr:rowOff>152401</xdr:rowOff>
    </xdr:to>
    <xdr:graphicFrame macro="">
      <xdr:nvGraphicFramePr>
        <xdr:cNvPr id="28" name="MonthlyOrderVolumeandDeliveryDelays">
          <a:extLst>
            <a:ext uri="{FF2B5EF4-FFF2-40B4-BE49-F238E27FC236}">
              <a16:creationId xmlns:a16="http://schemas.microsoft.com/office/drawing/2014/main" id="{FE1A51C0-0FA6-B182-96C8-EB1A4042A726}"/>
            </a:ext>
            <a:ext uri="{147F2762-F138-4A5C-976F-8EAC2B608ADB}">
              <a16:predDERef xmlns:a16="http://schemas.microsoft.com/office/drawing/2014/main" pred="{A4F09BCE-25F6-1BFF-6B25-BEFC8281B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768102</xdr:colOff>
      <xdr:row>203</xdr:row>
      <xdr:rowOff>88649</xdr:rowOff>
    </xdr:from>
    <xdr:to>
      <xdr:col>6</xdr:col>
      <xdr:colOff>287867</xdr:colOff>
      <xdr:row>222</xdr:row>
      <xdr:rowOff>84667</xdr:rowOff>
    </xdr:to>
    <xdr:graphicFrame macro="">
      <xdr:nvGraphicFramePr>
        <xdr:cNvPr id="31" name="OrderVolumeandDeliveryDelaysbyHourofDay">
          <a:extLst>
            <a:ext uri="{FF2B5EF4-FFF2-40B4-BE49-F238E27FC236}">
              <a16:creationId xmlns:a16="http://schemas.microsoft.com/office/drawing/2014/main" id="{503DB659-F763-039A-B655-939D949D192C}"/>
            </a:ext>
            <a:ext uri="{147F2762-F138-4A5C-976F-8EAC2B608ADB}">
              <a16:predDERef xmlns:a16="http://schemas.microsoft.com/office/drawing/2014/main" pred="{FE1A51C0-0FA6-B182-96C8-EB1A4042A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1097555</xdr:colOff>
      <xdr:row>401</xdr:row>
      <xdr:rowOff>497</xdr:rowOff>
    </xdr:from>
    <xdr:to>
      <xdr:col>7</xdr:col>
      <xdr:colOff>177800</xdr:colOff>
      <xdr:row>417</xdr:row>
      <xdr:rowOff>186266</xdr:rowOff>
    </xdr:to>
    <xdr:graphicFrame macro="">
      <xdr:nvGraphicFramePr>
        <xdr:cNvPr id="32" name="OrdersandDelayedDeliveriesbyPeakHourStatus">
          <a:extLst>
            <a:ext uri="{FF2B5EF4-FFF2-40B4-BE49-F238E27FC236}">
              <a16:creationId xmlns:a16="http://schemas.microsoft.com/office/drawing/2014/main" id="{C285377A-6D9B-C04F-D9C2-638FB9B4A2DF}"/>
            </a:ext>
            <a:ext uri="{147F2762-F138-4A5C-976F-8EAC2B608ADB}">
              <a16:predDERef xmlns:a16="http://schemas.microsoft.com/office/drawing/2014/main" pred="{503DB659-F763-039A-B655-939D949D1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475254</xdr:colOff>
      <xdr:row>444</xdr:row>
      <xdr:rowOff>152896</xdr:rowOff>
    </xdr:from>
    <xdr:to>
      <xdr:col>6</xdr:col>
      <xdr:colOff>660400</xdr:colOff>
      <xdr:row>464</xdr:row>
      <xdr:rowOff>169333</xdr:rowOff>
    </xdr:to>
    <xdr:graphicFrame macro="">
      <xdr:nvGraphicFramePr>
        <xdr:cNvPr id="33" name="ImpactofWeekendonOrderVolumeandDelayedDeliveries">
          <a:extLst>
            <a:ext uri="{FF2B5EF4-FFF2-40B4-BE49-F238E27FC236}">
              <a16:creationId xmlns:a16="http://schemas.microsoft.com/office/drawing/2014/main" id="{5FA4259F-74C3-CBF8-F81C-A31C7E6BFA04}"/>
            </a:ext>
            <a:ext uri="{147F2762-F138-4A5C-976F-8EAC2B608ADB}">
              <a16:predDERef xmlns:a16="http://schemas.microsoft.com/office/drawing/2014/main" pred="{C285377A-6D9B-C04F-D9C2-638FB9B4A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845946</xdr:colOff>
      <xdr:row>242</xdr:row>
      <xdr:rowOff>156704</xdr:rowOff>
    </xdr:from>
    <xdr:to>
      <xdr:col>27</xdr:col>
      <xdr:colOff>354724</xdr:colOff>
      <xdr:row>270</xdr:row>
      <xdr:rowOff>21526</xdr:rowOff>
    </xdr:to>
    <xdr:graphicFrame macro="">
      <xdr:nvGraphicFramePr>
        <xdr:cNvPr id="41" name="OrderVolumeandDeliveryDelaysbyDeliveryDistance">
          <a:extLst>
            <a:ext uri="{FF2B5EF4-FFF2-40B4-BE49-F238E27FC236}">
              <a16:creationId xmlns:a16="http://schemas.microsoft.com/office/drawing/2014/main" id="{F961331D-08C5-A72B-B846-4BC7FAD30D4F}"/>
            </a:ext>
            <a:ext uri="{147F2762-F138-4A5C-976F-8EAC2B608ADB}">
              <a16:predDERef xmlns:a16="http://schemas.microsoft.com/office/drawing/2014/main" pred="{5FA4259F-74C3-CBF8-F81C-A31C7E6BF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436880</xdr:colOff>
      <xdr:row>1</xdr:row>
      <xdr:rowOff>63500</xdr:rowOff>
    </xdr:from>
    <xdr:to>
      <xdr:col>9</xdr:col>
      <xdr:colOff>25400</xdr:colOff>
      <xdr:row>19</xdr:row>
      <xdr:rowOff>177800</xdr:rowOff>
    </xdr:to>
    <xdr:graphicFrame macro="">
      <xdr:nvGraphicFramePr>
        <xdr:cNvPr id="2" name="Delivery Duration vs Distance">
          <a:extLst>
            <a:ext uri="{FF2B5EF4-FFF2-40B4-BE49-F238E27FC236}">
              <a16:creationId xmlns:a16="http://schemas.microsoft.com/office/drawing/2014/main" id="{0B8CD882-6CB9-4A51-A0E7-979B5BE53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431800</xdr:colOff>
      <xdr:row>43</xdr:row>
      <xdr:rowOff>21167</xdr:rowOff>
    </xdr:from>
    <xdr:to>
      <xdr:col>8</xdr:col>
      <xdr:colOff>596900</xdr:colOff>
      <xdr:row>60</xdr:row>
      <xdr:rowOff>122767</xdr:rowOff>
    </xdr:to>
    <xdr:graphicFrame macro="">
      <xdr:nvGraphicFramePr>
        <xdr:cNvPr id="8" name="Time vs Toppings Count">
          <a:extLst>
            <a:ext uri="{FF2B5EF4-FFF2-40B4-BE49-F238E27FC236}">
              <a16:creationId xmlns:a16="http://schemas.microsoft.com/office/drawing/2014/main" id="{11AFE6DA-4D46-1E47-A840-3C2EFBABDAC0}"/>
            </a:ext>
            <a:ext uri="{147F2762-F138-4A5C-976F-8EAC2B608ADB}">
              <a16:predDERef xmlns:a16="http://schemas.microsoft.com/office/drawing/2014/main" pred="{0B8CD882-6CB9-4A51-A0E7-979B5BE53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406400</xdr:colOff>
      <xdr:row>64</xdr:row>
      <xdr:rowOff>38100</xdr:rowOff>
    </xdr:from>
    <xdr:to>
      <xdr:col>9</xdr:col>
      <xdr:colOff>50800</xdr:colOff>
      <xdr:row>83</xdr:row>
      <xdr:rowOff>12700</xdr:rowOff>
    </xdr:to>
    <xdr:graphicFrame macro="">
      <xdr:nvGraphicFramePr>
        <xdr:cNvPr id="10" name="Time vs Order Hour">
          <a:extLst>
            <a:ext uri="{FF2B5EF4-FFF2-40B4-BE49-F238E27FC236}">
              <a16:creationId xmlns:a16="http://schemas.microsoft.com/office/drawing/2014/main" id="{BD123B3A-E4BA-FA48-8489-A925874A03A7}"/>
            </a:ext>
            <a:ext uri="{147F2762-F138-4A5C-976F-8EAC2B608ADB}">
              <a16:predDERef xmlns:a16="http://schemas.microsoft.com/office/drawing/2014/main" pred="{11AFE6DA-4D46-1E47-A840-3C2EFBABD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419100</xdr:colOff>
      <xdr:row>23</xdr:row>
      <xdr:rowOff>76200</xdr:rowOff>
    </xdr:from>
    <xdr:to>
      <xdr:col>8</xdr:col>
      <xdr:colOff>647700</xdr:colOff>
      <xdr:row>39</xdr:row>
      <xdr:rowOff>155222</xdr:rowOff>
    </xdr:to>
    <xdr:graphicFrame macro="">
      <xdr:nvGraphicFramePr>
        <xdr:cNvPr id="11" name="Time vs Traffic Impact">
          <a:extLst>
            <a:ext uri="{FF2B5EF4-FFF2-40B4-BE49-F238E27FC236}">
              <a16:creationId xmlns:a16="http://schemas.microsoft.com/office/drawing/2014/main" id="{43726470-92F0-9843-8D98-1F549034F500}"/>
            </a:ext>
            <a:ext uri="{147F2762-F138-4A5C-976F-8EAC2B608ADB}">
              <a16:predDERef xmlns:a16="http://schemas.microsoft.com/office/drawing/2014/main" pred="{BD123B3A-E4BA-FA48-8489-A925874A0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587375</xdr:colOff>
      <xdr:row>1</xdr:row>
      <xdr:rowOff>57150</xdr:rowOff>
    </xdr:from>
    <xdr:to>
      <xdr:col>5</xdr:col>
      <xdr:colOff>63500</xdr:colOff>
      <xdr:row>28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A4602D-EB4A-FED8-27D7-5917ED497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387350"/>
          <a:ext cx="8289925" cy="51911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0.830169675923" createdVersion="8" refreshedVersion="8" minRefreshableVersion="3" recordCount="1004" xr:uid="{CE9724DB-01A5-48CC-86B4-43D9C18756F5}">
  <cacheSource type="worksheet">
    <worksheetSource name="PizzaDelivery"/>
  </cacheSource>
  <cacheFields count="27">
    <cacheField name="Order ID" numFmtId="0">
      <sharedItems/>
    </cacheField>
    <cacheField name="Restaurant Name" numFmtId="0">
      <sharedItems count="5">
        <s v="Domino's"/>
        <s v="Papa John's"/>
        <s v="Little Caesars"/>
        <s v="Pizza Hut"/>
        <s v="Marco's Pizza"/>
      </sharedItems>
    </cacheField>
    <cacheField name="Location" numFmtId="0">
      <sharedItems count="84">
        <s v="New York, NY"/>
        <s v="Los Angeles, CA"/>
        <s v="Chicago, IL"/>
        <s v="Miami, FL"/>
        <s v="Dallas, TX"/>
        <s v="San Francisco, CA"/>
        <s v="Houston, TX"/>
        <s v="Phoenix, AZ"/>
        <s v="Atlanta, GA"/>
        <s v="Seattle, WA"/>
        <s v="Denver, CO"/>
        <s v="Boston, MA"/>
        <s v="San Jose, CA"/>
        <s v="Austin, TX"/>
        <s v="San Diego, CA"/>
        <s v="Jacksonville, FL"/>
        <s v="Fort Worth, TX"/>
        <s v="Columbus, OH"/>
        <s v="Charlotte, NC"/>
        <s v="Indianapolis, IN"/>
        <s v="Detroit, MI"/>
        <s v="El Paso, TX"/>
        <s v="Memphis, TN"/>
        <s v="Baltimore, MD"/>
        <s v="Orlando, FL"/>
        <s v="Philadelphia, PA"/>
        <s v="San Antonio, TX"/>
        <s v="Washington, DC"/>
        <s v="Nashville, TN"/>
        <s v="Louisville, KY"/>
        <s v="Milwaukee, WI"/>
        <s v="Albuquerque, NM"/>
        <s v="Tucson, AZ"/>
        <s v="Fresno, CA"/>
        <s v="Sacramento, CA"/>
        <s v="Kansas City, MO"/>
        <s v="Long Beach, CA"/>
        <s v="Mesa, AZ"/>
        <s v="Omaha, NE"/>
        <s v="Raleigh, NC"/>
        <s v="Tulsa, OK"/>
        <s v="Minneapolis, MN"/>
        <s v="Arlington, TX"/>
        <s v="New Orleans, LA"/>
        <s v="Wichita, KS"/>
        <s v="Cleveland, OH"/>
        <s v="Tampa, FL"/>
        <s v="Bakersfield, CA"/>
        <s v="Aurora, CO"/>
        <s v="Anaheim, CA"/>
        <s v="Honolulu, HI"/>
        <s v="Lexington, KY"/>
        <s v="Stockton, CA"/>
        <s v="Corpus Christi, TX"/>
        <s v="Henderson, NV"/>
        <s v="Riverside, CA"/>
        <s v="Newark, NJ"/>
        <s v="St. Paul, MN"/>
        <s v="Plano, TX"/>
        <s v="Lincoln, NE"/>
        <s v="Boise, ID"/>
        <s v="Reno, NV"/>
        <s v="Scottsdale, AZ"/>
        <s v="Irving, TX"/>
        <s v="Madison, WI"/>
        <s v="Lubbock, TX"/>
        <s v="Chandler, AZ"/>
        <s v="Garland, TX"/>
        <s v="Glendale, AZ"/>
        <s v="Akron, OH"/>
        <s v="Baton Rouge, LA"/>
        <s v="Durham, NC"/>
        <s v="Chula Vista, CA"/>
        <s v="Fort Wayne, IN"/>
        <s v="St. Petersburg, FL"/>
        <s v="Jersey City, NJ"/>
        <s v="St. Louis, MO"/>
        <s v="Norfolk, VA"/>
        <s v="Laredo, TX"/>
        <s v="Portland, OR"/>
        <s v="Oklahoma City, OK"/>
        <s v="Las Vegas, NV"/>
        <s v="Virginia Beach, VA"/>
        <s v="Oakland, CA"/>
      </sharedItems>
    </cacheField>
    <cacheField name="OrderDate" numFmtId="14">
      <sharedItems containsSemiMixedTypes="0" containsNonDate="0" containsDate="1" containsString="0" minDate="2024-01-05T00:00:00" maxDate="2026-01-01T00:00:00"/>
    </cacheField>
    <cacheField name="OrderTime" numFmtId="165">
      <sharedItems containsSemiMixedTypes="0" containsNonDate="0" containsDate="1" containsString="0" minDate="1899-12-30T12:15:00" maxDate="1899-12-30T21:10:00"/>
    </cacheField>
    <cacheField name="DeliveryDate" numFmtId="14">
      <sharedItems containsSemiMixedTypes="0" containsNonDate="0" containsDate="1" containsString="0" minDate="2024-01-05T00:00:00" maxDate="2026-01-01T00:00:00"/>
    </cacheField>
    <cacheField name="DeliveryTime" numFmtId="165">
      <sharedItems containsSemiMixedTypes="0" containsNonDate="0" containsDate="1" containsString="0" minDate="1899-12-30T12:35:00" maxDate="1899-12-30T21:40:00"/>
    </cacheField>
    <cacheField name="Delivery Duration (min)" numFmtId="0">
      <sharedItems containsSemiMixedTypes="0" containsString="0" containsNumber="1" containsInteger="1" minValue="15" maxValue="50" count="8">
        <n v="15"/>
        <n v="25"/>
        <n v="20"/>
        <n v="30"/>
        <n v="40"/>
        <n v="50"/>
        <n v="35"/>
        <n v="45"/>
      </sharedItems>
    </cacheField>
    <cacheField name="Pizza Size" numFmtId="0">
      <sharedItems count="4">
        <s v="Medium"/>
        <s v="Large"/>
        <s v="Small"/>
        <s v="XL"/>
      </sharedItems>
    </cacheField>
    <cacheField name="Pizza Type" numFmtId="0">
      <sharedItems count="12">
        <s v="Veg"/>
        <s v="Non-Veg"/>
        <s v="Vegan"/>
        <s v="Cheese Burst"/>
        <s v="Gluten-Free"/>
        <s v="Stuffed Crust"/>
        <s v="Thin Crust"/>
        <s v="Deep Dish"/>
        <s v="Thai Chicken"/>
        <s v="Sicilian"/>
        <s v="BBQ Chicken"/>
        <s v="Margarita"/>
      </sharedItems>
    </cacheField>
    <cacheField name="Toppings Count" numFmtId="0">
      <sharedItems containsSemiMixedTypes="0" containsString="0" containsNumber="1" containsInteger="1" minValue="1" maxValue="5" count="5">
        <n v="3"/>
        <n v="4"/>
        <n v="2"/>
        <n v="5"/>
        <n v="1"/>
      </sharedItems>
    </cacheField>
    <cacheField name="Distance (km)" numFmtId="0">
      <sharedItems containsSemiMixedTypes="0" containsString="0" containsNumber="1" minValue="2" maxValue="10" count="25">
        <n v="2.5"/>
        <n v="5"/>
        <n v="3"/>
        <n v="4.5"/>
        <n v="2"/>
        <n v="3.5"/>
        <n v="4"/>
        <n v="6"/>
        <n v="8"/>
        <n v="10"/>
        <n v="5.5"/>
        <n v="7.5"/>
        <n v="9"/>
        <n v="7.2"/>
        <n v="6.5"/>
        <n v="7"/>
        <n v="5.4"/>
        <n v="4.0999999999999996"/>
        <n v="8.6999999999999993"/>
        <n v="3.9"/>
        <n v="7.8"/>
        <n v="3.2"/>
        <n v="8.3000000000000007"/>
        <n v="6.3"/>
        <n v="5.8"/>
      </sharedItems>
    </cacheField>
    <cacheField name="Traffic Level" numFmtId="0">
      <sharedItems count="3">
        <s v="Medium"/>
        <s v="High"/>
        <s v="Low"/>
      </sharedItems>
    </cacheField>
    <cacheField name="Payment Method" numFmtId="0">
      <sharedItems/>
    </cacheField>
    <cacheField name="Is Peak Hour" numFmtId="0">
      <sharedItems/>
    </cacheField>
    <cacheField name="Is Weekend" numFmtId="0">
      <sharedItems/>
    </cacheField>
    <cacheField name="Delivery Efficiency (min/km)" numFmtId="2">
      <sharedItems containsSemiMixedTypes="0" containsString="0" containsNumber="1" minValue="4.166666666666667" maxValue="12.5"/>
    </cacheField>
    <cacheField name="Topping Density" numFmtId="2">
      <sharedItems containsSemiMixedTypes="0" containsString="0" containsNumber="1" minValue="0.26666666666666672" maxValue="1.5"/>
    </cacheField>
    <cacheField name="Order Month" numFmtId="0">
      <sharedItems/>
    </cacheField>
    <cacheField name="Payment Category" numFmtId="0">
      <sharedItems/>
    </cacheField>
    <cacheField name="Estimated Duration (min)" numFmtId="2">
      <sharedItems containsSemiMixedTypes="0" containsString="0" containsNumber="1" minValue="4.8" maxValue="24"/>
    </cacheField>
    <cacheField name="Delay (min)" numFmtId="2">
      <sharedItems containsSemiMixedTypes="0" containsString="0" containsNumber="1" minValue="9" maxValue="30.08"/>
    </cacheField>
    <cacheField name="Is Delayed" numFmtId="0">
      <sharedItems count="2">
        <b v="0"/>
        <b v="1"/>
      </sharedItems>
    </cacheField>
    <cacheField name="Pizza Complexity" numFmtId="0">
      <sharedItems containsSemiMixedTypes="0" containsString="0" containsNumber="1" containsInteger="1" minValue="1" maxValue="20"/>
    </cacheField>
    <cacheField name="Traffic Impact" numFmtId="0">
      <sharedItems containsSemiMixedTypes="0" containsString="0" containsNumber="1" containsInteger="1" minValue="1" maxValue="3"/>
    </cacheField>
    <cacheField name="Order Hour" numFmtId="0">
      <sharedItems containsSemiMixedTypes="0" containsString="0" containsNumber="1" containsInteger="1" minValue="12" maxValue="21" count="8">
        <n v="18"/>
        <n v="20"/>
        <n v="12"/>
        <n v="19"/>
        <n v="13"/>
        <n v="17"/>
        <n v="14"/>
        <n v="21"/>
      </sharedItems>
    </cacheField>
    <cacheField name="Restaurant Avg Time" numFmtId="2">
      <sharedItems containsSemiMixedTypes="0" containsString="0" containsNumber="1" minValue="26.666666666666671" maxValue="30.286458333333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9.89705590278" createdVersion="7" refreshedVersion="7" minRefreshableVersion="3" recordCount="1005" xr:uid="{8CA4DBA1-4E9A-4C63-A98A-85118BF5DD32}">
  <cacheSource type="worksheet">
    <worksheetSource ref="A1:AA1048576" sheet="Pizza Delivery Table"/>
  </cacheSource>
  <cacheFields count="27">
    <cacheField name="Order ID" numFmtId="0">
      <sharedItems containsBlank="1" count="1005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  <s v="ORD051"/>
        <s v="ORD052"/>
        <s v="ORD053"/>
        <s v="ORD054"/>
        <s v="ORD055"/>
        <s v="ORD056"/>
        <s v="ORD057"/>
        <s v="ORD058"/>
        <s v="ORD059"/>
        <s v="ORD060"/>
        <s v="ORD061"/>
        <s v="ORD062"/>
        <s v="ORD063"/>
        <s v="ORD064"/>
        <s v="ORD065"/>
        <s v="ORD066"/>
        <s v="ORD067"/>
        <s v="ORD068"/>
        <s v="ORD069"/>
        <s v="ORD070"/>
        <s v="ORD071"/>
        <s v="ORD072"/>
        <s v="ORD073"/>
        <s v="ORD074"/>
        <s v="ORD075"/>
        <s v="ORD076"/>
        <s v="ORD077"/>
        <s v="ORD078"/>
        <s v="ORD079"/>
        <s v="ORD080"/>
        <s v="ORD081"/>
        <s v="ORD082"/>
        <s v="ORD083"/>
        <s v="ORD084"/>
        <s v="ORD085"/>
        <s v="ORD086"/>
        <s v="ORD087"/>
        <s v="ORD088"/>
        <s v="ORD089"/>
        <s v="ORD090"/>
        <s v="ORD091"/>
        <s v="ORD092"/>
        <s v="ORD093"/>
        <s v="ORD094"/>
        <s v="ORD095"/>
        <s v="ORD096"/>
        <s v="ORD097"/>
        <s v="ORD098"/>
        <s v="ORD0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  <m/>
      </sharedItems>
    </cacheField>
    <cacheField name="Restaurant Name" numFmtId="0">
      <sharedItems containsBlank="1" count="6">
        <s v="Domino's"/>
        <s v="Papa John's"/>
        <s v="Little Caesars"/>
        <s v="Pizza Hut"/>
        <s v="Marco's Pizza"/>
        <m/>
      </sharedItems>
    </cacheField>
    <cacheField name="Location" numFmtId="0">
      <sharedItems containsBlank="1"/>
    </cacheField>
    <cacheField name="OrderDate" numFmtId="0">
      <sharedItems containsNonDate="0" containsDate="1" containsString="0" containsBlank="1" minDate="2024-01-05T00:00:00" maxDate="2026-01-01T00:00:00"/>
    </cacheField>
    <cacheField name="OrderTime" numFmtId="0">
      <sharedItems containsNonDate="0" containsDate="1" containsString="0" containsBlank="1" minDate="1899-12-30T12:15:00" maxDate="1899-12-30T21:10:00"/>
    </cacheField>
    <cacheField name="DeliveryDate" numFmtId="0">
      <sharedItems containsNonDate="0" containsDate="1" containsString="0" containsBlank="1" minDate="2024-01-05T00:00:00" maxDate="2026-01-01T00:00:00"/>
    </cacheField>
    <cacheField name="DeliveryTime" numFmtId="0">
      <sharedItems containsNonDate="0" containsDate="1" containsString="0" containsBlank="1" minDate="1899-12-30T12:35:00" maxDate="1899-12-30T21:40:00"/>
    </cacheField>
    <cacheField name="Delivery Duration (min)" numFmtId="0">
      <sharedItems containsString="0" containsBlank="1" containsNumber="1" containsInteger="1" minValue="15" maxValue="50" count="9">
        <n v="15"/>
        <n v="25"/>
        <n v="20"/>
        <n v="30"/>
        <n v="40"/>
        <n v="50"/>
        <n v="35"/>
        <n v="45"/>
        <m/>
      </sharedItems>
    </cacheField>
    <cacheField name="Pizza Size" numFmtId="0">
      <sharedItems containsBlank="1"/>
    </cacheField>
    <cacheField name="Pizza Type" numFmtId="0">
      <sharedItems containsBlank="1"/>
    </cacheField>
    <cacheField name="Toppings Count" numFmtId="0">
      <sharedItems containsString="0" containsBlank="1" containsNumber="1" containsInteger="1" minValue="1" maxValue="5"/>
    </cacheField>
    <cacheField name="Distance (km)" numFmtId="0">
      <sharedItems containsString="0" containsBlank="1" containsNumber="1" minValue="2" maxValue="10"/>
    </cacheField>
    <cacheField name="Traffic Level" numFmtId="0">
      <sharedItems containsBlank="1"/>
    </cacheField>
    <cacheField name="Payment Method" numFmtId="0">
      <sharedItems containsBlank="1"/>
    </cacheField>
    <cacheField name="Is Peak Hour" numFmtId="0">
      <sharedItems containsBlank="1" count="3">
        <b v="1"/>
        <b v="0"/>
        <m/>
      </sharedItems>
    </cacheField>
    <cacheField name="Is Weekend" numFmtId="0">
      <sharedItems containsBlank="1" count="3">
        <b v="0"/>
        <b v="1"/>
        <m/>
      </sharedItems>
    </cacheField>
    <cacheField name="Delivery Efficiency (min/km)" numFmtId="2">
      <sharedItems containsString="0" containsBlank="1" containsNumber="1" minValue="4.166666666666667" maxValue="12.5"/>
    </cacheField>
    <cacheField name="Topping Density" numFmtId="2">
      <sharedItems containsString="0" containsBlank="1" containsNumber="1" minValue="0.26666666666666672" maxValue="1.5"/>
    </cacheField>
    <cacheField name="Order Month" numFmtId="0">
      <sharedItems containsBlank="1" count="13">
        <s v="January"/>
        <s v="February"/>
        <s v="March"/>
        <s v="April"/>
        <s v="May"/>
        <s v="August"/>
        <s v="June"/>
        <s v="July"/>
        <s v="September"/>
        <s v="October"/>
        <s v="November"/>
        <s v="December"/>
        <m/>
      </sharedItems>
    </cacheField>
    <cacheField name="Payment Category" numFmtId="0">
      <sharedItems containsBlank="1"/>
    </cacheField>
    <cacheField name="Estimated Duration (min)" numFmtId="2">
      <sharedItems containsString="0" containsBlank="1" containsNumber="1" minValue="4.8" maxValue="24"/>
    </cacheField>
    <cacheField name="Delay (min)" numFmtId="2">
      <sharedItems containsString="0" containsBlank="1" containsNumber="1" minValue="9" maxValue="30.08"/>
    </cacheField>
    <cacheField name="Is Delayed" numFmtId="0">
      <sharedItems containsBlank="1" count="3">
        <b v="0"/>
        <b v="1"/>
        <m/>
      </sharedItems>
    </cacheField>
    <cacheField name="Pizza Complexity" numFmtId="0">
      <sharedItems containsString="0" containsBlank="1" containsNumber="1" containsInteger="1" minValue="1" maxValue="20"/>
    </cacheField>
    <cacheField name="Traffic Impact" numFmtId="0">
      <sharedItems containsString="0" containsBlank="1" containsNumber="1" containsInteger="1" minValue="1" maxValue="3"/>
    </cacheField>
    <cacheField name="Order Hour" numFmtId="0">
      <sharedItems containsString="0" containsBlank="1" containsNumber="1" containsInteger="1" minValue="12" maxValue="21" count="9">
        <n v="18"/>
        <n v="20"/>
        <n v="12"/>
        <n v="19"/>
        <n v="13"/>
        <n v="17"/>
        <n v="14"/>
        <n v="21"/>
        <m/>
      </sharedItems>
    </cacheField>
    <cacheField name="Restaurant Avg Time" numFmtId="2">
      <sharedItems containsString="0" containsBlank="1" containsNumber="1" minValue="26.666666666666671" maxValue="30.286458333333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90.496910069443" createdVersion="7" refreshedVersion="7" minRefreshableVersion="3" recordCount="1005" xr:uid="{9D26EFA2-8981-4E76-A193-5E7128492315}">
  <cacheSource type="worksheet">
    <worksheetSource ref="A1:AB1048576" sheet="Pizza Delivery Table"/>
  </cacheSource>
  <cacheFields count="29">
    <cacheField name="Order ID" numFmtId="0">
      <sharedItems containsBlank="1"/>
    </cacheField>
    <cacheField name="Restaurant Name" numFmtId="0">
      <sharedItems containsBlank="1" count="6">
        <s v="Domino's"/>
        <s v="Papa John's"/>
        <s v="Little Caesars"/>
        <s v="Pizza Hut"/>
        <s v="Marco's Pizza"/>
        <m/>
      </sharedItems>
    </cacheField>
    <cacheField name="Location" numFmtId="0">
      <sharedItems containsBlank="1"/>
    </cacheField>
    <cacheField name="OrderDate" numFmtId="0">
      <sharedItems containsNonDate="0" containsDate="1" containsString="0" containsBlank="1" minDate="2024-01-05T00:00:00" maxDate="2026-01-01T00:00:00"/>
    </cacheField>
    <cacheField name="OrderTime" numFmtId="0">
      <sharedItems containsNonDate="0" containsDate="1" containsString="0" containsBlank="1" minDate="1899-12-30T12:15:00" maxDate="1899-12-30T21:10:00"/>
    </cacheField>
    <cacheField name="DeliveryDate" numFmtId="0">
      <sharedItems containsNonDate="0" containsDate="1" containsString="0" containsBlank="1" minDate="2024-01-05T00:00:00" maxDate="2026-01-01T00:00:00"/>
    </cacheField>
    <cacheField name="DeliveryTime" numFmtId="0">
      <sharedItems containsNonDate="0" containsDate="1" containsString="0" containsBlank="1" minDate="1899-12-30T12:35:00" maxDate="1899-12-30T21:40:00"/>
    </cacheField>
    <cacheField name="Delivery Duration (min)" numFmtId="0">
      <sharedItems containsString="0" containsBlank="1" containsNumber="1" containsInteger="1" minValue="15" maxValue="50"/>
    </cacheField>
    <cacheField name="Pizza Size" numFmtId="0">
      <sharedItems containsBlank="1"/>
    </cacheField>
    <cacheField name="Pizza Type" numFmtId="0">
      <sharedItems containsBlank="1"/>
    </cacheField>
    <cacheField name="Toppings Count" numFmtId="0">
      <sharedItems containsString="0" containsBlank="1" containsNumber="1" containsInteger="1" minValue="1" maxValue="5"/>
    </cacheField>
    <cacheField name="Distance (km)" numFmtId="0">
      <sharedItems containsString="0" containsBlank="1" containsNumber="1" minValue="2" maxValue="10" count="26">
        <n v="2.5"/>
        <n v="5"/>
        <n v="3"/>
        <n v="4.5"/>
        <n v="2"/>
        <n v="3.5"/>
        <n v="4"/>
        <n v="6"/>
        <n v="8"/>
        <n v="10"/>
        <n v="5.5"/>
        <n v="7.5"/>
        <n v="9"/>
        <n v="7.2"/>
        <n v="6.5"/>
        <n v="7"/>
        <n v="5.4"/>
        <n v="4.0999999999999996"/>
        <n v="8.6999999999999993"/>
        <n v="3.9"/>
        <n v="7.8"/>
        <n v="3.2"/>
        <n v="8.3000000000000007"/>
        <n v="6.3"/>
        <n v="5.8"/>
        <m/>
      </sharedItems>
    </cacheField>
    <cacheField name="Traffic Level" numFmtId="0">
      <sharedItems containsBlank="1" count="4">
        <s v="Medium"/>
        <s v="High"/>
        <s v="Low"/>
        <m/>
      </sharedItems>
    </cacheField>
    <cacheField name="Payment Method" numFmtId="0">
      <sharedItems containsBlank="1"/>
    </cacheField>
    <cacheField name="Is Peak Hour" numFmtId="0">
      <sharedItems containsBlank="1" count="3">
        <b v="1"/>
        <b v="0"/>
        <m/>
      </sharedItems>
    </cacheField>
    <cacheField name="Is Weekend" numFmtId="0">
      <sharedItems containsBlank="1" count="3">
        <b v="0"/>
        <b v="1"/>
        <m/>
      </sharedItems>
    </cacheField>
    <cacheField name="Delivery Efficiency (min/km)" numFmtId="2">
      <sharedItems containsString="0" containsBlank="1" containsNumber="1" minValue="4.166666666666667" maxValue="12.5"/>
    </cacheField>
    <cacheField name="Topping Density" numFmtId="2">
      <sharedItems containsString="0" containsBlank="1" containsNumber="1" minValue="0.26666666666666672" maxValue="1.5"/>
    </cacheField>
    <cacheField name="Order Month" numFmtId="0">
      <sharedItems containsBlank="1" count="13">
        <s v="January"/>
        <s v="February"/>
        <s v="March"/>
        <s v="April"/>
        <s v="May"/>
        <s v="August"/>
        <s v="June"/>
        <s v="July"/>
        <s v="September"/>
        <s v="October"/>
        <s v="November"/>
        <s v="December"/>
        <m/>
      </sharedItems>
    </cacheField>
    <cacheField name="Payment Category" numFmtId="0">
      <sharedItems containsBlank="1"/>
    </cacheField>
    <cacheField name="Estimated Duration (min)" numFmtId="2">
      <sharedItems containsString="0" containsBlank="1" containsNumber="1" minValue="4.8" maxValue="24"/>
    </cacheField>
    <cacheField name="Delay (min)" numFmtId="2">
      <sharedItems containsString="0" containsBlank="1" containsNumber="1" minValue="9" maxValue="30.08"/>
    </cacheField>
    <cacheField name="Is Delayed" numFmtId="0">
      <sharedItems containsBlank="1" count="3">
        <b v="0"/>
        <b v="1"/>
        <m/>
      </sharedItems>
    </cacheField>
    <cacheField name="Pizza Complexity" numFmtId="0">
      <sharedItems containsString="0" containsBlank="1" containsNumber="1" containsInteger="1" minValue="1" maxValue="20"/>
    </cacheField>
    <cacheField name="Traffic Impact" numFmtId="0">
      <sharedItems containsString="0" containsBlank="1" containsNumber="1" containsInteger="1" minValue="1" maxValue="3"/>
    </cacheField>
    <cacheField name="Order Hour" numFmtId="0">
      <sharedItems containsString="0" containsBlank="1" containsNumber="1" containsInteger="1" minValue="12" maxValue="21" count="9">
        <n v="18"/>
        <n v="20"/>
        <n v="12"/>
        <n v="19"/>
        <n v="13"/>
        <n v="17"/>
        <n v="14"/>
        <n v="21"/>
        <m/>
      </sharedItems>
    </cacheField>
    <cacheField name="Restaurant Avg Time" numFmtId="2">
      <sharedItems containsString="0" containsBlank="1" containsNumber="1" minValue="26.666666666666671" maxValue="30.286458333333329"/>
    </cacheField>
    <cacheField name="IsDelayedNum" numFmtId="0">
      <sharedItems containsString="0" containsBlank="1" containsNumber="1" containsInteger="1" minValue="0" maxValue="1"/>
    </cacheField>
    <cacheField name="%Delayed" numFmtId="0" formula="IsDelayedNum/'Order I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s v="ORD001"/>
    <x v="0"/>
    <x v="0"/>
    <d v="2024-01-05T00:00:00"/>
    <d v="1899-12-30T18:30:00"/>
    <d v="2024-01-05T00:00:00"/>
    <d v="1899-12-30T18:45:00"/>
    <x v="0"/>
    <x v="0"/>
    <x v="0"/>
    <x v="0"/>
    <x v="0"/>
    <x v="0"/>
    <s v="Card"/>
    <b v="1"/>
    <b v="0"/>
    <n v="6"/>
    <n v="1.2"/>
    <s v="January"/>
    <s v="Online"/>
    <n v="6"/>
    <n v="9"/>
    <b v="0"/>
    <n v="6"/>
    <n v="2"/>
    <x v="0"/>
    <n v="30.259433962264151"/>
  </r>
  <r>
    <s v="ORD002"/>
    <x v="1"/>
    <x v="1"/>
    <d v="2024-02-14T00:00:00"/>
    <d v="1899-12-30T20:00:00"/>
    <d v="2024-02-14T00:00:00"/>
    <d v="1899-12-30T20:25:00"/>
    <x v="1"/>
    <x v="1"/>
    <x v="1"/>
    <x v="1"/>
    <x v="1"/>
    <x v="1"/>
    <s v="Wallet"/>
    <b v="1"/>
    <b v="0"/>
    <n v="5"/>
    <n v="0.8"/>
    <s v="February"/>
    <s v="Online"/>
    <n v="12"/>
    <n v="13"/>
    <b v="0"/>
    <n v="12"/>
    <n v="3"/>
    <x v="1"/>
    <n v="28.186274509803919"/>
  </r>
  <r>
    <s v="ORD003"/>
    <x v="2"/>
    <x v="2"/>
    <d v="2024-03-21T00:00:00"/>
    <d v="1899-12-30T12:15:00"/>
    <d v="2024-03-21T00:00:00"/>
    <d v="1899-12-30T12:35:00"/>
    <x v="2"/>
    <x v="2"/>
    <x v="2"/>
    <x v="2"/>
    <x v="2"/>
    <x v="2"/>
    <s v="UPI"/>
    <b v="0"/>
    <b v="0"/>
    <n v="6.666666666666667"/>
    <n v="0.66666666666666663"/>
    <s v="March"/>
    <s v="Online"/>
    <n v="7.1999999999999993"/>
    <n v="12.8"/>
    <b v="0"/>
    <n v="2"/>
    <n v="1"/>
    <x v="2"/>
    <n v="28.844221105527641"/>
  </r>
  <r>
    <s v="ORD004"/>
    <x v="3"/>
    <x v="3"/>
    <d v="2024-04-10T00:00:00"/>
    <d v="1899-12-30T19:45:00"/>
    <d v="2024-04-10T00:00:00"/>
    <d v="1899-12-30T20:10:00"/>
    <x v="1"/>
    <x v="3"/>
    <x v="3"/>
    <x v="3"/>
    <x v="3"/>
    <x v="0"/>
    <s v="Cash"/>
    <b v="1"/>
    <b v="0"/>
    <n v="5.5555555555555554"/>
    <n v="1.1111111111111109"/>
    <s v="April"/>
    <s v="Offline"/>
    <n v="10.8"/>
    <n v="14.2"/>
    <b v="0"/>
    <n v="20"/>
    <n v="2"/>
    <x v="3"/>
    <n v="29.948453608247419"/>
  </r>
  <r>
    <s v="ORD005"/>
    <x v="4"/>
    <x v="4"/>
    <d v="2024-05-05T00:00:00"/>
    <d v="1899-12-30T13:00:00"/>
    <d v="2024-05-05T00:00:00"/>
    <d v="1899-12-30T13:20:00"/>
    <x v="2"/>
    <x v="0"/>
    <x v="1"/>
    <x v="0"/>
    <x v="4"/>
    <x v="1"/>
    <s v="Card"/>
    <b v="0"/>
    <b v="1"/>
    <n v="10"/>
    <n v="1.5"/>
    <s v="May"/>
    <s v="Online"/>
    <n v="4.8"/>
    <n v="15.2"/>
    <b v="0"/>
    <n v="6"/>
    <n v="3"/>
    <x v="4"/>
    <n v="30.286458333333329"/>
  </r>
  <r>
    <s v="ORD006"/>
    <x v="0"/>
    <x v="0"/>
    <d v="2024-01-06T00:00:00"/>
    <d v="1899-12-30T19:00:00"/>
    <d v="2024-01-06T00:00:00"/>
    <d v="1899-12-30T19:20:00"/>
    <x v="2"/>
    <x v="0"/>
    <x v="1"/>
    <x v="0"/>
    <x v="2"/>
    <x v="1"/>
    <s v="Card"/>
    <b v="1"/>
    <b v="1"/>
    <n v="6.666666666666667"/>
    <n v="1"/>
    <s v="January"/>
    <s v="Online"/>
    <n v="7.1999999999999993"/>
    <n v="12.8"/>
    <b v="0"/>
    <n v="6"/>
    <n v="3"/>
    <x v="3"/>
    <n v="30.259433962264151"/>
  </r>
  <r>
    <s v="ORD007"/>
    <x v="1"/>
    <x v="1"/>
    <d v="2024-01-07T00:00:00"/>
    <d v="1899-12-30T20:15:00"/>
    <d v="2024-01-07T00:00:00"/>
    <d v="1899-12-30T20:40:00"/>
    <x v="1"/>
    <x v="1"/>
    <x v="0"/>
    <x v="1"/>
    <x v="3"/>
    <x v="0"/>
    <s v="UPI"/>
    <b v="1"/>
    <b v="1"/>
    <n v="5.5555555555555554"/>
    <n v="0.88888888888888884"/>
    <s v="January"/>
    <s v="Online"/>
    <n v="10.8"/>
    <n v="14.2"/>
    <b v="0"/>
    <n v="12"/>
    <n v="2"/>
    <x v="1"/>
    <n v="28.186274509803919"/>
  </r>
  <r>
    <s v="ORD008"/>
    <x v="2"/>
    <x v="2"/>
    <d v="2024-01-08T00:00:00"/>
    <d v="1899-12-30T18:30:00"/>
    <d v="2024-01-08T00:00:00"/>
    <d v="1899-12-30T18:50:00"/>
    <x v="2"/>
    <x v="2"/>
    <x v="2"/>
    <x v="2"/>
    <x v="4"/>
    <x v="2"/>
    <s v="Cash"/>
    <b v="1"/>
    <b v="0"/>
    <n v="10"/>
    <n v="1"/>
    <s v="January"/>
    <s v="Offline"/>
    <n v="4.8"/>
    <n v="15.2"/>
    <b v="0"/>
    <n v="2"/>
    <n v="1"/>
    <x v="0"/>
    <n v="28.844221105527641"/>
  </r>
  <r>
    <s v="ORD009"/>
    <x v="3"/>
    <x v="3"/>
    <d v="2024-01-09T00:00:00"/>
    <d v="1899-12-30T19:45:00"/>
    <d v="2024-01-09T00:00:00"/>
    <d v="1899-12-30T20:10:00"/>
    <x v="1"/>
    <x v="3"/>
    <x v="3"/>
    <x v="3"/>
    <x v="1"/>
    <x v="1"/>
    <s v="Wallet"/>
    <b v="1"/>
    <b v="0"/>
    <n v="5"/>
    <n v="1"/>
    <s v="January"/>
    <s v="Online"/>
    <n v="12"/>
    <n v="13"/>
    <b v="0"/>
    <n v="20"/>
    <n v="3"/>
    <x v="3"/>
    <n v="29.948453608247419"/>
  </r>
  <r>
    <s v="ORD010"/>
    <x v="4"/>
    <x v="4"/>
    <d v="2024-01-10T00:00:00"/>
    <d v="1899-12-30T13:00:00"/>
    <d v="2024-01-10T00:00:00"/>
    <d v="1899-12-30T13:20:00"/>
    <x v="2"/>
    <x v="0"/>
    <x v="1"/>
    <x v="0"/>
    <x v="5"/>
    <x v="0"/>
    <s v="Card"/>
    <b v="0"/>
    <b v="0"/>
    <n v="5.7142857142857144"/>
    <n v="0.8571428571428571"/>
    <s v="January"/>
    <s v="Online"/>
    <n v="8.4"/>
    <n v="11.6"/>
    <b v="0"/>
    <n v="6"/>
    <n v="2"/>
    <x v="4"/>
    <n v="30.286458333333329"/>
  </r>
  <r>
    <s v="ORD011"/>
    <x v="0"/>
    <x v="5"/>
    <d v="2024-01-11T00:00:00"/>
    <d v="1899-12-30T17:30:00"/>
    <d v="2024-01-11T00:00:00"/>
    <d v="1899-12-30T17:50:00"/>
    <x v="2"/>
    <x v="1"/>
    <x v="0"/>
    <x v="1"/>
    <x v="6"/>
    <x v="2"/>
    <s v="UPI"/>
    <b v="0"/>
    <b v="0"/>
    <n v="5"/>
    <n v="1"/>
    <s v="January"/>
    <s v="Online"/>
    <n v="9.6"/>
    <n v="10.4"/>
    <b v="0"/>
    <n v="12"/>
    <n v="1"/>
    <x v="5"/>
    <n v="30.259433962264151"/>
  </r>
  <r>
    <s v="ORD012"/>
    <x v="1"/>
    <x v="6"/>
    <d v="2024-01-12T00:00:00"/>
    <d v="1899-12-30T19:00:00"/>
    <d v="2024-01-12T00:00:00"/>
    <d v="1899-12-30T19:25:00"/>
    <x v="1"/>
    <x v="0"/>
    <x v="1"/>
    <x v="0"/>
    <x v="2"/>
    <x v="0"/>
    <s v="Cash"/>
    <b v="1"/>
    <b v="0"/>
    <n v="8.3333333333333339"/>
    <n v="1"/>
    <s v="January"/>
    <s v="Offline"/>
    <n v="7.1999999999999993"/>
    <n v="17.8"/>
    <b v="0"/>
    <n v="6"/>
    <n v="2"/>
    <x v="3"/>
    <n v="28.186274509803919"/>
  </r>
  <r>
    <s v="ORD013"/>
    <x v="2"/>
    <x v="7"/>
    <d v="2024-01-13T00:00:00"/>
    <d v="1899-12-30T18:15:00"/>
    <d v="2024-01-13T00:00:00"/>
    <d v="1899-12-30T18:35:00"/>
    <x v="2"/>
    <x v="2"/>
    <x v="2"/>
    <x v="2"/>
    <x v="0"/>
    <x v="1"/>
    <s v="Wallet"/>
    <b v="1"/>
    <b v="1"/>
    <n v="8"/>
    <n v="0.8"/>
    <s v="January"/>
    <s v="Online"/>
    <n v="6"/>
    <n v="14"/>
    <b v="0"/>
    <n v="2"/>
    <n v="3"/>
    <x v="0"/>
    <n v="28.844221105527641"/>
  </r>
  <r>
    <s v="ORD014"/>
    <x v="3"/>
    <x v="8"/>
    <d v="2024-01-14T00:00:00"/>
    <d v="1899-12-30T20:30:00"/>
    <d v="2024-01-14T00:00:00"/>
    <d v="1899-12-30T20:55:00"/>
    <x v="1"/>
    <x v="3"/>
    <x v="3"/>
    <x v="3"/>
    <x v="6"/>
    <x v="2"/>
    <s v="Card"/>
    <b v="1"/>
    <b v="1"/>
    <n v="6.25"/>
    <n v="1.25"/>
    <s v="January"/>
    <s v="Online"/>
    <n v="9.6"/>
    <n v="15.4"/>
    <b v="0"/>
    <n v="20"/>
    <n v="1"/>
    <x v="1"/>
    <n v="29.948453608247419"/>
  </r>
  <r>
    <s v="ORD015"/>
    <x v="4"/>
    <x v="9"/>
    <d v="2024-01-15T00:00:00"/>
    <d v="1899-12-30T14:00:00"/>
    <d v="2024-01-15T00:00:00"/>
    <d v="1899-12-30T14:20:00"/>
    <x v="2"/>
    <x v="0"/>
    <x v="1"/>
    <x v="0"/>
    <x v="2"/>
    <x v="0"/>
    <s v="UPI"/>
    <b v="0"/>
    <b v="0"/>
    <n v="6.666666666666667"/>
    <n v="1"/>
    <s v="January"/>
    <s v="Online"/>
    <n v="7.1999999999999993"/>
    <n v="12.8"/>
    <b v="0"/>
    <n v="6"/>
    <n v="2"/>
    <x v="6"/>
    <n v="30.286458333333329"/>
  </r>
  <r>
    <s v="ORD016"/>
    <x v="0"/>
    <x v="10"/>
    <d v="2024-01-16T00:00:00"/>
    <d v="1899-12-30T19:45:00"/>
    <d v="2024-01-16T00:00:00"/>
    <d v="1899-12-30T20:10:00"/>
    <x v="1"/>
    <x v="1"/>
    <x v="0"/>
    <x v="1"/>
    <x v="3"/>
    <x v="1"/>
    <s v="Cash"/>
    <b v="1"/>
    <b v="0"/>
    <n v="5.5555555555555554"/>
    <n v="0.88888888888888884"/>
    <s v="January"/>
    <s v="Offline"/>
    <n v="10.8"/>
    <n v="14.2"/>
    <b v="0"/>
    <n v="12"/>
    <n v="3"/>
    <x v="3"/>
    <n v="30.259433962264151"/>
  </r>
  <r>
    <s v="ORD017"/>
    <x v="1"/>
    <x v="11"/>
    <d v="2024-01-17T00:00:00"/>
    <d v="1899-12-30T18:30:00"/>
    <d v="2024-01-17T00:00:00"/>
    <d v="1899-12-30T18:55:00"/>
    <x v="1"/>
    <x v="2"/>
    <x v="2"/>
    <x v="2"/>
    <x v="4"/>
    <x v="2"/>
    <s v="Wallet"/>
    <b v="1"/>
    <b v="0"/>
    <n v="12.5"/>
    <n v="1"/>
    <s v="January"/>
    <s v="Online"/>
    <n v="4.8"/>
    <n v="20.2"/>
    <b v="0"/>
    <n v="2"/>
    <n v="1"/>
    <x v="0"/>
    <n v="28.186274509803919"/>
  </r>
  <r>
    <s v="ORD018"/>
    <x v="2"/>
    <x v="4"/>
    <d v="2024-01-18T00:00:00"/>
    <d v="1899-12-30T20:00:00"/>
    <d v="2024-01-18T00:00:00"/>
    <d v="1899-12-30T20:20:00"/>
    <x v="2"/>
    <x v="0"/>
    <x v="1"/>
    <x v="0"/>
    <x v="5"/>
    <x v="0"/>
    <s v="Card"/>
    <b v="1"/>
    <b v="0"/>
    <n v="5.7142857142857144"/>
    <n v="0.8571428571428571"/>
    <s v="January"/>
    <s v="Online"/>
    <n v="8.4"/>
    <n v="11.6"/>
    <b v="0"/>
    <n v="6"/>
    <n v="2"/>
    <x v="1"/>
    <n v="28.844221105527641"/>
  </r>
  <r>
    <s v="ORD019"/>
    <x v="3"/>
    <x v="1"/>
    <d v="2024-01-19T00:00:00"/>
    <d v="1899-12-30T19:15:00"/>
    <d v="2024-01-19T00:00:00"/>
    <d v="1899-12-30T19:40:00"/>
    <x v="1"/>
    <x v="3"/>
    <x v="3"/>
    <x v="3"/>
    <x v="6"/>
    <x v="1"/>
    <s v="UPI"/>
    <b v="1"/>
    <b v="0"/>
    <n v="6.25"/>
    <n v="1.25"/>
    <s v="January"/>
    <s v="Online"/>
    <n v="9.6"/>
    <n v="15.4"/>
    <b v="0"/>
    <n v="20"/>
    <n v="3"/>
    <x v="3"/>
    <n v="29.948453608247419"/>
  </r>
  <r>
    <s v="ORD020"/>
    <x v="4"/>
    <x v="2"/>
    <d v="2024-01-20T00:00:00"/>
    <d v="1899-12-30T13:30:00"/>
    <d v="2024-01-20T00:00:00"/>
    <d v="1899-12-30T13:50:00"/>
    <x v="2"/>
    <x v="0"/>
    <x v="1"/>
    <x v="0"/>
    <x v="2"/>
    <x v="2"/>
    <s v="Cash"/>
    <b v="0"/>
    <b v="1"/>
    <n v="6.666666666666667"/>
    <n v="1"/>
    <s v="January"/>
    <s v="Offline"/>
    <n v="7.1999999999999993"/>
    <n v="12.8"/>
    <b v="0"/>
    <n v="6"/>
    <n v="1"/>
    <x v="4"/>
    <n v="30.286458333333329"/>
  </r>
  <r>
    <s v="ORD021"/>
    <x v="0"/>
    <x v="3"/>
    <d v="2024-01-21T00:00:00"/>
    <d v="1899-12-30T18:45:00"/>
    <d v="2024-01-21T00:00:00"/>
    <d v="1899-12-30T19:10:00"/>
    <x v="1"/>
    <x v="1"/>
    <x v="0"/>
    <x v="1"/>
    <x v="3"/>
    <x v="0"/>
    <s v="Wallet"/>
    <b v="1"/>
    <b v="1"/>
    <n v="5.5555555555555554"/>
    <n v="0.88888888888888884"/>
    <s v="January"/>
    <s v="Online"/>
    <n v="10.8"/>
    <n v="14.2"/>
    <b v="0"/>
    <n v="12"/>
    <n v="2"/>
    <x v="0"/>
    <n v="30.259433962264151"/>
  </r>
  <r>
    <s v="ORD022"/>
    <x v="1"/>
    <x v="4"/>
    <d v="2024-01-22T00:00:00"/>
    <d v="1899-12-30T20:00:00"/>
    <d v="2024-01-22T00:00:00"/>
    <d v="1899-12-30T20:25:00"/>
    <x v="1"/>
    <x v="2"/>
    <x v="2"/>
    <x v="2"/>
    <x v="4"/>
    <x v="1"/>
    <s v="Card"/>
    <b v="1"/>
    <b v="0"/>
    <n v="12.5"/>
    <n v="1"/>
    <s v="January"/>
    <s v="Online"/>
    <n v="4.8"/>
    <n v="20.2"/>
    <b v="0"/>
    <n v="2"/>
    <n v="3"/>
    <x v="1"/>
    <n v="28.186274509803919"/>
  </r>
  <r>
    <s v="ORD023"/>
    <x v="2"/>
    <x v="6"/>
    <d v="2024-01-23T00:00:00"/>
    <d v="1899-12-30T19:30:00"/>
    <d v="2024-01-23T00:00:00"/>
    <d v="1899-12-30T19:50:00"/>
    <x v="2"/>
    <x v="0"/>
    <x v="1"/>
    <x v="0"/>
    <x v="5"/>
    <x v="2"/>
    <s v="UPI"/>
    <b v="1"/>
    <b v="0"/>
    <n v="5.7142857142857144"/>
    <n v="0.8571428571428571"/>
    <s v="January"/>
    <s v="Online"/>
    <n v="8.4"/>
    <n v="11.6"/>
    <b v="0"/>
    <n v="6"/>
    <n v="1"/>
    <x v="3"/>
    <n v="28.844221105527641"/>
  </r>
  <r>
    <s v="ORD024"/>
    <x v="3"/>
    <x v="7"/>
    <d v="2024-01-24T00:00:00"/>
    <d v="1899-12-30T18:15:00"/>
    <d v="2024-01-24T00:00:00"/>
    <d v="1899-12-30T18:40:00"/>
    <x v="1"/>
    <x v="3"/>
    <x v="3"/>
    <x v="3"/>
    <x v="6"/>
    <x v="0"/>
    <s v="Cash"/>
    <b v="1"/>
    <b v="0"/>
    <n v="6.25"/>
    <n v="1.25"/>
    <s v="January"/>
    <s v="Offline"/>
    <n v="9.6"/>
    <n v="15.4"/>
    <b v="0"/>
    <n v="20"/>
    <n v="2"/>
    <x v="0"/>
    <n v="29.948453608247419"/>
  </r>
  <r>
    <s v="ORD025"/>
    <x v="4"/>
    <x v="8"/>
    <d v="2024-01-25T00:00:00"/>
    <d v="1899-12-30T14:30:00"/>
    <d v="2024-01-25T00:00:00"/>
    <d v="1899-12-30T14:50:00"/>
    <x v="2"/>
    <x v="0"/>
    <x v="1"/>
    <x v="0"/>
    <x v="2"/>
    <x v="1"/>
    <s v="Wallet"/>
    <b v="0"/>
    <b v="0"/>
    <n v="6.666666666666667"/>
    <n v="1"/>
    <s v="January"/>
    <s v="Online"/>
    <n v="7.1999999999999993"/>
    <n v="12.8"/>
    <b v="0"/>
    <n v="6"/>
    <n v="3"/>
    <x v="6"/>
    <n v="30.286458333333329"/>
  </r>
  <r>
    <s v="ORD026"/>
    <x v="0"/>
    <x v="9"/>
    <d v="2024-01-26T00:00:00"/>
    <d v="1899-12-30T20:00:00"/>
    <d v="2024-01-26T00:00:00"/>
    <d v="1899-12-30T20:25:00"/>
    <x v="1"/>
    <x v="1"/>
    <x v="0"/>
    <x v="1"/>
    <x v="3"/>
    <x v="2"/>
    <s v="Card"/>
    <b v="1"/>
    <b v="0"/>
    <n v="5.5555555555555554"/>
    <n v="0.88888888888888884"/>
    <s v="January"/>
    <s v="Online"/>
    <n v="10.8"/>
    <n v="14.2"/>
    <b v="0"/>
    <n v="12"/>
    <n v="1"/>
    <x v="1"/>
    <n v="30.259433962264151"/>
  </r>
  <r>
    <s v="ORD027"/>
    <x v="1"/>
    <x v="10"/>
    <d v="2024-01-27T00:00:00"/>
    <d v="1899-12-30T19:15:00"/>
    <d v="2024-01-27T00:00:00"/>
    <d v="1899-12-30T19:40:00"/>
    <x v="1"/>
    <x v="2"/>
    <x v="2"/>
    <x v="2"/>
    <x v="4"/>
    <x v="0"/>
    <s v="UPI"/>
    <b v="1"/>
    <b v="1"/>
    <n v="12.5"/>
    <n v="1"/>
    <s v="January"/>
    <s v="Online"/>
    <n v="4.8"/>
    <n v="20.2"/>
    <b v="0"/>
    <n v="2"/>
    <n v="2"/>
    <x v="3"/>
    <n v="28.186274509803919"/>
  </r>
  <r>
    <s v="ORD028"/>
    <x v="2"/>
    <x v="11"/>
    <d v="2024-01-28T00:00:00"/>
    <d v="1899-12-30T18:30:00"/>
    <d v="2024-01-28T00:00:00"/>
    <d v="1899-12-30T18:50:00"/>
    <x v="2"/>
    <x v="0"/>
    <x v="1"/>
    <x v="0"/>
    <x v="5"/>
    <x v="1"/>
    <s v="Cash"/>
    <b v="1"/>
    <b v="1"/>
    <n v="5.7142857142857144"/>
    <n v="0.8571428571428571"/>
    <s v="January"/>
    <s v="Offline"/>
    <n v="8.4"/>
    <n v="11.6"/>
    <b v="0"/>
    <n v="6"/>
    <n v="3"/>
    <x v="0"/>
    <n v="28.844221105527641"/>
  </r>
  <r>
    <s v="ORD029"/>
    <x v="3"/>
    <x v="2"/>
    <d v="2024-01-29T00:00:00"/>
    <d v="1899-12-30T20:00:00"/>
    <d v="2024-01-29T00:00:00"/>
    <d v="1899-12-30T20:25:00"/>
    <x v="1"/>
    <x v="3"/>
    <x v="3"/>
    <x v="3"/>
    <x v="6"/>
    <x v="2"/>
    <s v="Wallet"/>
    <b v="1"/>
    <b v="0"/>
    <n v="6.25"/>
    <n v="1.25"/>
    <s v="January"/>
    <s v="Online"/>
    <n v="9.6"/>
    <n v="15.4"/>
    <b v="0"/>
    <n v="20"/>
    <n v="1"/>
    <x v="1"/>
    <n v="29.948453608247419"/>
  </r>
  <r>
    <s v="ORD030"/>
    <x v="4"/>
    <x v="3"/>
    <d v="2024-01-30T00:00:00"/>
    <d v="1899-12-30T13:15:00"/>
    <d v="2024-01-30T00:00:00"/>
    <d v="1899-12-30T13:35:00"/>
    <x v="2"/>
    <x v="0"/>
    <x v="1"/>
    <x v="0"/>
    <x v="2"/>
    <x v="0"/>
    <s v="Card"/>
    <b v="0"/>
    <b v="0"/>
    <n v="6.666666666666667"/>
    <n v="1"/>
    <s v="January"/>
    <s v="Online"/>
    <n v="7.1999999999999993"/>
    <n v="12.8"/>
    <b v="0"/>
    <n v="6"/>
    <n v="2"/>
    <x v="4"/>
    <n v="30.286458333333329"/>
  </r>
  <r>
    <s v="ORD031"/>
    <x v="0"/>
    <x v="1"/>
    <d v="2024-02-01T00:00:00"/>
    <d v="1899-12-30T19:45:00"/>
    <d v="2024-02-01T00:00:00"/>
    <d v="1899-12-30T20:10:00"/>
    <x v="1"/>
    <x v="1"/>
    <x v="0"/>
    <x v="1"/>
    <x v="3"/>
    <x v="1"/>
    <s v="UPI"/>
    <b v="1"/>
    <b v="0"/>
    <n v="5.5555555555555554"/>
    <n v="0.88888888888888884"/>
    <s v="February"/>
    <s v="Online"/>
    <n v="10.8"/>
    <n v="14.2"/>
    <b v="0"/>
    <n v="12"/>
    <n v="3"/>
    <x v="3"/>
    <n v="30.259433962264151"/>
  </r>
  <r>
    <s v="ORD032"/>
    <x v="1"/>
    <x v="7"/>
    <d v="2024-02-02T00:00:00"/>
    <d v="1899-12-30T18:00:00"/>
    <d v="2024-02-02T00:00:00"/>
    <d v="1899-12-30T18:25:00"/>
    <x v="1"/>
    <x v="2"/>
    <x v="2"/>
    <x v="2"/>
    <x v="4"/>
    <x v="2"/>
    <s v="Cash"/>
    <b v="1"/>
    <b v="0"/>
    <n v="12.5"/>
    <n v="1"/>
    <s v="February"/>
    <s v="Offline"/>
    <n v="4.8"/>
    <n v="20.2"/>
    <b v="0"/>
    <n v="2"/>
    <n v="1"/>
    <x v="0"/>
    <n v="28.186274509803919"/>
  </r>
  <r>
    <s v="ORD033"/>
    <x v="2"/>
    <x v="8"/>
    <d v="2024-02-03T00:00:00"/>
    <d v="1899-12-30T20:30:00"/>
    <d v="2024-02-03T00:00:00"/>
    <d v="1899-12-30T20:55:00"/>
    <x v="1"/>
    <x v="0"/>
    <x v="1"/>
    <x v="0"/>
    <x v="5"/>
    <x v="0"/>
    <s v="Wallet"/>
    <b v="1"/>
    <b v="1"/>
    <n v="7.1428571428571432"/>
    <n v="0.8571428571428571"/>
    <s v="February"/>
    <s v="Online"/>
    <n v="8.4"/>
    <n v="16.600000000000001"/>
    <b v="0"/>
    <n v="6"/>
    <n v="2"/>
    <x v="1"/>
    <n v="28.844221105527641"/>
  </r>
  <r>
    <s v="ORD034"/>
    <x v="3"/>
    <x v="4"/>
    <d v="2024-02-04T00:00:00"/>
    <d v="1899-12-30T14:15:00"/>
    <d v="2024-02-04T00:00:00"/>
    <d v="1899-12-30T14:35:00"/>
    <x v="2"/>
    <x v="3"/>
    <x v="3"/>
    <x v="3"/>
    <x v="6"/>
    <x v="1"/>
    <s v="Card"/>
    <b v="0"/>
    <b v="1"/>
    <n v="5"/>
    <n v="1.25"/>
    <s v="February"/>
    <s v="Online"/>
    <n v="9.6"/>
    <n v="10.4"/>
    <b v="0"/>
    <n v="20"/>
    <n v="3"/>
    <x v="6"/>
    <n v="29.948453608247419"/>
  </r>
  <r>
    <s v="ORD035"/>
    <x v="4"/>
    <x v="9"/>
    <d v="2024-02-05T00:00:00"/>
    <d v="1899-12-30T19:00:00"/>
    <d v="2024-02-05T00:00:00"/>
    <d v="1899-12-30T19:25:00"/>
    <x v="1"/>
    <x v="0"/>
    <x v="1"/>
    <x v="0"/>
    <x v="2"/>
    <x v="2"/>
    <s v="UPI"/>
    <b v="1"/>
    <b v="0"/>
    <n v="8.3333333333333339"/>
    <n v="1"/>
    <s v="February"/>
    <s v="Online"/>
    <n v="7.1999999999999993"/>
    <n v="17.8"/>
    <b v="0"/>
    <n v="6"/>
    <n v="1"/>
    <x v="3"/>
    <n v="30.286458333333329"/>
  </r>
  <r>
    <s v="ORD036"/>
    <x v="0"/>
    <x v="6"/>
    <d v="2024-02-06T00:00:00"/>
    <d v="1899-12-30T18:45:00"/>
    <d v="2024-02-06T00:00:00"/>
    <d v="1899-12-30T19:10:00"/>
    <x v="1"/>
    <x v="1"/>
    <x v="0"/>
    <x v="1"/>
    <x v="3"/>
    <x v="0"/>
    <s v="Card"/>
    <b v="1"/>
    <b v="0"/>
    <n v="5.5555555555555554"/>
    <n v="0.88888888888888884"/>
    <s v="February"/>
    <s v="Online"/>
    <n v="10.8"/>
    <n v="14.2"/>
    <b v="0"/>
    <n v="12"/>
    <n v="2"/>
    <x v="0"/>
    <n v="30.259433962264151"/>
  </r>
  <r>
    <s v="ORD037"/>
    <x v="1"/>
    <x v="7"/>
    <d v="2024-02-07T00:00:00"/>
    <d v="1899-12-30T20:00:00"/>
    <d v="2024-02-07T00:00:00"/>
    <d v="1899-12-30T20:25:00"/>
    <x v="1"/>
    <x v="0"/>
    <x v="1"/>
    <x v="0"/>
    <x v="2"/>
    <x v="1"/>
    <s v="UPI"/>
    <b v="1"/>
    <b v="0"/>
    <n v="8.3333333333333339"/>
    <n v="1"/>
    <s v="February"/>
    <s v="Online"/>
    <n v="7.1999999999999993"/>
    <n v="17.8"/>
    <b v="0"/>
    <n v="6"/>
    <n v="3"/>
    <x v="1"/>
    <n v="28.186274509803919"/>
  </r>
  <r>
    <s v="ORD038"/>
    <x v="2"/>
    <x v="8"/>
    <d v="2024-02-08T00:00:00"/>
    <d v="1899-12-30T19:30:00"/>
    <d v="2024-02-08T00:00:00"/>
    <d v="1899-12-30T19:50:00"/>
    <x v="2"/>
    <x v="2"/>
    <x v="2"/>
    <x v="2"/>
    <x v="0"/>
    <x v="2"/>
    <s v="Cash"/>
    <b v="1"/>
    <b v="0"/>
    <n v="8"/>
    <n v="0.8"/>
    <s v="February"/>
    <s v="Offline"/>
    <n v="6"/>
    <n v="14"/>
    <b v="0"/>
    <n v="2"/>
    <n v="1"/>
    <x v="3"/>
    <n v="28.844221105527641"/>
  </r>
  <r>
    <s v="ORD039"/>
    <x v="3"/>
    <x v="4"/>
    <d v="2024-02-09T00:00:00"/>
    <d v="1899-12-30T18:15:00"/>
    <d v="2024-02-09T00:00:00"/>
    <d v="1899-12-30T18:40:00"/>
    <x v="1"/>
    <x v="3"/>
    <x v="3"/>
    <x v="3"/>
    <x v="6"/>
    <x v="0"/>
    <s v="Wallet"/>
    <b v="1"/>
    <b v="0"/>
    <n v="6.25"/>
    <n v="1.25"/>
    <s v="February"/>
    <s v="Online"/>
    <n v="9.6"/>
    <n v="15.4"/>
    <b v="0"/>
    <n v="20"/>
    <n v="2"/>
    <x v="0"/>
    <n v="29.948453608247419"/>
  </r>
  <r>
    <s v="ORD040"/>
    <x v="4"/>
    <x v="9"/>
    <d v="2024-02-10T00:00:00"/>
    <d v="1899-12-30T14:30:00"/>
    <d v="2024-02-10T00:00:00"/>
    <d v="1899-12-30T14:50:00"/>
    <x v="2"/>
    <x v="0"/>
    <x v="1"/>
    <x v="0"/>
    <x v="5"/>
    <x v="1"/>
    <s v="Card"/>
    <b v="0"/>
    <b v="1"/>
    <n v="5.7142857142857144"/>
    <n v="0.8571428571428571"/>
    <s v="February"/>
    <s v="Online"/>
    <n v="8.4"/>
    <n v="11.6"/>
    <b v="0"/>
    <n v="6"/>
    <n v="3"/>
    <x v="6"/>
    <n v="30.286458333333329"/>
  </r>
  <r>
    <s v="ORD041"/>
    <x v="0"/>
    <x v="10"/>
    <d v="2024-02-11T00:00:00"/>
    <d v="1899-12-30T19:00:00"/>
    <d v="2024-02-11T00:00:00"/>
    <d v="1899-12-30T19:20:00"/>
    <x v="2"/>
    <x v="1"/>
    <x v="0"/>
    <x v="1"/>
    <x v="6"/>
    <x v="2"/>
    <s v="UPI"/>
    <b v="1"/>
    <b v="1"/>
    <n v="5"/>
    <n v="1"/>
    <s v="February"/>
    <s v="Online"/>
    <n v="9.6"/>
    <n v="10.4"/>
    <b v="0"/>
    <n v="12"/>
    <n v="1"/>
    <x v="3"/>
    <n v="30.259433962264151"/>
  </r>
  <r>
    <s v="ORD042"/>
    <x v="1"/>
    <x v="11"/>
    <d v="2024-02-12T00:00:00"/>
    <d v="1899-12-30T20:15:00"/>
    <d v="2024-02-12T00:00:00"/>
    <d v="1899-12-30T20:40:00"/>
    <x v="1"/>
    <x v="2"/>
    <x v="2"/>
    <x v="2"/>
    <x v="4"/>
    <x v="0"/>
    <s v="Cash"/>
    <b v="1"/>
    <b v="0"/>
    <n v="12.5"/>
    <n v="1"/>
    <s v="February"/>
    <s v="Offline"/>
    <n v="4.8"/>
    <n v="20.2"/>
    <b v="0"/>
    <n v="2"/>
    <n v="2"/>
    <x v="1"/>
    <n v="28.186274509803919"/>
  </r>
  <r>
    <s v="ORD043"/>
    <x v="2"/>
    <x v="4"/>
    <d v="2024-02-13T00:00:00"/>
    <d v="1899-12-30T18:30:00"/>
    <d v="2024-02-13T00:00:00"/>
    <d v="1899-12-30T18:50:00"/>
    <x v="2"/>
    <x v="0"/>
    <x v="1"/>
    <x v="0"/>
    <x v="2"/>
    <x v="1"/>
    <s v="Wallet"/>
    <b v="1"/>
    <b v="0"/>
    <n v="6.666666666666667"/>
    <n v="1"/>
    <s v="February"/>
    <s v="Online"/>
    <n v="7.1999999999999993"/>
    <n v="12.8"/>
    <b v="0"/>
    <n v="6"/>
    <n v="3"/>
    <x v="0"/>
    <n v="28.844221105527641"/>
  </r>
  <r>
    <s v="ORD044"/>
    <x v="3"/>
    <x v="1"/>
    <d v="2024-02-14T00:00:00"/>
    <d v="1899-12-30T19:45:00"/>
    <d v="2024-02-14T00:00:00"/>
    <d v="1899-12-30T20:10:00"/>
    <x v="1"/>
    <x v="3"/>
    <x v="3"/>
    <x v="3"/>
    <x v="1"/>
    <x v="2"/>
    <s v="Card"/>
    <b v="1"/>
    <b v="0"/>
    <n v="5"/>
    <n v="1"/>
    <s v="February"/>
    <s v="Online"/>
    <n v="12"/>
    <n v="13"/>
    <b v="0"/>
    <n v="20"/>
    <n v="1"/>
    <x v="3"/>
    <n v="29.948453608247419"/>
  </r>
  <r>
    <s v="ORD045"/>
    <x v="4"/>
    <x v="2"/>
    <d v="2024-02-15T00:00:00"/>
    <d v="1899-12-30T13:00:00"/>
    <d v="2024-02-15T00:00:00"/>
    <d v="1899-12-30T13:20:00"/>
    <x v="2"/>
    <x v="0"/>
    <x v="1"/>
    <x v="0"/>
    <x v="5"/>
    <x v="0"/>
    <s v="UPI"/>
    <b v="0"/>
    <b v="0"/>
    <n v="5.7142857142857144"/>
    <n v="0.8571428571428571"/>
    <s v="February"/>
    <s v="Online"/>
    <n v="8.4"/>
    <n v="11.6"/>
    <b v="0"/>
    <n v="6"/>
    <n v="2"/>
    <x v="4"/>
    <n v="30.286458333333329"/>
  </r>
  <r>
    <s v="ORD046"/>
    <x v="0"/>
    <x v="3"/>
    <d v="2024-02-16T00:00:00"/>
    <d v="1899-12-30T18:30:00"/>
    <d v="2024-02-16T00:00:00"/>
    <d v="1899-12-30T18:50:00"/>
    <x v="2"/>
    <x v="1"/>
    <x v="0"/>
    <x v="1"/>
    <x v="6"/>
    <x v="1"/>
    <s v="Cash"/>
    <b v="1"/>
    <b v="0"/>
    <n v="5"/>
    <n v="1"/>
    <s v="February"/>
    <s v="Offline"/>
    <n v="9.6"/>
    <n v="10.4"/>
    <b v="0"/>
    <n v="12"/>
    <n v="3"/>
    <x v="0"/>
    <n v="30.259433962264151"/>
  </r>
  <r>
    <s v="ORD047"/>
    <x v="1"/>
    <x v="4"/>
    <d v="2024-02-17T00:00:00"/>
    <d v="1899-12-30T20:00:00"/>
    <d v="2024-02-17T00:00:00"/>
    <d v="1899-12-30T20:25:00"/>
    <x v="1"/>
    <x v="0"/>
    <x v="1"/>
    <x v="0"/>
    <x v="2"/>
    <x v="2"/>
    <s v="Wallet"/>
    <b v="1"/>
    <b v="1"/>
    <n v="8.3333333333333339"/>
    <n v="1"/>
    <s v="February"/>
    <s v="Online"/>
    <n v="7.1999999999999993"/>
    <n v="17.8"/>
    <b v="0"/>
    <n v="6"/>
    <n v="1"/>
    <x v="1"/>
    <n v="28.186274509803919"/>
  </r>
  <r>
    <s v="ORD048"/>
    <x v="2"/>
    <x v="6"/>
    <d v="2024-02-18T00:00:00"/>
    <d v="1899-12-30T19:15:00"/>
    <d v="2024-02-18T00:00:00"/>
    <d v="1899-12-30T19:35:00"/>
    <x v="2"/>
    <x v="2"/>
    <x v="2"/>
    <x v="2"/>
    <x v="0"/>
    <x v="0"/>
    <s v="Card"/>
    <b v="1"/>
    <b v="1"/>
    <n v="8"/>
    <n v="0.8"/>
    <s v="February"/>
    <s v="Online"/>
    <n v="6"/>
    <n v="14"/>
    <b v="0"/>
    <n v="2"/>
    <n v="2"/>
    <x v="3"/>
    <n v="28.844221105527641"/>
  </r>
  <r>
    <s v="ORD049"/>
    <x v="3"/>
    <x v="7"/>
    <d v="2024-02-19T00:00:00"/>
    <d v="1899-12-30T20:30:00"/>
    <d v="2024-02-19T00:00:00"/>
    <d v="1899-12-30T20:55:00"/>
    <x v="1"/>
    <x v="3"/>
    <x v="3"/>
    <x v="3"/>
    <x v="3"/>
    <x v="1"/>
    <s v="UPI"/>
    <b v="1"/>
    <b v="0"/>
    <n v="5.5555555555555554"/>
    <n v="1.1111111111111109"/>
    <s v="February"/>
    <s v="Online"/>
    <n v="10.8"/>
    <n v="14.2"/>
    <b v="0"/>
    <n v="20"/>
    <n v="3"/>
    <x v="1"/>
    <n v="29.948453608247419"/>
  </r>
  <r>
    <s v="ORD050"/>
    <x v="4"/>
    <x v="8"/>
    <d v="2024-02-20T00:00:00"/>
    <d v="1899-12-30T14:45:00"/>
    <d v="2024-02-20T00:00:00"/>
    <d v="1899-12-30T15:05:00"/>
    <x v="2"/>
    <x v="0"/>
    <x v="1"/>
    <x v="0"/>
    <x v="2"/>
    <x v="2"/>
    <s v="Cash"/>
    <b v="0"/>
    <b v="0"/>
    <n v="6.666666666666667"/>
    <n v="1"/>
    <s v="February"/>
    <s v="Offline"/>
    <n v="7.1999999999999993"/>
    <n v="12.8"/>
    <b v="0"/>
    <n v="6"/>
    <n v="1"/>
    <x v="6"/>
    <n v="30.286458333333329"/>
  </r>
  <r>
    <s v="ORD051"/>
    <x v="0"/>
    <x v="9"/>
    <d v="2024-02-21T00:00:00"/>
    <d v="1899-12-30T19:00:00"/>
    <d v="2024-02-21T00:00:00"/>
    <d v="1899-12-30T19:20:00"/>
    <x v="2"/>
    <x v="1"/>
    <x v="0"/>
    <x v="1"/>
    <x v="6"/>
    <x v="0"/>
    <s v="Wallet"/>
    <b v="1"/>
    <b v="0"/>
    <n v="5"/>
    <n v="1"/>
    <s v="February"/>
    <s v="Online"/>
    <n v="9.6"/>
    <n v="10.4"/>
    <b v="0"/>
    <n v="12"/>
    <n v="2"/>
    <x v="3"/>
    <n v="30.259433962264151"/>
  </r>
  <r>
    <s v="ORD052"/>
    <x v="1"/>
    <x v="10"/>
    <d v="2024-02-22T00:00:00"/>
    <d v="1899-12-30T20:15:00"/>
    <d v="2024-02-22T00:00:00"/>
    <d v="1899-12-30T20:40:00"/>
    <x v="1"/>
    <x v="2"/>
    <x v="2"/>
    <x v="2"/>
    <x v="4"/>
    <x v="1"/>
    <s v="Card"/>
    <b v="1"/>
    <b v="0"/>
    <n v="12.5"/>
    <n v="1"/>
    <s v="February"/>
    <s v="Online"/>
    <n v="4.8"/>
    <n v="20.2"/>
    <b v="0"/>
    <n v="2"/>
    <n v="3"/>
    <x v="1"/>
    <n v="28.186274509803919"/>
  </r>
  <r>
    <s v="ORD053"/>
    <x v="2"/>
    <x v="11"/>
    <d v="2024-02-23T00:00:00"/>
    <d v="1899-12-30T18:30:00"/>
    <d v="2024-02-23T00:00:00"/>
    <d v="1899-12-30T18:50:00"/>
    <x v="2"/>
    <x v="0"/>
    <x v="1"/>
    <x v="0"/>
    <x v="5"/>
    <x v="2"/>
    <s v="UPI"/>
    <b v="1"/>
    <b v="0"/>
    <n v="5.7142857142857144"/>
    <n v="0.8571428571428571"/>
    <s v="February"/>
    <s v="Online"/>
    <n v="8.4"/>
    <n v="11.6"/>
    <b v="0"/>
    <n v="6"/>
    <n v="1"/>
    <x v="0"/>
    <n v="28.844221105527641"/>
  </r>
  <r>
    <s v="ORD054"/>
    <x v="3"/>
    <x v="2"/>
    <d v="2024-02-24T00:00:00"/>
    <d v="1899-12-30T19:45:00"/>
    <d v="2024-02-24T00:00:00"/>
    <d v="1899-12-30T20:10:00"/>
    <x v="1"/>
    <x v="3"/>
    <x v="3"/>
    <x v="3"/>
    <x v="6"/>
    <x v="0"/>
    <s v="Cash"/>
    <b v="1"/>
    <b v="1"/>
    <n v="6.25"/>
    <n v="1.25"/>
    <s v="February"/>
    <s v="Offline"/>
    <n v="9.6"/>
    <n v="15.4"/>
    <b v="0"/>
    <n v="20"/>
    <n v="2"/>
    <x v="3"/>
    <n v="29.948453608247419"/>
  </r>
  <r>
    <s v="ORD055"/>
    <x v="4"/>
    <x v="3"/>
    <d v="2024-02-25T00:00:00"/>
    <d v="1899-12-30T13:00:00"/>
    <d v="2024-02-25T00:00:00"/>
    <d v="1899-12-30T13:20:00"/>
    <x v="2"/>
    <x v="0"/>
    <x v="1"/>
    <x v="0"/>
    <x v="2"/>
    <x v="1"/>
    <s v="Wallet"/>
    <b v="0"/>
    <b v="1"/>
    <n v="6.666666666666667"/>
    <n v="1"/>
    <s v="February"/>
    <s v="Online"/>
    <n v="7.1999999999999993"/>
    <n v="12.8"/>
    <b v="0"/>
    <n v="6"/>
    <n v="3"/>
    <x v="4"/>
    <n v="30.286458333333329"/>
  </r>
  <r>
    <s v="ORD056"/>
    <x v="0"/>
    <x v="1"/>
    <d v="2024-02-26T00:00:00"/>
    <d v="1899-12-30T18:30:00"/>
    <d v="2024-02-26T00:00:00"/>
    <d v="1899-12-30T18:50:00"/>
    <x v="2"/>
    <x v="1"/>
    <x v="0"/>
    <x v="1"/>
    <x v="3"/>
    <x v="2"/>
    <s v="Card"/>
    <b v="1"/>
    <b v="0"/>
    <n v="4.4444444444444446"/>
    <n v="0.88888888888888884"/>
    <s v="February"/>
    <s v="Online"/>
    <n v="10.8"/>
    <n v="9.2000000000000011"/>
    <b v="0"/>
    <n v="12"/>
    <n v="1"/>
    <x v="0"/>
    <n v="30.259433962264151"/>
  </r>
  <r>
    <s v="ORD057"/>
    <x v="1"/>
    <x v="7"/>
    <d v="2024-02-27T00:00:00"/>
    <d v="1899-12-30T20:00:00"/>
    <d v="2024-02-27T00:00:00"/>
    <d v="1899-12-30T20:25:00"/>
    <x v="1"/>
    <x v="0"/>
    <x v="1"/>
    <x v="0"/>
    <x v="2"/>
    <x v="1"/>
    <s v="UPI"/>
    <b v="1"/>
    <b v="0"/>
    <n v="8.3333333333333339"/>
    <n v="1"/>
    <s v="February"/>
    <s v="Online"/>
    <n v="7.1999999999999993"/>
    <n v="17.8"/>
    <b v="0"/>
    <n v="6"/>
    <n v="3"/>
    <x v="1"/>
    <n v="28.186274509803919"/>
  </r>
  <r>
    <s v="ORD058"/>
    <x v="2"/>
    <x v="8"/>
    <d v="2024-02-28T00:00:00"/>
    <d v="1899-12-30T19:15:00"/>
    <d v="2024-02-28T00:00:00"/>
    <d v="1899-12-30T19:35:00"/>
    <x v="2"/>
    <x v="2"/>
    <x v="2"/>
    <x v="2"/>
    <x v="0"/>
    <x v="2"/>
    <s v="Cash"/>
    <b v="1"/>
    <b v="0"/>
    <n v="8"/>
    <n v="0.8"/>
    <s v="February"/>
    <s v="Offline"/>
    <n v="6"/>
    <n v="14"/>
    <b v="0"/>
    <n v="2"/>
    <n v="1"/>
    <x v="3"/>
    <n v="28.844221105527641"/>
  </r>
  <r>
    <s v="ORD059"/>
    <x v="3"/>
    <x v="4"/>
    <d v="2024-02-29T00:00:00"/>
    <d v="1899-12-30T20:30:00"/>
    <d v="2024-02-29T00:00:00"/>
    <d v="1899-12-30T20:55:00"/>
    <x v="1"/>
    <x v="3"/>
    <x v="3"/>
    <x v="3"/>
    <x v="6"/>
    <x v="0"/>
    <s v="Wallet"/>
    <b v="1"/>
    <b v="0"/>
    <n v="6.25"/>
    <n v="1.25"/>
    <s v="February"/>
    <s v="Online"/>
    <n v="9.6"/>
    <n v="15.4"/>
    <b v="0"/>
    <n v="20"/>
    <n v="2"/>
    <x v="1"/>
    <n v="29.948453608247419"/>
  </r>
  <r>
    <s v="ORD060"/>
    <x v="4"/>
    <x v="9"/>
    <d v="2024-03-01T00:00:00"/>
    <d v="1899-12-30T14:45:00"/>
    <d v="2024-03-01T00:00:00"/>
    <d v="1899-12-30T15:05:00"/>
    <x v="2"/>
    <x v="0"/>
    <x v="1"/>
    <x v="0"/>
    <x v="5"/>
    <x v="1"/>
    <s v="Card"/>
    <b v="0"/>
    <b v="0"/>
    <n v="5.7142857142857144"/>
    <n v="0.8571428571428571"/>
    <s v="March"/>
    <s v="Online"/>
    <n v="8.4"/>
    <n v="11.6"/>
    <b v="0"/>
    <n v="6"/>
    <n v="3"/>
    <x v="6"/>
    <n v="30.286458333333329"/>
  </r>
  <r>
    <s v="ORD061"/>
    <x v="0"/>
    <x v="10"/>
    <d v="2024-03-02T00:00:00"/>
    <d v="1899-12-30T19:00:00"/>
    <d v="2024-03-02T00:00:00"/>
    <d v="1899-12-30T19:20:00"/>
    <x v="2"/>
    <x v="1"/>
    <x v="0"/>
    <x v="1"/>
    <x v="6"/>
    <x v="2"/>
    <s v="UPI"/>
    <b v="1"/>
    <b v="1"/>
    <n v="5"/>
    <n v="1"/>
    <s v="March"/>
    <s v="Online"/>
    <n v="9.6"/>
    <n v="10.4"/>
    <b v="0"/>
    <n v="12"/>
    <n v="1"/>
    <x v="3"/>
    <n v="30.259433962264151"/>
  </r>
  <r>
    <s v="ORD062"/>
    <x v="1"/>
    <x v="11"/>
    <d v="2024-03-03T00:00:00"/>
    <d v="1899-12-30T20:15:00"/>
    <d v="2024-03-03T00:00:00"/>
    <d v="1899-12-30T20:40:00"/>
    <x v="1"/>
    <x v="2"/>
    <x v="2"/>
    <x v="2"/>
    <x v="4"/>
    <x v="0"/>
    <s v="Cash"/>
    <b v="1"/>
    <b v="1"/>
    <n v="12.5"/>
    <n v="1"/>
    <s v="March"/>
    <s v="Offline"/>
    <n v="4.8"/>
    <n v="20.2"/>
    <b v="0"/>
    <n v="2"/>
    <n v="2"/>
    <x v="1"/>
    <n v="28.186274509803919"/>
  </r>
  <r>
    <s v="ORD063"/>
    <x v="2"/>
    <x v="4"/>
    <d v="2024-03-04T00:00:00"/>
    <d v="1899-12-30T18:30:00"/>
    <d v="2024-03-04T00:00:00"/>
    <d v="1899-12-30T18:50:00"/>
    <x v="2"/>
    <x v="0"/>
    <x v="1"/>
    <x v="0"/>
    <x v="2"/>
    <x v="1"/>
    <s v="Wallet"/>
    <b v="1"/>
    <b v="0"/>
    <n v="6.666666666666667"/>
    <n v="1"/>
    <s v="March"/>
    <s v="Online"/>
    <n v="7.1999999999999993"/>
    <n v="12.8"/>
    <b v="0"/>
    <n v="6"/>
    <n v="3"/>
    <x v="0"/>
    <n v="28.844221105527641"/>
  </r>
  <r>
    <s v="ORD064"/>
    <x v="3"/>
    <x v="1"/>
    <d v="2024-03-05T00:00:00"/>
    <d v="1899-12-30T19:45:00"/>
    <d v="2024-03-05T00:00:00"/>
    <d v="1899-12-30T20:10:00"/>
    <x v="1"/>
    <x v="3"/>
    <x v="3"/>
    <x v="3"/>
    <x v="3"/>
    <x v="2"/>
    <s v="Card"/>
    <b v="1"/>
    <b v="0"/>
    <n v="5.5555555555555554"/>
    <n v="1.1111111111111109"/>
    <s v="March"/>
    <s v="Online"/>
    <n v="10.8"/>
    <n v="14.2"/>
    <b v="0"/>
    <n v="20"/>
    <n v="1"/>
    <x v="3"/>
    <n v="29.948453608247419"/>
  </r>
  <r>
    <s v="ORD065"/>
    <x v="4"/>
    <x v="2"/>
    <d v="2024-03-06T00:00:00"/>
    <d v="1899-12-30T13:00:00"/>
    <d v="2024-03-06T00:00:00"/>
    <d v="1899-12-30T13:20:00"/>
    <x v="2"/>
    <x v="0"/>
    <x v="1"/>
    <x v="0"/>
    <x v="5"/>
    <x v="2"/>
    <s v="Card"/>
    <b v="0"/>
    <b v="0"/>
    <n v="5.7142857142857144"/>
    <n v="0.8571428571428571"/>
    <s v="March"/>
    <s v="Online"/>
    <n v="8.4"/>
    <n v="11.6"/>
    <b v="0"/>
    <n v="6"/>
    <n v="1"/>
    <x v="4"/>
    <n v="30.286458333333329"/>
  </r>
  <r>
    <s v="ORD066"/>
    <x v="0"/>
    <x v="3"/>
    <d v="2024-03-07T00:00:00"/>
    <d v="1899-12-30T18:30:00"/>
    <d v="2024-03-07T00:00:00"/>
    <d v="1899-12-30T18:50:00"/>
    <x v="2"/>
    <x v="1"/>
    <x v="0"/>
    <x v="1"/>
    <x v="6"/>
    <x v="1"/>
    <s v="Card"/>
    <b v="1"/>
    <b v="0"/>
    <n v="5"/>
    <n v="1"/>
    <s v="March"/>
    <s v="Online"/>
    <n v="9.6"/>
    <n v="10.4"/>
    <b v="0"/>
    <n v="12"/>
    <n v="3"/>
    <x v="0"/>
    <n v="30.259433962264151"/>
  </r>
  <r>
    <s v="ORD067"/>
    <x v="1"/>
    <x v="4"/>
    <d v="2024-03-08T00:00:00"/>
    <d v="1899-12-30T20:00:00"/>
    <d v="2024-03-08T00:00:00"/>
    <d v="1899-12-30T20:25:00"/>
    <x v="1"/>
    <x v="0"/>
    <x v="1"/>
    <x v="0"/>
    <x v="5"/>
    <x v="0"/>
    <s v="UPI"/>
    <b v="1"/>
    <b v="0"/>
    <n v="7.1428571428571432"/>
    <n v="0.8571428571428571"/>
    <s v="March"/>
    <s v="Online"/>
    <n v="8.4"/>
    <n v="16.600000000000001"/>
    <b v="0"/>
    <n v="6"/>
    <n v="2"/>
    <x v="1"/>
    <n v="28.186274509803919"/>
  </r>
  <r>
    <s v="ORD068"/>
    <x v="2"/>
    <x v="2"/>
    <d v="2024-03-09T00:00:00"/>
    <d v="1899-12-30T19:15:00"/>
    <d v="2024-03-09T00:00:00"/>
    <d v="1899-12-30T19:35:00"/>
    <x v="2"/>
    <x v="2"/>
    <x v="2"/>
    <x v="2"/>
    <x v="0"/>
    <x v="2"/>
    <s v="Cash"/>
    <b v="1"/>
    <b v="1"/>
    <n v="8"/>
    <n v="0.8"/>
    <s v="March"/>
    <s v="Offline"/>
    <n v="6"/>
    <n v="14"/>
    <b v="0"/>
    <n v="2"/>
    <n v="1"/>
    <x v="3"/>
    <n v="28.844221105527641"/>
  </r>
  <r>
    <s v="ORD069"/>
    <x v="3"/>
    <x v="7"/>
    <d v="2024-03-10T00:00:00"/>
    <d v="1899-12-30T19:45:00"/>
    <d v="2024-03-10T00:00:00"/>
    <d v="1899-12-30T20:10:00"/>
    <x v="1"/>
    <x v="3"/>
    <x v="3"/>
    <x v="3"/>
    <x v="3"/>
    <x v="1"/>
    <s v="Wallet"/>
    <b v="1"/>
    <b v="1"/>
    <n v="5.5555555555555554"/>
    <n v="1.1111111111111109"/>
    <s v="March"/>
    <s v="Online"/>
    <n v="10.8"/>
    <n v="14.2"/>
    <b v="0"/>
    <n v="20"/>
    <n v="3"/>
    <x v="3"/>
    <n v="29.948453608247419"/>
  </r>
  <r>
    <s v="ORD070"/>
    <x v="4"/>
    <x v="8"/>
    <d v="2024-03-11T00:00:00"/>
    <d v="1899-12-30T13:00:00"/>
    <d v="2024-03-11T00:00:00"/>
    <d v="1899-12-30T13:20:00"/>
    <x v="2"/>
    <x v="0"/>
    <x v="1"/>
    <x v="0"/>
    <x v="2"/>
    <x v="2"/>
    <s v="Card"/>
    <b v="0"/>
    <b v="0"/>
    <n v="6.666666666666667"/>
    <n v="1"/>
    <s v="March"/>
    <s v="Online"/>
    <n v="7.1999999999999993"/>
    <n v="12.8"/>
    <b v="0"/>
    <n v="6"/>
    <n v="1"/>
    <x v="4"/>
    <n v="30.286458333333329"/>
  </r>
  <r>
    <s v="ORD071"/>
    <x v="0"/>
    <x v="9"/>
    <d v="2024-03-12T00:00:00"/>
    <d v="1899-12-30T18:30:00"/>
    <d v="2024-03-12T00:00:00"/>
    <d v="1899-12-30T18:50:00"/>
    <x v="2"/>
    <x v="1"/>
    <x v="0"/>
    <x v="1"/>
    <x v="6"/>
    <x v="0"/>
    <s v="UPI"/>
    <b v="1"/>
    <b v="0"/>
    <n v="5"/>
    <n v="1"/>
    <s v="March"/>
    <s v="Online"/>
    <n v="9.6"/>
    <n v="10.4"/>
    <b v="0"/>
    <n v="12"/>
    <n v="2"/>
    <x v="0"/>
    <n v="30.259433962264151"/>
  </r>
  <r>
    <s v="ORD072"/>
    <x v="1"/>
    <x v="10"/>
    <d v="2024-03-13T00:00:00"/>
    <d v="1899-12-30T20:15:00"/>
    <d v="2024-03-13T00:00:00"/>
    <d v="1899-12-30T20:40:00"/>
    <x v="1"/>
    <x v="2"/>
    <x v="2"/>
    <x v="2"/>
    <x v="4"/>
    <x v="1"/>
    <s v="Cash"/>
    <b v="1"/>
    <b v="0"/>
    <n v="12.5"/>
    <n v="1"/>
    <s v="March"/>
    <s v="Offline"/>
    <n v="4.8"/>
    <n v="20.2"/>
    <b v="0"/>
    <n v="2"/>
    <n v="3"/>
    <x v="1"/>
    <n v="28.186274509803919"/>
  </r>
  <r>
    <s v="ORD073"/>
    <x v="2"/>
    <x v="11"/>
    <d v="2024-03-14T00:00:00"/>
    <d v="1899-12-30T18:30:00"/>
    <d v="2024-03-14T00:00:00"/>
    <d v="1899-12-30T18:50:00"/>
    <x v="2"/>
    <x v="0"/>
    <x v="1"/>
    <x v="0"/>
    <x v="5"/>
    <x v="2"/>
    <s v="Wallet"/>
    <b v="1"/>
    <b v="0"/>
    <n v="5.7142857142857144"/>
    <n v="0.8571428571428571"/>
    <s v="March"/>
    <s v="Online"/>
    <n v="8.4"/>
    <n v="11.6"/>
    <b v="0"/>
    <n v="6"/>
    <n v="1"/>
    <x v="0"/>
    <n v="28.844221105527641"/>
  </r>
  <r>
    <s v="ORD074"/>
    <x v="3"/>
    <x v="2"/>
    <d v="2024-03-15T00:00:00"/>
    <d v="1899-12-30T19:45:00"/>
    <d v="2024-03-15T00:00:00"/>
    <d v="1899-12-30T20:10:00"/>
    <x v="1"/>
    <x v="3"/>
    <x v="3"/>
    <x v="3"/>
    <x v="6"/>
    <x v="0"/>
    <s v="Card"/>
    <b v="1"/>
    <b v="0"/>
    <n v="6.25"/>
    <n v="1.25"/>
    <s v="March"/>
    <s v="Online"/>
    <n v="9.6"/>
    <n v="15.4"/>
    <b v="0"/>
    <n v="20"/>
    <n v="2"/>
    <x v="3"/>
    <n v="29.948453608247419"/>
  </r>
  <r>
    <s v="ORD075"/>
    <x v="4"/>
    <x v="3"/>
    <d v="2024-03-16T00:00:00"/>
    <d v="1899-12-30T13:00:00"/>
    <d v="2024-03-16T00:00:00"/>
    <d v="1899-12-30T13:20:00"/>
    <x v="2"/>
    <x v="0"/>
    <x v="1"/>
    <x v="0"/>
    <x v="2"/>
    <x v="1"/>
    <s v="UPI"/>
    <b v="0"/>
    <b v="1"/>
    <n v="6.666666666666667"/>
    <n v="1"/>
    <s v="March"/>
    <s v="Online"/>
    <n v="7.1999999999999993"/>
    <n v="12.8"/>
    <b v="0"/>
    <n v="6"/>
    <n v="3"/>
    <x v="4"/>
    <n v="30.286458333333329"/>
  </r>
  <r>
    <s v="ORD076"/>
    <x v="0"/>
    <x v="1"/>
    <d v="2024-03-17T00:00:00"/>
    <d v="1899-12-30T18:30:00"/>
    <d v="2024-03-17T00:00:00"/>
    <d v="1899-12-30T18:50:00"/>
    <x v="2"/>
    <x v="1"/>
    <x v="0"/>
    <x v="1"/>
    <x v="3"/>
    <x v="2"/>
    <s v="Cash"/>
    <b v="1"/>
    <b v="1"/>
    <n v="4.4444444444444446"/>
    <n v="0.88888888888888884"/>
    <s v="March"/>
    <s v="Offline"/>
    <n v="10.8"/>
    <n v="9.2000000000000011"/>
    <b v="0"/>
    <n v="12"/>
    <n v="1"/>
    <x v="0"/>
    <n v="30.259433962264151"/>
  </r>
  <r>
    <s v="ORD077"/>
    <x v="1"/>
    <x v="7"/>
    <d v="2024-03-18T00:00:00"/>
    <d v="1899-12-30T20:00:00"/>
    <d v="2024-03-18T00:00:00"/>
    <d v="1899-12-30T20:25:00"/>
    <x v="1"/>
    <x v="0"/>
    <x v="1"/>
    <x v="0"/>
    <x v="2"/>
    <x v="1"/>
    <s v="Wallet"/>
    <b v="1"/>
    <b v="0"/>
    <n v="8.3333333333333339"/>
    <n v="1"/>
    <s v="March"/>
    <s v="Online"/>
    <n v="7.1999999999999993"/>
    <n v="17.8"/>
    <b v="0"/>
    <n v="6"/>
    <n v="3"/>
    <x v="1"/>
    <n v="28.186274509803919"/>
  </r>
  <r>
    <s v="ORD078"/>
    <x v="2"/>
    <x v="8"/>
    <d v="2024-03-19T00:00:00"/>
    <d v="1899-12-30T19:15:00"/>
    <d v="2024-03-19T00:00:00"/>
    <d v="1899-12-30T19:35:00"/>
    <x v="2"/>
    <x v="2"/>
    <x v="2"/>
    <x v="2"/>
    <x v="0"/>
    <x v="2"/>
    <s v="Card"/>
    <b v="1"/>
    <b v="0"/>
    <n v="8"/>
    <n v="0.8"/>
    <s v="March"/>
    <s v="Online"/>
    <n v="6"/>
    <n v="14"/>
    <b v="0"/>
    <n v="2"/>
    <n v="1"/>
    <x v="3"/>
    <n v="28.844221105527641"/>
  </r>
  <r>
    <s v="ORD079"/>
    <x v="3"/>
    <x v="4"/>
    <d v="2024-03-20T00:00:00"/>
    <d v="1899-12-30T19:45:00"/>
    <d v="2024-03-20T00:00:00"/>
    <d v="1899-12-30T20:10:00"/>
    <x v="1"/>
    <x v="3"/>
    <x v="3"/>
    <x v="3"/>
    <x v="6"/>
    <x v="0"/>
    <s v="UPI"/>
    <b v="1"/>
    <b v="0"/>
    <n v="6.25"/>
    <n v="1.25"/>
    <s v="March"/>
    <s v="Online"/>
    <n v="9.6"/>
    <n v="15.4"/>
    <b v="0"/>
    <n v="20"/>
    <n v="2"/>
    <x v="3"/>
    <n v="29.948453608247419"/>
  </r>
  <r>
    <s v="ORD080"/>
    <x v="4"/>
    <x v="9"/>
    <d v="2024-03-21T00:00:00"/>
    <d v="1899-12-30T13:00:00"/>
    <d v="2024-03-21T00:00:00"/>
    <d v="1899-12-30T13:20:00"/>
    <x v="2"/>
    <x v="0"/>
    <x v="1"/>
    <x v="0"/>
    <x v="5"/>
    <x v="1"/>
    <s v="Cash"/>
    <b v="0"/>
    <b v="0"/>
    <n v="5.7142857142857144"/>
    <n v="0.8571428571428571"/>
    <s v="March"/>
    <s v="Offline"/>
    <n v="8.4"/>
    <n v="11.6"/>
    <b v="0"/>
    <n v="6"/>
    <n v="3"/>
    <x v="4"/>
    <n v="30.286458333333329"/>
  </r>
  <r>
    <s v="ORD081"/>
    <x v="0"/>
    <x v="10"/>
    <d v="2024-03-22T00:00:00"/>
    <d v="1899-12-30T18:30:00"/>
    <d v="2024-03-22T00:00:00"/>
    <d v="1899-12-30T18:50:00"/>
    <x v="2"/>
    <x v="1"/>
    <x v="0"/>
    <x v="1"/>
    <x v="6"/>
    <x v="2"/>
    <s v="Wallet"/>
    <b v="1"/>
    <b v="0"/>
    <n v="5"/>
    <n v="1"/>
    <s v="March"/>
    <s v="Online"/>
    <n v="9.6"/>
    <n v="10.4"/>
    <b v="0"/>
    <n v="12"/>
    <n v="1"/>
    <x v="0"/>
    <n v="30.259433962264151"/>
  </r>
  <r>
    <s v="ORD082"/>
    <x v="1"/>
    <x v="11"/>
    <d v="2024-03-23T00:00:00"/>
    <d v="1899-12-30T20:15:00"/>
    <d v="2024-03-23T00:00:00"/>
    <d v="1899-12-30T20:40:00"/>
    <x v="1"/>
    <x v="2"/>
    <x v="2"/>
    <x v="2"/>
    <x v="4"/>
    <x v="1"/>
    <s v="Card"/>
    <b v="1"/>
    <b v="1"/>
    <n v="12.5"/>
    <n v="1"/>
    <s v="March"/>
    <s v="Online"/>
    <n v="4.8"/>
    <n v="20.2"/>
    <b v="0"/>
    <n v="2"/>
    <n v="3"/>
    <x v="1"/>
    <n v="28.186274509803919"/>
  </r>
  <r>
    <s v="ORD083"/>
    <x v="2"/>
    <x v="4"/>
    <d v="2024-03-24T00:00:00"/>
    <d v="1899-12-30T18:30:00"/>
    <d v="2024-03-24T00:00:00"/>
    <d v="1899-12-30T18:50:00"/>
    <x v="2"/>
    <x v="0"/>
    <x v="1"/>
    <x v="0"/>
    <x v="2"/>
    <x v="1"/>
    <s v="UPI"/>
    <b v="1"/>
    <b v="1"/>
    <n v="6.666666666666667"/>
    <n v="1"/>
    <s v="March"/>
    <s v="Online"/>
    <n v="7.1999999999999993"/>
    <n v="12.8"/>
    <b v="0"/>
    <n v="6"/>
    <n v="3"/>
    <x v="0"/>
    <n v="28.844221105527641"/>
  </r>
  <r>
    <s v="ORD084"/>
    <x v="3"/>
    <x v="1"/>
    <d v="2024-03-25T00:00:00"/>
    <d v="1899-12-30T19:45:00"/>
    <d v="2024-03-25T00:00:00"/>
    <d v="1899-12-30T20:10:00"/>
    <x v="1"/>
    <x v="3"/>
    <x v="3"/>
    <x v="3"/>
    <x v="3"/>
    <x v="2"/>
    <s v="Cash"/>
    <b v="1"/>
    <b v="0"/>
    <n v="5.5555555555555554"/>
    <n v="1.1111111111111109"/>
    <s v="March"/>
    <s v="Offline"/>
    <n v="10.8"/>
    <n v="14.2"/>
    <b v="0"/>
    <n v="20"/>
    <n v="1"/>
    <x v="3"/>
    <n v="29.948453608247419"/>
  </r>
  <r>
    <s v="ORD085"/>
    <x v="4"/>
    <x v="2"/>
    <d v="2024-03-26T00:00:00"/>
    <d v="1899-12-30T13:00:00"/>
    <d v="2024-03-26T00:00:00"/>
    <d v="1899-12-30T13:20:00"/>
    <x v="2"/>
    <x v="0"/>
    <x v="1"/>
    <x v="0"/>
    <x v="5"/>
    <x v="0"/>
    <s v="Wallet"/>
    <b v="0"/>
    <b v="0"/>
    <n v="5.7142857142857144"/>
    <n v="0.8571428571428571"/>
    <s v="March"/>
    <s v="Online"/>
    <n v="8.4"/>
    <n v="11.6"/>
    <b v="0"/>
    <n v="6"/>
    <n v="2"/>
    <x v="4"/>
    <n v="30.286458333333329"/>
  </r>
  <r>
    <s v="ORD086"/>
    <x v="0"/>
    <x v="3"/>
    <d v="2024-03-27T00:00:00"/>
    <d v="1899-12-30T18:30:00"/>
    <d v="2024-03-27T00:00:00"/>
    <d v="1899-12-30T18:50:00"/>
    <x v="2"/>
    <x v="1"/>
    <x v="0"/>
    <x v="1"/>
    <x v="6"/>
    <x v="1"/>
    <s v="Card"/>
    <b v="1"/>
    <b v="0"/>
    <n v="5"/>
    <n v="1"/>
    <s v="March"/>
    <s v="Online"/>
    <n v="9.6"/>
    <n v="10.4"/>
    <b v="0"/>
    <n v="12"/>
    <n v="3"/>
    <x v="0"/>
    <n v="30.259433962264151"/>
  </r>
  <r>
    <s v="ORD087"/>
    <x v="1"/>
    <x v="4"/>
    <d v="2024-03-28T00:00:00"/>
    <d v="1899-12-30T20:00:00"/>
    <d v="2024-03-28T00:00:00"/>
    <d v="1899-12-30T20:25:00"/>
    <x v="1"/>
    <x v="0"/>
    <x v="1"/>
    <x v="0"/>
    <x v="2"/>
    <x v="2"/>
    <s v="UPI"/>
    <b v="1"/>
    <b v="0"/>
    <n v="8.3333333333333339"/>
    <n v="1"/>
    <s v="March"/>
    <s v="Online"/>
    <n v="7.1999999999999993"/>
    <n v="17.8"/>
    <b v="0"/>
    <n v="6"/>
    <n v="1"/>
    <x v="1"/>
    <n v="28.186274509803919"/>
  </r>
  <r>
    <s v="ORD088"/>
    <x v="2"/>
    <x v="6"/>
    <d v="2024-03-29T00:00:00"/>
    <d v="1899-12-30T19:15:00"/>
    <d v="2024-03-29T00:00:00"/>
    <d v="1899-12-30T19:35:00"/>
    <x v="2"/>
    <x v="2"/>
    <x v="2"/>
    <x v="2"/>
    <x v="0"/>
    <x v="2"/>
    <s v="Cash"/>
    <b v="1"/>
    <b v="0"/>
    <n v="8"/>
    <n v="0.8"/>
    <s v="March"/>
    <s v="Offline"/>
    <n v="6"/>
    <n v="14"/>
    <b v="0"/>
    <n v="2"/>
    <n v="1"/>
    <x v="3"/>
    <n v="28.844221105527641"/>
  </r>
  <r>
    <s v="ORD089"/>
    <x v="3"/>
    <x v="7"/>
    <d v="2024-03-30T00:00:00"/>
    <d v="1899-12-30T19:45:00"/>
    <d v="2024-03-30T00:00:00"/>
    <d v="1899-12-30T20:10:00"/>
    <x v="1"/>
    <x v="3"/>
    <x v="3"/>
    <x v="3"/>
    <x v="3"/>
    <x v="1"/>
    <s v="Wallet"/>
    <b v="1"/>
    <b v="1"/>
    <n v="5.5555555555555554"/>
    <n v="1.1111111111111109"/>
    <s v="March"/>
    <s v="Online"/>
    <n v="10.8"/>
    <n v="14.2"/>
    <b v="0"/>
    <n v="20"/>
    <n v="3"/>
    <x v="3"/>
    <n v="29.948453608247419"/>
  </r>
  <r>
    <s v="ORD090"/>
    <x v="4"/>
    <x v="8"/>
    <d v="2024-03-31T00:00:00"/>
    <d v="1899-12-30T13:00:00"/>
    <d v="2024-03-31T00:00:00"/>
    <d v="1899-12-30T13:20:00"/>
    <x v="2"/>
    <x v="0"/>
    <x v="1"/>
    <x v="0"/>
    <x v="2"/>
    <x v="0"/>
    <s v="Card"/>
    <b v="0"/>
    <b v="1"/>
    <n v="6.666666666666667"/>
    <n v="1"/>
    <s v="March"/>
    <s v="Online"/>
    <n v="7.1999999999999993"/>
    <n v="12.8"/>
    <b v="0"/>
    <n v="6"/>
    <n v="2"/>
    <x v="4"/>
    <n v="30.286458333333329"/>
  </r>
  <r>
    <s v="ORD091"/>
    <x v="0"/>
    <x v="9"/>
    <d v="2024-04-01T00:00:00"/>
    <d v="1899-12-30T18:30:00"/>
    <d v="2024-04-01T00:00:00"/>
    <d v="1899-12-30T18:50:00"/>
    <x v="2"/>
    <x v="1"/>
    <x v="0"/>
    <x v="1"/>
    <x v="6"/>
    <x v="2"/>
    <s v="UPI"/>
    <b v="1"/>
    <b v="0"/>
    <n v="5"/>
    <n v="1"/>
    <s v="April"/>
    <s v="Online"/>
    <n v="9.6"/>
    <n v="10.4"/>
    <b v="0"/>
    <n v="12"/>
    <n v="1"/>
    <x v="0"/>
    <n v="30.259433962264151"/>
  </r>
  <r>
    <s v="ORD092"/>
    <x v="1"/>
    <x v="10"/>
    <d v="2024-04-02T00:00:00"/>
    <d v="1899-12-30T20:15:00"/>
    <d v="2024-04-02T00:00:00"/>
    <d v="1899-12-30T20:40:00"/>
    <x v="1"/>
    <x v="2"/>
    <x v="2"/>
    <x v="2"/>
    <x v="4"/>
    <x v="1"/>
    <s v="Cash"/>
    <b v="1"/>
    <b v="0"/>
    <n v="12.5"/>
    <n v="1"/>
    <s v="April"/>
    <s v="Offline"/>
    <n v="4.8"/>
    <n v="20.2"/>
    <b v="0"/>
    <n v="2"/>
    <n v="3"/>
    <x v="1"/>
    <n v="28.186274509803919"/>
  </r>
  <r>
    <s v="ORD093"/>
    <x v="2"/>
    <x v="11"/>
    <d v="2024-04-03T00:00:00"/>
    <d v="1899-12-30T18:30:00"/>
    <d v="2024-04-03T00:00:00"/>
    <d v="1899-12-30T18:50:00"/>
    <x v="2"/>
    <x v="0"/>
    <x v="1"/>
    <x v="0"/>
    <x v="5"/>
    <x v="2"/>
    <s v="Wallet"/>
    <b v="1"/>
    <b v="0"/>
    <n v="5.7142857142857144"/>
    <n v="0.8571428571428571"/>
    <s v="April"/>
    <s v="Online"/>
    <n v="8.4"/>
    <n v="11.6"/>
    <b v="0"/>
    <n v="6"/>
    <n v="1"/>
    <x v="0"/>
    <n v="28.844221105527641"/>
  </r>
  <r>
    <s v="ORD094"/>
    <x v="3"/>
    <x v="2"/>
    <d v="2024-04-04T00:00:00"/>
    <d v="1899-12-30T19:45:00"/>
    <d v="2024-04-04T00:00:00"/>
    <d v="1899-12-30T20:10:00"/>
    <x v="1"/>
    <x v="3"/>
    <x v="3"/>
    <x v="3"/>
    <x v="6"/>
    <x v="0"/>
    <s v="Card"/>
    <b v="1"/>
    <b v="0"/>
    <n v="6.25"/>
    <n v="1.25"/>
    <s v="April"/>
    <s v="Online"/>
    <n v="9.6"/>
    <n v="15.4"/>
    <b v="0"/>
    <n v="20"/>
    <n v="2"/>
    <x v="3"/>
    <n v="29.948453608247419"/>
  </r>
  <r>
    <s v="ORD095"/>
    <x v="4"/>
    <x v="3"/>
    <d v="2024-04-05T00:00:00"/>
    <d v="1899-12-30T13:00:00"/>
    <d v="2024-04-05T00:00:00"/>
    <d v="1899-12-30T13:20:00"/>
    <x v="2"/>
    <x v="0"/>
    <x v="1"/>
    <x v="0"/>
    <x v="2"/>
    <x v="1"/>
    <s v="UPI"/>
    <b v="0"/>
    <b v="0"/>
    <n v="6.666666666666667"/>
    <n v="1"/>
    <s v="April"/>
    <s v="Online"/>
    <n v="7.1999999999999993"/>
    <n v="12.8"/>
    <b v="0"/>
    <n v="6"/>
    <n v="3"/>
    <x v="4"/>
    <n v="30.286458333333329"/>
  </r>
  <r>
    <s v="ORD096"/>
    <x v="0"/>
    <x v="1"/>
    <d v="2024-04-06T00:00:00"/>
    <d v="1899-12-30T18:30:00"/>
    <d v="2024-04-06T00:00:00"/>
    <d v="1899-12-30T18:50:00"/>
    <x v="2"/>
    <x v="1"/>
    <x v="0"/>
    <x v="1"/>
    <x v="3"/>
    <x v="1"/>
    <s v="Card"/>
    <b v="1"/>
    <b v="1"/>
    <n v="4.4444444444444446"/>
    <n v="0.88888888888888884"/>
    <s v="April"/>
    <s v="Online"/>
    <n v="10.8"/>
    <n v="9.2000000000000011"/>
    <b v="0"/>
    <n v="12"/>
    <n v="3"/>
    <x v="0"/>
    <n v="30.259433962264151"/>
  </r>
  <r>
    <s v="ORD097"/>
    <x v="1"/>
    <x v="4"/>
    <d v="2024-04-07T00:00:00"/>
    <d v="1899-12-30T20:00:00"/>
    <d v="2024-04-07T00:00:00"/>
    <d v="1899-12-30T20:25:00"/>
    <x v="1"/>
    <x v="0"/>
    <x v="1"/>
    <x v="0"/>
    <x v="2"/>
    <x v="0"/>
    <s v="UPI"/>
    <b v="1"/>
    <b v="1"/>
    <n v="8.3333333333333339"/>
    <n v="1"/>
    <s v="April"/>
    <s v="Online"/>
    <n v="7.1999999999999993"/>
    <n v="17.8"/>
    <b v="0"/>
    <n v="6"/>
    <n v="2"/>
    <x v="1"/>
    <n v="28.186274509803919"/>
  </r>
  <r>
    <s v="ORD098"/>
    <x v="2"/>
    <x v="2"/>
    <d v="2024-04-08T00:00:00"/>
    <d v="1899-12-30T19:15:00"/>
    <d v="2024-04-08T00:00:00"/>
    <d v="1899-12-30T19:35:00"/>
    <x v="2"/>
    <x v="2"/>
    <x v="2"/>
    <x v="2"/>
    <x v="0"/>
    <x v="2"/>
    <s v="Cash"/>
    <b v="1"/>
    <b v="0"/>
    <n v="8"/>
    <n v="0.8"/>
    <s v="April"/>
    <s v="Offline"/>
    <n v="6"/>
    <n v="14"/>
    <b v="0"/>
    <n v="2"/>
    <n v="1"/>
    <x v="3"/>
    <n v="28.844221105527641"/>
  </r>
  <r>
    <s v="ORD099"/>
    <x v="3"/>
    <x v="7"/>
    <d v="2024-04-09T00:00:00"/>
    <d v="1899-12-30T19:45:00"/>
    <d v="2024-04-09T00:00:00"/>
    <d v="1899-12-30T20:10:00"/>
    <x v="1"/>
    <x v="3"/>
    <x v="3"/>
    <x v="3"/>
    <x v="6"/>
    <x v="1"/>
    <s v="Wallet"/>
    <b v="1"/>
    <b v="0"/>
    <n v="6.25"/>
    <n v="1.25"/>
    <s v="April"/>
    <s v="Online"/>
    <n v="9.6"/>
    <n v="15.4"/>
    <b v="0"/>
    <n v="20"/>
    <n v="3"/>
    <x v="3"/>
    <n v="29.948453608247419"/>
  </r>
  <r>
    <s v="ORD100"/>
    <x v="4"/>
    <x v="8"/>
    <d v="2024-04-10T00:00:00"/>
    <d v="1899-12-30T13:00:00"/>
    <d v="2024-04-10T00:00:00"/>
    <d v="1899-12-30T13:20:00"/>
    <x v="2"/>
    <x v="0"/>
    <x v="1"/>
    <x v="0"/>
    <x v="5"/>
    <x v="2"/>
    <s v="Card"/>
    <b v="0"/>
    <b v="0"/>
    <n v="5.7142857142857144"/>
    <n v="0.8571428571428571"/>
    <s v="April"/>
    <s v="Online"/>
    <n v="8.4"/>
    <n v="11.6"/>
    <b v="0"/>
    <n v="6"/>
    <n v="1"/>
    <x v="4"/>
    <n v="30.286458333333329"/>
  </r>
  <r>
    <s v="ORD101"/>
    <x v="0"/>
    <x v="9"/>
    <d v="2024-04-11T00:00:00"/>
    <d v="1899-12-30T18:30:00"/>
    <d v="2024-04-11T00:00:00"/>
    <d v="1899-12-30T18:50:00"/>
    <x v="2"/>
    <x v="1"/>
    <x v="0"/>
    <x v="1"/>
    <x v="3"/>
    <x v="0"/>
    <s v="UPI"/>
    <b v="1"/>
    <b v="0"/>
    <n v="4.4444444444444446"/>
    <n v="0.88888888888888884"/>
    <s v="April"/>
    <s v="Online"/>
    <n v="10.8"/>
    <n v="9.2000000000000011"/>
    <b v="0"/>
    <n v="12"/>
    <n v="2"/>
    <x v="0"/>
    <n v="30.259433962264151"/>
  </r>
  <r>
    <s v="ORD102"/>
    <x v="1"/>
    <x v="10"/>
    <d v="2024-04-12T00:00:00"/>
    <d v="1899-12-30T20:15:00"/>
    <d v="2024-04-12T00:00:00"/>
    <d v="1899-12-30T20:40:00"/>
    <x v="1"/>
    <x v="2"/>
    <x v="2"/>
    <x v="2"/>
    <x v="4"/>
    <x v="1"/>
    <s v="Cash"/>
    <b v="1"/>
    <b v="0"/>
    <n v="12.5"/>
    <n v="1"/>
    <s v="April"/>
    <s v="Offline"/>
    <n v="4.8"/>
    <n v="20.2"/>
    <b v="0"/>
    <n v="2"/>
    <n v="3"/>
    <x v="1"/>
    <n v="28.186274509803919"/>
  </r>
  <r>
    <s v="ORD103"/>
    <x v="2"/>
    <x v="11"/>
    <d v="2024-04-13T00:00:00"/>
    <d v="1899-12-30T18:30:00"/>
    <d v="2024-04-13T00:00:00"/>
    <d v="1899-12-30T18:50:00"/>
    <x v="2"/>
    <x v="0"/>
    <x v="1"/>
    <x v="0"/>
    <x v="5"/>
    <x v="2"/>
    <s v="Wallet"/>
    <b v="1"/>
    <b v="1"/>
    <n v="5.7142857142857144"/>
    <n v="0.8571428571428571"/>
    <s v="April"/>
    <s v="Online"/>
    <n v="8.4"/>
    <n v="11.6"/>
    <b v="0"/>
    <n v="6"/>
    <n v="1"/>
    <x v="0"/>
    <n v="28.844221105527641"/>
  </r>
  <r>
    <s v="ORD104"/>
    <x v="3"/>
    <x v="2"/>
    <d v="2024-04-14T00:00:00"/>
    <d v="1899-12-30T19:45:00"/>
    <d v="2024-04-14T00:00:00"/>
    <d v="1899-12-30T20:10:00"/>
    <x v="1"/>
    <x v="3"/>
    <x v="3"/>
    <x v="3"/>
    <x v="6"/>
    <x v="0"/>
    <s v="Card"/>
    <b v="1"/>
    <b v="1"/>
    <n v="6.25"/>
    <n v="1.25"/>
    <s v="April"/>
    <s v="Online"/>
    <n v="9.6"/>
    <n v="15.4"/>
    <b v="0"/>
    <n v="20"/>
    <n v="2"/>
    <x v="3"/>
    <n v="29.948453608247419"/>
  </r>
  <r>
    <s v="ORD105"/>
    <x v="4"/>
    <x v="3"/>
    <d v="2024-04-15T00:00:00"/>
    <d v="1899-12-30T13:00:00"/>
    <d v="2024-04-15T00:00:00"/>
    <d v="1899-12-30T13:20:00"/>
    <x v="2"/>
    <x v="0"/>
    <x v="1"/>
    <x v="0"/>
    <x v="2"/>
    <x v="1"/>
    <s v="UPI"/>
    <b v="0"/>
    <b v="0"/>
    <n v="6.666666666666667"/>
    <n v="1"/>
    <s v="April"/>
    <s v="Online"/>
    <n v="7.1999999999999993"/>
    <n v="12.8"/>
    <b v="0"/>
    <n v="6"/>
    <n v="3"/>
    <x v="4"/>
    <n v="30.286458333333329"/>
  </r>
  <r>
    <s v="ORD106"/>
    <x v="0"/>
    <x v="1"/>
    <d v="2024-04-16T00:00:00"/>
    <d v="1899-12-30T18:30:00"/>
    <d v="2024-04-16T00:00:00"/>
    <d v="1899-12-30T18:50:00"/>
    <x v="2"/>
    <x v="1"/>
    <x v="0"/>
    <x v="1"/>
    <x v="3"/>
    <x v="2"/>
    <s v="Cash"/>
    <b v="1"/>
    <b v="0"/>
    <n v="4.4444444444444446"/>
    <n v="0.88888888888888884"/>
    <s v="April"/>
    <s v="Offline"/>
    <n v="10.8"/>
    <n v="9.2000000000000011"/>
    <b v="0"/>
    <n v="12"/>
    <n v="1"/>
    <x v="0"/>
    <n v="30.259433962264151"/>
  </r>
  <r>
    <s v="ORD107"/>
    <x v="1"/>
    <x v="7"/>
    <d v="2024-04-17T00:00:00"/>
    <d v="1899-12-30T20:00:00"/>
    <d v="2024-04-17T00:00:00"/>
    <d v="1899-12-30T20:25:00"/>
    <x v="1"/>
    <x v="0"/>
    <x v="1"/>
    <x v="0"/>
    <x v="2"/>
    <x v="1"/>
    <s v="Wallet"/>
    <b v="1"/>
    <b v="0"/>
    <n v="8.3333333333333339"/>
    <n v="1"/>
    <s v="April"/>
    <s v="Online"/>
    <n v="7.1999999999999993"/>
    <n v="17.8"/>
    <b v="0"/>
    <n v="6"/>
    <n v="3"/>
    <x v="1"/>
    <n v="28.186274509803919"/>
  </r>
  <r>
    <s v="ORD108"/>
    <x v="2"/>
    <x v="8"/>
    <d v="2024-04-18T00:00:00"/>
    <d v="1899-12-30T19:15:00"/>
    <d v="2024-04-18T00:00:00"/>
    <d v="1899-12-30T19:35:00"/>
    <x v="2"/>
    <x v="2"/>
    <x v="2"/>
    <x v="2"/>
    <x v="0"/>
    <x v="2"/>
    <s v="Card"/>
    <b v="1"/>
    <b v="0"/>
    <n v="8"/>
    <n v="0.8"/>
    <s v="April"/>
    <s v="Online"/>
    <n v="6"/>
    <n v="14"/>
    <b v="0"/>
    <n v="2"/>
    <n v="1"/>
    <x v="3"/>
    <n v="28.844221105527641"/>
  </r>
  <r>
    <s v="ORD109"/>
    <x v="3"/>
    <x v="4"/>
    <d v="2024-04-19T00:00:00"/>
    <d v="1899-12-30T19:45:00"/>
    <d v="2024-04-19T00:00:00"/>
    <d v="1899-12-30T20:10:00"/>
    <x v="1"/>
    <x v="3"/>
    <x v="3"/>
    <x v="3"/>
    <x v="6"/>
    <x v="0"/>
    <s v="UPI"/>
    <b v="1"/>
    <b v="0"/>
    <n v="6.25"/>
    <n v="1.25"/>
    <s v="April"/>
    <s v="Online"/>
    <n v="9.6"/>
    <n v="15.4"/>
    <b v="0"/>
    <n v="20"/>
    <n v="2"/>
    <x v="3"/>
    <n v="29.948453608247419"/>
  </r>
  <r>
    <s v="ORD110"/>
    <x v="4"/>
    <x v="9"/>
    <d v="2024-04-20T00:00:00"/>
    <d v="1899-12-30T13:00:00"/>
    <d v="2024-04-20T00:00:00"/>
    <d v="1899-12-30T13:20:00"/>
    <x v="2"/>
    <x v="0"/>
    <x v="1"/>
    <x v="0"/>
    <x v="5"/>
    <x v="1"/>
    <s v="Cash"/>
    <b v="0"/>
    <b v="1"/>
    <n v="5.7142857142857144"/>
    <n v="0.8571428571428571"/>
    <s v="April"/>
    <s v="Offline"/>
    <n v="8.4"/>
    <n v="11.6"/>
    <b v="0"/>
    <n v="6"/>
    <n v="3"/>
    <x v="4"/>
    <n v="30.286458333333329"/>
  </r>
  <r>
    <s v="ORD111"/>
    <x v="0"/>
    <x v="10"/>
    <d v="2024-04-21T00:00:00"/>
    <d v="1899-12-30T18:30:00"/>
    <d v="2024-04-21T00:00:00"/>
    <d v="1899-12-30T18:50:00"/>
    <x v="2"/>
    <x v="1"/>
    <x v="0"/>
    <x v="1"/>
    <x v="3"/>
    <x v="2"/>
    <s v="Wallet"/>
    <b v="1"/>
    <b v="1"/>
    <n v="4.4444444444444446"/>
    <n v="0.88888888888888884"/>
    <s v="April"/>
    <s v="Online"/>
    <n v="10.8"/>
    <n v="9.2000000000000011"/>
    <b v="0"/>
    <n v="12"/>
    <n v="1"/>
    <x v="0"/>
    <n v="30.259433962264151"/>
  </r>
  <r>
    <s v="ORD112"/>
    <x v="1"/>
    <x v="11"/>
    <d v="2024-04-22T00:00:00"/>
    <d v="1899-12-30T20:15:00"/>
    <d v="2024-04-22T00:00:00"/>
    <d v="1899-12-30T20:40:00"/>
    <x v="1"/>
    <x v="2"/>
    <x v="2"/>
    <x v="2"/>
    <x v="4"/>
    <x v="1"/>
    <s v="Card"/>
    <b v="1"/>
    <b v="0"/>
    <n v="12.5"/>
    <n v="1"/>
    <s v="April"/>
    <s v="Online"/>
    <n v="4.8"/>
    <n v="20.2"/>
    <b v="0"/>
    <n v="2"/>
    <n v="3"/>
    <x v="1"/>
    <n v="28.186274509803919"/>
  </r>
  <r>
    <s v="ORD113"/>
    <x v="2"/>
    <x v="4"/>
    <d v="2024-04-23T00:00:00"/>
    <d v="1899-12-30T18:30:00"/>
    <d v="2024-04-23T00:00:00"/>
    <d v="1899-12-30T18:50:00"/>
    <x v="2"/>
    <x v="0"/>
    <x v="1"/>
    <x v="0"/>
    <x v="2"/>
    <x v="1"/>
    <s v="UPI"/>
    <b v="1"/>
    <b v="0"/>
    <n v="6.666666666666667"/>
    <n v="1"/>
    <s v="April"/>
    <s v="Online"/>
    <n v="7.1999999999999993"/>
    <n v="12.8"/>
    <b v="0"/>
    <n v="6"/>
    <n v="3"/>
    <x v="0"/>
    <n v="28.844221105527641"/>
  </r>
  <r>
    <s v="ORD114"/>
    <x v="3"/>
    <x v="1"/>
    <d v="2024-04-24T00:00:00"/>
    <d v="1899-12-30T19:45:00"/>
    <d v="2024-04-24T00:00:00"/>
    <d v="1899-12-30T20:10:00"/>
    <x v="1"/>
    <x v="3"/>
    <x v="3"/>
    <x v="3"/>
    <x v="3"/>
    <x v="2"/>
    <s v="Cash"/>
    <b v="1"/>
    <b v="0"/>
    <n v="5.5555555555555554"/>
    <n v="1.1111111111111109"/>
    <s v="April"/>
    <s v="Offline"/>
    <n v="10.8"/>
    <n v="14.2"/>
    <b v="0"/>
    <n v="20"/>
    <n v="1"/>
    <x v="3"/>
    <n v="29.948453608247419"/>
  </r>
  <r>
    <s v="ORD115"/>
    <x v="4"/>
    <x v="2"/>
    <d v="2024-04-25T00:00:00"/>
    <d v="1899-12-30T13:00:00"/>
    <d v="2024-04-25T00:00:00"/>
    <d v="1899-12-30T13:20:00"/>
    <x v="2"/>
    <x v="0"/>
    <x v="1"/>
    <x v="0"/>
    <x v="5"/>
    <x v="0"/>
    <s v="Wallet"/>
    <b v="0"/>
    <b v="0"/>
    <n v="5.7142857142857144"/>
    <n v="0.8571428571428571"/>
    <s v="April"/>
    <s v="Online"/>
    <n v="8.4"/>
    <n v="11.6"/>
    <b v="0"/>
    <n v="6"/>
    <n v="2"/>
    <x v="4"/>
    <n v="30.286458333333329"/>
  </r>
  <r>
    <s v="ORD116"/>
    <x v="0"/>
    <x v="3"/>
    <d v="2024-04-26T00:00:00"/>
    <d v="1899-12-30T18:30:00"/>
    <d v="2024-04-26T00:00:00"/>
    <d v="1899-12-30T18:50:00"/>
    <x v="2"/>
    <x v="1"/>
    <x v="0"/>
    <x v="1"/>
    <x v="6"/>
    <x v="1"/>
    <s v="Card"/>
    <b v="1"/>
    <b v="0"/>
    <n v="5"/>
    <n v="1"/>
    <s v="April"/>
    <s v="Online"/>
    <n v="9.6"/>
    <n v="10.4"/>
    <b v="0"/>
    <n v="12"/>
    <n v="3"/>
    <x v="0"/>
    <n v="30.259433962264151"/>
  </r>
  <r>
    <s v="ORD117"/>
    <x v="1"/>
    <x v="4"/>
    <d v="2024-04-27T00:00:00"/>
    <d v="1899-12-30T20:00:00"/>
    <d v="2024-04-27T00:00:00"/>
    <d v="1899-12-30T20:25:00"/>
    <x v="1"/>
    <x v="0"/>
    <x v="1"/>
    <x v="0"/>
    <x v="2"/>
    <x v="2"/>
    <s v="UPI"/>
    <b v="1"/>
    <b v="1"/>
    <n v="8.3333333333333339"/>
    <n v="1"/>
    <s v="April"/>
    <s v="Online"/>
    <n v="7.1999999999999993"/>
    <n v="17.8"/>
    <b v="0"/>
    <n v="6"/>
    <n v="1"/>
    <x v="1"/>
    <n v="28.186274509803919"/>
  </r>
  <r>
    <s v="ORD118"/>
    <x v="2"/>
    <x v="6"/>
    <d v="2024-04-28T00:00:00"/>
    <d v="1899-12-30T19:15:00"/>
    <d v="2024-04-28T00:00:00"/>
    <d v="1899-12-30T19:35:00"/>
    <x v="2"/>
    <x v="2"/>
    <x v="2"/>
    <x v="2"/>
    <x v="0"/>
    <x v="2"/>
    <s v="Cash"/>
    <b v="1"/>
    <b v="1"/>
    <n v="8"/>
    <n v="0.8"/>
    <s v="April"/>
    <s v="Offline"/>
    <n v="6"/>
    <n v="14"/>
    <b v="0"/>
    <n v="2"/>
    <n v="1"/>
    <x v="3"/>
    <n v="28.844221105527641"/>
  </r>
  <r>
    <s v="ORD119"/>
    <x v="3"/>
    <x v="7"/>
    <d v="2024-04-29T00:00:00"/>
    <d v="1899-12-30T19:45:00"/>
    <d v="2024-04-29T00:00:00"/>
    <d v="1899-12-30T20:10:00"/>
    <x v="1"/>
    <x v="3"/>
    <x v="3"/>
    <x v="3"/>
    <x v="3"/>
    <x v="1"/>
    <s v="Wallet"/>
    <b v="1"/>
    <b v="0"/>
    <n v="5.5555555555555554"/>
    <n v="1.1111111111111109"/>
    <s v="April"/>
    <s v="Online"/>
    <n v="10.8"/>
    <n v="14.2"/>
    <b v="0"/>
    <n v="20"/>
    <n v="3"/>
    <x v="3"/>
    <n v="29.948453608247419"/>
  </r>
  <r>
    <s v="ORD120"/>
    <x v="4"/>
    <x v="8"/>
    <d v="2024-04-30T00:00:00"/>
    <d v="1899-12-30T13:00:00"/>
    <d v="2024-04-30T00:00:00"/>
    <d v="1899-12-30T13:20:00"/>
    <x v="2"/>
    <x v="0"/>
    <x v="1"/>
    <x v="0"/>
    <x v="2"/>
    <x v="0"/>
    <s v="Card"/>
    <b v="0"/>
    <b v="0"/>
    <n v="6.666666666666667"/>
    <n v="1"/>
    <s v="April"/>
    <s v="Online"/>
    <n v="7.1999999999999993"/>
    <n v="12.8"/>
    <b v="0"/>
    <n v="6"/>
    <n v="2"/>
    <x v="4"/>
    <n v="30.286458333333329"/>
  </r>
  <r>
    <s v="ORD121"/>
    <x v="0"/>
    <x v="9"/>
    <d v="2024-05-01T00:00:00"/>
    <d v="1899-12-30T18:30:00"/>
    <d v="2024-05-01T00:00:00"/>
    <d v="1899-12-30T18:50:00"/>
    <x v="2"/>
    <x v="1"/>
    <x v="0"/>
    <x v="1"/>
    <x v="3"/>
    <x v="2"/>
    <s v="UPI"/>
    <b v="1"/>
    <b v="0"/>
    <n v="4.4444444444444446"/>
    <n v="0.88888888888888884"/>
    <s v="May"/>
    <s v="Online"/>
    <n v="10.8"/>
    <n v="9.2000000000000011"/>
    <b v="0"/>
    <n v="12"/>
    <n v="1"/>
    <x v="0"/>
    <n v="30.259433962264151"/>
  </r>
  <r>
    <s v="ORD122"/>
    <x v="1"/>
    <x v="10"/>
    <d v="2024-05-02T00:00:00"/>
    <d v="1899-12-30T20:15:00"/>
    <d v="2024-05-02T00:00:00"/>
    <d v="1899-12-30T20:40:00"/>
    <x v="1"/>
    <x v="2"/>
    <x v="2"/>
    <x v="2"/>
    <x v="4"/>
    <x v="1"/>
    <s v="Cash"/>
    <b v="1"/>
    <b v="0"/>
    <n v="12.5"/>
    <n v="1"/>
    <s v="May"/>
    <s v="Offline"/>
    <n v="4.8"/>
    <n v="20.2"/>
    <b v="0"/>
    <n v="2"/>
    <n v="3"/>
    <x v="1"/>
    <n v="28.186274509803919"/>
  </r>
  <r>
    <s v="ORD123"/>
    <x v="2"/>
    <x v="11"/>
    <d v="2024-05-03T00:00:00"/>
    <d v="1899-12-30T18:30:00"/>
    <d v="2024-05-03T00:00:00"/>
    <d v="1899-12-30T18:50:00"/>
    <x v="2"/>
    <x v="0"/>
    <x v="1"/>
    <x v="0"/>
    <x v="5"/>
    <x v="2"/>
    <s v="Wallet"/>
    <b v="1"/>
    <b v="0"/>
    <n v="5.7142857142857144"/>
    <n v="0.8571428571428571"/>
    <s v="May"/>
    <s v="Online"/>
    <n v="8.4"/>
    <n v="11.6"/>
    <b v="0"/>
    <n v="6"/>
    <n v="1"/>
    <x v="0"/>
    <n v="28.844221105527641"/>
  </r>
  <r>
    <s v="ORD124"/>
    <x v="3"/>
    <x v="2"/>
    <d v="2024-05-04T00:00:00"/>
    <d v="1899-12-30T19:45:00"/>
    <d v="2024-05-04T00:00:00"/>
    <d v="1899-12-30T20:10:00"/>
    <x v="1"/>
    <x v="3"/>
    <x v="3"/>
    <x v="3"/>
    <x v="6"/>
    <x v="0"/>
    <s v="Card"/>
    <b v="1"/>
    <b v="1"/>
    <n v="6.25"/>
    <n v="1.25"/>
    <s v="May"/>
    <s v="Online"/>
    <n v="9.6"/>
    <n v="15.4"/>
    <b v="0"/>
    <n v="20"/>
    <n v="2"/>
    <x v="3"/>
    <n v="29.948453608247419"/>
  </r>
  <r>
    <s v="ORD125"/>
    <x v="4"/>
    <x v="3"/>
    <d v="2024-05-05T00:00:00"/>
    <d v="1899-12-30T13:00:00"/>
    <d v="2024-05-05T00:00:00"/>
    <d v="1899-12-30T13:20:00"/>
    <x v="2"/>
    <x v="0"/>
    <x v="1"/>
    <x v="0"/>
    <x v="2"/>
    <x v="1"/>
    <s v="UPI"/>
    <b v="0"/>
    <b v="1"/>
    <n v="6.666666666666667"/>
    <n v="1"/>
    <s v="May"/>
    <s v="Online"/>
    <n v="7.1999999999999993"/>
    <n v="12.8"/>
    <b v="0"/>
    <n v="6"/>
    <n v="3"/>
    <x v="4"/>
    <n v="30.286458333333329"/>
  </r>
  <r>
    <s v="ORD126"/>
    <x v="0"/>
    <x v="0"/>
    <d v="2024-08-01T00:00:00"/>
    <d v="1899-12-30T18:00:00"/>
    <d v="2024-08-01T00:00:00"/>
    <d v="1899-12-30T18:20:00"/>
    <x v="2"/>
    <x v="0"/>
    <x v="0"/>
    <x v="2"/>
    <x v="2"/>
    <x v="2"/>
    <s v="Card"/>
    <b v="1"/>
    <b v="0"/>
    <n v="6.666666666666667"/>
    <n v="0.66666666666666663"/>
    <s v="August"/>
    <s v="Online"/>
    <n v="7.1999999999999993"/>
    <n v="12.8"/>
    <b v="0"/>
    <n v="4"/>
    <n v="1"/>
    <x v="0"/>
    <n v="30.259433962264151"/>
  </r>
  <r>
    <s v="ORD127"/>
    <x v="1"/>
    <x v="2"/>
    <d v="2024-08-02T00:00:00"/>
    <d v="1899-12-30T19:15:00"/>
    <d v="2024-08-02T00:00:00"/>
    <d v="1899-12-30T19:45:00"/>
    <x v="3"/>
    <x v="1"/>
    <x v="1"/>
    <x v="1"/>
    <x v="7"/>
    <x v="0"/>
    <s v="UPI"/>
    <b v="1"/>
    <b v="0"/>
    <n v="5"/>
    <n v="0.66666666666666663"/>
    <s v="August"/>
    <s v="Online"/>
    <n v="14.4"/>
    <n v="15.6"/>
    <b v="0"/>
    <n v="12"/>
    <n v="2"/>
    <x v="3"/>
    <n v="28.186274509803919"/>
  </r>
  <r>
    <s v="ORD128"/>
    <x v="3"/>
    <x v="1"/>
    <d v="2024-08-03T00:00:00"/>
    <d v="1899-12-30T20:30:00"/>
    <d v="2024-08-03T00:00:00"/>
    <d v="1899-12-30T21:10:00"/>
    <x v="4"/>
    <x v="3"/>
    <x v="3"/>
    <x v="3"/>
    <x v="8"/>
    <x v="1"/>
    <s v="Wallet"/>
    <b v="1"/>
    <b v="1"/>
    <n v="5"/>
    <n v="0.625"/>
    <s v="August"/>
    <s v="Online"/>
    <n v="19.2"/>
    <n v="20.8"/>
    <b v="1"/>
    <n v="20"/>
    <n v="3"/>
    <x v="1"/>
    <n v="29.948453608247419"/>
  </r>
  <r>
    <s v="ORD129"/>
    <x v="2"/>
    <x v="6"/>
    <d v="2024-08-04T00:00:00"/>
    <d v="1899-12-30T18:45:00"/>
    <d v="2024-08-04T00:00:00"/>
    <d v="1899-12-30T19:05:00"/>
    <x v="2"/>
    <x v="2"/>
    <x v="2"/>
    <x v="4"/>
    <x v="0"/>
    <x v="2"/>
    <s v="Cash"/>
    <b v="1"/>
    <b v="1"/>
    <n v="8"/>
    <n v="0.4"/>
    <s v="August"/>
    <s v="Offline"/>
    <n v="6"/>
    <n v="14"/>
    <b v="0"/>
    <n v="1"/>
    <n v="1"/>
    <x v="0"/>
    <n v="28.844221105527641"/>
  </r>
  <r>
    <s v="ORD130"/>
    <x v="4"/>
    <x v="7"/>
    <d v="2024-08-05T00:00:00"/>
    <d v="1899-12-30T19:00:00"/>
    <d v="2024-08-05T00:00:00"/>
    <d v="1899-12-30T19:50:00"/>
    <x v="5"/>
    <x v="1"/>
    <x v="1"/>
    <x v="1"/>
    <x v="9"/>
    <x v="1"/>
    <s v="Card"/>
    <b v="1"/>
    <b v="0"/>
    <n v="5"/>
    <n v="0.4"/>
    <s v="August"/>
    <s v="Online"/>
    <n v="24"/>
    <n v="26"/>
    <b v="1"/>
    <n v="12"/>
    <n v="3"/>
    <x v="3"/>
    <n v="30.286458333333329"/>
  </r>
  <r>
    <s v="ORD131"/>
    <x v="0"/>
    <x v="3"/>
    <d v="2024-08-06T00:00:00"/>
    <d v="1899-12-30T20:00:00"/>
    <d v="2024-08-06T00:00:00"/>
    <d v="1899-12-30T20:35:00"/>
    <x v="6"/>
    <x v="0"/>
    <x v="0"/>
    <x v="0"/>
    <x v="10"/>
    <x v="0"/>
    <s v="Wallet"/>
    <b v="1"/>
    <b v="0"/>
    <n v="6.3636363636363633"/>
    <n v="0.54545454545454541"/>
    <s v="August"/>
    <s v="Online"/>
    <n v="13.2"/>
    <n v="21.8"/>
    <b v="1"/>
    <n v="6"/>
    <n v="2"/>
    <x v="1"/>
    <n v="30.259433962264151"/>
  </r>
  <r>
    <s v="ORD132"/>
    <x v="1"/>
    <x v="10"/>
    <d v="2024-08-07T00:00:00"/>
    <d v="1899-12-30T18:30:00"/>
    <d v="2024-08-07T00:00:00"/>
    <d v="1899-12-30T18:50:00"/>
    <x v="2"/>
    <x v="2"/>
    <x v="2"/>
    <x v="2"/>
    <x v="4"/>
    <x v="2"/>
    <s v="UPI"/>
    <b v="1"/>
    <b v="0"/>
    <n v="10"/>
    <n v="1"/>
    <s v="August"/>
    <s v="Online"/>
    <n v="4.8"/>
    <n v="15.2"/>
    <b v="0"/>
    <n v="2"/>
    <n v="1"/>
    <x v="0"/>
    <n v="28.186274509803919"/>
  </r>
  <r>
    <s v="ORD133"/>
    <x v="3"/>
    <x v="11"/>
    <d v="2024-08-08T00:00:00"/>
    <d v="1899-12-30T19:45:00"/>
    <d v="2024-08-08T00:00:00"/>
    <d v="1899-12-30T20:25:00"/>
    <x v="4"/>
    <x v="3"/>
    <x v="3"/>
    <x v="3"/>
    <x v="11"/>
    <x v="1"/>
    <s v="Cash"/>
    <b v="1"/>
    <b v="0"/>
    <n v="5.333333333333333"/>
    <n v="0.66666666666666663"/>
    <s v="August"/>
    <s v="Offline"/>
    <n v="18"/>
    <n v="22"/>
    <b v="1"/>
    <n v="20"/>
    <n v="3"/>
    <x v="3"/>
    <n v="29.948453608247419"/>
  </r>
  <r>
    <s v="ORD134"/>
    <x v="2"/>
    <x v="4"/>
    <d v="2024-08-09T00:00:00"/>
    <d v="1899-12-30T18:00:00"/>
    <d v="2024-08-09T00:00:00"/>
    <d v="1899-12-30T18:30:00"/>
    <x v="3"/>
    <x v="0"/>
    <x v="1"/>
    <x v="0"/>
    <x v="6"/>
    <x v="0"/>
    <s v="Card"/>
    <b v="1"/>
    <b v="0"/>
    <n v="7.5"/>
    <n v="0.75"/>
    <s v="August"/>
    <s v="Online"/>
    <n v="9.6"/>
    <n v="20.399999999999999"/>
    <b v="0"/>
    <n v="6"/>
    <n v="2"/>
    <x v="0"/>
    <n v="28.844221105527641"/>
  </r>
  <r>
    <s v="ORD135"/>
    <x v="4"/>
    <x v="9"/>
    <d v="2024-08-10T00:00:00"/>
    <d v="1899-12-30T20:15:00"/>
    <d v="2024-08-10T00:00:00"/>
    <d v="1899-12-30T21:00:00"/>
    <x v="7"/>
    <x v="1"/>
    <x v="0"/>
    <x v="1"/>
    <x v="12"/>
    <x v="1"/>
    <s v="Wallet"/>
    <b v="1"/>
    <b v="1"/>
    <n v="5"/>
    <n v="0.44444444444444442"/>
    <s v="August"/>
    <s v="Online"/>
    <n v="21.6"/>
    <n v="23.4"/>
    <b v="1"/>
    <n v="12"/>
    <n v="3"/>
    <x v="1"/>
    <n v="30.286458333333329"/>
  </r>
  <r>
    <s v="ORD136"/>
    <x v="0"/>
    <x v="12"/>
    <d v="2024-08-11T00:00:00"/>
    <d v="1899-12-30T18:00:00"/>
    <d v="2024-08-11T00:00:00"/>
    <d v="1899-12-30T18:20:00"/>
    <x v="2"/>
    <x v="0"/>
    <x v="0"/>
    <x v="2"/>
    <x v="2"/>
    <x v="2"/>
    <s v="UPI"/>
    <b v="1"/>
    <b v="1"/>
    <n v="6.666666666666667"/>
    <n v="0.66666666666666663"/>
    <s v="August"/>
    <s v="Online"/>
    <n v="7.1999999999999993"/>
    <n v="12.8"/>
    <b v="0"/>
    <n v="4"/>
    <n v="1"/>
    <x v="0"/>
    <n v="30.259433962264151"/>
  </r>
  <r>
    <s v="ORD137"/>
    <x v="1"/>
    <x v="13"/>
    <d v="2024-08-12T00:00:00"/>
    <d v="1899-12-30T19:15:00"/>
    <d v="2024-08-12T00:00:00"/>
    <d v="1899-12-30T19:45:00"/>
    <x v="3"/>
    <x v="1"/>
    <x v="1"/>
    <x v="1"/>
    <x v="7"/>
    <x v="0"/>
    <s v="Cash"/>
    <b v="1"/>
    <b v="0"/>
    <n v="5"/>
    <n v="0.66666666666666663"/>
    <s v="August"/>
    <s v="Offline"/>
    <n v="14.4"/>
    <n v="15.6"/>
    <b v="0"/>
    <n v="12"/>
    <n v="2"/>
    <x v="3"/>
    <n v="28.186274509803919"/>
  </r>
  <r>
    <s v="ORD138"/>
    <x v="3"/>
    <x v="14"/>
    <d v="2024-08-13T00:00:00"/>
    <d v="1899-12-30T20:30:00"/>
    <d v="2024-08-13T00:00:00"/>
    <d v="1899-12-30T21:10:00"/>
    <x v="4"/>
    <x v="3"/>
    <x v="3"/>
    <x v="3"/>
    <x v="8"/>
    <x v="1"/>
    <s v="Card"/>
    <b v="1"/>
    <b v="0"/>
    <n v="5"/>
    <n v="0.625"/>
    <s v="August"/>
    <s v="Online"/>
    <n v="19.2"/>
    <n v="20.8"/>
    <b v="1"/>
    <n v="20"/>
    <n v="3"/>
    <x v="1"/>
    <n v="29.948453608247419"/>
  </r>
  <r>
    <s v="ORD139"/>
    <x v="2"/>
    <x v="15"/>
    <d v="2024-08-14T00:00:00"/>
    <d v="1899-12-30T18:45:00"/>
    <d v="2024-08-14T00:00:00"/>
    <d v="1899-12-30T19:05:00"/>
    <x v="2"/>
    <x v="2"/>
    <x v="2"/>
    <x v="4"/>
    <x v="0"/>
    <x v="2"/>
    <s v="Wallet"/>
    <b v="1"/>
    <b v="0"/>
    <n v="8"/>
    <n v="0.4"/>
    <s v="August"/>
    <s v="Online"/>
    <n v="6"/>
    <n v="14"/>
    <b v="0"/>
    <n v="1"/>
    <n v="1"/>
    <x v="0"/>
    <n v="28.844221105527641"/>
  </r>
  <r>
    <s v="ORD140"/>
    <x v="4"/>
    <x v="16"/>
    <d v="2024-08-15T00:00:00"/>
    <d v="1899-12-30T19:00:00"/>
    <d v="2024-08-15T00:00:00"/>
    <d v="1899-12-30T19:50:00"/>
    <x v="5"/>
    <x v="1"/>
    <x v="1"/>
    <x v="1"/>
    <x v="9"/>
    <x v="1"/>
    <s v="UPI"/>
    <b v="1"/>
    <b v="0"/>
    <n v="5"/>
    <n v="0.4"/>
    <s v="August"/>
    <s v="Online"/>
    <n v="24"/>
    <n v="26"/>
    <b v="1"/>
    <n v="12"/>
    <n v="3"/>
    <x v="3"/>
    <n v="30.286458333333329"/>
  </r>
  <r>
    <s v="ORD141"/>
    <x v="0"/>
    <x v="17"/>
    <d v="2024-08-16T00:00:00"/>
    <d v="1899-12-30T20:00:00"/>
    <d v="2024-08-16T00:00:00"/>
    <d v="1899-12-30T20:35:00"/>
    <x v="6"/>
    <x v="0"/>
    <x v="0"/>
    <x v="0"/>
    <x v="10"/>
    <x v="0"/>
    <s v="Cash"/>
    <b v="1"/>
    <b v="0"/>
    <n v="6.3636363636363633"/>
    <n v="0.54545454545454541"/>
    <s v="August"/>
    <s v="Offline"/>
    <n v="13.2"/>
    <n v="21.8"/>
    <b v="1"/>
    <n v="6"/>
    <n v="2"/>
    <x v="1"/>
    <n v="30.259433962264151"/>
  </r>
  <r>
    <s v="ORD142"/>
    <x v="1"/>
    <x v="18"/>
    <d v="2024-08-17T00:00:00"/>
    <d v="1899-12-30T18:30:00"/>
    <d v="2024-08-17T00:00:00"/>
    <d v="1899-12-30T18:50:00"/>
    <x v="2"/>
    <x v="2"/>
    <x v="2"/>
    <x v="2"/>
    <x v="4"/>
    <x v="2"/>
    <s v="Card"/>
    <b v="1"/>
    <b v="1"/>
    <n v="10"/>
    <n v="1"/>
    <s v="August"/>
    <s v="Online"/>
    <n v="4.8"/>
    <n v="15.2"/>
    <b v="0"/>
    <n v="2"/>
    <n v="1"/>
    <x v="0"/>
    <n v="28.186274509803919"/>
  </r>
  <r>
    <s v="ORD143"/>
    <x v="3"/>
    <x v="19"/>
    <d v="2024-08-18T00:00:00"/>
    <d v="1899-12-30T19:45:00"/>
    <d v="2024-08-18T00:00:00"/>
    <d v="1899-12-30T20:25:00"/>
    <x v="4"/>
    <x v="3"/>
    <x v="3"/>
    <x v="3"/>
    <x v="11"/>
    <x v="1"/>
    <s v="Wallet"/>
    <b v="1"/>
    <b v="1"/>
    <n v="5.333333333333333"/>
    <n v="0.66666666666666663"/>
    <s v="August"/>
    <s v="Online"/>
    <n v="18"/>
    <n v="22"/>
    <b v="1"/>
    <n v="20"/>
    <n v="3"/>
    <x v="3"/>
    <n v="29.948453608247419"/>
  </r>
  <r>
    <s v="ORD144"/>
    <x v="2"/>
    <x v="5"/>
    <d v="2024-08-19T00:00:00"/>
    <d v="1899-12-30T18:00:00"/>
    <d v="2024-08-19T00:00:00"/>
    <d v="1899-12-30T18:30:00"/>
    <x v="3"/>
    <x v="0"/>
    <x v="1"/>
    <x v="0"/>
    <x v="6"/>
    <x v="0"/>
    <s v="UPI"/>
    <b v="1"/>
    <b v="0"/>
    <n v="7.5"/>
    <n v="0.75"/>
    <s v="August"/>
    <s v="Online"/>
    <n v="9.6"/>
    <n v="20.399999999999999"/>
    <b v="0"/>
    <n v="6"/>
    <n v="2"/>
    <x v="0"/>
    <n v="28.844221105527641"/>
  </r>
  <r>
    <s v="ORD145"/>
    <x v="4"/>
    <x v="18"/>
    <d v="2024-08-20T00:00:00"/>
    <d v="1899-12-30T20:15:00"/>
    <d v="2024-08-20T00:00:00"/>
    <d v="1899-12-30T21:00:00"/>
    <x v="7"/>
    <x v="1"/>
    <x v="0"/>
    <x v="1"/>
    <x v="12"/>
    <x v="1"/>
    <s v="Cash"/>
    <b v="1"/>
    <b v="0"/>
    <n v="5"/>
    <n v="0.44444444444444442"/>
    <s v="August"/>
    <s v="Offline"/>
    <n v="21.6"/>
    <n v="23.4"/>
    <b v="1"/>
    <n v="12"/>
    <n v="3"/>
    <x v="1"/>
    <n v="30.286458333333329"/>
  </r>
  <r>
    <s v="ORD146"/>
    <x v="0"/>
    <x v="20"/>
    <d v="2024-08-21T00:00:00"/>
    <d v="1899-12-30T18:00:00"/>
    <d v="2024-08-21T00:00:00"/>
    <d v="1899-12-30T18:20:00"/>
    <x v="2"/>
    <x v="0"/>
    <x v="0"/>
    <x v="2"/>
    <x v="2"/>
    <x v="2"/>
    <s v="Card"/>
    <b v="1"/>
    <b v="0"/>
    <n v="6.666666666666667"/>
    <n v="0.66666666666666663"/>
    <s v="August"/>
    <s v="Online"/>
    <n v="7.1999999999999993"/>
    <n v="12.8"/>
    <b v="0"/>
    <n v="4"/>
    <n v="1"/>
    <x v="0"/>
    <n v="30.259433962264151"/>
  </r>
  <r>
    <s v="ORD147"/>
    <x v="1"/>
    <x v="21"/>
    <d v="2024-08-22T00:00:00"/>
    <d v="1899-12-30T19:15:00"/>
    <d v="2024-08-22T00:00:00"/>
    <d v="1899-12-30T19:45:00"/>
    <x v="3"/>
    <x v="1"/>
    <x v="1"/>
    <x v="1"/>
    <x v="7"/>
    <x v="0"/>
    <s v="Wallet"/>
    <b v="1"/>
    <b v="0"/>
    <n v="5"/>
    <n v="0.66666666666666663"/>
    <s v="August"/>
    <s v="Online"/>
    <n v="14.4"/>
    <n v="15.6"/>
    <b v="0"/>
    <n v="12"/>
    <n v="2"/>
    <x v="3"/>
    <n v="28.186274509803919"/>
  </r>
  <r>
    <s v="ORD148"/>
    <x v="3"/>
    <x v="22"/>
    <d v="2024-08-23T00:00:00"/>
    <d v="1899-12-30T20:30:00"/>
    <d v="2024-08-23T00:00:00"/>
    <d v="1899-12-30T21:10:00"/>
    <x v="4"/>
    <x v="3"/>
    <x v="3"/>
    <x v="3"/>
    <x v="8"/>
    <x v="1"/>
    <s v="UPI"/>
    <b v="1"/>
    <b v="0"/>
    <n v="5"/>
    <n v="0.625"/>
    <s v="August"/>
    <s v="Online"/>
    <n v="19.2"/>
    <n v="20.8"/>
    <b v="1"/>
    <n v="20"/>
    <n v="3"/>
    <x v="1"/>
    <n v="29.948453608247419"/>
  </r>
  <r>
    <s v="ORD149"/>
    <x v="2"/>
    <x v="23"/>
    <d v="2024-08-24T00:00:00"/>
    <d v="1899-12-30T18:45:00"/>
    <d v="2024-08-24T00:00:00"/>
    <d v="1899-12-30T19:05:00"/>
    <x v="2"/>
    <x v="2"/>
    <x v="2"/>
    <x v="4"/>
    <x v="0"/>
    <x v="2"/>
    <s v="Cash"/>
    <b v="1"/>
    <b v="1"/>
    <n v="8"/>
    <n v="0.4"/>
    <s v="August"/>
    <s v="Offline"/>
    <n v="6"/>
    <n v="14"/>
    <b v="0"/>
    <n v="1"/>
    <n v="1"/>
    <x v="0"/>
    <n v="28.844221105527641"/>
  </r>
  <r>
    <s v="ORD150"/>
    <x v="4"/>
    <x v="11"/>
    <d v="2024-08-25T00:00:00"/>
    <d v="1899-12-30T19:00:00"/>
    <d v="2024-08-25T00:00:00"/>
    <d v="1899-12-30T19:50:00"/>
    <x v="5"/>
    <x v="1"/>
    <x v="1"/>
    <x v="1"/>
    <x v="9"/>
    <x v="1"/>
    <s v="Card"/>
    <b v="1"/>
    <b v="1"/>
    <n v="5"/>
    <n v="0.4"/>
    <s v="August"/>
    <s v="Online"/>
    <n v="24"/>
    <n v="26"/>
    <b v="1"/>
    <n v="12"/>
    <n v="3"/>
    <x v="3"/>
    <n v="30.286458333333329"/>
  </r>
  <r>
    <s v="ORD151"/>
    <x v="0"/>
    <x v="0"/>
    <d v="2024-08-01T00:00:00"/>
    <d v="1899-12-30T18:00:00"/>
    <d v="2024-08-01T00:00:00"/>
    <d v="1899-12-30T18:30:00"/>
    <x v="3"/>
    <x v="1"/>
    <x v="0"/>
    <x v="1"/>
    <x v="10"/>
    <x v="1"/>
    <s v="Domino's Cash"/>
    <b v="1"/>
    <b v="0"/>
    <n v="5.4545454545454541"/>
    <n v="0.72727272727272729"/>
    <s v="August"/>
    <s v="Offline"/>
    <n v="13.2"/>
    <n v="16.8"/>
    <b v="0"/>
    <n v="12"/>
    <n v="3"/>
    <x v="0"/>
    <n v="30.259433962264151"/>
  </r>
  <r>
    <s v="ORD152"/>
    <x v="3"/>
    <x v="1"/>
    <d v="2024-08-02T00:00:00"/>
    <d v="1899-12-30T19:15:00"/>
    <d v="2024-08-02T00:00:00"/>
    <d v="1899-12-30T19:45:00"/>
    <x v="3"/>
    <x v="3"/>
    <x v="3"/>
    <x v="3"/>
    <x v="7"/>
    <x v="0"/>
    <s v="Card"/>
    <b v="1"/>
    <b v="0"/>
    <n v="5"/>
    <n v="0.83333333333333337"/>
    <s v="August"/>
    <s v="Online"/>
    <n v="14.4"/>
    <n v="15.6"/>
    <b v="0"/>
    <n v="20"/>
    <n v="2"/>
    <x v="3"/>
    <n v="29.948453608247419"/>
  </r>
  <r>
    <s v="ORD153"/>
    <x v="1"/>
    <x v="2"/>
    <d v="2024-08-03T00:00:00"/>
    <d v="1899-12-30T20:00:00"/>
    <d v="2024-08-03T00:00:00"/>
    <d v="1899-12-30T20:35:00"/>
    <x v="6"/>
    <x v="0"/>
    <x v="1"/>
    <x v="0"/>
    <x v="13"/>
    <x v="2"/>
    <s v="UPI"/>
    <b v="1"/>
    <b v="1"/>
    <n v="4.8611111111111107"/>
    <n v="0.41666666666666657"/>
    <s v="August"/>
    <s v="Online"/>
    <n v="17.28"/>
    <n v="17.72"/>
    <b v="1"/>
    <n v="6"/>
    <n v="1"/>
    <x v="1"/>
    <n v="28.186274509803919"/>
  </r>
  <r>
    <s v="ORD154"/>
    <x v="2"/>
    <x v="6"/>
    <d v="2024-08-04T00:00:00"/>
    <d v="1899-12-30T17:45:00"/>
    <d v="2024-08-04T00:00:00"/>
    <d v="1899-12-30T18:05:00"/>
    <x v="2"/>
    <x v="2"/>
    <x v="2"/>
    <x v="2"/>
    <x v="2"/>
    <x v="2"/>
    <s v="Wallet"/>
    <b v="0"/>
    <b v="1"/>
    <n v="6.666666666666667"/>
    <n v="0.66666666666666663"/>
    <s v="August"/>
    <s v="Online"/>
    <n v="7.1999999999999993"/>
    <n v="12.8"/>
    <b v="0"/>
    <n v="2"/>
    <n v="1"/>
    <x v="5"/>
    <n v="28.844221105527641"/>
  </r>
  <r>
    <s v="ORD155"/>
    <x v="4"/>
    <x v="7"/>
    <d v="2024-08-05T00:00:00"/>
    <d v="1899-12-30T13:30:00"/>
    <d v="2024-08-05T00:00:00"/>
    <d v="1899-12-30T14:00:00"/>
    <x v="3"/>
    <x v="0"/>
    <x v="1"/>
    <x v="1"/>
    <x v="1"/>
    <x v="1"/>
    <s v="Cash"/>
    <b v="0"/>
    <b v="0"/>
    <n v="6"/>
    <n v="0.8"/>
    <s v="August"/>
    <s v="Offline"/>
    <n v="12"/>
    <n v="18"/>
    <b v="0"/>
    <n v="8"/>
    <n v="3"/>
    <x v="4"/>
    <n v="30.286458333333329"/>
  </r>
  <r>
    <s v="ORD156"/>
    <x v="0"/>
    <x v="3"/>
    <d v="2024-08-06T00:00:00"/>
    <d v="1899-12-30T18:20:00"/>
    <d v="2024-08-06T00:00:00"/>
    <d v="1899-12-30T18:50:00"/>
    <x v="3"/>
    <x v="1"/>
    <x v="0"/>
    <x v="0"/>
    <x v="14"/>
    <x v="0"/>
    <s v="Domino's Cash"/>
    <b v="1"/>
    <b v="0"/>
    <n v="4.615384615384615"/>
    <n v="0.46153846153846162"/>
    <s v="August"/>
    <s v="Offline"/>
    <n v="15.6"/>
    <n v="14.4"/>
    <b v="0"/>
    <n v="9"/>
    <n v="2"/>
    <x v="0"/>
    <n v="30.259433962264151"/>
  </r>
  <r>
    <s v="ORD157"/>
    <x v="1"/>
    <x v="10"/>
    <d v="2024-08-07T00:00:00"/>
    <d v="1899-12-30T20:10:00"/>
    <d v="2024-08-07T00:00:00"/>
    <d v="1899-12-30T20:45:00"/>
    <x v="6"/>
    <x v="2"/>
    <x v="2"/>
    <x v="2"/>
    <x v="6"/>
    <x v="1"/>
    <s v="Card"/>
    <b v="1"/>
    <b v="0"/>
    <n v="8.75"/>
    <n v="0.5"/>
    <s v="August"/>
    <s v="Online"/>
    <n v="9.6"/>
    <n v="25.4"/>
    <b v="1"/>
    <n v="2"/>
    <n v="3"/>
    <x v="1"/>
    <n v="28.186274509803919"/>
  </r>
  <r>
    <s v="ORD158"/>
    <x v="2"/>
    <x v="11"/>
    <d v="2024-08-08T00:00:00"/>
    <d v="1899-12-30T18:00:00"/>
    <d v="2024-08-08T00:00:00"/>
    <d v="1899-12-30T18:25:00"/>
    <x v="1"/>
    <x v="0"/>
    <x v="1"/>
    <x v="0"/>
    <x v="5"/>
    <x v="2"/>
    <s v="UPI"/>
    <b v="1"/>
    <b v="0"/>
    <n v="7.1428571428571432"/>
    <n v="0.8571428571428571"/>
    <s v="August"/>
    <s v="Online"/>
    <n v="8.4"/>
    <n v="16.600000000000001"/>
    <b v="0"/>
    <n v="6"/>
    <n v="1"/>
    <x v="0"/>
    <n v="28.844221105527641"/>
  </r>
  <r>
    <s v="ORD159"/>
    <x v="3"/>
    <x v="4"/>
    <d v="2024-08-09T00:00:00"/>
    <d v="1899-12-30T19:30:00"/>
    <d v="2024-08-09T00:00:00"/>
    <d v="1899-12-30T20:00:00"/>
    <x v="3"/>
    <x v="3"/>
    <x v="3"/>
    <x v="3"/>
    <x v="7"/>
    <x v="0"/>
    <s v="Wallet"/>
    <b v="1"/>
    <b v="0"/>
    <n v="5"/>
    <n v="0.83333333333333337"/>
    <s v="August"/>
    <s v="Online"/>
    <n v="14.4"/>
    <n v="15.6"/>
    <b v="0"/>
    <n v="20"/>
    <n v="2"/>
    <x v="3"/>
    <n v="29.948453608247419"/>
  </r>
  <r>
    <s v="ORD160"/>
    <x v="4"/>
    <x v="9"/>
    <d v="2024-08-10T00:00:00"/>
    <d v="1899-12-30T12:45:00"/>
    <d v="2024-08-10T00:00:00"/>
    <d v="1899-12-30T13:15:00"/>
    <x v="3"/>
    <x v="0"/>
    <x v="1"/>
    <x v="1"/>
    <x v="10"/>
    <x v="1"/>
    <s v="Cash"/>
    <b v="0"/>
    <b v="1"/>
    <n v="5.4545454545454541"/>
    <n v="0.72727272727272729"/>
    <s v="August"/>
    <s v="Offline"/>
    <n v="13.2"/>
    <n v="16.8"/>
    <b v="0"/>
    <n v="8"/>
    <n v="3"/>
    <x v="2"/>
    <n v="30.286458333333329"/>
  </r>
  <r>
    <s v="ORD161"/>
    <x v="0"/>
    <x v="10"/>
    <d v="2024-08-11T00:00:00"/>
    <d v="1899-12-30T18:15:00"/>
    <d v="2024-08-11T00:00:00"/>
    <d v="1899-12-30T18:45:00"/>
    <x v="3"/>
    <x v="1"/>
    <x v="0"/>
    <x v="0"/>
    <x v="7"/>
    <x v="0"/>
    <s v="Domino's Cash"/>
    <b v="1"/>
    <b v="1"/>
    <n v="5"/>
    <n v="0.5"/>
    <s v="August"/>
    <s v="Offline"/>
    <n v="14.4"/>
    <n v="15.6"/>
    <b v="0"/>
    <n v="9"/>
    <n v="2"/>
    <x v="0"/>
    <n v="30.259433962264151"/>
  </r>
  <r>
    <s v="ORD162"/>
    <x v="1"/>
    <x v="11"/>
    <d v="2024-08-12T00:00:00"/>
    <d v="1899-12-30T20:00:00"/>
    <d v="2024-08-12T00:00:00"/>
    <d v="1899-12-30T20:30:00"/>
    <x v="3"/>
    <x v="2"/>
    <x v="2"/>
    <x v="2"/>
    <x v="3"/>
    <x v="2"/>
    <s v="Card"/>
    <b v="1"/>
    <b v="0"/>
    <n v="6.666666666666667"/>
    <n v="0.44444444444444442"/>
    <s v="August"/>
    <s v="Online"/>
    <n v="10.8"/>
    <n v="19.2"/>
    <b v="0"/>
    <n v="2"/>
    <n v="1"/>
    <x v="1"/>
    <n v="28.186274509803919"/>
  </r>
  <r>
    <s v="ORD163"/>
    <x v="2"/>
    <x v="4"/>
    <d v="2024-08-13T00:00:00"/>
    <d v="1899-12-30T18:10:00"/>
    <d v="2024-08-13T00:00:00"/>
    <d v="1899-12-30T18:35:00"/>
    <x v="1"/>
    <x v="0"/>
    <x v="1"/>
    <x v="0"/>
    <x v="2"/>
    <x v="1"/>
    <s v="UPI"/>
    <b v="1"/>
    <b v="0"/>
    <n v="8.3333333333333339"/>
    <n v="1"/>
    <s v="August"/>
    <s v="Online"/>
    <n v="7.1999999999999993"/>
    <n v="17.8"/>
    <b v="0"/>
    <n v="6"/>
    <n v="3"/>
    <x v="0"/>
    <n v="28.844221105527641"/>
  </r>
  <r>
    <s v="ORD164"/>
    <x v="3"/>
    <x v="1"/>
    <d v="2024-08-14T00:00:00"/>
    <d v="1899-12-30T19:20:00"/>
    <d v="2024-08-14T00:00:00"/>
    <d v="1899-12-30T19:50:00"/>
    <x v="3"/>
    <x v="3"/>
    <x v="3"/>
    <x v="3"/>
    <x v="14"/>
    <x v="0"/>
    <s v="Wallet"/>
    <b v="1"/>
    <b v="0"/>
    <n v="4.615384615384615"/>
    <n v="0.76923076923076927"/>
    <s v="August"/>
    <s v="Online"/>
    <n v="15.6"/>
    <n v="14.4"/>
    <b v="0"/>
    <n v="20"/>
    <n v="2"/>
    <x v="3"/>
    <n v="29.948453608247419"/>
  </r>
  <r>
    <s v="ORD165"/>
    <x v="4"/>
    <x v="2"/>
    <d v="2024-08-15T00:00:00"/>
    <d v="1899-12-30T13:15:00"/>
    <d v="2024-08-15T00:00:00"/>
    <d v="1899-12-30T13:45:00"/>
    <x v="3"/>
    <x v="0"/>
    <x v="1"/>
    <x v="1"/>
    <x v="1"/>
    <x v="1"/>
    <s v="Cash"/>
    <b v="0"/>
    <b v="0"/>
    <n v="6"/>
    <n v="0.8"/>
    <s v="August"/>
    <s v="Offline"/>
    <n v="12"/>
    <n v="18"/>
    <b v="0"/>
    <n v="8"/>
    <n v="3"/>
    <x v="4"/>
    <n v="30.286458333333329"/>
  </r>
  <r>
    <s v="ORD166"/>
    <x v="0"/>
    <x v="3"/>
    <d v="2024-08-16T00:00:00"/>
    <d v="1899-12-30T18:25:00"/>
    <d v="2024-08-16T00:00:00"/>
    <d v="1899-12-30T18:55:00"/>
    <x v="3"/>
    <x v="1"/>
    <x v="0"/>
    <x v="0"/>
    <x v="7"/>
    <x v="0"/>
    <s v="Domino's Cash"/>
    <b v="1"/>
    <b v="0"/>
    <n v="5"/>
    <n v="0.5"/>
    <s v="August"/>
    <s v="Offline"/>
    <n v="14.4"/>
    <n v="15.6"/>
    <b v="0"/>
    <n v="9"/>
    <n v="2"/>
    <x v="0"/>
    <n v="30.259433962264151"/>
  </r>
  <r>
    <s v="ORD167"/>
    <x v="1"/>
    <x v="10"/>
    <d v="2024-08-17T00:00:00"/>
    <d v="1899-12-30T20:05:00"/>
    <d v="2024-08-17T00:00:00"/>
    <d v="1899-12-30T20:35:00"/>
    <x v="3"/>
    <x v="2"/>
    <x v="2"/>
    <x v="2"/>
    <x v="6"/>
    <x v="2"/>
    <s v="Card"/>
    <b v="1"/>
    <b v="1"/>
    <n v="7.5"/>
    <n v="0.5"/>
    <s v="August"/>
    <s v="Online"/>
    <n v="9.6"/>
    <n v="20.399999999999999"/>
    <b v="0"/>
    <n v="2"/>
    <n v="1"/>
    <x v="1"/>
    <n v="28.186274509803919"/>
  </r>
  <r>
    <s v="ORD168"/>
    <x v="2"/>
    <x v="11"/>
    <d v="2024-08-18T00:00:00"/>
    <d v="1899-12-30T18:00:00"/>
    <d v="2024-08-18T00:00:00"/>
    <d v="1899-12-30T18:25:00"/>
    <x v="1"/>
    <x v="0"/>
    <x v="1"/>
    <x v="0"/>
    <x v="5"/>
    <x v="1"/>
    <s v="UPI"/>
    <b v="1"/>
    <b v="1"/>
    <n v="7.1428571428571432"/>
    <n v="0.8571428571428571"/>
    <s v="August"/>
    <s v="Online"/>
    <n v="8.4"/>
    <n v="16.600000000000001"/>
    <b v="0"/>
    <n v="6"/>
    <n v="3"/>
    <x v="0"/>
    <n v="28.844221105527641"/>
  </r>
  <r>
    <s v="ORD169"/>
    <x v="3"/>
    <x v="4"/>
    <d v="2024-08-19T00:00:00"/>
    <d v="1899-12-30T19:30:00"/>
    <d v="2024-08-19T00:00:00"/>
    <d v="1899-12-30T20:00:00"/>
    <x v="3"/>
    <x v="3"/>
    <x v="3"/>
    <x v="3"/>
    <x v="7"/>
    <x v="0"/>
    <s v="Wallet"/>
    <b v="1"/>
    <b v="0"/>
    <n v="5"/>
    <n v="0.83333333333333337"/>
    <s v="August"/>
    <s v="Online"/>
    <n v="14.4"/>
    <n v="15.6"/>
    <b v="0"/>
    <n v="20"/>
    <n v="2"/>
    <x v="3"/>
    <n v="29.948453608247419"/>
  </r>
  <r>
    <s v="ORD170"/>
    <x v="4"/>
    <x v="9"/>
    <d v="2024-08-20T00:00:00"/>
    <d v="1899-12-30T13:00:00"/>
    <d v="2024-08-20T00:00:00"/>
    <d v="1899-12-30T13:30:00"/>
    <x v="3"/>
    <x v="0"/>
    <x v="1"/>
    <x v="1"/>
    <x v="10"/>
    <x v="2"/>
    <s v="Cash"/>
    <b v="0"/>
    <b v="0"/>
    <n v="5.4545454545454541"/>
    <n v="0.72727272727272729"/>
    <s v="August"/>
    <s v="Offline"/>
    <n v="13.2"/>
    <n v="16.8"/>
    <b v="0"/>
    <n v="8"/>
    <n v="1"/>
    <x v="4"/>
    <n v="30.286458333333329"/>
  </r>
  <r>
    <s v="ORD171"/>
    <x v="0"/>
    <x v="10"/>
    <d v="2024-08-21T00:00:00"/>
    <d v="1899-12-30T18:15:00"/>
    <d v="2024-08-21T00:00:00"/>
    <d v="1899-12-30T18:45:00"/>
    <x v="3"/>
    <x v="1"/>
    <x v="0"/>
    <x v="0"/>
    <x v="7"/>
    <x v="1"/>
    <s v="Domino's Cash"/>
    <b v="1"/>
    <b v="0"/>
    <n v="5"/>
    <n v="0.5"/>
    <s v="August"/>
    <s v="Offline"/>
    <n v="14.4"/>
    <n v="15.6"/>
    <b v="0"/>
    <n v="9"/>
    <n v="3"/>
    <x v="0"/>
    <n v="30.259433962264151"/>
  </r>
  <r>
    <s v="ORD172"/>
    <x v="1"/>
    <x v="11"/>
    <d v="2024-08-22T00:00:00"/>
    <d v="1899-12-30T20:00:00"/>
    <d v="2024-08-22T00:00:00"/>
    <d v="1899-12-30T20:30:00"/>
    <x v="3"/>
    <x v="2"/>
    <x v="2"/>
    <x v="2"/>
    <x v="3"/>
    <x v="0"/>
    <s v="Card"/>
    <b v="1"/>
    <b v="0"/>
    <n v="6.666666666666667"/>
    <n v="0.44444444444444442"/>
    <s v="August"/>
    <s v="Online"/>
    <n v="10.8"/>
    <n v="19.2"/>
    <b v="0"/>
    <n v="2"/>
    <n v="2"/>
    <x v="1"/>
    <n v="28.186274509803919"/>
  </r>
  <r>
    <s v="ORD173"/>
    <x v="2"/>
    <x v="4"/>
    <d v="2024-08-23T00:00:00"/>
    <d v="1899-12-30T18:10:00"/>
    <d v="2024-08-23T00:00:00"/>
    <d v="1899-12-30T18:35:00"/>
    <x v="1"/>
    <x v="0"/>
    <x v="1"/>
    <x v="0"/>
    <x v="2"/>
    <x v="2"/>
    <s v="UPI"/>
    <b v="1"/>
    <b v="0"/>
    <n v="8.3333333333333339"/>
    <n v="1"/>
    <s v="August"/>
    <s v="Online"/>
    <n v="7.1999999999999993"/>
    <n v="17.8"/>
    <b v="0"/>
    <n v="6"/>
    <n v="1"/>
    <x v="0"/>
    <n v="28.844221105527641"/>
  </r>
  <r>
    <s v="ORD174"/>
    <x v="3"/>
    <x v="1"/>
    <d v="2024-08-24T00:00:00"/>
    <d v="1899-12-30T19:20:00"/>
    <d v="2024-08-24T00:00:00"/>
    <d v="1899-12-30T19:50:00"/>
    <x v="3"/>
    <x v="3"/>
    <x v="3"/>
    <x v="3"/>
    <x v="14"/>
    <x v="1"/>
    <s v="Wallet"/>
    <b v="1"/>
    <b v="1"/>
    <n v="4.615384615384615"/>
    <n v="0.76923076923076927"/>
    <s v="August"/>
    <s v="Online"/>
    <n v="15.6"/>
    <n v="14.4"/>
    <b v="0"/>
    <n v="20"/>
    <n v="3"/>
    <x v="3"/>
    <n v="29.948453608247419"/>
  </r>
  <r>
    <s v="ORD175"/>
    <x v="4"/>
    <x v="8"/>
    <d v="2024-06-20T00:00:00"/>
    <d v="1899-12-30T13:00:00"/>
    <d v="2024-06-20T00:00:00"/>
    <d v="1899-12-30T13:20:00"/>
    <x v="2"/>
    <x v="0"/>
    <x v="1"/>
    <x v="0"/>
    <x v="2"/>
    <x v="0"/>
    <s v="Card"/>
    <b v="0"/>
    <b v="0"/>
    <n v="6.666666666666667"/>
    <n v="1"/>
    <s v="June"/>
    <s v="Online"/>
    <n v="7.1999999999999993"/>
    <n v="12.8"/>
    <b v="0"/>
    <n v="6"/>
    <n v="2"/>
    <x v="4"/>
    <n v="30.286458333333329"/>
  </r>
  <r>
    <s v="ORD176"/>
    <x v="0"/>
    <x v="10"/>
    <d v="2024-06-21T00:00:00"/>
    <d v="1899-12-30T18:30:00"/>
    <d v="2024-06-21T00:00:00"/>
    <d v="1899-12-30T18:50:00"/>
    <x v="2"/>
    <x v="1"/>
    <x v="0"/>
    <x v="1"/>
    <x v="3"/>
    <x v="2"/>
    <s v="UPI"/>
    <b v="1"/>
    <b v="0"/>
    <n v="4.4444444444444446"/>
    <n v="0.88888888888888884"/>
    <s v="June"/>
    <s v="Online"/>
    <n v="10.8"/>
    <n v="9.2000000000000011"/>
    <b v="0"/>
    <n v="12"/>
    <n v="1"/>
    <x v="0"/>
    <n v="30.259433962264151"/>
  </r>
  <r>
    <s v="ORD177"/>
    <x v="1"/>
    <x v="11"/>
    <d v="2024-06-22T00:00:00"/>
    <d v="1899-12-30T20:15:00"/>
    <d v="2024-06-22T00:00:00"/>
    <d v="1899-12-30T20:40:00"/>
    <x v="1"/>
    <x v="2"/>
    <x v="2"/>
    <x v="2"/>
    <x v="4"/>
    <x v="1"/>
    <s v="Cash"/>
    <b v="1"/>
    <b v="1"/>
    <n v="12.5"/>
    <n v="1"/>
    <s v="June"/>
    <s v="Offline"/>
    <n v="4.8"/>
    <n v="20.2"/>
    <b v="0"/>
    <n v="2"/>
    <n v="3"/>
    <x v="1"/>
    <n v="28.186274509803919"/>
  </r>
  <r>
    <s v="ORD178"/>
    <x v="2"/>
    <x v="4"/>
    <d v="2024-06-23T00:00:00"/>
    <d v="1899-12-30T18:30:00"/>
    <d v="2024-06-23T00:00:00"/>
    <d v="1899-12-30T18:50:00"/>
    <x v="2"/>
    <x v="0"/>
    <x v="1"/>
    <x v="0"/>
    <x v="2"/>
    <x v="1"/>
    <s v="UPI"/>
    <b v="1"/>
    <b v="1"/>
    <n v="6.666666666666667"/>
    <n v="1"/>
    <s v="June"/>
    <s v="Online"/>
    <n v="7.1999999999999993"/>
    <n v="12.8"/>
    <b v="0"/>
    <n v="6"/>
    <n v="3"/>
    <x v="0"/>
    <n v="28.844221105527641"/>
  </r>
  <r>
    <s v="ORD179"/>
    <x v="3"/>
    <x v="1"/>
    <d v="2024-06-24T00:00:00"/>
    <d v="1899-12-30T19:45:00"/>
    <d v="2024-06-24T00:00:00"/>
    <d v="1899-12-30T20:10:00"/>
    <x v="1"/>
    <x v="3"/>
    <x v="3"/>
    <x v="3"/>
    <x v="3"/>
    <x v="2"/>
    <s v="Cash"/>
    <b v="1"/>
    <b v="0"/>
    <n v="5.5555555555555554"/>
    <n v="1.1111111111111109"/>
    <s v="June"/>
    <s v="Offline"/>
    <n v="10.8"/>
    <n v="14.2"/>
    <b v="0"/>
    <n v="20"/>
    <n v="1"/>
    <x v="3"/>
    <n v="29.948453608247419"/>
  </r>
  <r>
    <s v="ORD180"/>
    <x v="4"/>
    <x v="2"/>
    <d v="2024-06-25T00:00:00"/>
    <d v="1899-12-30T13:00:00"/>
    <d v="2024-06-25T00:00:00"/>
    <d v="1899-12-30T13:20:00"/>
    <x v="2"/>
    <x v="0"/>
    <x v="1"/>
    <x v="0"/>
    <x v="5"/>
    <x v="0"/>
    <s v="Wallet"/>
    <b v="0"/>
    <b v="0"/>
    <n v="5.7142857142857144"/>
    <n v="0.8571428571428571"/>
    <s v="June"/>
    <s v="Online"/>
    <n v="8.4"/>
    <n v="11.6"/>
    <b v="0"/>
    <n v="6"/>
    <n v="2"/>
    <x v="4"/>
    <n v="30.286458333333329"/>
  </r>
  <r>
    <s v="ORD181"/>
    <x v="0"/>
    <x v="3"/>
    <d v="2024-06-26T00:00:00"/>
    <d v="1899-12-30T18:30:00"/>
    <d v="2024-06-26T00:00:00"/>
    <d v="1899-12-30T18:55:00"/>
    <x v="1"/>
    <x v="1"/>
    <x v="0"/>
    <x v="1"/>
    <x v="3"/>
    <x v="1"/>
    <s v="Card"/>
    <b v="1"/>
    <b v="0"/>
    <n v="5.5555555555555554"/>
    <n v="0.88888888888888884"/>
    <s v="June"/>
    <s v="Online"/>
    <n v="10.8"/>
    <n v="14.2"/>
    <b v="0"/>
    <n v="12"/>
    <n v="3"/>
    <x v="0"/>
    <n v="30.259433962264151"/>
  </r>
  <r>
    <s v="ORD182"/>
    <x v="1"/>
    <x v="7"/>
    <d v="2024-06-27T00:00:00"/>
    <d v="1899-12-30T20:00:00"/>
    <d v="2024-06-27T00:00:00"/>
    <d v="1899-12-30T20:25:00"/>
    <x v="1"/>
    <x v="0"/>
    <x v="1"/>
    <x v="0"/>
    <x v="2"/>
    <x v="0"/>
    <s v="UPI"/>
    <b v="1"/>
    <b v="0"/>
    <n v="8.3333333333333339"/>
    <n v="1"/>
    <s v="June"/>
    <s v="Online"/>
    <n v="7.1999999999999993"/>
    <n v="17.8"/>
    <b v="0"/>
    <n v="6"/>
    <n v="2"/>
    <x v="1"/>
    <n v="28.186274509803919"/>
  </r>
  <r>
    <s v="ORD183"/>
    <x v="2"/>
    <x v="8"/>
    <d v="2024-06-28T00:00:00"/>
    <d v="1899-12-30T19:15:00"/>
    <d v="2024-06-28T00:00:00"/>
    <d v="1899-12-30T19:35:00"/>
    <x v="2"/>
    <x v="2"/>
    <x v="2"/>
    <x v="2"/>
    <x v="0"/>
    <x v="2"/>
    <s v="Cash"/>
    <b v="1"/>
    <b v="0"/>
    <n v="8"/>
    <n v="0.8"/>
    <s v="June"/>
    <s v="Offline"/>
    <n v="6"/>
    <n v="14"/>
    <b v="0"/>
    <n v="2"/>
    <n v="1"/>
    <x v="3"/>
    <n v="28.844221105527641"/>
  </r>
  <r>
    <s v="ORD184"/>
    <x v="3"/>
    <x v="2"/>
    <d v="2024-06-29T00:00:00"/>
    <d v="1899-12-30T19:45:00"/>
    <d v="2024-06-29T00:00:00"/>
    <d v="1899-12-30T20:10:00"/>
    <x v="1"/>
    <x v="3"/>
    <x v="3"/>
    <x v="3"/>
    <x v="6"/>
    <x v="1"/>
    <s v="Wallet"/>
    <b v="1"/>
    <b v="1"/>
    <n v="6.25"/>
    <n v="1.25"/>
    <s v="June"/>
    <s v="Online"/>
    <n v="9.6"/>
    <n v="15.4"/>
    <b v="0"/>
    <n v="20"/>
    <n v="3"/>
    <x v="3"/>
    <n v="29.948453608247419"/>
  </r>
  <r>
    <s v="ORD185"/>
    <x v="4"/>
    <x v="3"/>
    <d v="2024-06-30T00:00:00"/>
    <d v="1899-12-30T13:00:00"/>
    <d v="2024-06-30T00:00:00"/>
    <d v="1899-12-30T13:20:00"/>
    <x v="2"/>
    <x v="0"/>
    <x v="1"/>
    <x v="0"/>
    <x v="5"/>
    <x v="2"/>
    <s v="Card"/>
    <b v="0"/>
    <b v="1"/>
    <n v="5.7142857142857144"/>
    <n v="0.8571428571428571"/>
    <s v="June"/>
    <s v="Online"/>
    <n v="8.4"/>
    <n v="11.6"/>
    <b v="0"/>
    <n v="6"/>
    <n v="1"/>
    <x v="4"/>
    <n v="30.286458333333329"/>
  </r>
  <r>
    <s v="ORD186"/>
    <x v="0"/>
    <x v="1"/>
    <d v="2024-07-01T00:00:00"/>
    <d v="1899-12-30T18:30:00"/>
    <d v="2024-07-01T00:00:00"/>
    <d v="1899-12-30T18:50:00"/>
    <x v="2"/>
    <x v="1"/>
    <x v="0"/>
    <x v="1"/>
    <x v="3"/>
    <x v="0"/>
    <s v="UPI"/>
    <b v="1"/>
    <b v="0"/>
    <n v="4.4444444444444446"/>
    <n v="0.88888888888888884"/>
    <s v="July"/>
    <s v="Online"/>
    <n v="10.8"/>
    <n v="9.2000000000000011"/>
    <b v="0"/>
    <n v="12"/>
    <n v="2"/>
    <x v="0"/>
    <n v="30.259433962264151"/>
  </r>
  <r>
    <s v="ORD187"/>
    <x v="1"/>
    <x v="10"/>
    <d v="2024-07-02T00:00:00"/>
    <d v="1899-12-30T20:15:00"/>
    <d v="2024-07-02T00:00:00"/>
    <d v="1899-12-30T20:40:00"/>
    <x v="1"/>
    <x v="2"/>
    <x v="2"/>
    <x v="2"/>
    <x v="4"/>
    <x v="1"/>
    <s v="Cash"/>
    <b v="1"/>
    <b v="0"/>
    <n v="12.5"/>
    <n v="1"/>
    <s v="July"/>
    <s v="Offline"/>
    <n v="4.8"/>
    <n v="20.2"/>
    <b v="0"/>
    <n v="2"/>
    <n v="3"/>
    <x v="1"/>
    <n v="28.186274509803919"/>
  </r>
  <r>
    <s v="ORD188"/>
    <x v="2"/>
    <x v="11"/>
    <d v="2024-07-03T00:00:00"/>
    <d v="1899-12-30T18:30:00"/>
    <d v="2024-07-03T00:00:00"/>
    <d v="1899-12-30T18:50:00"/>
    <x v="2"/>
    <x v="0"/>
    <x v="1"/>
    <x v="0"/>
    <x v="5"/>
    <x v="2"/>
    <s v="Wallet"/>
    <b v="1"/>
    <b v="0"/>
    <n v="5.7142857142857144"/>
    <n v="0.8571428571428571"/>
    <s v="July"/>
    <s v="Online"/>
    <n v="8.4"/>
    <n v="11.6"/>
    <b v="0"/>
    <n v="6"/>
    <n v="1"/>
    <x v="0"/>
    <n v="28.844221105527641"/>
  </r>
  <r>
    <s v="ORD189"/>
    <x v="3"/>
    <x v="4"/>
    <d v="2024-07-04T00:00:00"/>
    <d v="1899-12-30T19:45:00"/>
    <d v="2024-07-04T00:00:00"/>
    <d v="1899-12-30T20:10:00"/>
    <x v="1"/>
    <x v="3"/>
    <x v="3"/>
    <x v="3"/>
    <x v="6"/>
    <x v="0"/>
    <s v="Card"/>
    <b v="1"/>
    <b v="0"/>
    <n v="6.25"/>
    <n v="1.25"/>
    <s v="July"/>
    <s v="Online"/>
    <n v="9.6"/>
    <n v="15.4"/>
    <b v="0"/>
    <n v="20"/>
    <n v="2"/>
    <x v="3"/>
    <n v="29.948453608247419"/>
  </r>
  <r>
    <s v="ORD190"/>
    <x v="4"/>
    <x v="9"/>
    <d v="2024-07-05T00:00:00"/>
    <d v="1899-12-30T13:00:00"/>
    <d v="2024-07-05T00:00:00"/>
    <d v="1899-12-30T13:20:00"/>
    <x v="2"/>
    <x v="0"/>
    <x v="1"/>
    <x v="0"/>
    <x v="5"/>
    <x v="1"/>
    <s v="UPI"/>
    <b v="0"/>
    <b v="0"/>
    <n v="5.7142857142857144"/>
    <n v="0.8571428571428571"/>
    <s v="July"/>
    <s v="Online"/>
    <n v="8.4"/>
    <n v="11.6"/>
    <b v="0"/>
    <n v="6"/>
    <n v="3"/>
    <x v="4"/>
    <n v="30.286458333333329"/>
  </r>
  <r>
    <s v="ORD191"/>
    <x v="0"/>
    <x v="10"/>
    <d v="2024-07-06T00:00:00"/>
    <d v="1899-12-30T18:30:00"/>
    <d v="2024-07-06T00:00:00"/>
    <d v="1899-12-30T18:50:00"/>
    <x v="2"/>
    <x v="1"/>
    <x v="0"/>
    <x v="1"/>
    <x v="3"/>
    <x v="2"/>
    <s v="Cash"/>
    <b v="1"/>
    <b v="1"/>
    <n v="4.4444444444444446"/>
    <n v="0.88888888888888884"/>
    <s v="July"/>
    <s v="Offline"/>
    <n v="10.8"/>
    <n v="9.2000000000000011"/>
    <b v="0"/>
    <n v="12"/>
    <n v="1"/>
    <x v="0"/>
    <n v="30.259433962264151"/>
  </r>
  <r>
    <s v="ORD192"/>
    <x v="1"/>
    <x v="11"/>
    <d v="2024-07-07T00:00:00"/>
    <d v="1899-12-30T20:15:00"/>
    <d v="2024-07-07T00:00:00"/>
    <d v="1899-12-30T20:40:00"/>
    <x v="1"/>
    <x v="2"/>
    <x v="2"/>
    <x v="2"/>
    <x v="4"/>
    <x v="1"/>
    <s v="Wallet"/>
    <b v="1"/>
    <b v="1"/>
    <n v="12.5"/>
    <n v="1"/>
    <s v="July"/>
    <s v="Online"/>
    <n v="4.8"/>
    <n v="20.2"/>
    <b v="0"/>
    <n v="2"/>
    <n v="3"/>
    <x v="1"/>
    <n v="28.186274509803919"/>
  </r>
  <r>
    <s v="ORD193"/>
    <x v="2"/>
    <x v="4"/>
    <d v="2024-07-08T00:00:00"/>
    <d v="1899-12-30T18:30:00"/>
    <d v="2024-07-08T00:00:00"/>
    <d v="1899-12-30T18:50:00"/>
    <x v="2"/>
    <x v="0"/>
    <x v="1"/>
    <x v="0"/>
    <x v="2"/>
    <x v="1"/>
    <s v="UPI"/>
    <b v="1"/>
    <b v="0"/>
    <n v="6.666666666666667"/>
    <n v="1"/>
    <s v="July"/>
    <s v="Online"/>
    <n v="7.1999999999999993"/>
    <n v="12.8"/>
    <b v="0"/>
    <n v="6"/>
    <n v="3"/>
    <x v="0"/>
    <n v="28.844221105527641"/>
  </r>
  <r>
    <s v="ORD194"/>
    <x v="3"/>
    <x v="1"/>
    <d v="2024-07-09T00:00:00"/>
    <d v="1899-12-30T19:45:00"/>
    <d v="2024-07-09T00:00:00"/>
    <d v="1899-12-30T20:10:00"/>
    <x v="1"/>
    <x v="3"/>
    <x v="3"/>
    <x v="3"/>
    <x v="3"/>
    <x v="2"/>
    <s v="Cash"/>
    <b v="1"/>
    <b v="0"/>
    <n v="5.5555555555555554"/>
    <n v="1.1111111111111109"/>
    <s v="July"/>
    <s v="Offline"/>
    <n v="10.8"/>
    <n v="14.2"/>
    <b v="0"/>
    <n v="20"/>
    <n v="1"/>
    <x v="3"/>
    <n v="29.948453608247419"/>
  </r>
  <r>
    <s v="ORD195"/>
    <x v="4"/>
    <x v="2"/>
    <d v="2024-07-10T00:00:00"/>
    <d v="1899-12-30T13:00:00"/>
    <d v="2024-07-10T00:00:00"/>
    <d v="1899-12-30T13:20:00"/>
    <x v="2"/>
    <x v="0"/>
    <x v="1"/>
    <x v="0"/>
    <x v="5"/>
    <x v="0"/>
    <s v="Wallet"/>
    <b v="0"/>
    <b v="0"/>
    <n v="5.7142857142857144"/>
    <n v="0.8571428571428571"/>
    <s v="July"/>
    <s v="Online"/>
    <n v="8.4"/>
    <n v="11.6"/>
    <b v="0"/>
    <n v="6"/>
    <n v="2"/>
    <x v="4"/>
    <n v="30.286458333333329"/>
  </r>
  <r>
    <s v="ORD196"/>
    <x v="0"/>
    <x v="3"/>
    <d v="2024-07-11T00:00:00"/>
    <d v="1899-12-30T18:30:00"/>
    <d v="2024-07-11T00:00:00"/>
    <d v="1899-12-30T18:50:00"/>
    <x v="2"/>
    <x v="1"/>
    <x v="0"/>
    <x v="1"/>
    <x v="6"/>
    <x v="1"/>
    <s v="Card"/>
    <b v="1"/>
    <b v="0"/>
    <n v="5"/>
    <n v="1"/>
    <s v="July"/>
    <s v="Online"/>
    <n v="9.6"/>
    <n v="10.4"/>
    <b v="0"/>
    <n v="12"/>
    <n v="3"/>
    <x v="0"/>
    <n v="30.259433962264151"/>
  </r>
  <r>
    <s v="ORD197"/>
    <x v="1"/>
    <x v="4"/>
    <d v="2024-07-12T00:00:00"/>
    <d v="1899-12-30T20:00:00"/>
    <d v="2024-07-12T00:00:00"/>
    <d v="1899-12-30T20:25:00"/>
    <x v="1"/>
    <x v="0"/>
    <x v="1"/>
    <x v="0"/>
    <x v="2"/>
    <x v="2"/>
    <s v="UPI"/>
    <b v="1"/>
    <b v="0"/>
    <n v="8.3333333333333339"/>
    <n v="1"/>
    <s v="July"/>
    <s v="Online"/>
    <n v="7.1999999999999993"/>
    <n v="17.8"/>
    <b v="0"/>
    <n v="6"/>
    <n v="1"/>
    <x v="1"/>
    <n v="28.186274509803919"/>
  </r>
  <r>
    <s v="ORD198"/>
    <x v="2"/>
    <x v="6"/>
    <d v="2024-07-13T00:00:00"/>
    <d v="1899-12-30T19:15:00"/>
    <d v="2024-07-13T00:00:00"/>
    <d v="1899-12-30T19:35:00"/>
    <x v="2"/>
    <x v="2"/>
    <x v="2"/>
    <x v="2"/>
    <x v="0"/>
    <x v="2"/>
    <s v="Cash"/>
    <b v="1"/>
    <b v="1"/>
    <n v="8"/>
    <n v="0.8"/>
    <s v="July"/>
    <s v="Offline"/>
    <n v="6"/>
    <n v="14"/>
    <b v="0"/>
    <n v="2"/>
    <n v="1"/>
    <x v="3"/>
    <n v="28.844221105527641"/>
  </r>
  <r>
    <s v="ORD199"/>
    <x v="3"/>
    <x v="7"/>
    <d v="2024-07-14T00:00:00"/>
    <d v="1899-12-30T19:45:00"/>
    <d v="2024-07-14T00:00:00"/>
    <d v="1899-12-30T20:10:00"/>
    <x v="1"/>
    <x v="3"/>
    <x v="3"/>
    <x v="3"/>
    <x v="3"/>
    <x v="1"/>
    <s v="Wallet"/>
    <b v="1"/>
    <b v="1"/>
    <n v="5.5555555555555554"/>
    <n v="1.1111111111111109"/>
    <s v="July"/>
    <s v="Online"/>
    <n v="10.8"/>
    <n v="14.2"/>
    <b v="0"/>
    <n v="20"/>
    <n v="3"/>
    <x v="3"/>
    <n v="29.948453608247419"/>
  </r>
  <r>
    <s v="ORD200"/>
    <x v="4"/>
    <x v="8"/>
    <d v="2024-07-15T00:00:00"/>
    <d v="1899-12-30T13:00:00"/>
    <d v="2024-07-15T00:00:00"/>
    <d v="1899-12-30T13:20:00"/>
    <x v="2"/>
    <x v="0"/>
    <x v="1"/>
    <x v="0"/>
    <x v="2"/>
    <x v="0"/>
    <s v="Card"/>
    <b v="0"/>
    <b v="0"/>
    <n v="6.666666666666667"/>
    <n v="1"/>
    <s v="July"/>
    <s v="Online"/>
    <n v="7.1999999999999993"/>
    <n v="12.8"/>
    <b v="0"/>
    <n v="6"/>
    <n v="2"/>
    <x v="4"/>
    <n v="30.286458333333329"/>
  </r>
  <r>
    <s v="ORD201"/>
    <x v="0"/>
    <x v="0"/>
    <d v="2024-07-16T00:00:00"/>
    <d v="1899-12-30T18:30:00"/>
    <d v="2024-07-16T00:00:00"/>
    <d v="1899-12-30T18:55:00"/>
    <x v="1"/>
    <x v="1"/>
    <x v="0"/>
    <x v="0"/>
    <x v="1"/>
    <x v="1"/>
    <s v="Card"/>
    <b v="1"/>
    <b v="0"/>
    <n v="5"/>
    <n v="0.6"/>
    <s v="July"/>
    <s v="Online"/>
    <n v="12"/>
    <n v="13"/>
    <b v="0"/>
    <n v="9"/>
    <n v="3"/>
    <x v="0"/>
    <n v="30.259433962264151"/>
  </r>
  <r>
    <s v="ORD202"/>
    <x v="1"/>
    <x v="1"/>
    <d v="2024-07-17T00:00:00"/>
    <d v="1899-12-30T19:00:00"/>
    <d v="2024-07-17T00:00:00"/>
    <d v="1899-12-30T19:30:00"/>
    <x v="3"/>
    <x v="0"/>
    <x v="1"/>
    <x v="1"/>
    <x v="5"/>
    <x v="0"/>
    <s v="UPI"/>
    <b v="1"/>
    <b v="0"/>
    <n v="8.5714285714285712"/>
    <n v="1.142857142857143"/>
    <s v="July"/>
    <s v="Online"/>
    <n v="8.4"/>
    <n v="21.6"/>
    <b v="0"/>
    <n v="8"/>
    <n v="2"/>
    <x v="3"/>
    <n v="28.186274509803919"/>
  </r>
  <r>
    <s v="ORD203"/>
    <x v="2"/>
    <x v="2"/>
    <d v="2024-07-18T00:00:00"/>
    <d v="1899-12-30T20:15:00"/>
    <d v="2024-07-18T00:00:00"/>
    <d v="1899-12-30T20:40:00"/>
    <x v="1"/>
    <x v="2"/>
    <x v="2"/>
    <x v="2"/>
    <x v="6"/>
    <x v="2"/>
    <s v="Cash"/>
    <b v="1"/>
    <b v="0"/>
    <n v="6.25"/>
    <n v="0.5"/>
    <s v="July"/>
    <s v="Offline"/>
    <n v="9.6"/>
    <n v="15.4"/>
    <b v="0"/>
    <n v="2"/>
    <n v="1"/>
    <x v="1"/>
    <n v="28.844221105527641"/>
  </r>
  <r>
    <s v="ORD204"/>
    <x v="3"/>
    <x v="6"/>
    <d v="2024-07-19T00:00:00"/>
    <d v="1899-12-30T19:45:00"/>
    <d v="2024-07-19T00:00:00"/>
    <d v="1899-12-30T20:10:00"/>
    <x v="1"/>
    <x v="3"/>
    <x v="3"/>
    <x v="3"/>
    <x v="7"/>
    <x v="1"/>
    <s v="Wallet"/>
    <b v="1"/>
    <b v="0"/>
    <n v="4.166666666666667"/>
    <n v="0.83333333333333337"/>
    <s v="July"/>
    <s v="Online"/>
    <n v="14.4"/>
    <n v="10.6"/>
    <b v="0"/>
    <n v="20"/>
    <n v="3"/>
    <x v="3"/>
    <n v="29.948453608247419"/>
  </r>
  <r>
    <s v="ORD205"/>
    <x v="4"/>
    <x v="7"/>
    <d v="2024-07-20T00:00:00"/>
    <d v="1899-12-30T13:00:00"/>
    <d v="2024-07-20T00:00:00"/>
    <d v="1899-12-30T13:25:00"/>
    <x v="1"/>
    <x v="0"/>
    <x v="1"/>
    <x v="0"/>
    <x v="2"/>
    <x v="2"/>
    <s v="Card"/>
    <b v="0"/>
    <b v="1"/>
    <n v="8.3333333333333339"/>
    <n v="1"/>
    <s v="July"/>
    <s v="Online"/>
    <n v="7.1999999999999993"/>
    <n v="17.8"/>
    <b v="0"/>
    <n v="6"/>
    <n v="1"/>
    <x v="4"/>
    <n v="30.286458333333329"/>
  </r>
  <r>
    <s v="ORD206"/>
    <x v="0"/>
    <x v="3"/>
    <d v="2024-07-21T00:00:00"/>
    <d v="1899-12-30T18:30:00"/>
    <d v="2024-07-21T00:00:00"/>
    <d v="1899-12-30T18:55:00"/>
    <x v="1"/>
    <x v="1"/>
    <x v="0"/>
    <x v="1"/>
    <x v="1"/>
    <x v="1"/>
    <s v="UPI"/>
    <b v="1"/>
    <b v="1"/>
    <n v="5"/>
    <n v="0.8"/>
    <s v="July"/>
    <s v="Online"/>
    <n v="12"/>
    <n v="13"/>
    <b v="0"/>
    <n v="12"/>
    <n v="3"/>
    <x v="0"/>
    <n v="30.259433962264151"/>
  </r>
  <r>
    <s v="ORD207"/>
    <x v="1"/>
    <x v="10"/>
    <d v="2024-07-22T00:00:00"/>
    <d v="1899-12-30T20:15:00"/>
    <d v="2024-07-22T00:00:00"/>
    <d v="1899-12-30T20:40:00"/>
    <x v="1"/>
    <x v="2"/>
    <x v="2"/>
    <x v="2"/>
    <x v="0"/>
    <x v="0"/>
    <s v="Cash"/>
    <b v="1"/>
    <b v="0"/>
    <n v="10"/>
    <n v="0.8"/>
    <s v="July"/>
    <s v="Offline"/>
    <n v="6"/>
    <n v="19"/>
    <b v="0"/>
    <n v="2"/>
    <n v="2"/>
    <x v="1"/>
    <n v="28.186274509803919"/>
  </r>
  <r>
    <s v="ORD208"/>
    <x v="2"/>
    <x v="11"/>
    <d v="2024-07-23T00:00:00"/>
    <d v="1899-12-30T18:30:00"/>
    <d v="2024-07-23T00:00:00"/>
    <d v="1899-12-30T18:50:00"/>
    <x v="2"/>
    <x v="0"/>
    <x v="1"/>
    <x v="0"/>
    <x v="5"/>
    <x v="2"/>
    <s v="Wallet"/>
    <b v="1"/>
    <b v="0"/>
    <n v="5.7142857142857144"/>
    <n v="0.8571428571428571"/>
    <s v="July"/>
    <s v="Online"/>
    <n v="8.4"/>
    <n v="11.6"/>
    <b v="0"/>
    <n v="6"/>
    <n v="1"/>
    <x v="0"/>
    <n v="28.844221105527641"/>
  </r>
  <r>
    <s v="ORD209"/>
    <x v="3"/>
    <x v="4"/>
    <d v="2024-07-24T00:00:00"/>
    <d v="1899-12-30T19:45:00"/>
    <d v="2024-07-24T00:00:00"/>
    <d v="1899-12-30T20:10:00"/>
    <x v="1"/>
    <x v="3"/>
    <x v="3"/>
    <x v="3"/>
    <x v="6"/>
    <x v="1"/>
    <s v="Card"/>
    <b v="1"/>
    <b v="0"/>
    <n v="6.25"/>
    <n v="1.25"/>
    <s v="July"/>
    <s v="Online"/>
    <n v="9.6"/>
    <n v="15.4"/>
    <b v="0"/>
    <n v="20"/>
    <n v="3"/>
    <x v="3"/>
    <n v="29.948453608247419"/>
  </r>
  <r>
    <s v="ORD210"/>
    <x v="4"/>
    <x v="9"/>
    <d v="2024-07-25T00:00:00"/>
    <d v="1899-12-30T13:00:00"/>
    <d v="2024-07-25T00:00:00"/>
    <d v="1899-12-30T13:20:00"/>
    <x v="2"/>
    <x v="0"/>
    <x v="1"/>
    <x v="0"/>
    <x v="5"/>
    <x v="2"/>
    <s v="UPI"/>
    <b v="0"/>
    <b v="0"/>
    <n v="5.7142857142857144"/>
    <n v="0.8571428571428571"/>
    <s v="July"/>
    <s v="Online"/>
    <n v="8.4"/>
    <n v="11.6"/>
    <b v="0"/>
    <n v="6"/>
    <n v="1"/>
    <x v="4"/>
    <n v="30.286458333333329"/>
  </r>
  <r>
    <s v="ORD211"/>
    <x v="0"/>
    <x v="10"/>
    <d v="2024-07-26T00:00:00"/>
    <d v="1899-12-30T18:30:00"/>
    <d v="2024-07-26T00:00:00"/>
    <d v="1899-12-30T18:50:00"/>
    <x v="2"/>
    <x v="1"/>
    <x v="0"/>
    <x v="1"/>
    <x v="3"/>
    <x v="0"/>
    <s v="Cash"/>
    <b v="1"/>
    <b v="0"/>
    <n v="4.4444444444444446"/>
    <n v="0.88888888888888884"/>
    <s v="July"/>
    <s v="Offline"/>
    <n v="10.8"/>
    <n v="9.2000000000000011"/>
    <b v="0"/>
    <n v="12"/>
    <n v="2"/>
    <x v="0"/>
    <n v="30.259433962264151"/>
  </r>
  <r>
    <s v="ORD212"/>
    <x v="1"/>
    <x v="11"/>
    <d v="2024-07-27T00:00:00"/>
    <d v="1899-12-30T20:15:00"/>
    <d v="2024-07-27T00:00:00"/>
    <d v="1899-12-30T20:40:00"/>
    <x v="1"/>
    <x v="2"/>
    <x v="2"/>
    <x v="2"/>
    <x v="4"/>
    <x v="1"/>
    <s v="Wallet"/>
    <b v="1"/>
    <b v="1"/>
    <n v="12.5"/>
    <n v="1"/>
    <s v="July"/>
    <s v="Online"/>
    <n v="4.8"/>
    <n v="20.2"/>
    <b v="0"/>
    <n v="2"/>
    <n v="3"/>
    <x v="1"/>
    <n v="28.186274509803919"/>
  </r>
  <r>
    <s v="ORD213"/>
    <x v="2"/>
    <x v="4"/>
    <d v="2024-07-28T00:00:00"/>
    <d v="1899-12-30T18:30:00"/>
    <d v="2024-07-28T00:00:00"/>
    <d v="1899-12-30T18:50:00"/>
    <x v="2"/>
    <x v="0"/>
    <x v="1"/>
    <x v="0"/>
    <x v="2"/>
    <x v="1"/>
    <s v="UPI"/>
    <b v="1"/>
    <b v="1"/>
    <n v="6.666666666666667"/>
    <n v="1"/>
    <s v="July"/>
    <s v="Online"/>
    <n v="7.1999999999999993"/>
    <n v="12.8"/>
    <b v="0"/>
    <n v="6"/>
    <n v="3"/>
    <x v="0"/>
    <n v="28.844221105527641"/>
  </r>
  <r>
    <s v="ORD214"/>
    <x v="3"/>
    <x v="1"/>
    <d v="2024-07-29T00:00:00"/>
    <d v="1899-12-30T19:45:00"/>
    <d v="2024-07-29T00:00:00"/>
    <d v="1899-12-30T20:10:00"/>
    <x v="1"/>
    <x v="3"/>
    <x v="3"/>
    <x v="3"/>
    <x v="3"/>
    <x v="2"/>
    <s v="Cash"/>
    <b v="1"/>
    <b v="0"/>
    <n v="5.5555555555555554"/>
    <n v="1.1111111111111109"/>
    <s v="July"/>
    <s v="Offline"/>
    <n v="10.8"/>
    <n v="14.2"/>
    <b v="0"/>
    <n v="20"/>
    <n v="1"/>
    <x v="3"/>
    <n v="29.948453608247419"/>
  </r>
  <r>
    <s v="ORD215"/>
    <x v="4"/>
    <x v="2"/>
    <d v="2024-07-30T00:00:00"/>
    <d v="1899-12-30T13:00:00"/>
    <d v="2024-07-30T00:00:00"/>
    <d v="1899-12-30T13:20:00"/>
    <x v="2"/>
    <x v="0"/>
    <x v="1"/>
    <x v="0"/>
    <x v="5"/>
    <x v="0"/>
    <s v="Wallet"/>
    <b v="0"/>
    <b v="0"/>
    <n v="5.7142857142857144"/>
    <n v="0.8571428571428571"/>
    <s v="July"/>
    <s v="Online"/>
    <n v="8.4"/>
    <n v="11.6"/>
    <b v="0"/>
    <n v="6"/>
    <n v="2"/>
    <x v="4"/>
    <n v="30.286458333333329"/>
  </r>
  <r>
    <s v="ORD216"/>
    <x v="0"/>
    <x v="3"/>
    <d v="2024-07-31T00:00:00"/>
    <d v="1899-12-30T18:30:00"/>
    <d v="2024-07-31T00:00:00"/>
    <d v="1899-12-30T18:50:00"/>
    <x v="2"/>
    <x v="1"/>
    <x v="0"/>
    <x v="1"/>
    <x v="6"/>
    <x v="1"/>
    <s v="Card"/>
    <b v="1"/>
    <b v="0"/>
    <n v="5"/>
    <n v="1"/>
    <s v="July"/>
    <s v="Online"/>
    <n v="9.6"/>
    <n v="10.4"/>
    <b v="0"/>
    <n v="12"/>
    <n v="3"/>
    <x v="0"/>
    <n v="30.259433962264151"/>
  </r>
  <r>
    <s v="ORD217"/>
    <x v="1"/>
    <x v="4"/>
    <d v="2024-08-01T00:00:00"/>
    <d v="1899-12-30T20:00:00"/>
    <d v="2024-08-01T00:00:00"/>
    <d v="1899-12-30T20:25:00"/>
    <x v="1"/>
    <x v="0"/>
    <x v="1"/>
    <x v="0"/>
    <x v="2"/>
    <x v="2"/>
    <s v="UPI"/>
    <b v="1"/>
    <b v="0"/>
    <n v="8.3333333333333339"/>
    <n v="1"/>
    <s v="August"/>
    <s v="Online"/>
    <n v="7.1999999999999993"/>
    <n v="17.8"/>
    <b v="0"/>
    <n v="6"/>
    <n v="1"/>
    <x v="1"/>
    <n v="28.186274509803919"/>
  </r>
  <r>
    <s v="ORD218"/>
    <x v="2"/>
    <x v="6"/>
    <d v="2024-08-02T00:00:00"/>
    <d v="1899-12-30T19:15:00"/>
    <d v="2024-08-02T00:00:00"/>
    <d v="1899-12-30T19:35:00"/>
    <x v="2"/>
    <x v="2"/>
    <x v="2"/>
    <x v="2"/>
    <x v="0"/>
    <x v="2"/>
    <s v="Cash"/>
    <b v="1"/>
    <b v="0"/>
    <n v="8"/>
    <n v="0.8"/>
    <s v="August"/>
    <s v="Offline"/>
    <n v="6"/>
    <n v="14"/>
    <b v="0"/>
    <n v="2"/>
    <n v="1"/>
    <x v="3"/>
    <n v="28.844221105527641"/>
  </r>
  <r>
    <s v="ORD219"/>
    <x v="3"/>
    <x v="7"/>
    <d v="2024-08-03T00:00:00"/>
    <d v="1899-12-30T19:45:00"/>
    <d v="2024-08-03T00:00:00"/>
    <d v="1899-12-30T20:10:00"/>
    <x v="1"/>
    <x v="3"/>
    <x v="3"/>
    <x v="3"/>
    <x v="3"/>
    <x v="1"/>
    <s v="Wallet"/>
    <b v="1"/>
    <b v="1"/>
    <n v="5.5555555555555554"/>
    <n v="1.1111111111111109"/>
    <s v="August"/>
    <s v="Online"/>
    <n v="10.8"/>
    <n v="14.2"/>
    <b v="0"/>
    <n v="20"/>
    <n v="3"/>
    <x v="3"/>
    <n v="29.948453608247419"/>
  </r>
  <r>
    <s v="ORD220"/>
    <x v="4"/>
    <x v="8"/>
    <d v="2024-08-04T00:00:00"/>
    <d v="1899-12-30T13:00:00"/>
    <d v="2024-08-04T00:00:00"/>
    <d v="1899-12-30T13:20:00"/>
    <x v="2"/>
    <x v="0"/>
    <x v="1"/>
    <x v="0"/>
    <x v="2"/>
    <x v="0"/>
    <s v="Card"/>
    <b v="0"/>
    <b v="1"/>
    <n v="6.666666666666667"/>
    <n v="1"/>
    <s v="August"/>
    <s v="Online"/>
    <n v="7.1999999999999993"/>
    <n v="12.8"/>
    <b v="0"/>
    <n v="6"/>
    <n v="2"/>
    <x v="4"/>
    <n v="30.286458333333329"/>
  </r>
  <r>
    <s v="ORD221"/>
    <x v="0"/>
    <x v="0"/>
    <d v="2024-08-05T00:00:00"/>
    <d v="1899-12-30T18:30:00"/>
    <d v="2024-08-05T00:00:00"/>
    <d v="1899-12-30T18:55:00"/>
    <x v="1"/>
    <x v="1"/>
    <x v="0"/>
    <x v="0"/>
    <x v="1"/>
    <x v="1"/>
    <s v="Card"/>
    <b v="1"/>
    <b v="0"/>
    <n v="5"/>
    <n v="0.6"/>
    <s v="August"/>
    <s v="Online"/>
    <n v="12"/>
    <n v="13"/>
    <b v="0"/>
    <n v="9"/>
    <n v="3"/>
    <x v="0"/>
    <n v="30.259433962264151"/>
  </r>
  <r>
    <s v="ORD222"/>
    <x v="1"/>
    <x v="1"/>
    <d v="2024-08-06T00:00:00"/>
    <d v="1899-12-30T19:00:00"/>
    <d v="2024-08-06T00:00:00"/>
    <d v="1899-12-30T19:30:00"/>
    <x v="3"/>
    <x v="0"/>
    <x v="1"/>
    <x v="1"/>
    <x v="5"/>
    <x v="0"/>
    <s v="UPI"/>
    <b v="1"/>
    <b v="0"/>
    <n v="8.5714285714285712"/>
    <n v="1.142857142857143"/>
    <s v="August"/>
    <s v="Online"/>
    <n v="8.4"/>
    <n v="21.6"/>
    <b v="0"/>
    <n v="8"/>
    <n v="2"/>
    <x v="3"/>
    <n v="28.186274509803919"/>
  </r>
  <r>
    <s v="ORD223"/>
    <x v="2"/>
    <x v="2"/>
    <d v="2024-08-07T00:00:00"/>
    <d v="1899-12-30T20:15:00"/>
    <d v="2024-08-07T00:00:00"/>
    <d v="1899-12-30T20:40:00"/>
    <x v="1"/>
    <x v="2"/>
    <x v="2"/>
    <x v="2"/>
    <x v="6"/>
    <x v="2"/>
    <s v="Cash"/>
    <b v="1"/>
    <b v="0"/>
    <n v="6.25"/>
    <n v="0.5"/>
    <s v="August"/>
    <s v="Offline"/>
    <n v="9.6"/>
    <n v="15.4"/>
    <b v="0"/>
    <n v="2"/>
    <n v="1"/>
    <x v="1"/>
    <n v="28.844221105527641"/>
  </r>
  <r>
    <s v="ORD224"/>
    <x v="3"/>
    <x v="6"/>
    <d v="2024-08-08T00:00:00"/>
    <d v="1899-12-30T19:45:00"/>
    <d v="2024-08-08T00:00:00"/>
    <d v="1899-12-30T20:10:00"/>
    <x v="1"/>
    <x v="3"/>
    <x v="3"/>
    <x v="3"/>
    <x v="7"/>
    <x v="1"/>
    <s v="Wallet"/>
    <b v="1"/>
    <b v="0"/>
    <n v="4.166666666666667"/>
    <n v="0.83333333333333337"/>
    <s v="August"/>
    <s v="Online"/>
    <n v="14.4"/>
    <n v="10.6"/>
    <b v="0"/>
    <n v="20"/>
    <n v="3"/>
    <x v="3"/>
    <n v="29.948453608247419"/>
  </r>
  <r>
    <s v="ORD225"/>
    <x v="4"/>
    <x v="7"/>
    <d v="2024-08-09T00:00:00"/>
    <d v="1899-12-30T13:00:00"/>
    <d v="2024-08-09T00:00:00"/>
    <d v="1899-12-30T13:25:00"/>
    <x v="1"/>
    <x v="0"/>
    <x v="1"/>
    <x v="0"/>
    <x v="2"/>
    <x v="2"/>
    <s v="Card"/>
    <b v="0"/>
    <b v="0"/>
    <n v="8.3333333333333339"/>
    <n v="1"/>
    <s v="August"/>
    <s v="Online"/>
    <n v="7.1999999999999993"/>
    <n v="17.8"/>
    <b v="0"/>
    <n v="6"/>
    <n v="1"/>
    <x v="4"/>
    <n v="30.286458333333329"/>
  </r>
  <r>
    <s v="ORD226"/>
    <x v="0"/>
    <x v="3"/>
    <d v="2024-08-10T00:00:00"/>
    <d v="1899-12-30T18:30:00"/>
    <d v="2024-08-10T00:00:00"/>
    <d v="1899-12-30T18:55:00"/>
    <x v="1"/>
    <x v="1"/>
    <x v="0"/>
    <x v="1"/>
    <x v="1"/>
    <x v="1"/>
    <s v="UPI"/>
    <b v="1"/>
    <b v="1"/>
    <n v="5"/>
    <n v="0.8"/>
    <s v="August"/>
    <s v="Online"/>
    <n v="12"/>
    <n v="13"/>
    <b v="0"/>
    <n v="12"/>
    <n v="3"/>
    <x v="0"/>
    <n v="30.259433962264151"/>
  </r>
  <r>
    <s v="ORD227"/>
    <x v="1"/>
    <x v="10"/>
    <d v="2024-08-11T00:00:00"/>
    <d v="1899-12-30T20:15:00"/>
    <d v="2024-08-11T00:00:00"/>
    <d v="1899-12-30T20:40:00"/>
    <x v="1"/>
    <x v="2"/>
    <x v="2"/>
    <x v="2"/>
    <x v="0"/>
    <x v="0"/>
    <s v="Cash"/>
    <b v="1"/>
    <b v="1"/>
    <n v="10"/>
    <n v="0.8"/>
    <s v="August"/>
    <s v="Offline"/>
    <n v="6"/>
    <n v="19"/>
    <b v="0"/>
    <n v="2"/>
    <n v="2"/>
    <x v="1"/>
    <n v="28.186274509803919"/>
  </r>
  <r>
    <s v="ORD228"/>
    <x v="2"/>
    <x v="11"/>
    <d v="2024-08-12T00:00:00"/>
    <d v="1899-12-30T18:30:00"/>
    <d v="2024-08-12T00:00:00"/>
    <d v="1899-12-30T18:50:00"/>
    <x v="2"/>
    <x v="0"/>
    <x v="1"/>
    <x v="0"/>
    <x v="5"/>
    <x v="2"/>
    <s v="Wallet"/>
    <b v="1"/>
    <b v="0"/>
    <n v="5.7142857142857144"/>
    <n v="0.8571428571428571"/>
    <s v="August"/>
    <s v="Online"/>
    <n v="8.4"/>
    <n v="11.6"/>
    <b v="0"/>
    <n v="6"/>
    <n v="1"/>
    <x v="0"/>
    <n v="28.844221105527641"/>
  </r>
  <r>
    <s v="ORD229"/>
    <x v="3"/>
    <x v="1"/>
    <d v="2024-08-13T00:00:00"/>
    <d v="1899-12-30T19:45:00"/>
    <d v="2024-08-13T00:00:00"/>
    <d v="1899-12-30T20:10:00"/>
    <x v="1"/>
    <x v="3"/>
    <x v="3"/>
    <x v="3"/>
    <x v="3"/>
    <x v="2"/>
    <s v="Cash"/>
    <b v="1"/>
    <b v="0"/>
    <n v="5.5555555555555554"/>
    <n v="1.1111111111111109"/>
    <s v="August"/>
    <s v="Offline"/>
    <n v="10.8"/>
    <n v="14.2"/>
    <b v="0"/>
    <n v="20"/>
    <n v="1"/>
    <x v="3"/>
    <n v="29.948453608247419"/>
  </r>
  <r>
    <s v="ORD230"/>
    <x v="0"/>
    <x v="0"/>
    <d v="2024-08-14T00:00:00"/>
    <d v="1899-12-30T18:30:00"/>
    <d v="2024-08-14T00:00:00"/>
    <d v="1899-12-30T19:05:00"/>
    <x v="6"/>
    <x v="1"/>
    <x v="0"/>
    <x v="0"/>
    <x v="1"/>
    <x v="1"/>
    <s v="UPI"/>
    <b v="1"/>
    <b v="0"/>
    <n v="7"/>
    <n v="0.6"/>
    <s v="August"/>
    <s v="Online"/>
    <n v="12"/>
    <n v="23"/>
    <b v="1"/>
    <n v="9"/>
    <n v="3"/>
    <x v="0"/>
    <n v="30.259433962264151"/>
  </r>
  <r>
    <s v="ORD231"/>
    <x v="1"/>
    <x v="2"/>
    <d v="2024-08-15T00:00:00"/>
    <d v="1899-12-30T20:15:00"/>
    <d v="2024-08-15T00:00:00"/>
    <d v="1899-12-30T20:40:00"/>
    <x v="1"/>
    <x v="0"/>
    <x v="1"/>
    <x v="1"/>
    <x v="5"/>
    <x v="0"/>
    <s v="Card"/>
    <b v="1"/>
    <b v="0"/>
    <n v="7.1428571428571432"/>
    <n v="1.142857142857143"/>
    <s v="August"/>
    <s v="Online"/>
    <n v="8.4"/>
    <n v="16.600000000000001"/>
    <b v="0"/>
    <n v="8"/>
    <n v="2"/>
    <x v="1"/>
    <n v="28.186274509803919"/>
  </r>
  <r>
    <s v="ORD232"/>
    <x v="2"/>
    <x v="6"/>
    <d v="2024-08-16T00:00:00"/>
    <d v="1899-12-30T19:00:00"/>
    <d v="2024-08-16T00:00:00"/>
    <d v="1899-12-30T19:20:00"/>
    <x v="2"/>
    <x v="2"/>
    <x v="2"/>
    <x v="2"/>
    <x v="4"/>
    <x v="2"/>
    <s v="Wallet"/>
    <b v="1"/>
    <b v="0"/>
    <n v="10"/>
    <n v="1"/>
    <s v="August"/>
    <s v="Online"/>
    <n v="4.8"/>
    <n v="15.2"/>
    <b v="0"/>
    <n v="2"/>
    <n v="1"/>
    <x v="3"/>
    <n v="28.844221105527641"/>
  </r>
  <r>
    <s v="ORD233"/>
    <x v="4"/>
    <x v="7"/>
    <d v="2024-08-17T00:00:00"/>
    <d v="1899-12-30T13:00:00"/>
    <d v="2024-08-17T00:00:00"/>
    <d v="1899-12-30T13:30:00"/>
    <x v="3"/>
    <x v="0"/>
    <x v="1"/>
    <x v="0"/>
    <x v="2"/>
    <x v="1"/>
    <s v="UPI"/>
    <b v="0"/>
    <b v="1"/>
    <n v="10"/>
    <n v="1"/>
    <s v="August"/>
    <s v="Online"/>
    <n v="7.1999999999999993"/>
    <n v="22.8"/>
    <b v="0"/>
    <n v="6"/>
    <n v="3"/>
    <x v="4"/>
    <n v="30.286458333333329"/>
  </r>
  <r>
    <s v="ORD234"/>
    <x v="0"/>
    <x v="3"/>
    <d v="2024-08-18T00:00:00"/>
    <d v="1899-12-30T18:30:00"/>
    <d v="2024-08-18T00:00:00"/>
    <d v="1899-12-30T19:10:00"/>
    <x v="4"/>
    <x v="1"/>
    <x v="0"/>
    <x v="1"/>
    <x v="1"/>
    <x v="1"/>
    <s v="Card"/>
    <b v="1"/>
    <b v="1"/>
    <n v="8"/>
    <n v="0.8"/>
    <s v="August"/>
    <s v="Online"/>
    <n v="12"/>
    <n v="28"/>
    <b v="1"/>
    <n v="12"/>
    <n v="3"/>
    <x v="0"/>
    <n v="30.259433962264151"/>
  </r>
  <r>
    <s v="ORD235"/>
    <x v="1"/>
    <x v="10"/>
    <d v="2024-08-19T00:00:00"/>
    <d v="1899-12-30T20:15:00"/>
    <d v="2024-08-19T00:00:00"/>
    <d v="1899-12-30T20:35:00"/>
    <x v="2"/>
    <x v="2"/>
    <x v="2"/>
    <x v="2"/>
    <x v="0"/>
    <x v="0"/>
    <s v="Cash"/>
    <b v="1"/>
    <b v="0"/>
    <n v="8"/>
    <n v="0.8"/>
    <s v="August"/>
    <s v="Offline"/>
    <n v="6"/>
    <n v="14"/>
    <b v="0"/>
    <n v="2"/>
    <n v="2"/>
    <x v="1"/>
    <n v="28.186274509803919"/>
  </r>
  <r>
    <s v="ORD236"/>
    <x v="2"/>
    <x v="11"/>
    <d v="2024-08-20T00:00:00"/>
    <d v="1899-12-30T18:30:00"/>
    <d v="2024-08-20T00:00:00"/>
    <d v="1899-12-30T18:50:00"/>
    <x v="2"/>
    <x v="0"/>
    <x v="1"/>
    <x v="0"/>
    <x v="5"/>
    <x v="2"/>
    <s v="Wallet"/>
    <b v="1"/>
    <b v="0"/>
    <n v="5.7142857142857144"/>
    <n v="0.8571428571428571"/>
    <s v="August"/>
    <s v="Online"/>
    <n v="8.4"/>
    <n v="11.6"/>
    <b v="0"/>
    <n v="6"/>
    <n v="1"/>
    <x v="0"/>
    <n v="28.844221105527641"/>
  </r>
  <r>
    <s v="ORD237"/>
    <x v="3"/>
    <x v="4"/>
    <d v="2024-08-21T00:00:00"/>
    <d v="1899-12-30T19:45:00"/>
    <d v="2024-08-21T00:00:00"/>
    <d v="1899-12-30T20:15:00"/>
    <x v="3"/>
    <x v="3"/>
    <x v="3"/>
    <x v="3"/>
    <x v="6"/>
    <x v="1"/>
    <s v="Card"/>
    <b v="1"/>
    <b v="0"/>
    <n v="7.5"/>
    <n v="1.25"/>
    <s v="August"/>
    <s v="Online"/>
    <n v="9.6"/>
    <n v="20.399999999999999"/>
    <b v="0"/>
    <n v="20"/>
    <n v="3"/>
    <x v="3"/>
    <n v="29.948453608247419"/>
  </r>
  <r>
    <s v="ORD238"/>
    <x v="4"/>
    <x v="9"/>
    <d v="2024-08-22T00:00:00"/>
    <d v="1899-12-30T13:00:00"/>
    <d v="2024-08-22T00:00:00"/>
    <d v="1899-12-30T13:25:00"/>
    <x v="1"/>
    <x v="0"/>
    <x v="1"/>
    <x v="0"/>
    <x v="5"/>
    <x v="2"/>
    <s v="UPI"/>
    <b v="0"/>
    <b v="0"/>
    <n v="7.1428571428571432"/>
    <n v="0.8571428571428571"/>
    <s v="August"/>
    <s v="Online"/>
    <n v="8.4"/>
    <n v="16.600000000000001"/>
    <b v="0"/>
    <n v="6"/>
    <n v="1"/>
    <x v="4"/>
    <n v="30.286458333333329"/>
  </r>
  <r>
    <s v="ORD239"/>
    <x v="0"/>
    <x v="10"/>
    <d v="2024-08-23T00:00:00"/>
    <d v="1899-12-30T18:30:00"/>
    <d v="2024-08-23T00:00:00"/>
    <d v="1899-12-30T18:50:00"/>
    <x v="2"/>
    <x v="1"/>
    <x v="0"/>
    <x v="1"/>
    <x v="3"/>
    <x v="0"/>
    <s v="Cash"/>
    <b v="1"/>
    <b v="0"/>
    <n v="4.4444444444444446"/>
    <n v="0.88888888888888884"/>
    <s v="August"/>
    <s v="Offline"/>
    <n v="10.8"/>
    <n v="9.2000000000000011"/>
    <b v="0"/>
    <n v="12"/>
    <n v="2"/>
    <x v="0"/>
    <n v="30.259433962264151"/>
  </r>
  <r>
    <s v="ORD240"/>
    <x v="1"/>
    <x v="11"/>
    <d v="2024-08-24T00:00:00"/>
    <d v="1899-12-30T20:15:00"/>
    <d v="2024-08-24T00:00:00"/>
    <d v="1899-12-30T20:40:00"/>
    <x v="1"/>
    <x v="2"/>
    <x v="2"/>
    <x v="2"/>
    <x v="4"/>
    <x v="1"/>
    <s v="Wallet"/>
    <b v="1"/>
    <b v="1"/>
    <n v="12.5"/>
    <n v="1"/>
    <s v="August"/>
    <s v="Online"/>
    <n v="4.8"/>
    <n v="20.2"/>
    <b v="0"/>
    <n v="2"/>
    <n v="3"/>
    <x v="1"/>
    <n v="28.186274509803919"/>
  </r>
  <r>
    <s v="ORD241"/>
    <x v="2"/>
    <x v="4"/>
    <d v="2024-08-25T00:00:00"/>
    <d v="1899-12-30T18:30:00"/>
    <d v="2024-08-25T00:00:00"/>
    <d v="1899-12-30T18:50:00"/>
    <x v="2"/>
    <x v="0"/>
    <x v="1"/>
    <x v="0"/>
    <x v="2"/>
    <x v="1"/>
    <s v="UPI"/>
    <b v="1"/>
    <b v="1"/>
    <n v="6.666666666666667"/>
    <n v="1"/>
    <s v="August"/>
    <s v="Online"/>
    <n v="7.1999999999999993"/>
    <n v="12.8"/>
    <b v="0"/>
    <n v="6"/>
    <n v="3"/>
    <x v="0"/>
    <n v="28.844221105527641"/>
  </r>
  <r>
    <s v="ORD242"/>
    <x v="3"/>
    <x v="1"/>
    <d v="2024-08-26T00:00:00"/>
    <d v="1899-12-30T19:45:00"/>
    <d v="2024-08-26T00:00:00"/>
    <d v="1899-12-30T20:10:00"/>
    <x v="1"/>
    <x v="3"/>
    <x v="3"/>
    <x v="3"/>
    <x v="3"/>
    <x v="2"/>
    <s v="Cash"/>
    <b v="1"/>
    <b v="0"/>
    <n v="5.5555555555555554"/>
    <n v="1.1111111111111109"/>
    <s v="August"/>
    <s v="Offline"/>
    <n v="10.8"/>
    <n v="14.2"/>
    <b v="0"/>
    <n v="20"/>
    <n v="1"/>
    <x v="3"/>
    <n v="29.948453608247419"/>
  </r>
  <r>
    <s v="ORD243"/>
    <x v="4"/>
    <x v="2"/>
    <d v="2024-08-27T00:00:00"/>
    <d v="1899-12-30T13:00:00"/>
    <d v="2024-08-27T00:00:00"/>
    <d v="1899-12-30T13:20:00"/>
    <x v="2"/>
    <x v="0"/>
    <x v="1"/>
    <x v="0"/>
    <x v="5"/>
    <x v="0"/>
    <s v="Wallet"/>
    <b v="0"/>
    <b v="0"/>
    <n v="5.7142857142857144"/>
    <n v="0.8571428571428571"/>
    <s v="August"/>
    <s v="Online"/>
    <n v="8.4"/>
    <n v="11.6"/>
    <b v="0"/>
    <n v="6"/>
    <n v="2"/>
    <x v="4"/>
    <n v="30.286458333333329"/>
  </r>
  <r>
    <s v="ORD244"/>
    <x v="0"/>
    <x v="3"/>
    <d v="2024-08-28T00:00:00"/>
    <d v="1899-12-30T18:30:00"/>
    <d v="2024-08-28T00:00:00"/>
    <d v="1899-12-30T18:55:00"/>
    <x v="1"/>
    <x v="1"/>
    <x v="0"/>
    <x v="1"/>
    <x v="1"/>
    <x v="1"/>
    <s v="Card"/>
    <b v="1"/>
    <b v="0"/>
    <n v="5"/>
    <n v="0.8"/>
    <s v="August"/>
    <s v="Online"/>
    <n v="12"/>
    <n v="13"/>
    <b v="0"/>
    <n v="12"/>
    <n v="3"/>
    <x v="0"/>
    <n v="30.259433962264151"/>
  </r>
  <r>
    <s v="ORD245"/>
    <x v="1"/>
    <x v="10"/>
    <d v="2024-08-29T00:00:00"/>
    <d v="1899-12-30T20:15:00"/>
    <d v="2024-08-29T00:00:00"/>
    <d v="1899-12-30T20:40:00"/>
    <x v="1"/>
    <x v="2"/>
    <x v="2"/>
    <x v="2"/>
    <x v="0"/>
    <x v="0"/>
    <s v="Cash"/>
    <b v="1"/>
    <b v="0"/>
    <n v="10"/>
    <n v="0.8"/>
    <s v="August"/>
    <s v="Offline"/>
    <n v="6"/>
    <n v="19"/>
    <b v="0"/>
    <n v="2"/>
    <n v="2"/>
    <x v="1"/>
    <n v="28.186274509803919"/>
  </r>
  <r>
    <s v="ORD246"/>
    <x v="2"/>
    <x v="11"/>
    <d v="2024-08-30T00:00:00"/>
    <d v="1899-12-30T18:30:00"/>
    <d v="2024-08-30T00:00:00"/>
    <d v="1899-12-30T18:50:00"/>
    <x v="2"/>
    <x v="0"/>
    <x v="1"/>
    <x v="0"/>
    <x v="5"/>
    <x v="2"/>
    <s v="Wallet"/>
    <b v="1"/>
    <b v="0"/>
    <n v="5.7142857142857144"/>
    <n v="0.8571428571428571"/>
    <s v="August"/>
    <s v="Online"/>
    <n v="8.4"/>
    <n v="11.6"/>
    <b v="0"/>
    <n v="6"/>
    <n v="1"/>
    <x v="0"/>
    <n v="28.844221105527641"/>
  </r>
  <r>
    <s v="ORD247"/>
    <x v="3"/>
    <x v="4"/>
    <d v="2024-08-31T00:00:00"/>
    <d v="1899-12-30T19:45:00"/>
    <d v="2024-08-31T00:00:00"/>
    <d v="1899-12-30T20:10:00"/>
    <x v="1"/>
    <x v="3"/>
    <x v="3"/>
    <x v="3"/>
    <x v="6"/>
    <x v="1"/>
    <s v="Card"/>
    <b v="1"/>
    <b v="1"/>
    <n v="6.25"/>
    <n v="1.25"/>
    <s v="August"/>
    <s v="Online"/>
    <n v="9.6"/>
    <n v="15.4"/>
    <b v="0"/>
    <n v="20"/>
    <n v="3"/>
    <x v="3"/>
    <n v="29.948453608247419"/>
  </r>
  <r>
    <s v="ORD248"/>
    <x v="4"/>
    <x v="9"/>
    <d v="2024-09-01T00:00:00"/>
    <d v="1899-12-30T13:00:00"/>
    <d v="2024-09-01T00:00:00"/>
    <d v="1899-12-30T13:20:00"/>
    <x v="2"/>
    <x v="0"/>
    <x v="1"/>
    <x v="0"/>
    <x v="5"/>
    <x v="2"/>
    <s v="UPI"/>
    <b v="0"/>
    <b v="1"/>
    <n v="5.7142857142857144"/>
    <n v="0.8571428571428571"/>
    <s v="September"/>
    <s v="Online"/>
    <n v="8.4"/>
    <n v="11.6"/>
    <b v="0"/>
    <n v="6"/>
    <n v="1"/>
    <x v="4"/>
    <n v="30.286458333333329"/>
  </r>
  <r>
    <s v="ORD249"/>
    <x v="0"/>
    <x v="10"/>
    <d v="2024-09-02T00:00:00"/>
    <d v="1899-12-30T18:30:00"/>
    <d v="2024-09-02T00:00:00"/>
    <d v="1899-12-30T18:50:00"/>
    <x v="2"/>
    <x v="1"/>
    <x v="0"/>
    <x v="1"/>
    <x v="3"/>
    <x v="0"/>
    <s v="Cash"/>
    <b v="1"/>
    <b v="0"/>
    <n v="4.4444444444444446"/>
    <n v="0.88888888888888884"/>
    <s v="September"/>
    <s v="Offline"/>
    <n v="10.8"/>
    <n v="9.2000000000000011"/>
    <b v="0"/>
    <n v="12"/>
    <n v="2"/>
    <x v="0"/>
    <n v="30.259433962264151"/>
  </r>
  <r>
    <s v="ORD250"/>
    <x v="1"/>
    <x v="11"/>
    <d v="2024-09-03T00:00:00"/>
    <d v="1899-12-30T20:15:00"/>
    <d v="2024-09-03T00:00:00"/>
    <d v="1899-12-30T20:40:00"/>
    <x v="1"/>
    <x v="2"/>
    <x v="2"/>
    <x v="2"/>
    <x v="4"/>
    <x v="1"/>
    <s v="Wallet"/>
    <b v="1"/>
    <b v="0"/>
    <n v="12.5"/>
    <n v="1"/>
    <s v="September"/>
    <s v="Online"/>
    <n v="4.8"/>
    <n v="20.2"/>
    <b v="0"/>
    <n v="2"/>
    <n v="3"/>
    <x v="1"/>
    <n v="28.186274509803919"/>
  </r>
  <r>
    <s v="ORD251"/>
    <x v="2"/>
    <x v="4"/>
    <d v="2024-09-04T00:00:00"/>
    <d v="1899-12-30T18:30:00"/>
    <d v="2024-09-04T00:00:00"/>
    <d v="1899-12-30T18:50:00"/>
    <x v="2"/>
    <x v="0"/>
    <x v="1"/>
    <x v="0"/>
    <x v="2"/>
    <x v="1"/>
    <s v="UPI"/>
    <b v="1"/>
    <b v="0"/>
    <n v="6.666666666666667"/>
    <n v="1"/>
    <s v="September"/>
    <s v="Online"/>
    <n v="7.1999999999999993"/>
    <n v="12.8"/>
    <b v="0"/>
    <n v="6"/>
    <n v="3"/>
    <x v="0"/>
    <n v="28.844221105527641"/>
  </r>
  <r>
    <s v="ORD252"/>
    <x v="3"/>
    <x v="1"/>
    <d v="2024-09-05T00:00:00"/>
    <d v="1899-12-30T19:45:00"/>
    <d v="2024-09-05T00:00:00"/>
    <d v="1899-12-30T20:10:00"/>
    <x v="1"/>
    <x v="3"/>
    <x v="3"/>
    <x v="3"/>
    <x v="3"/>
    <x v="2"/>
    <s v="Cash"/>
    <b v="1"/>
    <b v="0"/>
    <n v="5.5555555555555554"/>
    <n v="1.1111111111111109"/>
    <s v="September"/>
    <s v="Offline"/>
    <n v="10.8"/>
    <n v="14.2"/>
    <b v="0"/>
    <n v="20"/>
    <n v="1"/>
    <x v="3"/>
    <n v="29.948453608247419"/>
  </r>
  <r>
    <s v="ORD253"/>
    <x v="4"/>
    <x v="2"/>
    <d v="2024-09-06T00:00:00"/>
    <d v="1899-12-30T13:00:00"/>
    <d v="2024-09-06T00:00:00"/>
    <d v="1899-12-30T13:20:00"/>
    <x v="2"/>
    <x v="0"/>
    <x v="1"/>
    <x v="0"/>
    <x v="5"/>
    <x v="0"/>
    <s v="Wallet"/>
    <b v="0"/>
    <b v="0"/>
    <n v="5.7142857142857144"/>
    <n v="0.8571428571428571"/>
    <s v="September"/>
    <s v="Online"/>
    <n v="8.4"/>
    <n v="11.6"/>
    <b v="0"/>
    <n v="6"/>
    <n v="2"/>
    <x v="4"/>
    <n v="30.286458333333329"/>
  </r>
  <r>
    <s v="ORD254"/>
    <x v="0"/>
    <x v="3"/>
    <d v="2024-09-07T00:00:00"/>
    <d v="1899-12-30T18:30:00"/>
    <d v="2024-09-07T00:00:00"/>
    <d v="1899-12-30T18:55:00"/>
    <x v="1"/>
    <x v="1"/>
    <x v="0"/>
    <x v="1"/>
    <x v="1"/>
    <x v="1"/>
    <s v="Card"/>
    <b v="1"/>
    <b v="1"/>
    <n v="5"/>
    <n v="0.8"/>
    <s v="September"/>
    <s v="Online"/>
    <n v="12"/>
    <n v="13"/>
    <b v="0"/>
    <n v="12"/>
    <n v="3"/>
    <x v="0"/>
    <n v="30.259433962264151"/>
  </r>
  <r>
    <s v="ORD255"/>
    <x v="1"/>
    <x v="10"/>
    <d v="2024-09-08T00:00:00"/>
    <d v="1899-12-30T20:15:00"/>
    <d v="2024-09-08T00:00:00"/>
    <d v="1899-12-30T20:40:00"/>
    <x v="1"/>
    <x v="2"/>
    <x v="2"/>
    <x v="2"/>
    <x v="0"/>
    <x v="0"/>
    <s v="Cash"/>
    <b v="1"/>
    <b v="1"/>
    <n v="10"/>
    <n v="0.8"/>
    <s v="September"/>
    <s v="Offline"/>
    <n v="6"/>
    <n v="19"/>
    <b v="0"/>
    <n v="2"/>
    <n v="2"/>
    <x v="1"/>
    <n v="28.186274509803919"/>
  </r>
  <r>
    <s v="ORD256"/>
    <x v="2"/>
    <x v="11"/>
    <d v="2024-09-09T00:00:00"/>
    <d v="1899-12-30T18:30:00"/>
    <d v="2024-09-09T00:00:00"/>
    <d v="1899-12-30T18:50:00"/>
    <x v="2"/>
    <x v="0"/>
    <x v="1"/>
    <x v="0"/>
    <x v="5"/>
    <x v="2"/>
    <s v="Wallet"/>
    <b v="1"/>
    <b v="0"/>
    <n v="5.7142857142857144"/>
    <n v="0.8571428571428571"/>
    <s v="September"/>
    <s v="Online"/>
    <n v="8.4"/>
    <n v="11.6"/>
    <b v="0"/>
    <n v="6"/>
    <n v="1"/>
    <x v="0"/>
    <n v="28.844221105527641"/>
  </r>
  <r>
    <s v="ORD257"/>
    <x v="0"/>
    <x v="5"/>
    <d v="2024-09-10T00:00:00"/>
    <d v="1899-12-30T18:00:00"/>
    <d v="2024-09-10T00:00:00"/>
    <d v="1899-12-30T18:25:00"/>
    <x v="1"/>
    <x v="1"/>
    <x v="0"/>
    <x v="0"/>
    <x v="1"/>
    <x v="1"/>
    <s v="Cash"/>
    <b v="1"/>
    <b v="0"/>
    <n v="5"/>
    <n v="0.6"/>
    <s v="September"/>
    <s v="Offline"/>
    <n v="12"/>
    <n v="13"/>
    <b v="0"/>
    <n v="9"/>
    <n v="3"/>
    <x v="0"/>
    <n v="30.259433962264151"/>
  </r>
  <r>
    <s v="ORD258"/>
    <x v="0"/>
    <x v="13"/>
    <d v="2024-09-11T00:00:00"/>
    <d v="1899-12-30T19:15:00"/>
    <d v="2024-09-11T00:00:00"/>
    <d v="1899-12-30T19:35:00"/>
    <x v="2"/>
    <x v="0"/>
    <x v="1"/>
    <x v="2"/>
    <x v="5"/>
    <x v="0"/>
    <s v="Card"/>
    <b v="1"/>
    <b v="0"/>
    <n v="5.7142857142857144"/>
    <n v="0.5714285714285714"/>
    <s v="September"/>
    <s v="Online"/>
    <n v="8.4"/>
    <n v="11.6"/>
    <b v="0"/>
    <n v="4"/>
    <n v="2"/>
    <x v="3"/>
    <n v="30.259433962264151"/>
  </r>
  <r>
    <s v="ORD259"/>
    <x v="0"/>
    <x v="9"/>
    <d v="2024-09-12T00:00:00"/>
    <d v="1899-12-30T20:30:00"/>
    <d v="2024-09-12T00:00:00"/>
    <d v="1899-12-30T20:50:00"/>
    <x v="2"/>
    <x v="2"/>
    <x v="2"/>
    <x v="4"/>
    <x v="0"/>
    <x v="2"/>
    <s v="Wallet"/>
    <b v="1"/>
    <b v="0"/>
    <n v="8"/>
    <n v="0.4"/>
    <s v="September"/>
    <s v="Online"/>
    <n v="6"/>
    <n v="14"/>
    <b v="0"/>
    <n v="1"/>
    <n v="1"/>
    <x v="1"/>
    <n v="30.259433962264151"/>
  </r>
  <r>
    <s v="ORD260"/>
    <x v="0"/>
    <x v="2"/>
    <d v="2024-09-13T00:00:00"/>
    <d v="1899-12-30T18:45:00"/>
    <d v="2024-09-13T00:00:00"/>
    <d v="1899-12-30T19:10:00"/>
    <x v="1"/>
    <x v="3"/>
    <x v="3"/>
    <x v="3"/>
    <x v="3"/>
    <x v="1"/>
    <s v="UPI"/>
    <b v="1"/>
    <b v="0"/>
    <n v="5.5555555555555554"/>
    <n v="1.1111111111111109"/>
    <s v="September"/>
    <s v="Online"/>
    <n v="10.8"/>
    <n v="14.2"/>
    <b v="0"/>
    <n v="20"/>
    <n v="3"/>
    <x v="0"/>
    <n v="30.259433962264151"/>
  </r>
  <r>
    <s v="ORD261"/>
    <x v="0"/>
    <x v="3"/>
    <d v="2024-09-14T00:00:00"/>
    <d v="1899-12-30T19:00:00"/>
    <d v="2024-09-14T00:00:00"/>
    <d v="1899-12-30T19:20:00"/>
    <x v="2"/>
    <x v="0"/>
    <x v="1"/>
    <x v="0"/>
    <x v="2"/>
    <x v="0"/>
    <s v="Cash"/>
    <b v="1"/>
    <b v="1"/>
    <n v="6.666666666666667"/>
    <n v="1"/>
    <s v="September"/>
    <s v="Offline"/>
    <n v="7.1999999999999993"/>
    <n v="12.8"/>
    <b v="0"/>
    <n v="6"/>
    <n v="2"/>
    <x v="3"/>
    <n v="30.259433962264151"/>
  </r>
  <r>
    <s v="ORD262"/>
    <x v="0"/>
    <x v="10"/>
    <d v="2024-09-15T00:00:00"/>
    <d v="1899-12-30T20:00:00"/>
    <d v="2024-09-15T00:00:00"/>
    <d v="1899-12-30T20:25:00"/>
    <x v="1"/>
    <x v="1"/>
    <x v="0"/>
    <x v="1"/>
    <x v="1"/>
    <x v="1"/>
    <s v="Card"/>
    <b v="1"/>
    <b v="1"/>
    <n v="5"/>
    <n v="0.8"/>
    <s v="September"/>
    <s v="Online"/>
    <n v="12"/>
    <n v="13"/>
    <b v="0"/>
    <n v="12"/>
    <n v="3"/>
    <x v="1"/>
    <n v="30.259433962264151"/>
  </r>
  <r>
    <s v="ORD263"/>
    <x v="0"/>
    <x v="11"/>
    <d v="2024-09-16T00:00:00"/>
    <d v="1899-12-30T18:30:00"/>
    <d v="2024-09-16T00:00:00"/>
    <d v="1899-12-30T18:50:00"/>
    <x v="2"/>
    <x v="2"/>
    <x v="2"/>
    <x v="2"/>
    <x v="4"/>
    <x v="2"/>
    <s v="Wallet"/>
    <b v="1"/>
    <b v="0"/>
    <n v="10"/>
    <n v="1"/>
    <s v="September"/>
    <s v="Online"/>
    <n v="4.8"/>
    <n v="15.2"/>
    <b v="0"/>
    <n v="2"/>
    <n v="1"/>
    <x v="0"/>
    <n v="30.259433962264151"/>
  </r>
  <r>
    <s v="ORD264"/>
    <x v="0"/>
    <x v="4"/>
    <d v="2024-09-17T00:00:00"/>
    <d v="1899-12-30T19:45:00"/>
    <d v="2024-09-17T00:00:00"/>
    <d v="1899-12-30T20:10:00"/>
    <x v="1"/>
    <x v="3"/>
    <x v="3"/>
    <x v="3"/>
    <x v="3"/>
    <x v="0"/>
    <s v="UPI"/>
    <b v="1"/>
    <b v="0"/>
    <n v="5.5555555555555554"/>
    <n v="1.1111111111111109"/>
    <s v="September"/>
    <s v="Online"/>
    <n v="10.8"/>
    <n v="14.2"/>
    <b v="0"/>
    <n v="20"/>
    <n v="2"/>
    <x v="3"/>
    <n v="30.259433962264151"/>
  </r>
  <r>
    <s v="ORD265"/>
    <x v="0"/>
    <x v="1"/>
    <d v="2024-09-18T00:00:00"/>
    <d v="1899-12-30T18:00:00"/>
    <d v="2024-09-18T00:00:00"/>
    <d v="1899-12-30T18:20:00"/>
    <x v="2"/>
    <x v="0"/>
    <x v="1"/>
    <x v="0"/>
    <x v="5"/>
    <x v="1"/>
    <s v="Cash"/>
    <b v="1"/>
    <b v="0"/>
    <n v="5.7142857142857144"/>
    <n v="0.8571428571428571"/>
    <s v="September"/>
    <s v="Offline"/>
    <n v="8.4"/>
    <n v="11.6"/>
    <b v="0"/>
    <n v="6"/>
    <n v="3"/>
    <x v="0"/>
    <n v="30.259433962264151"/>
  </r>
  <r>
    <s v="ORD266"/>
    <x v="0"/>
    <x v="0"/>
    <d v="2024-09-19T00:00:00"/>
    <d v="1899-12-30T20:15:00"/>
    <d v="2024-09-19T00:00:00"/>
    <d v="1899-12-30T20:40:00"/>
    <x v="1"/>
    <x v="1"/>
    <x v="0"/>
    <x v="1"/>
    <x v="1"/>
    <x v="1"/>
    <s v="Card"/>
    <b v="1"/>
    <b v="0"/>
    <n v="5"/>
    <n v="0.8"/>
    <s v="September"/>
    <s v="Online"/>
    <n v="12"/>
    <n v="13"/>
    <b v="0"/>
    <n v="12"/>
    <n v="3"/>
    <x v="1"/>
    <n v="30.259433962264151"/>
  </r>
  <r>
    <s v="ORD267"/>
    <x v="0"/>
    <x v="12"/>
    <d v="2024-09-10T00:00:00"/>
    <d v="1899-12-30T18:00:00"/>
    <d v="2024-09-10T00:00:00"/>
    <d v="1899-12-30T18:20:00"/>
    <x v="2"/>
    <x v="0"/>
    <x v="0"/>
    <x v="2"/>
    <x v="2"/>
    <x v="2"/>
    <s v="Cash"/>
    <b v="1"/>
    <b v="0"/>
    <n v="6.666666666666667"/>
    <n v="0.66666666666666663"/>
    <s v="September"/>
    <s v="Offline"/>
    <n v="7.1999999999999993"/>
    <n v="12.8"/>
    <b v="0"/>
    <n v="4"/>
    <n v="1"/>
    <x v="0"/>
    <n v="30.259433962264151"/>
  </r>
  <r>
    <s v="ORD268"/>
    <x v="1"/>
    <x v="13"/>
    <d v="2024-09-11T00:00:00"/>
    <d v="1899-12-30T19:15:00"/>
    <d v="2024-09-11T00:00:00"/>
    <d v="1899-12-30T19:45:00"/>
    <x v="3"/>
    <x v="1"/>
    <x v="1"/>
    <x v="1"/>
    <x v="7"/>
    <x v="0"/>
    <s v="Card"/>
    <b v="1"/>
    <b v="0"/>
    <n v="5"/>
    <n v="0.66666666666666663"/>
    <s v="September"/>
    <s v="Online"/>
    <n v="14.4"/>
    <n v="15.6"/>
    <b v="0"/>
    <n v="12"/>
    <n v="2"/>
    <x v="3"/>
    <n v="28.186274509803919"/>
  </r>
  <r>
    <s v="ORD269"/>
    <x v="3"/>
    <x v="9"/>
    <d v="2024-09-12T00:00:00"/>
    <d v="1899-12-30T20:30:00"/>
    <d v="2024-09-12T00:00:00"/>
    <d v="1899-12-30T21:10:00"/>
    <x v="4"/>
    <x v="3"/>
    <x v="3"/>
    <x v="3"/>
    <x v="8"/>
    <x v="1"/>
    <s v="Wallet"/>
    <b v="1"/>
    <b v="0"/>
    <n v="5"/>
    <n v="0.625"/>
    <s v="September"/>
    <s v="Online"/>
    <n v="19.2"/>
    <n v="20.8"/>
    <b v="1"/>
    <n v="20"/>
    <n v="3"/>
    <x v="1"/>
    <n v="29.948453608247419"/>
  </r>
  <r>
    <s v="ORD270"/>
    <x v="2"/>
    <x v="2"/>
    <d v="2024-09-13T00:00:00"/>
    <d v="1899-12-30T18:45:00"/>
    <d v="2024-09-13T00:00:00"/>
    <d v="1899-12-30T19:05:00"/>
    <x v="2"/>
    <x v="2"/>
    <x v="2"/>
    <x v="4"/>
    <x v="0"/>
    <x v="2"/>
    <s v="UPI"/>
    <b v="1"/>
    <b v="0"/>
    <n v="8"/>
    <n v="0.4"/>
    <s v="September"/>
    <s v="Online"/>
    <n v="6"/>
    <n v="14"/>
    <b v="0"/>
    <n v="1"/>
    <n v="1"/>
    <x v="0"/>
    <n v="28.844221105527641"/>
  </r>
  <r>
    <s v="ORD271"/>
    <x v="4"/>
    <x v="3"/>
    <d v="2024-09-14T00:00:00"/>
    <d v="1899-12-30T19:00:00"/>
    <d v="2024-09-14T00:00:00"/>
    <d v="1899-12-30T19:50:00"/>
    <x v="5"/>
    <x v="1"/>
    <x v="1"/>
    <x v="1"/>
    <x v="9"/>
    <x v="1"/>
    <s v="Cash"/>
    <b v="1"/>
    <b v="1"/>
    <n v="5"/>
    <n v="0.4"/>
    <s v="September"/>
    <s v="Offline"/>
    <n v="24"/>
    <n v="26"/>
    <b v="1"/>
    <n v="12"/>
    <n v="3"/>
    <x v="3"/>
    <n v="30.286458333333329"/>
  </r>
  <r>
    <s v="ORD272"/>
    <x v="0"/>
    <x v="10"/>
    <d v="2024-09-15T00:00:00"/>
    <d v="1899-12-30T20:00:00"/>
    <d v="2024-09-15T00:00:00"/>
    <d v="1899-12-30T20:35:00"/>
    <x v="6"/>
    <x v="0"/>
    <x v="0"/>
    <x v="0"/>
    <x v="10"/>
    <x v="0"/>
    <s v="Card"/>
    <b v="1"/>
    <b v="1"/>
    <n v="6.3636363636363633"/>
    <n v="0.54545454545454541"/>
    <s v="September"/>
    <s v="Online"/>
    <n v="13.2"/>
    <n v="21.8"/>
    <b v="1"/>
    <n v="6"/>
    <n v="2"/>
    <x v="1"/>
    <n v="30.259433962264151"/>
  </r>
  <r>
    <s v="ORD273"/>
    <x v="1"/>
    <x v="11"/>
    <d v="2024-09-16T00:00:00"/>
    <d v="1899-12-30T18:30:00"/>
    <d v="2024-09-16T00:00:00"/>
    <d v="1899-12-30T18:50:00"/>
    <x v="2"/>
    <x v="2"/>
    <x v="2"/>
    <x v="2"/>
    <x v="4"/>
    <x v="2"/>
    <s v="Wallet"/>
    <b v="1"/>
    <b v="0"/>
    <n v="10"/>
    <n v="1"/>
    <s v="September"/>
    <s v="Online"/>
    <n v="4.8"/>
    <n v="15.2"/>
    <b v="0"/>
    <n v="2"/>
    <n v="1"/>
    <x v="0"/>
    <n v="28.186274509803919"/>
  </r>
  <r>
    <s v="ORD274"/>
    <x v="3"/>
    <x v="4"/>
    <d v="2024-09-17T00:00:00"/>
    <d v="1899-12-30T19:45:00"/>
    <d v="2024-09-17T00:00:00"/>
    <d v="1899-12-30T20:25:00"/>
    <x v="4"/>
    <x v="3"/>
    <x v="3"/>
    <x v="3"/>
    <x v="11"/>
    <x v="1"/>
    <s v="UPI"/>
    <b v="1"/>
    <b v="0"/>
    <n v="5.333333333333333"/>
    <n v="0.66666666666666663"/>
    <s v="September"/>
    <s v="Online"/>
    <n v="18"/>
    <n v="22"/>
    <b v="1"/>
    <n v="20"/>
    <n v="3"/>
    <x v="3"/>
    <n v="29.948453608247419"/>
  </r>
  <r>
    <s v="ORD275"/>
    <x v="2"/>
    <x v="1"/>
    <d v="2024-09-18T00:00:00"/>
    <d v="1899-12-30T18:00:00"/>
    <d v="2024-09-18T00:00:00"/>
    <d v="1899-12-30T18:30:00"/>
    <x v="3"/>
    <x v="0"/>
    <x v="1"/>
    <x v="0"/>
    <x v="6"/>
    <x v="0"/>
    <s v="Cash"/>
    <b v="1"/>
    <b v="0"/>
    <n v="7.5"/>
    <n v="0.75"/>
    <s v="September"/>
    <s v="Offline"/>
    <n v="9.6"/>
    <n v="20.399999999999999"/>
    <b v="0"/>
    <n v="6"/>
    <n v="2"/>
    <x v="0"/>
    <n v="28.844221105527641"/>
  </r>
  <r>
    <s v="ORD276"/>
    <x v="4"/>
    <x v="0"/>
    <d v="2024-09-19T00:00:00"/>
    <d v="1899-12-30T20:15:00"/>
    <d v="2024-09-19T00:00:00"/>
    <d v="1899-12-30T21:00:00"/>
    <x v="7"/>
    <x v="1"/>
    <x v="0"/>
    <x v="1"/>
    <x v="12"/>
    <x v="1"/>
    <s v="Card"/>
    <b v="1"/>
    <b v="0"/>
    <n v="5"/>
    <n v="0.44444444444444442"/>
    <s v="September"/>
    <s v="Online"/>
    <n v="21.6"/>
    <n v="23.4"/>
    <b v="1"/>
    <n v="12"/>
    <n v="3"/>
    <x v="1"/>
    <n v="30.286458333333329"/>
  </r>
  <r>
    <s v="ORD278"/>
    <x v="0"/>
    <x v="0"/>
    <d v="2024-09-15T00:00:00"/>
    <d v="1899-12-30T18:45:00"/>
    <d v="2024-09-15T00:00:00"/>
    <d v="1899-12-30T19:10:00"/>
    <x v="1"/>
    <x v="1"/>
    <x v="0"/>
    <x v="0"/>
    <x v="1"/>
    <x v="1"/>
    <s v="Domino's Cash"/>
    <b v="1"/>
    <b v="1"/>
    <n v="5"/>
    <n v="0.6"/>
    <s v="September"/>
    <s v="Offline"/>
    <n v="12"/>
    <n v="13"/>
    <b v="0"/>
    <n v="9"/>
    <n v="3"/>
    <x v="0"/>
    <n v="30.259433962264151"/>
  </r>
  <r>
    <s v="ORD279"/>
    <x v="3"/>
    <x v="1"/>
    <d v="2024-09-16T00:00:00"/>
    <d v="1899-12-30T20:00:00"/>
    <d v="2024-09-16T00:00:00"/>
    <d v="1899-12-30T20:30:00"/>
    <x v="3"/>
    <x v="3"/>
    <x v="3"/>
    <x v="3"/>
    <x v="14"/>
    <x v="0"/>
    <s v="Card"/>
    <b v="1"/>
    <b v="0"/>
    <n v="4.615384615384615"/>
    <n v="0.76923076923076927"/>
    <s v="September"/>
    <s v="Online"/>
    <n v="15.6"/>
    <n v="14.4"/>
    <b v="0"/>
    <n v="20"/>
    <n v="2"/>
    <x v="1"/>
    <n v="29.948453608247419"/>
  </r>
  <r>
    <s v="ORD280"/>
    <x v="1"/>
    <x v="2"/>
    <d v="2024-09-17T00:00:00"/>
    <d v="1899-12-30T19:15:00"/>
    <d v="2024-09-17T00:00:00"/>
    <d v="1899-12-30T19:35:00"/>
    <x v="2"/>
    <x v="0"/>
    <x v="1"/>
    <x v="1"/>
    <x v="6"/>
    <x v="2"/>
    <s v="UPI"/>
    <b v="1"/>
    <b v="0"/>
    <n v="5"/>
    <n v="1"/>
    <s v="September"/>
    <s v="Online"/>
    <n v="9.6"/>
    <n v="10.4"/>
    <b v="0"/>
    <n v="8"/>
    <n v="1"/>
    <x v="3"/>
    <n v="28.186274509803919"/>
  </r>
  <r>
    <s v="ORD281"/>
    <x v="2"/>
    <x v="6"/>
    <d v="2024-09-18T00:00:00"/>
    <d v="1899-12-30T18:30:00"/>
    <d v="2024-09-18T00:00:00"/>
    <d v="1899-12-30T19:05:00"/>
    <x v="6"/>
    <x v="2"/>
    <x v="2"/>
    <x v="2"/>
    <x v="11"/>
    <x v="1"/>
    <s v="Wallet"/>
    <b v="1"/>
    <b v="0"/>
    <n v="4.666666666666667"/>
    <n v="0.26666666666666672"/>
    <s v="September"/>
    <s v="Online"/>
    <n v="18"/>
    <n v="17"/>
    <b v="1"/>
    <n v="2"/>
    <n v="3"/>
    <x v="0"/>
    <n v="28.844221105527641"/>
  </r>
  <r>
    <s v="ORD282"/>
    <x v="4"/>
    <x v="7"/>
    <d v="2024-09-19T00:00:00"/>
    <d v="1899-12-30T13:00:00"/>
    <d v="2024-09-19T00:00:00"/>
    <d v="1899-12-30T13:20:00"/>
    <x v="2"/>
    <x v="0"/>
    <x v="1"/>
    <x v="0"/>
    <x v="5"/>
    <x v="2"/>
    <s v="Card"/>
    <b v="0"/>
    <b v="0"/>
    <n v="5.7142857142857144"/>
    <n v="0.8571428571428571"/>
    <s v="September"/>
    <s v="Online"/>
    <n v="8.4"/>
    <n v="11.6"/>
    <b v="0"/>
    <n v="6"/>
    <n v="1"/>
    <x v="4"/>
    <n v="30.286458333333329"/>
  </r>
  <r>
    <s v="ORD283"/>
    <x v="0"/>
    <x v="3"/>
    <d v="2024-09-20T00:00:00"/>
    <d v="1899-12-30T18:45:00"/>
    <d v="2024-09-20T00:00:00"/>
    <d v="1899-12-30T19:15:00"/>
    <x v="3"/>
    <x v="1"/>
    <x v="0"/>
    <x v="1"/>
    <x v="7"/>
    <x v="0"/>
    <s v="Domino's Cash"/>
    <b v="1"/>
    <b v="0"/>
    <n v="5"/>
    <n v="0.66666666666666663"/>
    <s v="September"/>
    <s v="Offline"/>
    <n v="14.4"/>
    <n v="15.6"/>
    <b v="0"/>
    <n v="12"/>
    <n v="2"/>
    <x v="0"/>
    <n v="30.259433962264151"/>
  </r>
  <r>
    <s v="ORD284"/>
    <x v="3"/>
    <x v="10"/>
    <d v="2024-09-21T00:00:00"/>
    <d v="1899-12-30T20:15:00"/>
    <d v="2024-09-21T00:00:00"/>
    <d v="1899-12-30T20:40:00"/>
    <x v="1"/>
    <x v="3"/>
    <x v="3"/>
    <x v="3"/>
    <x v="1"/>
    <x v="2"/>
    <s v="UPI"/>
    <b v="1"/>
    <b v="1"/>
    <n v="5"/>
    <n v="1"/>
    <s v="September"/>
    <s v="Online"/>
    <n v="12"/>
    <n v="13"/>
    <b v="0"/>
    <n v="20"/>
    <n v="1"/>
    <x v="1"/>
    <n v="29.948453608247419"/>
  </r>
  <r>
    <s v="ORD285"/>
    <x v="1"/>
    <x v="11"/>
    <d v="2024-09-22T00:00:00"/>
    <d v="1899-12-30T19:30:00"/>
    <d v="2024-09-22T00:00:00"/>
    <d v="1899-12-30T19:55:00"/>
    <x v="1"/>
    <x v="2"/>
    <x v="2"/>
    <x v="2"/>
    <x v="6"/>
    <x v="1"/>
    <s v="Wallet"/>
    <b v="1"/>
    <b v="1"/>
    <n v="6.25"/>
    <n v="0.5"/>
    <s v="September"/>
    <s v="Online"/>
    <n v="9.6"/>
    <n v="15.4"/>
    <b v="0"/>
    <n v="2"/>
    <n v="3"/>
    <x v="3"/>
    <n v="28.186274509803919"/>
  </r>
  <r>
    <s v="ORD286"/>
    <x v="2"/>
    <x v="4"/>
    <d v="2024-09-23T00:00:00"/>
    <d v="1899-12-30T18:00:00"/>
    <d v="2024-09-23T00:00:00"/>
    <d v="1899-12-30T18:20:00"/>
    <x v="2"/>
    <x v="0"/>
    <x v="1"/>
    <x v="0"/>
    <x v="2"/>
    <x v="0"/>
    <s v="Card"/>
    <b v="1"/>
    <b v="0"/>
    <n v="6.666666666666667"/>
    <n v="1"/>
    <s v="September"/>
    <s v="Online"/>
    <n v="7.1999999999999993"/>
    <n v="12.8"/>
    <b v="0"/>
    <n v="6"/>
    <n v="2"/>
    <x v="0"/>
    <n v="28.844221105527641"/>
  </r>
  <r>
    <s v="ORD287"/>
    <x v="4"/>
    <x v="9"/>
    <d v="2024-09-24T00:00:00"/>
    <d v="1899-12-30T13:15:00"/>
    <d v="2024-09-24T00:00:00"/>
    <d v="1899-12-30T13:45:00"/>
    <x v="3"/>
    <x v="0"/>
    <x v="1"/>
    <x v="0"/>
    <x v="7"/>
    <x v="1"/>
    <s v="UPI"/>
    <b v="0"/>
    <b v="0"/>
    <n v="5"/>
    <n v="0.5"/>
    <s v="September"/>
    <s v="Online"/>
    <n v="14.4"/>
    <n v="15.6"/>
    <b v="0"/>
    <n v="6"/>
    <n v="3"/>
    <x v="4"/>
    <n v="30.286458333333329"/>
  </r>
  <r>
    <s v="ORD288"/>
    <x v="0"/>
    <x v="0"/>
    <d v="2024-09-25T00:00:00"/>
    <d v="1899-12-30T18:30:00"/>
    <d v="2024-09-25T00:00:00"/>
    <d v="1899-12-30T19:00:00"/>
    <x v="3"/>
    <x v="1"/>
    <x v="0"/>
    <x v="1"/>
    <x v="10"/>
    <x v="1"/>
    <s v="Domino's Cash"/>
    <b v="1"/>
    <b v="0"/>
    <n v="5.4545454545454541"/>
    <n v="0.72727272727272729"/>
    <s v="September"/>
    <s v="Offline"/>
    <n v="13.2"/>
    <n v="16.8"/>
    <b v="0"/>
    <n v="12"/>
    <n v="3"/>
    <x v="0"/>
    <n v="30.259433962264151"/>
  </r>
  <r>
    <s v="ORD289"/>
    <x v="3"/>
    <x v="1"/>
    <d v="2024-09-26T00:00:00"/>
    <d v="1899-12-30T19:45:00"/>
    <d v="2024-09-26T00:00:00"/>
    <d v="1899-12-30T20:10:00"/>
    <x v="1"/>
    <x v="3"/>
    <x v="3"/>
    <x v="3"/>
    <x v="3"/>
    <x v="2"/>
    <s v="Cash"/>
    <b v="1"/>
    <b v="0"/>
    <n v="5.5555555555555554"/>
    <n v="1.1111111111111109"/>
    <s v="September"/>
    <s v="Offline"/>
    <n v="10.8"/>
    <n v="14.2"/>
    <b v="0"/>
    <n v="20"/>
    <n v="1"/>
    <x v="3"/>
    <n v="29.948453608247419"/>
  </r>
  <r>
    <s v="ORD290"/>
    <x v="1"/>
    <x v="2"/>
    <d v="2024-09-27T00:00:00"/>
    <d v="1899-12-30T20:15:00"/>
    <d v="2024-09-27T00:00:00"/>
    <d v="1899-12-30T20:40:00"/>
    <x v="1"/>
    <x v="0"/>
    <x v="1"/>
    <x v="1"/>
    <x v="5"/>
    <x v="0"/>
    <s v="Card"/>
    <b v="1"/>
    <b v="0"/>
    <n v="7.1428571428571432"/>
    <n v="1.142857142857143"/>
    <s v="September"/>
    <s v="Online"/>
    <n v="8.4"/>
    <n v="16.600000000000001"/>
    <b v="0"/>
    <n v="8"/>
    <n v="2"/>
    <x v="1"/>
    <n v="28.186274509803919"/>
  </r>
  <r>
    <s v="ORD291"/>
    <x v="2"/>
    <x v="6"/>
    <d v="2024-09-28T00:00:00"/>
    <d v="1899-12-30T18:30:00"/>
    <d v="2024-09-28T00:00:00"/>
    <d v="1899-12-30T18:50:00"/>
    <x v="2"/>
    <x v="2"/>
    <x v="2"/>
    <x v="2"/>
    <x v="4"/>
    <x v="2"/>
    <s v="Wallet"/>
    <b v="1"/>
    <b v="1"/>
    <n v="10"/>
    <n v="1"/>
    <s v="September"/>
    <s v="Online"/>
    <n v="4.8"/>
    <n v="15.2"/>
    <b v="0"/>
    <n v="2"/>
    <n v="1"/>
    <x v="0"/>
    <n v="28.844221105527641"/>
  </r>
  <r>
    <s v="ORD292"/>
    <x v="4"/>
    <x v="7"/>
    <d v="2024-09-29T00:00:00"/>
    <d v="1899-12-30T13:00:00"/>
    <d v="2024-09-29T00:00:00"/>
    <d v="1899-12-30T13:20:00"/>
    <x v="2"/>
    <x v="0"/>
    <x v="1"/>
    <x v="0"/>
    <x v="2"/>
    <x v="2"/>
    <s v="UPI"/>
    <b v="0"/>
    <b v="1"/>
    <n v="6.666666666666667"/>
    <n v="1"/>
    <s v="September"/>
    <s v="Online"/>
    <n v="7.1999999999999993"/>
    <n v="12.8"/>
    <b v="0"/>
    <n v="6"/>
    <n v="1"/>
    <x v="4"/>
    <n v="30.286458333333329"/>
  </r>
  <r>
    <s v="ORD293"/>
    <x v="0"/>
    <x v="3"/>
    <d v="2024-09-30T00:00:00"/>
    <d v="1899-12-30T18:30:00"/>
    <d v="2024-09-30T00:00:00"/>
    <d v="1899-12-30T18:55:00"/>
    <x v="1"/>
    <x v="1"/>
    <x v="0"/>
    <x v="1"/>
    <x v="1"/>
    <x v="1"/>
    <s v="Domino's Cash"/>
    <b v="1"/>
    <b v="0"/>
    <n v="5"/>
    <n v="0.8"/>
    <s v="September"/>
    <s v="Offline"/>
    <n v="12"/>
    <n v="13"/>
    <b v="0"/>
    <n v="12"/>
    <n v="3"/>
    <x v="0"/>
    <n v="30.259433962264151"/>
  </r>
  <r>
    <s v="ORD294"/>
    <x v="3"/>
    <x v="10"/>
    <d v="2024-10-01T00:00:00"/>
    <d v="1899-12-30T19:45:00"/>
    <d v="2024-10-01T00:00:00"/>
    <d v="1899-12-30T20:10:00"/>
    <x v="1"/>
    <x v="3"/>
    <x v="3"/>
    <x v="3"/>
    <x v="6"/>
    <x v="1"/>
    <s v="Card"/>
    <b v="1"/>
    <b v="0"/>
    <n v="6.25"/>
    <n v="1.25"/>
    <s v="October"/>
    <s v="Online"/>
    <n v="9.6"/>
    <n v="15.4"/>
    <b v="0"/>
    <n v="20"/>
    <n v="3"/>
    <x v="3"/>
    <n v="29.948453608247419"/>
  </r>
  <r>
    <s v="ORD295"/>
    <x v="1"/>
    <x v="11"/>
    <d v="2024-10-02T00:00:00"/>
    <d v="1899-12-30T20:15:00"/>
    <d v="2024-10-02T00:00:00"/>
    <d v="1899-12-30T20:40:00"/>
    <x v="1"/>
    <x v="2"/>
    <x v="2"/>
    <x v="2"/>
    <x v="0"/>
    <x v="0"/>
    <s v="Wallet"/>
    <b v="1"/>
    <b v="0"/>
    <n v="10"/>
    <n v="0.8"/>
    <s v="October"/>
    <s v="Online"/>
    <n v="6"/>
    <n v="19"/>
    <b v="0"/>
    <n v="2"/>
    <n v="2"/>
    <x v="1"/>
    <n v="28.186274509803919"/>
  </r>
  <r>
    <s v="ORD296"/>
    <x v="2"/>
    <x v="4"/>
    <d v="2024-10-03T00:00:00"/>
    <d v="1899-12-30T18:30:00"/>
    <d v="2024-10-03T00:00:00"/>
    <d v="1899-12-30T18:50:00"/>
    <x v="2"/>
    <x v="0"/>
    <x v="1"/>
    <x v="0"/>
    <x v="5"/>
    <x v="2"/>
    <s v="UPI"/>
    <b v="1"/>
    <b v="0"/>
    <n v="5.7142857142857144"/>
    <n v="0.8571428571428571"/>
    <s v="October"/>
    <s v="Online"/>
    <n v="8.4"/>
    <n v="11.6"/>
    <b v="0"/>
    <n v="6"/>
    <n v="1"/>
    <x v="0"/>
    <n v="28.844221105527641"/>
  </r>
  <r>
    <s v="ORD297"/>
    <x v="4"/>
    <x v="9"/>
    <d v="2024-10-04T00:00:00"/>
    <d v="1899-12-30T13:00:00"/>
    <d v="2024-10-04T00:00:00"/>
    <d v="1899-12-30T13:20:00"/>
    <x v="2"/>
    <x v="0"/>
    <x v="1"/>
    <x v="0"/>
    <x v="5"/>
    <x v="2"/>
    <s v="Card"/>
    <b v="0"/>
    <b v="0"/>
    <n v="5.7142857142857144"/>
    <n v="0.8571428571428571"/>
    <s v="October"/>
    <s v="Online"/>
    <n v="8.4"/>
    <n v="11.6"/>
    <b v="0"/>
    <n v="6"/>
    <n v="1"/>
    <x v="4"/>
    <n v="30.286458333333329"/>
  </r>
  <r>
    <s v="ORD298"/>
    <x v="0"/>
    <x v="0"/>
    <d v="2024-10-05T00:00:00"/>
    <d v="1899-12-30T18:30:00"/>
    <d v="2024-10-05T00:00:00"/>
    <d v="1899-12-30T18:55:00"/>
    <x v="1"/>
    <x v="1"/>
    <x v="0"/>
    <x v="1"/>
    <x v="1"/>
    <x v="1"/>
    <s v="Domino's Cash"/>
    <b v="1"/>
    <b v="1"/>
    <n v="5"/>
    <n v="0.8"/>
    <s v="October"/>
    <s v="Offline"/>
    <n v="12"/>
    <n v="13"/>
    <b v="0"/>
    <n v="12"/>
    <n v="3"/>
    <x v="0"/>
    <n v="30.259433962264151"/>
  </r>
  <r>
    <s v="ORD299"/>
    <x v="3"/>
    <x v="1"/>
    <d v="2024-10-06T00:00:00"/>
    <d v="1899-12-30T19:45:00"/>
    <d v="2024-10-06T00:00:00"/>
    <d v="1899-12-30T20:10:00"/>
    <x v="1"/>
    <x v="3"/>
    <x v="3"/>
    <x v="3"/>
    <x v="3"/>
    <x v="2"/>
    <s v="Cash"/>
    <b v="1"/>
    <b v="1"/>
    <n v="5.5555555555555554"/>
    <n v="1.1111111111111109"/>
    <s v="October"/>
    <s v="Offline"/>
    <n v="10.8"/>
    <n v="14.2"/>
    <b v="0"/>
    <n v="20"/>
    <n v="1"/>
    <x v="3"/>
    <n v="29.948453608247419"/>
  </r>
  <r>
    <s v="ORD300"/>
    <x v="1"/>
    <x v="2"/>
    <d v="2024-10-07T00:00:00"/>
    <d v="1899-12-30T20:15:00"/>
    <d v="2024-10-07T00:00:00"/>
    <d v="1899-12-30T20:40:00"/>
    <x v="1"/>
    <x v="0"/>
    <x v="1"/>
    <x v="1"/>
    <x v="5"/>
    <x v="0"/>
    <s v="Card"/>
    <b v="1"/>
    <b v="0"/>
    <n v="7.1428571428571432"/>
    <n v="1.142857142857143"/>
    <s v="October"/>
    <s v="Online"/>
    <n v="8.4"/>
    <n v="16.600000000000001"/>
    <b v="0"/>
    <n v="8"/>
    <n v="2"/>
    <x v="1"/>
    <n v="28.186274509803919"/>
  </r>
  <r>
    <s v="ORD301"/>
    <x v="2"/>
    <x v="6"/>
    <d v="2024-10-08T00:00:00"/>
    <d v="1899-12-30T18:30:00"/>
    <d v="2024-10-08T00:00:00"/>
    <d v="1899-12-30T18:50:00"/>
    <x v="2"/>
    <x v="2"/>
    <x v="2"/>
    <x v="2"/>
    <x v="4"/>
    <x v="2"/>
    <s v="Wallet"/>
    <b v="1"/>
    <b v="0"/>
    <n v="10"/>
    <n v="1"/>
    <s v="October"/>
    <s v="Online"/>
    <n v="4.8"/>
    <n v="15.2"/>
    <b v="0"/>
    <n v="2"/>
    <n v="1"/>
    <x v="0"/>
    <n v="28.844221105527641"/>
  </r>
  <r>
    <s v="ORD302"/>
    <x v="4"/>
    <x v="7"/>
    <d v="2024-10-09T00:00:00"/>
    <d v="1899-12-30T13:00:00"/>
    <d v="2024-10-09T00:00:00"/>
    <d v="1899-12-30T13:20:00"/>
    <x v="2"/>
    <x v="0"/>
    <x v="1"/>
    <x v="0"/>
    <x v="2"/>
    <x v="2"/>
    <s v="UPI"/>
    <b v="0"/>
    <b v="0"/>
    <n v="6.666666666666667"/>
    <n v="1"/>
    <s v="October"/>
    <s v="Online"/>
    <n v="7.1999999999999993"/>
    <n v="12.8"/>
    <b v="0"/>
    <n v="6"/>
    <n v="1"/>
    <x v="4"/>
    <n v="30.286458333333329"/>
  </r>
  <r>
    <s v="ORD303"/>
    <x v="0"/>
    <x v="3"/>
    <d v="2024-10-10T00:00:00"/>
    <d v="1899-12-30T18:30:00"/>
    <d v="2024-10-10T00:00:00"/>
    <d v="1899-12-30T18:55:00"/>
    <x v="1"/>
    <x v="1"/>
    <x v="0"/>
    <x v="1"/>
    <x v="1"/>
    <x v="1"/>
    <s v="Domino's Cash"/>
    <b v="1"/>
    <b v="0"/>
    <n v="5"/>
    <n v="0.8"/>
    <s v="October"/>
    <s v="Offline"/>
    <n v="12"/>
    <n v="13"/>
    <b v="0"/>
    <n v="12"/>
    <n v="3"/>
    <x v="0"/>
    <n v="30.259433962264151"/>
  </r>
  <r>
    <s v="ORD304"/>
    <x v="3"/>
    <x v="10"/>
    <d v="2024-10-11T00:00:00"/>
    <d v="1899-12-30T19:45:00"/>
    <d v="2024-10-11T00:00:00"/>
    <d v="1899-12-30T20:10:00"/>
    <x v="1"/>
    <x v="3"/>
    <x v="3"/>
    <x v="3"/>
    <x v="3"/>
    <x v="2"/>
    <s v="Card"/>
    <b v="1"/>
    <b v="0"/>
    <n v="5.5555555555555554"/>
    <n v="1.1111111111111109"/>
    <s v="October"/>
    <s v="Online"/>
    <n v="10.8"/>
    <n v="14.2"/>
    <b v="0"/>
    <n v="20"/>
    <n v="1"/>
    <x v="3"/>
    <n v="29.948453608247419"/>
  </r>
  <r>
    <s v="ORD305"/>
    <x v="1"/>
    <x v="11"/>
    <d v="2024-10-12T00:00:00"/>
    <d v="1899-12-30T20:15:00"/>
    <d v="2024-10-12T00:00:00"/>
    <d v="1899-12-30T20:40:00"/>
    <x v="1"/>
    <x v="2"/>
    <x v="2"/>
    <x v="2"/>
    <x v="0"/>
    <x v="0"/>
    <s v="Wallet"/>
    <b v="1"/>
    <b v="1"/>
    <n v="10"/>
    <n v="0.8"/>
    <s v="October"/>
    <s v="Online"/>
    <n v="6"/>
    <n v="19"/>
    <b v="0"/>
    <n v="2"/>
    <n v="2"/>
    <x v="1"/>
    <n v="28.186274509803919"/>
  </r>
  <r>
    <s v="ORD306"/>
    <x v="2"/>
    <x v="4"/>
    <d v="2024-10-13T00:00:00"/>
    <d v="1899-12-30T18:30:00"/>
    <d v="2024-10-13T00:00:00"/>
    <d v="1899-12-30T18:50:00"/>
    <x v="2"/>
    <x v="0"/>
    <x v="1"/>
    <x v="0"/>
    <x v="5"/>
    <x v="2"/>
    <s v="UPI"/>
    <b v="1"/>
    <b v="1"/>
    <n v="5.7142857142857144"/>
    <n v="0.8571428571428571"/>
    <s v="October"/>
    <s v="Online"/>
    <n v="8.4"/>
    <n v="11.6"/>
    <b v="0"/>
    <n v="6"/>
    <n v="1"/>
    <x v="0"/>
    <n v="28.844221105527641"/>
  </r>
  <r>
    <s v="ORD307"/>
    <x v="0"/>
    <x v="0"/>
    <d v="2024-08-26T00:00:00"/>
    <d v="1899-12-30T18:00:00"/>
    <d v="2024-08-26T00:00:00"/>
    <d v="1899-12-30T18:20:00"/>
    <x v="2"/>
    <x v="0"/>
    <x v="0"/>
    <x v="2"/>
    <x v="2"/>
    <x v="2"/>
    <s v="Card"/>
    <b v="1"/>
    <b v="0"/>
    <n v="6.666666666666667"/>
    <n v="0.66666666666666663"/>
    <s v="August"/>
    <s v="Online"/>
    <n v="7.1999999999999993"/>
    <n v="12.8"/>
    <b v="0"/>
    <n v="4"/>
    <n v="1"/>
    <x v="0"/>
    <n v="30.259433962264151"/>
  </r>
  <r>
    <s v="ORD308"/>
    <x v="1"/>
    <x v="2"/>
    <d v="2024-08-27T00:00:00"/>
    <d v="1899-12-30T19:15:00"/>
    <d v="2024-08-27T00:00:00"/>
    <d v="1899-12-30T19:45:00"/>
    <x v="3"/>
    <x v="1"/>
    <x v="1"/>
    <x v="1"/>
    <x v="7"/>
    <x v="0"/>
    <s v="UPI"/>
    <b v="1"/>
    <b v="0"/>
    <n v="5"/>
    <n v="0.66666666666666663"/>
    <s v="August"/>
    <s v="Online"/>
    <n v="14.4"/>
    <n v="15.6"/>
    <b v="0"/>
    <n v="12"/>
    <n v="2"/>
    <x v="3"/>
    <n v="28.186274509803919"/>
  </r>
  <r>
    <s v="ORD309"/>
    <x v="3"/>
    <x v="1"/>
    <d v="2024-08-28T00:00:00"/>
    <d v="1899-12-30T20:30:00"/>
    <d v="2024-08-28T00:00:00"/>
    <d v="1899-12-30T21:10:00"/>
    <x v="4"/>
    <x v="3"/>
    <x v="3"/>
    <x v="3"/>
    <x v="8"/>
    <x v="1"/>
    <s v="Hut Points"/>
    <b v="1"/>
    <b v="0"/>
    <n v="5"/>
    <n v="0.625"/>
    <s v="August"/>
    <s v="Offline"/>
    <n v="19.2"/>
    <n v="20.8"/>
    <b v="1"/>
    <n v="20"/>
    <n v="3"/>
    <x v="1"/>
    <n v="29.948453608247419"/>
  </r>
  <r>
    <s v="ORD310"/>
    <x v="2"/>
    <x v="6"/>
    <d v="2024-08-29T00:00:00"/>
    <d v="1899-12-30T18:45:00"/>
    <d v="2024-08-29T00:00:00"/>
    <d v="1899-12-30T19:05:00"/>
    <x v="2"/>
    <x v="2"/>
    <x v="2"/>
    <x v="4"/>
    <x v="0"/>
    <x v="2"/>
    <s v="Cash"/>
    <b v="1"/>
    <b v="0"/>
    <n v="8"/>
    <n v="0.4"/>
    <s v="August"/>
    <s v="Offline"/>
    <n v="6"/>
    <n v="14"/>
    <b v="0"/>
    <n v="1"/>
    <n v="1"/>
    <x v="0"/>
    <n v="28.844221105527641"/>
  </r>
  <r>
    <s v="ORD311"/>
    <x v="4"/>
    <x v="7"/>
    <d v="2024-08-30T00:00:00"/>
    <d v="1899-12-30T19:00:00"/>
    <d v="2024-08-30T00:00:00"/>
    <d v="1899-12-30T19:50:00"/>
    <x v="5"/>
    <x v="1"/>
    <x v="1"/>
    <x v="1"/>
    <x v="9"/>
    <x v="1"/>
    <s v="Card"/>
    <b v="1"/>
    <b v="0"/>
    <n v="5"/>
    <n v="0.4"/>
    <s v="August"/>
    <s v="Online"/>
    <n v="24"/>
    <n v="26"/>
    <b v="1"/>
    <n v="12"/>
    <n v="3"/>
    <x v="3"/>
    <n v="30.286458333333329"/>
  </r>
  <r>
    <s v="ORD312"/>
    <x v="0"/>
    <x v="3"/>
    <d v="2024-08-31T00:00:00"/>
    <d v="1899-12-30T20:00:00"/>
    <d v="2024-08-31T00:00:00"/>
    <d v="1899-12-30T20:35:00"/>
    <x v="6"/>
    <x v="0"/>
    <x v="0"/>
    <x v="0"/>
    <x v="10"/>
    <x v="0"/>
    <s v="Wallet"/>
    <b v="1"/>
    <b v="1"/>
    <n v="6.3636363636363633"/>
    <n v="0.54545454545454541"/>
    <s v="August"/>
    <s v="Online"/>
    <n v="13.2"/>
    <n v="21.8"/>
    <b v="1"/>
    <n v="6"/>
    <n v="2"/>
    <x v="1"/>
    <n v="30.259433962264151"/>
  </r>
  <r>
    <s v="ORD313"/>
    <x v="1"/>
    <x v="10"/>
    <d v="2024-09-01T00:00:00"/>
    <d v="1899-12-30T18:30:00"/>
    <d v="2024-09-01T00:00:00"/>
    <d v="1899-12-30T18:50:00"/>
    <x v="2"/>
    <x v="2"/>
    <x v="2"/>
    <x v="2"/>
    <x v="4"/>
    <x v="2"/>
    <s v="UPI"/>
    <b v="1"/>
    <b v="1"/>
    <n v="10"/>
    <n v="1"/>
    <s v="September"/>
    <s v="Online"/>
    <n v="4.8"/>
    <n v="15.2"/>
    <b v="0"/>
    <n v="2"/>
    <n v="1"/>
    <x v="0"/>
    <n v="28.186274509803919"/>
  </r>
  <r>
    <s v="ORD314"/>
    <x v="3"/>
    <x v="11"/>
    <d v="2024-09-02T00:00:00"/>
    <d v="1899-12-30T19:45:00"/>
    <d v="2024-09-02T00:00:00"/>
    <d v="1899-12-30T20:25:00"/>
    <x v="4"/>
    <x v="3"/>
    <x v="3"/>
    <x v="3"/>
    <x v="11"/>
    <x v="1"/>
    <s v="Hut Points"/>
    <b v="1"/>
    <b v="0"/>
    <n v="5.333333333333333"/>
    <n v="0.66666666666666663"/>
    <s v="September"/>
    <s v="Offline"/>
    <n v="18"/>
    <n v="22"/>
    <b v="1"/>
    <n v="20"/>
    <n v="3"/>
    <x v="3"/>
    <n v="29.948453608247419"/>
  </r>
  <r>
    <s v="ORD315"/>
    <x v="2"/>
    <x v="4"/>
    <d v="2024-09-03T00:00:00"/>
    <d v="1899-12-30T18:00:00"/>
    <d v="2024-09-03T00:00:00"/>
    <d v="1899-12-30T18:30:00"/>
    <x v="3"/>
    <x v="0"/>
    <x v="1"/>
    <x v="0"/>
    <x v="6"/>
    <x v="0"/>
    <s v="Cash"/>
    <b v="1"/>
    <b v="0"/>
    <n v="7.5"/>
    <n v="0.75"/>
    <s v="September"/>
    <s v="Offline"/>
    <n v="9.6"/>
    <n v="20.399999999999999"/>
    <b v="0"/>
    <n v="6"/>
    <n v="2"/>
    <x v="0"/>
    <n v="28.844221105527641"/>
  </r>
  <r>
    <s v="ORD316"/>
    <x v="4"/>
    <x v="9"/>
    <d v="2024-09-04T00:00:00"/>
    <d v="1899-12-30T20:15:00"/>
    <d v="2024-09-04T00:00:00"/>
    <d v="1899-12-30T21:00:00"/>
    <x v="7"/>
    <x v="1"/>
    <x v="0"/>
    <x v="1"/>
    <x v="12"/>
    <x v="1"/>
    <s v="Wallet"/>
    <b v="1"/>
    <b v="0"/>
    <n v="5"/>
    <n v="0.44444444444444442"/>
    <s v="September"/>
    <s v="Online"/>
    <n v="21.6"/>
    <n v="23.4"/>
    <b v="1"/>
    <n v="12"/>
    <n v="3"/>
    <x v="1"/>
    <n v="30.286458333333329"/>
  </r>
  <r>
    <s v="ORD317"/>
    <x v="0"/>
    <x v="12"/>
    <d v="2024-09-05T00:00:00"/>
    <d v="1899-12-30T18:00:00"/>
    <d v="2024-09-05T00:00:00"/>
    <d v="1899-12-30T18:20:00"/>
    <x v="2"/>
    <x v="0"/>
    <x v="0"/>
    <x v="2"/>
    <x v="2"/>
    <x v="2"/>
    <s v="Card"/>
    <b v="1"/>
    <b v="0"/>
    <n v="6.666666666666667"/>
    <n v="0.66666666666666663"/>
    <s v="September"/>
    <s v="Online"/>
    <n v="7.1999999999999993"/>
    <n v="12.8"/>
    <b v="0"/>
    <n v="4"/>
    <n v="1"/>
    <x v="0"/>
    <n v="30.259433962264151"/>
  </r>
  <r>
    <s v="ORD318"/>
    <x v="1"/>
    <x v="13"/>
    <d v="2024-09-06T00:00:00"/>
    <d v="1899-12-30T19:15:00"/>
    <d v="2024-09-06T00:00:00"/>
    <d v="1899-12-30T19:45:00"/>
    <x v="3"/>
    <x v="1"/>
    <x v="1"/>
    <x v="1"/>
    <x v="7"/>
    <x v="0"/>
    <s v="Cash"/>
    <b v="1"/>
    <b v="0"/>
    <n v="5"/>
    <n v="0.66666666666666663"/>
    <s v="September"/>
    <s v="Offline"/>
    <n v="14.4"/>
    <n v="15.6"/>
    <b v="0"/>
    <n v="12"/>
    <n v="2"/>
    <x v="3"/>
    <n v="28.186274509803919"/>
  </r>
  <r>
    <s v="ORD319"/>
    <x v="3"/>
    <x v="14"/>
    <d v="2024-09-07T00:00:00"/>
    <d v="1899-12-30T20:30:00"/>
    <d v="2024-09-07T00:00:00"/>
    <d v="1899-12-30T21:10:00"/>
    <x v="4"/>
    <x v="3"/>
    <x v="3"/>
    <x v="3"/>
    <x v="8"/>
    <x v="1"/>
    <s v="Hut Points"/>
    <b v="1"/>
    <b v="1"/>
    <n v="5"/>
    <n v="0.625"/>
    <s v="September"/>
    <s v="Offline"/>
    <n v="19.2"/>
    <n v="20.8"/>
    <b v="1"/>
    <n v="20"/>
    <n v="3"/>
    <x v="1"/>
    <n v="29.948453608247419"/>
  </r>
  <r>
    <s v="ORD320"/>
    <x v="2"/>
    <x v="15"/>
    <d v="2024-09-08T00:00:00"/>
    <d v="1899-12-30T18:45:00"/>
    <d v="2024-09-08T00:00:00"/>
    <d v="1899-12-30T19:05:00"/>
    <x v="2"/>
    <x v="2"/>
    <x v="2"/>
    <x v="4"/>
    <x v="0"/>
    <x v="2"/>
    <s v="Wallet"/>
    <b v="1"/>
    <b v="1"/>
    <n v="8"/>
    <n v="0.4"/>
    <s v="September"/>
    <s v="Online"/>
    <n v="6"/>
    <n v="14"/>
    <b v="0"/>
    <n v="1"/>
    <n v="1"/>
    <x v="0"/>
    <n v="28.844221105527641"/>
  </r>
  <r>
    <s v="ORD321"/>
    <x v="4"/>
    <x v="16"/>
    <d v="2024-09-09T00:00:00"/>
    <d v="1899-12-30T19:00:00"/>
    <d v="2024-09-09T00:00:00"/>
    <d v="1899-12-30T19:50:00"/>
    <x v="5"/>
    <x v="1"/>
    <x v="1"/>
    <x v="1"/>
    <x v="9"/>
    <x v="1"/>
    <s v="Card"/>
    <b v="1"/>
    <b v="0"/>
    <n v="5"/>
    <n v="0.4"/>
    <s v="September"/>
    <s v="Online"/>
    <n v="24"/>
    <n v="26"/>
    <b v="1"/>
    <n v="12"/>
    <n v="3"/>
    <x v="3"/>
    <n v="30.286458333333329"/>
  </r>
  <r>
    <s v="ORD322"/>
    <x v="0"/>
    <x v="17"/>
    <d v="2024-09-10T00:00:00"/>
    <d v="1899-12-30T20:00:00"/>
    <d v="2024-09-10T00:00:00"/>
    <d v="1899-12-30T20:35:00"/>
    <x v="6"/>
    <x v="0"/>
    <x v="0"/>
    <x v="0"/>
    <x v="10"/>
    <x v="0"/>
    <s v="Wallet"/>
    <b v="1"/>
    <b v="0"/>
    <n v="6.3636363636363633"/>
    <n v="0.54545454545454541"/>
    <s v="September"/>
    <s v="Online"/>
    <n v="13.2"/>
    <n v="21.8"/>
    <b v="1"/>
    <n v="6"/>
    <n v="2"/>
    <x v="1"/>
    <n v="30.259433962264151"/>
  </r>
  <r>
    <s v="ORD323"/>
    <x v="1"/>
    <x v="18"/>
    <d v="2024-09-11T00:00:00"/>
    <d v="1899-12-30T18:30:00"/>
    <d v="2024-09-11T00:00:00"/>
    <d v="1899-12-30T18:50:00"/>
    <x v="2"/>
    <x v="2"/>
    <x v="2"/>
    <x v="2"/>
    <x v="4"/>
    <x v="2"/>
    <s v="UPI"/>
    <b v="1"/>
    <b v="0"/>
    <n v="10"/>
    <n v="1"/>
    <s v="September"/>
    <s v="Online"/>
    <n v="4.8"/>
    <n v="15.2"/>
    <b v="0"/>
    <n v="2"/>
    <n v="1"/>
    <x v="0"/>
    <n v="28.186274509803919"/>
  </r>
  <r>
    <s v="ORD324"/>
    <x v="3"/>
    <x v="19"/>
    <d v="2024-09-12T00:00:00"/>
    <d v="1899-12-30T19:45:00"/>
    <d v="2024-09-12T00:00:00"/>
    <d v="1899-12-30T20:25:00"/>
    <x v="4"/>
    <x v="3"/>
    <x v="3"/>
    <x v="3"/>
    <x v="11"/>
    <x v="1"/>
    <s v="Hut Points"/>
    <b v="1"/>
    <b v="0"/>
    <n v="5.333333333333333"/>
    <n v="0.66666666666666663"/>
    <s v="September"/>
    <s v="Offline"/>
    <n v="18"/>
    <n v="22"/>
    <b v="1"/>
    <n v="20"/>
    <n v="3"/>
    <x v="3"/>
    <n v="29.948453608247419"/>
  </r>
  <r>
    <s v="ORD325"/>
    <x v="2"/>
    <x v="5"/>
    <d v="2024-09-13T00:00:00"/>
    <d v="1899-12-30T18:00:00"/>
    <d v="2024-09-13T00:00:00"/>
    <d v="1899-12-30T18:30:00"/>
    <x v="3"/>
    <x v="0"/>
    <x v="1"/>
    <x v="0"/>
    <x v="6"/>
    <x v="0"/>
    <s v="Cash"/>
    <b v="1"/>
    <b v="0"/>
    <n v="7.5"/>
    <n v="0.75"/>
    <s v="September"/>
    <s v="Offline"/>
    <n v="9.6"/>
    <n v="20.399999999999999"/>
    <b v="0"/>
    <n v="6"/>
    <n v="2"/>
    <x v="0"/>
    <n v="28.844221105527641"/>
  </r>
  <r>
    <s v="ORD326"/>
    <x v="4"/>
    <x v="18"/>
    <d v="2024-09-14T00:00:00"/>
    <d v="1899-12-30T20:15:00"/>
    <d v="2024-09-14T00:00:00"/>
    <d v="1899-12-30T21:00:00"/>
    <x v="7"/>
    <x v="1"/>
    <x v="0"/>
    <x v="1"/>
    <x v="12"/>
    <x v="1"/>
    <s v="Wallet"/>
    <b v="1"/>
    <b v="1"/>
    <n v="5"/>
    <n v="0.44444444444444442"/>
    <s v="September"/>
    <s v="Online"/>
    <n v="21.6"/>
    <n v="23.4"/>
    <b v="1"/>
    <n v="12"/>
    <n v="3"/>
    <x v="1"/>
    <n v="30.286458333333329"/>
  </r>
  <r>
    <s v="ORD327"/>
    <x v="0"/>
    <x v="20"/>
    <d v="2024-09-15T00:00:00"/>
    <d v="1899-12-30T18:00:00"/>
    <d v="2024-09-15T00:00:00"/>
    <d v="1899-12-30T18:20:00"/>
    <x v="2"/>
    <x v="0"/>
    <x v="0"/>
    <x v="2"/>
    <x v="2"/>
    <x v="2"/>
    <s v="Card"/>
    <b v="1"/>
    <b v="1"/>
    <n v="6.666666666666667"/>
    <n v="0.66666666666666663"/>
    <s v="September"/>
    <s v="Online"/>
    <n v="7.1999999999999993"/>
    <n v="12.8"/>
    <b v="0"/>
    <n v="4"/>
    <n v="1"/>
    <x v="0"/>
    <n v="30.259433962264151"/>
  </r>
  <r>
    <s v="ORD328"/>
    <x v="1"/>
    <x v="21"/>
    <d v="2024-09-16T00:00:00"/>
    <d v="1899-12-30T19:15:00"/>
    <d v="2024-09-16T00:00:00"/>
    <d v="1899-12-30T19:45:00"/>
    <x v="3"/>
    <x v="1"/>
    <x v="1"/>
    <x v="1"/>
    <x v="7"/>
    <x v="0"/>
    <s v="Cash"/>
    <b v="1"/>
    <b v="0"/>
    <n v="5"/>
    <n v="0.66666666666666663"/>
    <s v="September"/>
    <s v="Offline"/>
    <n v="14.4"/>
    <n v="15.6"/>
    <b v="0"/>
    <n v="12"/>
    <n v="2"/>
    <x v="3"/>
    <n v="28.186274509803919"/>
  </r>
  <r>
    <s v="ORD329"/>
    <x v="3"/>
    <x v="22"/>
    <d v="2024-09-17T00:00:00"/>
    <d v="1899-12-30T20:30:00"/>
    <d v="2024-09-17T00:00:00"/>
    <d v="1899-12-30T21:10:00"/>
    <x v="4"/>
    <x v="3"/>
    <x v="3"/>
    <x v="3"/>
    <x v="8"/>
    <x v="1"/>
    <s v="Hut Points"/>
    <b v="1"/>
    <b v="0"/>
    <n v="5"/>
    <n v="0.625"/>
    <s v="September"/>
    <s v="Offline"/>
    <n v="19.2"/>
    <n v="20.8"/>
    <b v="1"/>
    <n v="20"/>
    <n v="3"/>
    <x v="1"/>
    <n v="29.948453608247419"/>
  </r>
  <r>
    <s v="ORD330"/>
    <x v="2"/>
    <x v="23"/>
    <d v="2024-09-18T00:00:00"/>
    <d v="1899-12-30T18:45:00"/>
    <d v="2024-09-18T00:00:00"/>
    <d v="1899-12-30T19:05:00"/>
    <x v="2"/>
    <x v="2"/>
    <x v="2"/>
    <x v="4"/>
    <x v="0"/>
    <x v="2"/>
    <s v="Wallet"/>
    <b v="1"/>
    <b v="0"/>
    <n v="8"/>
    <n v="0.4"/>
    <s v="September"/>
    <s v="Online"/>
    <n v="6"/>
    <n v="14"/>
    <b v="0"/>
    <n v="1"/>
    <n v="1"/>
    <x v="0"/>
    <n v="28.844221105527641"/>
  </r>
  <r>
    <s v="ORD331"/>
    <x v="4"/>
    <x v="11"/>
    <d v="2024-09-19T00:00:00"/>
    <d v="1899-12-30T19:00:00"/>
    <d v="2024-09-19T00:00:00"/>
    <d v="1899-12-30T19:50:00"/>
    <x v="5"/>
    <x v="1"/>
    <x v="1"/>
    <x v="1"/>
    <x v="9"/>
    <x v="1"/>
    <s v="Card"/>
    <b v="1"/>
    <b v="0"/>
    <n v="5"/>
    <n v="0.4"/>
    <s v="September"/>
    <s v="Online"/>
    <n v="24"/>
    <n v="26"/>
    <b v="1"/>
    <n v="12"/>
    <n v="3"/>
    <x v="3"/>
    <n v="30.286458333333329"/>
  </r>
  <r>
    <s v="ORD332"/>
    <x v="0"/>
    <x v="0"/>
    <d v="2024-09-20T00:00:00"/>
    <d v="1899-12-30T18:00:00"/>
    <d v="2024-09-20T00:00:00"/>
    <d v="1899-12-30T18:20:00"/>
    <x v="2"/>
    <x v="0"/>
    <x v="0"/>
    <x v="2"/>
    <x v="2"/>
    <x v="2"/>
    <s v="Domino's Cash"/>
    <b v="1"/>
    <b v="0"/>
    <n v="6.666666666666667"/>
    <n v="0.66666666666666663"/>
    <s v="September"/>
    <s v="Offline"/>
    <n v="7.1999999999999993"/>
    <n v="12.8"/>
    <b v="0"/>
    <n v="4"/>
    <n v="1"/>
    <x v="0"/>
    <n v="30.259433962264151"/>
  </r>
  <r>
    <s v="ORD333"/>
    <x v="1"/>
    <x v="2"/>
    <d v="2024-09-21T00:00:00"/>
    <d v="1899-12-30T19:15:00"/>
    <d v="2024-09-21T00:00:00"/>
    <d v="1899-12-30T19:45:00"/>
    <x v="3"/>
    <x v="1"/>
    <x v="1"/>
    <x v="1"/>
    <x v="7"/>
    <x v="0"/>
    <s v="UPI"/>
    <b v="1"/>
    <b v="1"/>
    <n v="5"/>
    <n v="0.66666666666666663"/>
    <s v="September"/>
    <s v="Online"/>
    <n v="14.4"/>
    <n v="15.6"/>
    <b v="0"/>
    <n v="12"/>
    <n v="2"/>
    <x v="3"/>
    <n v="28.186274509803919"/>
  </r>
  <r>
    <s v="ORD334"/>
    <x v="3"/>
    <x v="1"/>
    <d v="2024-09-22T00:00:00"/>
    <d v="1899-12-30T20:30:00"/>
    <d v="2024-09-22T00:00:00"/>
    <d v="1899-12-30T21:10:00"/>
    <x v="4"/>
    <x v="3"/>
    <x v="3"/>
    <x v="3"/>
    <x v="8"/>
    <x v="1"/>
    <s v="Hut Points"/>
    <b v="1"/>
    <b v="1"/>
    <n v="5"/>
    <n v="0.625"/>
    <s v="September"/>
    <s v="Offline"/>
    <n v="19.2"/>
    <n v="20.8"/>
    <b v="1"/>
    <n v="20"/>
    <n v="3"/>
    <x v="1"/>
    <n v="29.948453608247419"/>
  </r>
  <r>
    <s v="ORD335"/>
    <x v="2"/>
    <x v="6"/>
    <d v="2024-09-23T00:00:00"/>
    <d v="1899-12-30T18:45:00"/>
    <d v="2024-09-23T00:00:00"/>
    <d v="1899-12-30T19:05:00"/>
    <x v="2"/>
    <x v="2"/>
    <x v="2"/>
    <x v="4"/>
    <x v="0"/>
    <x v="2"/>
    <s v="Cash"/>
    <b v="1"/>
    <b v="0"/>
    <n v="8"/>
    <n v="0.4"/>
    <s v="September"/>
    <s v="Offline"/>
    <n v="6"/>
    <n v="14"/>
    <b v="0"/>
    <n v="1"/>
    <n v="1"/>
    <x v="0"/>
    <n v="28.844221105527641"/>
  </r>
  <r>
    <s v="ORD336"/>
    <x v="4"/>
    <x v="7"/>
    <d v="2024-09-24T00:00:00"/>
    <d v="1899-12-30T19:00:00"/>
    <d v="2024-09-24T00:00:00"/>
    <d v="1899-12-30T19:50:00"/>
    <x v="5"/>
    <x v="1"/>
    <x v="1"/>
    <x v="1"/>
    <x v="9"/>
    <x v="1"/>
    <s v="Card"/>
    <b v="1"/>
    <b v="0"/>
    <n v="5"/>
    <n v="0.4"/>
    <s v="September"/>
    <s v="Online"/>
    <n v="24"/>
    <n v="26"/>
    <b v="1"/>
    <n v="12"/>
    <n v="3"/>
    <x v="3"/>
    <n v="30.286458333333329"/>
  </r>
  <r>
    <s v="ORD337"/>
    <x v="0"/>
    <x v="3"/>
    <d v="2024-09-25T00:00:00"/>
    <d v="1899-12-30T20:00:00"/>
    <d v="2024-09-25T00:00:00"/>
    <d v="1899-12-30T20:20:00"/>
    <x v="2"/>
    <x v="0"/>
    <x v="0"/>
    <x v="2"/>
    <x v="2"/>
    <x v="2"/>
    <s v="Card"/>
    <b v="1"/>
    <b v="0"/>
    <n v="6.666666666666667"/>
    <n v="0.66666666666666663"/>
    <s v="September"/>
    <s v="Online"/>
    <n v="7.1999999999999993"/>
    <n v="12.8"/>
    <b v="0"/>
    <n v="4"/>
    <n v="1"/>
    <x v="1"/>
    <n v="30.259433962264151"/>
  </r>
  <r>
    <s v="ORD338"/>
    <x v="1"/>
    <x v="2"/>
    <d v="2024-09-26T00:00:00"/>
    <d v="1899-12-30T19:15:00"/>
    <d v="2024-09-26T00:00:00"/>
    <d v="1899-12-30T19:45:00"/>
    <x v="3"/>
    <x v="1"/>
    <x v="1"/>
    <x v="1"/>
    <x v="7"/>
    <x v="0"/>
    <s v="UPI"/>
    <b v="1"/>
    <b v="0"/>
    <n v="5"/>
    <n v="0.66666666666666663"/>
    <s v="September"/>
    <s v="Online"/>
    <n v="14.4"/>
    <n v="15.6"/>
    <b v="0"/>
    <n v="12"/>
    <n v="2"/>
    <x v="3"/>
    <n v="28.186274509803919"/>
  </r>
  <r>
    <s v="ORD339"/>
    <x v="3"/>
    <x v="1"/>
    <d v="2024-09-27T00:00:00"/>
    <d v="1899-12-30T20:30:00"/>
    <d v="2024-09-27T00:00:00"/>
    <d v="1899-12-30T21:10:00"/>
    <x v="4"/>
    <x v="3"/>
    <x v="3"/>
    <x v="3"/>
    <x v="8"/>
    <x v="1"/>
    <s v="Hut Points"/>
    <b v="1"/>
    <b v="0"/>
    <n v="5"/>
    <n v="0.625"/>
    <s v="September"/>
    <s v="Offline"/>
    <n v="19.2"/>
    <n v="20.8"/>
    <b v="1"/>
    <n v="20"/>
    <n v="3"/>
    <x v="1"/>
    <n v="29.948453608247419"/>
  </r>
  <r>
    <s v="ORD340"/>
    <x v="2"/>
    <x v="6"/>
    <d v="2024-09-28T00:00:00"/>
    <d v="1899-12-30T18:45:00"/>
    <d v="2024-09-28T00:00:00"/>
    <d v="1899-12-30T19:05:00"/>
    <x v="2"/>
    <x v="2"/>
    <x v="2"/>
    <x v="4"/>
    <x v="0"/>
    <x v="2"/>
    <s v="Cash"/>
    <b v="1"/>
    <b v="1"/>
    <n v="8"/>
    <n v="0.4"/>
    <s v="September"/>
    <s v="Offline"/>
    <n v="6"/>
    <n v="14"/>
    <b v="0"/>
    <n v="1"/>
    <n v="1"/>
    <x v="0"/>
    <n v="28.844221105527641"/>
  </r>
  <r>
    <s v="ORD341"/>
    <x v="4"/>
    <x v="7"/>
    <d v="2024-09-29T00:00:00"/>
    <d v="1899-12-30T19:00:00"/>
    <d v="2024-09-29T00:00:00"/>
    <d v="1899-12-30T19:50:00"/>
    <x v="5"/>
    <x v="1"/>
    <x v="1"/>
    <x v="1"/>
    <x v="9"/>
    <x v="1"/>
    <s v="Card"/>
    <b v="1"/>
    <b v="1"/>
    <n v="5"/>
    <n v="0.4"/>
    <s v="September"/>
    <s v="Online"/>
    <n v="24"/>
    <n v="26"/>
    <b v="1"/>
    <n v="12"/>
    <n v="3"/>
    <x v="3"/>
    <n v="30.286458333333329"/>
  </r>
  <r>
    <s v="ORD342"/>
    <x v="0"/>
    <x v="3"/>
    <d v="2024-09-30T00:00:00"/>
    <d v="1899-12-30T20:00:00"/>
    <d v="2024-09-30T00:00:00"/>
    <d v="1899-12-30T20:35:00"/>
    <x v="6"/>
    <x v="0"/>
    <x v="0"/>
    <x v="0"/>
    <x v="10"/>
    <x v="0"/>
    <s v="Wallet"/>
    <b v="1"/>
    <b v="0"/>
    <n v="6.3636363636363633"/>
    <n v="0.54545454545454541"/>
    <s v="September"/>
    <s v="Online"/>
    <n v="13.2"/>
    <n v="21.8"/>
    <b v="1"/>
    <n v="6"/>
    <n v="2"/>
    <x v="1"/>
    <n v="30.259433962264151"/>
  </r>
  <r>
    <s v="ORD343"/>
    <x v="1"/>
    <x v="10"/>
    <d v="2024-10-01T00:00:00"/>
    <d v="1899-12-30T18:30:00"/>
    <d v="2024-10-01T00:00:00"/>
    <d v="1899-12-30T18:50:00"/>
    <x v="2"/>
    <x v="2"/>
    <x v="2"/>
    <x v="2"/>
    <x v="4"/>
    <x v="2"/>
    <s v="UPI"/>
    <b v="1"/>
    <b v="0"/>
    <n v="10"/>
    <n v="1"/>
    <s v="October"/>
    <s v="Online"/>
    <n v="4.8"/>
    <n v="15.2"/>
    <b v="0"/>
    <n v="2"/>
    <n v="1"/>
    <x v="0"/>
    <n v="28.186274509803919"/>
  </r>
  <r>
    <s v="ORD344"/>
    <x v="3"/>
    <x v="11"/>
    <d v="2024-10-02T00:00:00"/>
    <d v="1899-12-30T19:45:00"/>
    <d v="2024-10-02T00:00:00"/>
    <d v="1899-12-30T20:25:00"/>
    <x v="4"/>
    <x v="3"/>
    <x v="3"/>
    <x v="3"/>
    <x v="11"/>
    <x v="1"/>
    <s v="Hut Points"/>
    <b v="1"/>
    <b v="0"/>
    <n v="5.333333333333333"/>
    <n v="0.66666666666666663"/>
    <s v="October"/>
    <s v="Offline"/>
    <n v="18"/>
    <n v="22"/>
    <b v="1"/>
    <n v="20"/>
    <n v="3"/>
    <x v="3"/>
    <n v="29.948453608247419"/>
  </r>
  <r>
    <s v="ORD345"/>
    <x v="2"/>
    <x v="4"/>
    <d v="2024-10-03T00:00:00"/>
    <d v="1899-12-30T18:00:00"/>
    <d v="2024-10-03T00:00:00"/>
    <d v="1899-12-30T18:30:00"/>
    <x v="3"/>
    <x v="0"/>
    <x v="1"/>
    <x v="0"/>
    <x v="6"/>
    <x v="0"/>
    <s v="Cash"/>
    <b v="1"/>
    <b v="0"/>
    <n v="7.5"/>
    <n v="0.75"/>
    <s v="October"/>
    <s v="Offline"/>
    <n v="9.6"/>
    <n v="20.399999999999999"/>
    <b v="0"/>
    <n v="6"/>
    <n v="2"/>
    <x v="0"/>
    <n v="28.844221105527641"/>
  </r>
  <r>
    <s v="ORD346"/>
    <x v="4"/>
    <x v="9"/>
    <d v="2024-10-04T00:00:00"/>
    <d v="1899-12-30T20:15:00"/>
    <d v="2024-10-04T00:00:00"/>
    <d v="1899-12-30T21:00:00"/>
    <x v="7"/>
    <x v="1"/>
    <x v="0"/>
    <x v="1"/>
    <x v="12"/>
    <x v="1"/>
    <s v="Wallet"/>
    <b v="1"/>
    <b v="0"/>
    <n v="5"/>
    <n v="0.44444444444444442"/>
    <s v="October"/>
    <s v="Online"/>
    <n v="21.6"/>
    <n v="23.4"/>
    <b v="1"/>
    <n v="12"/>
    <n v="3"/>
    <x v="1"/>
    <n v="30.286458333333329"/>
  </r>
  <r>
    <s v="ORD347"/>
    <x v="0"/>
    <x v="12"/>
    <d v="2024-10-05T00:00:00"/>
    <d v="1899-12-30T18:00:00"/>
    <d v="2024-10-05T00:00:00"/>
    <d v="1899-12-30T18:20:00"/>
    <x v="2"/>
    <x v="0"/>
    <x v="0"/>
    <x v="2"/>
    <x v="2"/>
    <x v="2"/>
    <s v="Card"/>
    <b v="1"/>
    <b v="1"/>
    <n v="6.666666666666667"/>
    <n v="0.66666666666666663"/>
    <s v="October"/>
    <s v="Online"/>
    <n v="7.1999999999999993"/>
    <n v="12.8"/>
    <b v="0"/>
    <n v="4"/>
    <n v="1"/>
    <x v="0"/>
    <n v="30.259433962264151"/>
  </r>
  <r>
    <s v="ORD348"/>
    <x v="1"/>
    <x v="13"/>
    <d v="2024-10-06T00:00:00"/>
    <d v="1899-12-30T19:15:00"/>
    <d v="2024-10-06T00:00:00"/>
    <d v="1899-12-30T19:45:00"/>
    <x v="3"/>
    <x v="1"/>
    <x v="1"/>
    <x v="1"/>
    <x v="7"/>
    <x v="0"/>
    <s v="Cash"/>
    <b v="1"/>
    <b v="1"/>
    <n v="5"/>
    <n v="0.66666666666666663"/>
    <s v="October"/>
    <s v="Offline"/>
    <n v="14.4"/>
    <n v="15.6"/>
    <b v="0"/>
    <n v="12"/>
    <n v="2"/>
    <x v="3"/>
    <n v="28.186274509803919"/>
  </r>
  <r>
    <s v="ORD349"/>
    <x v="3"/>
    <x v="14"/>
    <d v="2024-10-07T00:00:00"/>
    <d v="1899-12-30T20:30:00"/>
    <d v="2024-10-07T00:00:00"/>
    <d v="1899-12-30T21:10:00"/>
    <x v="4"/>
    <x v="3"/>
    <x v="3"/>
    <x v="3"/>
    <x v="8"/>
    <x v="1"/>
    <s v="Hut Points"/>
    <b v="1"/>
    <b v="0"/>
    <n v="5"/>
    <n v="0.625"/>
    <s v="October"/>
    <s v="Offline"/>
    <n v="19.2"/>
    <n v="20.8"/>
    <b v="1"/>
    <n v="20"/>
    <n v="3"/>
    <x v="1"/>
    <n v="29.948453608247419"/>
  </r>
  <r>
    <s v="ORD350"/>
    <x v="2"/>
    <x v="15"/>
    <d v="2024-10-08T00:00:00"/>
    <d v="1899-12-30T18:45:00"/>
    <d v="2024-10-08T00:00:00"/>
    <d v="1899-12-30T19:05:00"/>
    <x v="2"/>
    <x v="2"/>
    <x v="2"/>
    <x v="4"/>
    <x v="0"/>
    <x v="2"/>
    <s v="Wallet"/>
    <b v="1"/>
    <b v="0"/>
    <n v="8"/>
    <n v="0.4"/>
    <s v="October"/>
    <s v="Online"/>
    <n v="6"/>
    <n v="14"/>
    <b v="0"/>
    <n v="1"/>
    <n v="1"/>
    <x v="0"/>
    <n v="28.844221105527641"/>
  </r>
  <r>
    <s v="ORD351"/>
    <x v="4"/>
    <x v="16"/>
    <d v="2024-10-09T00:00:00"/>
    <d v="1899-12-30T19:00:00"/>
    <d v="2024-10-09T00:00:00"/>
    <d v="1899-12-30T19:50:00"/>
    <x v="5"/>
    <x v="1"/>
    <x v="1"/>
    <x v="1"/>
    <x v="9"/>
    <x v="1"/>
    <s v="Card"/>
    <b v="1"/>
    <b v="0"/>
    <n v="5"/>
    <n v="0.4"/>
    <s v="October"/>
    <s v="Online"/>
    <n v="24"/>
    <n v="26"/>
    <b v="1"/>
    <n v="12"/>
    <n v="3"/>
    <x v="3"/>
    <n v="30.286458333333329"/>
  </r>
  <r>
    <s v="ORD352"/>
    <x v="0"/>
    <x v="17"/>
    <d v="2024-10-10T00:00:00"/>
    <d v="1899-12-30T20:00:00"/>
    <d v="2024-10-10T00:00:00"/>
    <d v="1899-12-30T20:35:00"/>
    <x v="6"/>
    <x v="0"/>
    <x v="0"/>
    <x v="0"/>
    <x v="10"/>
    <x v="0"/>
    <s v="Wallet"/>
    <b v="1"/>
    <b v="0"/>
    <n v="6.3636363636363633"/>
    <n v="0.54545454545454541"/>
    <s v="October"/>
    <s v="Online"/>
    <n v="13.2"/>
    <n v="21.8"/>
    <b v="1"/>
    <n v="6"/>
    <n v="2"/>
    <x v="1"/>
    <n v="30.259433962264151"/>
  </r>
  <r>
    <s v="ORD353"/>
    <x v="1"/>
    <x v="18"/>
    <d v="2024-10-11T00:00:00"/>
    <d v="1899-12-30T18:30:00"/>
    <d v="2024-10-11T00:00:00"/>
    <d v="1899-12-30T18:50:00"/>
    <x v="2"/>
    <x v="2"/>
    <x v="2"/>
    <x v="2"/>
    <x v="4"/>
    <x v="2"/>
    <s v="UPI"/>
    <b v="1"/>
    <b v="0"/>
    <n v="10"/>
    <n v="1"/>
    <s v="October"/>
    <s v="Online"/>
    <n v="4.8"/>
    <n v="15.2"/>
    <b v="0"/>
    <n v="2"/>
    <n v="1"/>
    <x v="0"/>
    <n v="28.186274509803919"/>
  </r>
  <r>
    <s v="ORD354"/>
    <x v="3"/>
    <x v="19"/>
    <d v="2024-10-12T00:00:00"/>
    <d v="1899-12-30T19:45:00"/>
    <d v="2024-10-12T00:00:00"/>
    <d v="1899-12-30T20:25:00"/>
    <x v="4"/>
    <x v="3"/>
    <x v="3"/>
    <x v="3"/>
    <x v="11"/>
    <x v="1"/>
    <s v="Hut Points"/>
    <b v="1"/>
    <b v="1"/>
    <n v="5.333333333333333"/>
    <n v="0.66666666666666663"/>
    <s v="October"/>
    <s v="Offline"/>
    <n v="18"/>
    <n v="22"/>
    <b v="1"/>
    <n v="20"/>
    <n v="3"/>
    <x v="3"/>
    <n v="29.948453608247419"/>
  </r>
  <r>
    <s v="ORD355"/>
    <x v="2"/>
    <x v="5"/>
    <d v="2024-10-13T00:00:00"/>
    <d v="1899-12-30T18:00:00"/>
    <d v="2024-10-13T00:00:00"/>
    <d v="1899-12-30T18:30:00"/>
    <x v="3"/>
    <x v="0"/>
    <x v="1"/>
    <x v="0"/>
    <x v="6"/>
    <x v="0"/>
    <s v="Cash"/>
    <b v="1"/>
    <b v="1"/>
    <n v="7.5"/>
    <n v="0.75"/>
    <s v="October"/>
    <s v="Offline"/>
    <n v="9.6"/>
    <n v="20.399999999999999"/>
    <b v="0"/>
    <n v="6"/>
    <n v="2"/>
    <x v="0"/>
    <n v="28.844221105527641"/>
  </r>
  <r>
    <s v="ORD356"/>
    <x v="4"/>
    <x v="18"/>
    <d v="2024-10-14T00:00:00"/>
    <d v="1899-12-30T20:15:00"/>
    <d v="2024-10-14T00:00:00"/>
    <d v="1899-12-30T21:00:00"/>
    <x v="7"/>
    <x v="1"/>
    <x v="0"/>
    <x v="1"/>
    <x v="12"/>
    <x v="1"/>
    <s v="Wallet"/>
    <b v="1"/>
    <b v="0"/>
    <n v="5"/>
    <n v="0.44444444444444442"/>
    <s v="October"/>
    <s v="Online"/>
    <n v="21.6"/>
    <n v="23.4"/>
    <b v="1"/>
    <n v="12"/>
    <n v="3"/>
    <x v="1"/>
    <n v="30.286458333333329"/>
  </r>
  <r>
    <s v="ORD357"/>
    <x v="0"/>
    <x v="20"/>
    <d v="2024-10-15T00:00:00"/>
    <d v="1899-12-30T18:00:00"/>
    <d v="2024-10-15T00:00:00"/>
    <d v="1899-12-30T18:20:00"/>
    <x v="2"/>
    <x v="0"/>
    <x v="0"/>
    <x v="2"/>
    <x v="2"/>
    <x v="2"/>
    <s v="Card"/>
    <b v="1"/>
    <b v="0"/>
    <n v="6.666666666666667"/>
    <n v="0.66666666666666663"/>
    <s v="October"/>
    <s v="Online"/>
    <n v="7.1999999999999993"/>
    <n v="12.8"/>
    <b v="0"/>
    <n v="4"/>
    <n v="1"/>
    <x v="0"/>
    <n v="30.259433962264151"/>
  </r>
  <r>
    <s v="ORD358"/>
    <x v="1"/>
    <x v="21"/>
    <d v="2024-10-16T00:00:00"/>
    <d v="1899-12-30T19:15:00"/>
    <d v="2024-10-16T00:00:00"/>
    <d v="1899-12-30T19:45:00"/>
    <x v="3"/>
    <x v="1"/>
    <x v="1"/>
    <x v="1"/>
    <x v="7"/>
    <x v="0"/>
    <s v="Wallet"/>
    <b v="1"/>
    <b v="0"/>
    <n v="5"/>
    <n v="0.66666666666666663"/>
    <s v="October"/>
    <s v="Online"/>
    <n v="14.4"/>
    <n v="15.6"/>
    <b v="0"/>
    <n v="12"/>
    <n v="2"/>
    <x v="3"/>
    <n v="28.186274509803919"/>
  </r>
  <r>
    <s v="ORD359"/>
    <x v="3"/>
    <x v="22"/>
    <d v="2024-10-17T00:00:00"/>
    <d v="1899-12-30T20:30:00"/>
    <d v="2024-10-17T00:00:00"/>
    <d v="1899-12-30T21:10:00"/>
    <x v="4"/>
    <x v="3"/>
    <x v="3"/>
    <x v="3"/>
    <x v="8"/>
    <x v="1"/>
    <s v="Hut Points"/>
    <b v="1"/>
    <b v="0"/>
    <n v="5"/>
    <n v="0.625"/>
    <s v="October"/>
    <s v="Offline"/>
    <n v="19.2"/>
    <n v="20.8"/>
    <b v="1"/>
    <n v="20"/>
    <n v="3"/>
    <x v="1"/>
    <n v="29.948453608247419"/>
  </r>
  <r>
    <s v="ORD360"/>
    <x v="2"/>
    <x v="23"/>
    <d v="2024-10-18T00:00:00"/>
    <d v="1899-12-30T18:45:00"/>
    <d v="2024-10-18T00:00:00"/>
    <d v="1899-12-30T19:05:00"/>
    <x v="2"/>
    <x v="2"/>
    <x v="2"/>
    <x v="4"/>
    <x v="0"/>
    <x v="2"/>
    <s v="Cash"/>
    <b v="1"/>
    <b v="0"/>
    <n v="8"/>
    <n v="0.4"/>
    <s v="October"/>
    <s v="Offline"/>
    <n v="6"/>
    <n v="14"/>
    <b v="0"/>
    <n v="1"/>
    <n v="1"/>
    <x v="0"/>
    <n v="28.844221105527641"/>
  </r>
  <r>
    <s v="ORD361"/>
    <x v="4"/>
    <x v="11"/>
    <d v="2024-10-19T00:00:00"/>
    <d v="1899-12-30T19:00:00"/>
    <d v="2024-10-19T00:00:00"/>
    <d v="1899-12-30T19:50:00"/>
    <x v="5"/>
    <x v="1"/>
    <x v="1"/>
    <x v="1"/>
    <x v="9"/>
    <x v="1"/>
    <s v="Card"/>
    <b v="1"/>
    <b v="1"/>
    <n v="5"/>
    <n v="0.4"/>
    <s v="October"/>
    <s v="Online"/>
    <n v="24"/>
    <n v="26"/>
    <b v="1"/>
    <n v="12"/>
    <n v="3"/>
    <x v="3"/>
    <n v="30.286458333333329"/>
  </r>
  <r>
    <s v="ORD362"/>
    <x v="0"/>
    <x v="0"/>
    <d v="2024-10-20T00:00:00"/>
    <d v="1899-12-30T18:00:00"/>
    <d v="2024-10-20T00:00:00"/>
    <d v="1899-12-30T18:20:00"/>
    <x v="2"/>
    <x v="0"/>
    <x v="0"/>
    <x v="2"/>
    <x v="2"/>
    <x v="2"/>
    <s v="Domino's Cash"/>
    <b v="1"/>
    <b v="1"/>
    <n v="6.666666666666667"/>
    <n v="0.66666666666666663"/>
    <s v="October"/>
    <s v="Offline"/>
    <n v="7.1999999999999993"/>
    <n v="12.8"/>
    <b v="0"/>
    <n v="4"/>
    <n v="1"/>
    <x v="0"/>
    <n v="30.259433962264151"/>
  </r>
  <r>
    <s v="ORD363"/>
    <x v="0"/>
    <x v="3"/>
    <d v="2024-10-21T00:00:00"/>
    <d v="1899-12-30T20:00:00"/>
    <d v="2024-10-21T00:00:00"/>
    <d v="1899-12-30T20:20:00"/>
    <x v="2"/>
    <x v="0"/>
    <x v="0"/>
    <x v="2"/>
    <x v="2"/>
    <x v="2"/>
    <s v="Card"/>
    <b v="1"/>
    <b v="0"/>
    <n v="6.666666666666667"/>
    <n v="0.66666666666666663"/>
    <s v="October"/>
    <s v="Online"/>
    <n v="7.1999999999999993"/>
    <n v="12.8"/>
    <b v="0"/>
    <n v="4"/>
    <n v="1"/>
    <x v="1"/>
    <n v="30.259433962264151"/>
  </r>
  <r>
    <s v="ORD364"/>
    <x v="1"/>
    <x v="2"/>
    <d v="2024-10-22T00:00:00"/>
    <d v="1899-12-30T19:15:00"/>
    <d v="2024-10-22T00:00:00"/>
    <d v="1899-12-30T19:45:00"/>
    <x v="3"/>
    <x v="1"/>
    <x v="1"/>
    <x v="1"/>
    <x v="7"/>
    <x v="0"/>
    <s v="UPI"/>
    <b v="1"/>
    <b v="0"/>
    <n v="5"/>
    <n v="0.66666666666666663"/>
    <s v="October"/>
    <s v="Online"/>
    <n v="14.4"/>
    <n v="15.6"/>
    <b v="0"/>
    <n v="12"/>
    <n v="2"/>
    <x v="3"/>
    <n v="28.186274509803919"/>
  </r>
  <r>
    <s v="ORD365"/>
    <x v="3"/>
    <x v="1"/>
    <d v="2024-10-23T00:00:00"/>
    <d v="1899-12-30T20:30:00"/>
    <d v="2024-10-23T00:00:00"/>
    <d v="1899-12-30T21:10:00"/>
    <x v="4"/>
    <x v="3"/>
    <x v="3"/>
    <x v="3"/>
    <x v="8"/>
    <x v="1"/>
    <s v="Hut Points"/>
    <b v="1"/>
    <b v="0"/>
    <n v="5"/>
    <n v="0.625"/>
    <s v="October"/>
    <s v="Offline"/>
    <n v="19.2"/>
    <n v="20.8"/>
    <b v="1"/>
    <n v="20"/>
    <n v="3"/>
    <x v="1"/>
    <n v="29.948453608247419"/>
  </r>
  <r>
    <s v="ORD366"/>
    <x v="2"/>
    <x v="6"/>
    <d v="2024-10-24T00:00:00"/>
    <d v="1899-12-30T18:45:00"/>
    <d v="2024-10-24T00:00:00"/>
    <d v="1899-12-30T19:05:00"/>
    <x v="2"/>
    <x v="2"/>
    <x v="2"/>
    <x v="4"/>
    <x v="0"/>
    <x v="2"/>
    <s v="Cash"/>
    <b v="1"/>
    <b v="0"/>
    <n v="8"/>
    <n v="0.4"/>
    <s v="October"/>
    <s v="Offline"/>
    <n v="6"/>
    <n v="14"/>
    <b v="0"/>
    <n v="1"/>
    <n v="1"/>
    <x v="0"/>
    <n v="28.844221105527641"/>
  </r>
  <r>
    <s v="ORD367"/>
    <x v="4"/>
    <x v="7"/>
    <d v="2024-10-25T00:00:00"/>
    <d v="1899-12-30T19:00:00"/>
    <d v="2024-10-25T00:00:00"/>
    <d v="1899-12-30T19:50:00"/>
    <x v="5"/>
    <x v="1"/>
    <x v="1"/>
    <x v="1"/>
    <x v="9"/>
    <x v="1"/>
    <s v="Card"/>
    <b v="1"/>
    <b v="0"/>
    <n v="5"/>
    <n v="0.4"/>
    <s v="October"/>
    <s v="Online"/>
    <n v="24"/>
    <n v="26"/>
    <b v="1"/>
    <n v="12"/>
    <n v="3"/>
    <x v="3"/>
    <n v="30.286458333333329"/>
  </r>
  <r>
    <s v="ORD368"/>
    <x v="0"/>
    <x v="3"/>
    <d v="2024-10-26T00:00:00"/>
    <d v="1899-12-30T20:00:00"/>
    <d v="2024-10-26T00:00:00"/>
    <d v="1899-12-30T20:35:00"/>
    <x v="6"/>
    <x v="0"/>
    <x v="0"/>
    <x v="0"/>
    <x v="10"/>
    <x v="0"/>
    <s v="Wallet"/>
    <b v="1"/>
    <b v="1"/>
    <n v="6.3636363636363633"/>
    <n v="0.54545454545454541"/>
    <s v="October"/>
    <s v="Online"/>
    <n v="13.2"/>
    <n v="21.8"/>
    <b v="1"/>
    <n v="6"/>
    <n v="2"/>
    <x v="1"/>
    <n v="30.259433962264151"/>
  </r>
  <r>
    <s v="ORD369"/>
    <x v="1"/>
    <x v="10"/>
    <d v="2024-10-27T00:00:00"/>
    <d v="1899-12-30T18:30:00"/>
    <d v="2024-10-27T00:00:00"/>
    <d v="1899-12-30T18:50:00"/>
    <x v="2"/>
    <x v="2"/>
    <x v="2"/>
    <x v="2"/>
    <x v="4"/>
    <x v="2"/>
    <s v="UPI"/>
    <b v="1"/>
    <b v="1"/>
    <n v="10"/>
    <n v="1"/>
    <s v="October"/>
    <s v="Online"/>
    <n v="4.8"/>
    <n v="15.2"/>
    <b v="0"/>
    <n v="2"/>
    <n v="1"/>
    <x v="0"/>
    <n v="28.186274509803919"/>
  </r>
  <r>
    <s v="ORD370"/>
    <x v="3"/>
    <x v="11"/>
    <d v="2024-10-28T00:00:00"/>
    <d v="1899-12-30T19:45:00"/>
    <d v="2024-10-28T00:00:00"/>
    <d v="1899-12-30T20:25:00"/>
    <x v="4"/>
    <x v="3"/>
    <x v="3"/>
    <x v="3"/>
    <x v="11"/>
    <x v="1"/>
    <s v="Hut Points"/>
    <b v="1"/>
    <b v="0"/>
    <n v="5.333333333333333"/>
    <n v="0.66666666666666663"/>
    <s v="October"/>
    <s v="Offline"/>
    <n v="18"/>
    <n v="22"/>
    <b v="1"/>
    <n v="20"/>
    <n v="3"/>
    <x v="3"/>
    <n v="29.948453608247419"/>
  </r>
  <r>
    <s v="ORD371"/>
    <x v="2"/>
    <x v="4"/>
    <d v="2024-10-29T00:00:00"/>
    <d v="1899-12-30T18:00:00"/>
    <d v="2024-10-29T00:00:00"/>
    <d v="1899-12-30T18:30:00"/>
    <x v="3"/>
    <x v="0"/>
    <x v="1"/>
    <x v="0"/>
    <x v="6"/>
    <x v="0"/>
    <s v="Card"/>
    <b v="1"/>
    <b v="0"/>
    <n v="7.5"/>
    <n v="0.75"/>
    <s v="October"/>
    <s v="Online"/>
    <n v="9.6"/>
    <n v="20.399999999999999"/>
    <b v="0"/>
    <n v="6"/>
    <n v="2"/>
    <x v="0"/>
    <n v="28.844221105527641"/>
  </r>
  <r>
    <s v="ORD372"/>
    <x v="4"/>
    <x v="9"/>
    <d v="2024-10-30T00:00:00"/>
    <d v="1899-12-30T20:15:00"/>
    <d v="2024-10-30T00:00:00"/>
    <d v="1899-12-30T21:00:00"/>
    <x v="7"/>
    <x v="1"/>
    <x v="0"/>
    <x v="1"/>
    <x v="12"/>
    <x v="1"/>
    <s v="Wallet"/>
    <b v="1"/>
    <b v="0"/>
    <n v="5"/>
    <n v="0.44444444444444442"/>
    <s v="October"/>
    <s v="Online"/>
    <n v="21.6"/>
    <n v="23.4"/>
    <b v="1"/>
    <n v="12"/>
    <n v="3"/>
    <x v="1"/>
    <n v="30.286458333333329"/>
  </r>
  <r>
    <s v="ORD373"/>
    <x v="0"/>
    <x v="12"/>
    <d v="2024-10-31T00:00:00"/>
    <d v="1899-12-30T18:00:00"/>
    <d v="2024-10-31T00:00:00"/>
    <d v="1899-12-30T18:20:00"/>
    <x v="2"/>
    <x v="0"/>
    <x v="0"/>
    <x v="2"/>
    <x v="2"/>
    <x v="2"/>
    <s v="Card"/>
    <b v="1"/>
    <b v="0"/>
    <n v="6.666666666666667"/>
    <n v="0.66666666666666663"/>
    <s v="October"/>
    <s v="Online"/>
    <n v="7.1999999999999993"/>
    <n v="12.8"/>
    <b v="0"/>
    <n v="4"/>
    <n v="1"/>
    <x v="0"/>
    <n v="30.259433962264151"/>
  </r>
  <r>
    <s v="ORD374"/>
    <x v="1"/>
    <x v="13"/>
    <d v="2024-11-01T00:00:00"/>
    <d v="1899-12-30T19:15:00"/>
    <d v="2024-11-01T00:00:00"/>
    <d v="1899-12-30T19:45:00"/>
    <x v="3"/>
    <x v="1"/>
    <x v="1"/>
    <x v="1"/>
    <x v="7"/>
    <x v="0"/>
    <s v="Cash"/>
    <b v="1"/>
    <b v="0"/>
    <n v="5"/>
    <n v="0.66666666666666663"/>
    <s v="November"/>
    <s v="Offline"/>
    <n v="14.4"/>
    <n v="15.6"/>
    <b v="0"/>
    <n v="12"/>
    <n v="2"/>
    <x v="3"/>
    <n v="28.186274509803919"/>
  </r>
  <r>
    <s v="ORD375"/>
    <x v="3"/>
    <x v="14"/>
    <d v="2024-11-02T00:00:00"/>
    <d v="1899-12-30T20:30:00"/>
    <d v="2024-11-02T00:00:00"/>
    <d v="1899-12-30T21:10:00"/>
    <x v="4"/>
    <x v="3"/>
    <x v="3"/>
    <x v="3"/>
    <x v="8"/>
    <x v="1"/>
    <s v="Hut Points"/>
    <b v="1"/>
    <b v="1"/>
    <n v="5"/>
    <n v="0.625"/>
    <s v="November"/>
    <s v="Offline"/>
    <n v="19.2"/>
    <n v="20.8"/>
    <b v="1"/>
    <n v="20"/>
    <n v="3"/>
    <x v="1"/>
    <n v="29.948453608247419"/>
  </r>
  <r>
    <s v="ORD376"/>
    <x v="2"/>
    <x v="15"/>
    <d v="2024-11-03T00:00:00"/>
    <d v="1899-12-30T18:45:00"/>
    <d v="2024-11-03T00:00:00"/>
    <d v="1899-12-30T19:05:00"/>
    <x v="2"/>
    <x v="2"/>
    <x v="2"/>
    <x v="4"/>
    <x v="0"/>
    <x v="2"/>
    <s v="Wallet"/>
    <b v="1"/>
    <b v="1"/>
    <n v="8"/>
    <n v="0.4"/>
    <s v="November"/>
    <s v="Online"/>
    <n v="6"/>
    <n v="14"/>
    <b v="0"/>
    <n v="1"/>
    <n v="1"/>
    <x v="0"/>
    <n v="28.844221105527641"/>
  </r>
  <r>
    <s v="ORD377"/>
    <x v="4"/>
    <x v="16"/>
    <d v="2024-11-04T00:00:00"/>
    <d v="1899-12-30T19:00:00"/>
    <d v="2024-11-04T00:00:00"/>
    <d v="1899-12-30T19:50:00"/>
    <x v="5"/>
    <x v="1"/>
    <x v="1"/>
    <x v="1"/>
    <x v="9"/>
    <x v="1"/>
    <s v="Card"/>
    <b v="1"/>
    <b v="0"/>
    <n v="5"/>
    <n v="0.4"/>
    <s v="November"/>
    <s v="Online"/>
    <n v="24"/>
    <n v="26"/>
    <b v="1"/>
    <n v="12"/>
    <n v="3"/>
    <x v="3"/>
    <n v="30.286458333333329"/>
  </r>
  <r>
    <s v="ORD378"/>
    <x v="0"/>
    <x v="17"/>
    <d v="2024-11-05T00:00:00"/>
    <d v="1899-12-30T20:00:00"/>
    <d v="2024-11-05T00:00:00"/>
    <d v="1899-12-30T20:35:00"/>
    <x v="6"/>
    <x v="0"/>
    <x v="0"/>
    <x v="0"/>
    <x v="10"/>
    <x v="0"/>
    <s v="Wallet"/>
    <b v="1"/>
    <b v="0"/>
    <n v="6.3636363636363633"/>
    <n v="0.54545454545454541"/>
    <s v="November"/>
    <s v="Online"/>
    <n v="13.2"/>
    <n v="21.8"/>
    <b v="1"/>
    <n v="6"/>
    <n v="2"/>
    <x v="1"/>
    <n v="30.259433962264151"/>
  </r>
  <r>
    <s v="ORD379"/>
    <x v="1"/>
    <x v="18"/>
    <d v="2024-11-06T00:00:00"/>
    <d v="1899-12-30T18:30:00"/>
    <d v="2024-11-06T00:00:00"/>
    <d v="1899-12-30T18:50:00"/>
    <x v="2"/>
    <x v="2"/>
    <x v="2"/>
    <x v="2"/>
    <x v="4"/>
    <x v="2"/>
    <s v="UPI"/>
    <b v="1"/>
    <b v="0"/>
    <n v="10"/>
    <n v="1"/>
    <s v="November"/>
    <s v="Online"/>
    <n v="4.8"/>
    <n v="15.2"/>
    <b v="0"/>
    <n v="2"/>
    <n v="1"/>
    <x v="0"/>
    <n v="28.186274509803919"/>
  </r>
  <r>
    <s v="ORD380"/>
    <x v="3"/>
    <x v="19"/>
    <d v="2024-11-07T00:00:00"/>
    <d v="1899-12-30T19:45:00"/>
    <d v="2024-11-07T00:00:00"/>
    <d v="1899-12-30T20:25:00"/>
    <x v="4"/>
    <x v="3"/>
    <x v="3"/>
    <x v="3"/>
    <x v="11"/>
    <x v="1"/>
    <s v="Hut Points"/>
    <b v="1"/>
    <b v="0"/>
    <n v="5.333333333333333"/>
    <n v="0.66666666666666663"/>
    <s v="November"/>
    <s v="Offline"/>
    <n v="18"/>
    <n v="22"/>
    <b v="1"/>
    <n v="20"/>
    <n v="3"/>
    <x v="3"/>
    <n v="29.948453608247419"/>
  </r>
  <r>
    <s v="ORD381"/>
    <x v="2"/>
    <x v="5"/>
    <d v="2024-11-08T00:00:00"/>
    <d v="1899-12-30T18:00:00"/>
    <d v="2024-11-08T00:00:00"/>
    <d v="1899-12-30T18:30:00"/>
    <x v="3"/>
    <x v="0"/>
    <x v="1"/>
    <x v="0"/>
    <x v="6"/>
    <x v="0"/>
    <s v="UPI"/>
    <b v="1"/>
    <b v="0"/>
    <n v="7.5"/>
    <n v="0.75"/>
    <s v="November"/>
    <s v="Online"/>
    <n v="9.6"/>
    <n v="20.399999999999999"/>
    <b v="0"/>
    <n v="6"/>
    <n v="2"/>
    <x v="0"/>
    <n v="28.844221105527641"/>
  </r>
  <r>
    <s v="ORD382"/>
    <x v="4"/>
    <x v="18"/>
    <d v="2024-11-09T00:00:00"/>
    <d v="1899-12-30T20:15:00"/>
    <d v="2024-11-09T00:00:00"/>
    <d v="1899-12-30T21:00:00"/>
    <x v="7"/>
    <x v="1"/>
    <x v="0"/>
    <x v="1"/>
    <x v="12"/>
    <x v="1"/>
    <s v="Cash"/>
    <b v="1"/>
    <b v="1"/>
    <n v="5"/>
    <n v="0.44444444444444442"/>
    <s v="November"/>
    <s v="Offline"/>
    <n v="21.6"/>
    <n v="23.4"/>
    <b v="1"/>
    <n v="12"/>
    <n v="3"/>
    <x v="1"/>
    <n v="30.286458333333329"/>
  </r>
  <r>
    <s v="ORD383"/>
    <x v="0"/>
    <x v="20"/>
    <d v="2024-11-10T00:00:00"/>
    <d v="1899-12-30T18:00:00"/>
    <d v="2024-11-10T00:00:00"/>
    <d v="1899-12-30T18:20:00"/>
    <x v="2"/>
    <x v="0"/>
    <x v="0"/>
    <x v="2"/>
    <x v="2"/>
    <x v="2"/>
    <s v="Card"/>
    <b v="1"/>
    <b v="1"/>
    <n v="6.666666666666667"/>
    <n v="0.66666666666666663"/>
    <s v="November"/>
    <s v="Online"/>
    <n v="7.1999999999999993"/>
    <n v="12.8"/>
    <b v="0"/>
    <n v="4"/>
    <n v="1"/>
    <x v="0"/>
    <n v="30.259433962264151"/>
  </r>
  <r>
    <s v="ORD384"/>
    <x v="1"/>
    <x v="21"/>
    <d v="2024-11-11T00:00:00"/>
    <d v="1899-12-30T19:15:00"/>
    <d v="2024-11-11T00:00:00"/>
    <d v="1899-12-30T19:45:00"/>
    <x v="3"/>
    <x v="1"/>
    <x v="1"/>
    <x v="1"/>
    <x v="7"/>
    <x v="0"/>
    <s v="Wallet"/>
    <b v="1"/>
    <b v="0"/>
    <n v="5"/>
    <n v="0.66666666666666663"/>
    <s v="November"/>
    <s v="Online"/>
    <n v="14.4"/>
    <n v="15.6"/>
    <b v="0"/>
    <n v="12"/>
    <n v="2"/>
    <x v="3"/>
    <n v="28.186274509803919"/>
  </r>
  <r>
    <s v="ORD385"/>
    <x v="3"/>
    <x v="22"/>
    <d v="2024-11-12T00:00:00"/>
    <d v="1899-12-30T20:30:00"/>
    <d v="2024-11-12T00:00:00"/>
    <d v="1899-12-30T21:10:00"/>
    <x v="4"/>
    <x v="3"/>
    <x v="3"/>
    <x v="3"/>
    <x v="8"/>
    <x v="1"/>
    <s v="Hut Points"/>
    <b v="1"/>
    <b v="0"/>
    <n v="5"/>
    <n v="0.625"/>
    <s v="November"/>
    <s v="Offline"/>
    <n v="19.2"/>
    <n v="20.8"/>
    <b v="1"/>
    <n v="20"/>
    <n v="3"/>
    <x v="1"/>
    <n v="29.948453608247419"/>
  </r>
  <r>
    <s v="ORD386"/>
    <x v="2"/>
    <x v="23"/>
    <d v="2024-11-13T00:00:00"/>
    <d v="1899-12-30T18:45:00"/>
    <d v="2024-11-13T00:00:00"/>
    <d v="1899-12-30T19:05:00"/>
    <x v="2"/>
    <x v="2"/>
    <x v="2"/>
    <x v="4"/>
    <x v="0"/>
    <x v="2"/>
    <s v="Cash"/>
    <b v="1"/>
    <b v="0"/>
    <n v="8"/>
    <n v="0.4"/>
    <s v="November"/>
    <s v="Offline"/>
    <n v="6"/>
    <n v="14"/>
    <b v="0"/>
    <n v="1"/>
    <n v="1"/>
    <x v="0"/>
    <n v="28.844221105527641"/>
  </r>
  <r>
    <s v="ORD387"/>
    <x v="4"/>
    <x v="11"/>
    <d v="2024-11-14T00:00:00"/>
    <d v="1899-12-30T19:00:00"/>
    <d v="2024-11-14T00:00:00"/>
    <d v="1899-12-30T19:50:00"/>
    <x v="5"/>
    <x v="1"/>
    <x v="1"/>
    <x v="1"/>
    <x v="9"/>
    <x v="1"/>
    <s v="Card"/>
    <b v="1"/>
    <b v="0"/>
    <n v="5"/>
    <n v="0.4"/>
    <s v="November"/>
    <s v="Online"/>
    <n v="24"/>
    <n v="26"/>
    <b v="1"/>
    <n v="12"/>
    <n v="3"/>
    <x v="3"/>
    <n v="30.286458333333329"/>
  </r>
  <r>
    <s v="ORD388"/>
    <x v="0"/>
    <x v="0"/>
    <d v="2024-11-15T00:00:00"/>
    <d v="1899-12-30T18:00:00"/>
    <d v="2024-11-15T00:00:00"/>
    <d v="1899-12-30T18:20:00"/>
    <x v="2"/>
    <x v="0"/>
    <x v="0"/>
    <x v="2"/>
    <x v="2"/>
    <x v="2"/>
    <s v="Domino's Cash"/>
    <b v="1"/>
    <b v="0"/>
    <n v="6.666666666666667"/>
    <n v="0.66666666666666663"/>
    <s v="November"/>
    <s v="Offline"/>
    <n v="7.1999999999999993"/>
    <n v="12.8"/>
    <b v="0"/>
    <n v="4"/>
    <n v="1"/>
    <x v="0"/>
    <n v="30.259433962264151"/>
  </r>
  <r>
    <s v="ORD389"/>
    <x v="0"/>
    <x v="3"/>
    <d v="2024-11-16T00:00:00"/>
    <d v="1899-12-30T20:00:00"/>
    <d v="2024-11-16T00:00:00"/>
    <d v="1899-12-30T20:20:00"/>
    <x v="2"/>
    <x v="0"/>
    <x v="0"/>
    <x v="2"/>
    <x v="2"/>
    <x v="2"/>
    <s v="Card"/>
    <b v="1"/>
    <b v="1"/>
    <n v="6.666666666666667"/>
    <n v="0.66666666666666663"/>
    <s v="November"/>
    <s v="Online"/>
    <n v="7.1999999999999993"/>
    <n v="12.8"/>
    <b v="0"/>
    <n v="4"/>
    <n v="1"/>
    <x v="1"/>
    <n v="30.259433962264151"/>
  </r>
  <r>
    <s v="ORD390"/>
    <x v="1"/>
    <x v="2"/>
    <d v="2024-11-17T00:00:00"/>
    <d v="1899-12-30T19:15:00"/>
    <d v="2024-11-17T00:00:00"/>
    <d v="1899-12-30T19:45:00"/>
    <x v="3"/>
    <x v="1"/>
    <x v="1"/>
    <x v="1"/>
    <x v="7"/>
    <x v="0"/>
    <s v="UPI"/>
    <b v="1"/>
    <b v="1"/>
    <n v="5"/>
    <n v="0.66666666666666663"/>
    <s v="November"/>
    <s v="Online"/>
    <n v="14.4"/>
    <n v="15.6"/>
    <b v="0"/>
    <n v="12"/>
    <n v="2"/>
    <x v="3"/>
    <n v="28.186274509803919"/>
  </r>
  <r>
    <s v="ORD391"/>
    <x v="3"/>
    <x v="1"/>
    <d v="2024-11-18T00:00:00"/>
    <d v="1899-12-30T20:30:00"/>
    <d v="2024-11-18T00:00:00"/>
    <d v="1899-12-30T21:10:00"/>
    <x v="4"/>
    <x v="3"/>
    <x v="3"/>
    <x v="3"/>
    <x v="8"/>
    <x v="1"/>
    <s v="Hut Points"/>
    <b v="1"/>
    <b v="0"/>
    <n v="5"/>
    <n v="0.625"/>
    <s v="November"/>
    <s v="Offline"/>
    <n v="19.2"/>
    <n v="20.8"/>
    <b v="1"/>
    <n v="20"/>
    <n v="3"/>
    <x v="1"/>
    <n v="29.948453608247419"/>
  </r>
  <r>
    <s v="ORD392"/>
    <x v="2"/>
    <x v="6"/>
    <d v="2024-11-19T00:00:00"/>
    <d v="1899-12-30T18:45:00"/>
    <d v="2024-11-19T00:00:00"/>
    <d v="1899-12-30T19:05:00"/>
    <x v="2"/>
    <x v="2"/>
    <x v="2"/>
    <x v="4"/>
    <x v="0"/>
    <x v="2"/>
    <s v="Cash"/>
    <b v="1"/>
    <b v="0"/>
    <n v="8"/>
    <n v="0.4"/>
    <s v="November"/>
    <s v="Offline"/>
    <n v="6"/>
    <n v="14"/>
    <b v="0"/>
    <n v="1"/>
    <n v="1"/>
    <x v="0"/>
    <n v="28.844221105527641"/>
  </r>
  <r>
    <s v="ORD393"/>
    <x v="4"/>
    <x v="7"/>
    <d v="2024-11-20T00:00:00"/>
    <d v="1899-12-30T19:00:00"/>
    <d v="2024-11-20T00:00:00"/>
    <d v="1899-12-30T19:50:00"/>
    <x v="5"/>
    <x v="1"/>
    <x v="1"/>
    <x v="1"/>
    <x v="9"/>
    <x v="1"/>
    <s v="Card"/>
    <b v="1"/>
    <b v="0"/>
    <n v="5"/>
    <n v="0.4"/>
    <s v="November"/>
    <s v="Online"/>
    <n v="24"/>
    <n v="26"/>
    <b v="1"/>
    <n v="12"/>
    <n v="3"/>
    <x v="3"/>
    <n v="30.286458333333329"/>
  </r>
  <r>
    <s v="ORD394"/>
    <x v="0"/>
    <x v="3"/>
    <d v="2024-11-21T00:00:00"/>
    <d v="1899-12-30T20:00:00"/>
    <d v="2024-11-21T00:00:00"/>
    <d v="1899-12-30T20:35:00"/>
    <x v="6"/>
    <x v="0"/>
    <x v="4"/>
    <x v="0"/>
    <x v="10"/>
    <x v="0"/>
    <s v="Wallet"/>
    <b v="1"/>
    <b v="0"/>
    <n v="6.3636363636363633"/>
    <n v="0.54545454545454541"/>
    <s v="November"/>
    <s v="Online"/>
    <n v="13.2"/>
    <n v="21.8"/>
    <b v="1"/>
    <n v="6"/>
    <n v="2"/>
    <x v="1"/>
    <n v="30.259433962264151"/>
  </r>
  <r>
    <s v="ORD395"/>
    <x v="1"/>
    <x v="10"/>
    <d v="2024-11-22T00:00:00"/>
    <d v="1899-12-30T18:30:00"/>
    <d v="2024-11-22T00:00:00"/>
    <d v="1899-12-30T18:50:00"/>
    <x v="2"/>
    <x v="2"/>
    <x v="2"/>
    <x v="2"/>
    <x v="4"/>
    <x v="2"/>
    <s v="UPI"/>
    <b v="1"/>
    <b v="0"/>
    <n v="10"/>
    <n v="1"/>
    <s v="November"/>
    <s v="Online"/>
    <n v="4.8"/>
    <n v="15.2"/>
    <b v="0"/>
    <n v="2"/>
    <n v="1"/>
    <x v="0"/>
    <n v="28.186274509803919"/>
  </r>
  <r>
    <s v="ORD396"/>
    <x v="3"/>
    <x v="11"/>
    <d v="2024-11-23T00:00:00"/>
    <d v="1899-12-30T19:45:00"/>
    <d v="2024-11-23T00:00:00"/>
    <d v="1899-12-30T20:25:00"/>
    <x v="4"/>
    <x v="3"/>
    <x v="5"/>
    <x v="3"/>
    <x v="11"/>
    <x v="1"/>
    <s v="Hut Points"/>
    <b v="1"/>
    <b v="1"/>
    <n v="5.333333333333333"/>
    <n v="0.66666666666666663"/>
    <s v="November"/>
    <s v="Offline"/>
    <n v="18"/>
    <n v="22"/>
    <b v="1"/>
    <n v="20"/>
    <n v="3"/>
    <x v="3"/>
    <n v="29.948453608247419"/>
  </r>
  <r>
    <s v="ORD397"/>
    <x v="2"/>
    <x v="4"/>
    <d v="2024-11-24T00:00:00"/>
    <d v="1899-12-30T18:00:00"/>
    <d v="2024-11-24T00:00:00"/>
    <d v="1899-12-30T18:30:00"/>
    <x v="3"/>
    <x v="0"/>
    <x v="1"/>
    <x v="0"/>
    <x v="6"/>
    <x v="0"/>
    <s v="Card"/>
    <b v="1"/>
    <b v="1"/>
    <n v="7.5"/>
    <n v="0.75"/>
    <s v="November"/>
    <s v="Online"/>
    <n v="9.6"/>
    <n v="20.399999999999999"/>
    <b v="0"/>
    <n v="6"/>
    <n v="2"/>
    <x v="0"/>
    <n v="28.844221105527641"/>
  </r>
  <r>
    <s v="ORD398"/>
    <x v="4"/>
    <x v="9"/>
    <d v="2024-11-25T00:00:00"/>
    <d v="1899-12-30T20:15:00"/>
    <d v="2024-11-25T00:00:00"/>
    <d v="1899-12-30T21:00:00"/>
    <x v="7"/>
    <x v="1"/>
    <x v="0"/>
    <x v="1"/>
    <x v="12"/>
    <x v="1"/>
    <s v="Wallet"/>
    <b v="1"/>
    <b v="0"/>
    <n v="5"/>
    <n v="0.44444444444444442"/>
    <s v="November"/>
    <s v="Online"/>
    <n v="21.6"/>
    <n v="23.4"/>
    <b v="1"/>
    <n v="12"/>
    <n v="3"/>
    <x v="1"/>
    <n v="30.286458333333329"/>
  </r>
  <r>
    <s v="ORD399"/>
    <x v="0"/>
    <x v="12"/>
    <d v="2024-11-26T00:00:00"/>
    <d v="1899-12-30T18:00:00"/>
    <d v="2024-11-26T00:00:00"/>
    <d v="1899-12-30T18:20:00"/>
    <x v="2"/>
    <x v="0"/>
    <x v="0"/>
    <x v="2"/>
    <x v="2"/>
    <x v="2"/>
    <s v="Card"/>
    <b v="1"/>
    <b v="0"/>
    <n v="6.666666666666667"/>
    <n v="0.66666666666666663"/>
    <s v="November"/>
    <s v="Online"/>
    <n v="7.1999999999999993"/>
    <n v="12.8"/>
    <b v="0"/>
    <n v="4"/>
    <n v="1"/>
    <x v="0"/>
    <n v="30.259433962264151"/>
  </r>
  <r>
    <s v="ORD400"/>
    <x v="1"/>
    <x v="13"/>
    <d v="2024-11-27T00:00:00"/>
    <d v="1899-12-30T19:15:00"/>
    <d v="2024-11-27T00:00:00"/>
    <d v="1899-12-30T19:45:00"/>
    <x v="3"/>
    <x v="1"/>
    <x v="1"/>
    <x v="1"/>
    <x v="7"/>
    <x v="0"/>
    <s v="Cash"/>
    <b v="1"/>
    <b v="0"/>
    <n v="5"/>
    <n v="0.66666666666666663"/>
    <s v="November"/>
    <s v="Offline"/>
    <n v="14.4"/>
    <n v="15.6"/>
    <b v="0"/>
    <n v="12"/>
    <n v="2"/>
    <x v="3"/>
    <n v="28.186274509803919"/>
  </r>
  <r>
    <s v="ORD401"/>
    <x v="3"/>
    <x v="14"/>
    <d v="2024-11-28T00:00:00"/>
    <d v="1899-12-30T20:30:00"/>
    <d v="2024-11-28T00:00:00"/>
    <d v="1899-12-30T21:10:00"/>
    <x v="4"/>
    <x v="3"/>
    <x v="3"/>
    <x v="3"/>
    <x v="8"/>
    <x v="1"/>
    <s v="Hut Points"/>
    <b v="1"/>
    <b v="0"/>
    <n v="5"/>
    <n v="0.625"/>
    <s v="November"/>
    <s v="Offline"/>
    <n v="19.2"/>
    <n v="20.8"/>
    <b v="1"/>
    <n v="20"/>
    <n v="3"/>
    <x v="1"/>
    <n v="29.948453608247419"/>
  </r>
  <r>
    <s v="ORD402"/>
    <x v="2"/>
    <x v="15"/>
    <d v="2024-11-29T00:00:00"/>
    <d v="1899-12-30T18:45:00"/>
    <d v="2024-11-29T00:00:00"/>
    <d v="1899-12-30T19:05:00"/>
    <x v="2"/>
    <x v="2"/>
    <x v="2"/>
    <x v="4"/>
    <x v="0"/>
    <x v="2"/>
    <s v="Wallet"/>
    <b v="1"/>
    <b v="0"/>
    <n v="8"/>
    <n v="0.4"/>
    <s v="November"/>
    <s v="Online"/>
    <n v="6"/>
    <n v="14"/>
    <b v="0"/>
    <n v="1"/>
    <n v="1"/>
    <x v="0"/>
    <n v="28.844221105527641"/>
  </r>
  <r>
    <s v="ORD403"/>
    <x v="4"/>
    <x v="16"/>
    <d v="2024-11-30T00:00:00"/>
    <d v="1899-12-30T19:00:00"/>
    <d v="2024-11-30T00:00:00"/>
    <d v="1899-12-30T19:50:00"/>
    <x v="5"/>
    <x v="1"/>
    <x v="1"/>
    <x v="1"/>
    <x v="9"/>
    <x v="1"/>
    <s v="Card"/>
    <b v="1"/>
    <b v="1"/>
    <n v="5"/>
    <n v="0.4"/>
    <s v="November"/>
    <s v="Online"/>
    <n v="24"/>
    <n v="26"/>
    <b v="1"/>
    <n v="12"/>
    <n v="3"/>
    <x v="3"/>
    <n v="30.286458333333329"/>
  </r>
  <r>
    <s v="ORD404"/>
    <x v="0"/>
    <x v="17"/>
    <d v="2024-12-01T00:00:00"/>
    <d v="1899-12-30T20:00:00"/>
    <d v="2024-12-01T00:00:00"/>
    <d v="1899-12-30T20:35:00"/>
    <x v="6"/>
    <x v="0"/>
    <x v="0"/>
    <x v="0"/>
    <x v="10"/>
    <x v="0"/>
    <s v="Wallet"/>
    <b v="1"/>
    <b v="1"/>
    <n v="6.3636363636363633"/>
    <n v="0.54545454545454541"/>
    <s v="December"/>
    <s v="Online"/>
    <n v="13.2"/>
    <n v="21.8"/>
    <b v="1"/>
    <n v="6"/>
    <n v="2"/>
    <x v="1"/>
    <n v="30.259433962264151"/>
  </r>
  <r>
    <s v="ORD405"/>
    <x v="1"/>
    <x v="18"/>
    <d v="2024-12-02T00:00:00"/>
    <d v="1899-12-30T18:30:00"/>
    <d v="2024-12-02T00:00:00"/>
    <d v="1899-12-30T18:50:00"/>
    <x v="2"/>
    <x v="2"/>
    <x v="2"/>
    <x v="2"/>
    <x v="4"/>
    <x v="2"/>
    <s v="UPI"/>
    <b v="1"/>
    <b v="0"/>
    <n v="10"/>
    <n v="1"/>
    <s v="December"/>
    <s v="Online"/>
    <n v="4.8"/>
    <n v="15.2"/>
    <b v="0"/>
    <n v="2"/>
    <n v="1"/>
    <x v="0"/>
    <n v="28.186274509803919"/>
  </r>
  <r>
    <s v="ORD406"/>
    <x v="3"/>
    <x v="19"/>
    <d v="2024-12-03T00:00:00"/>
    <d v="1899-12-30T19:45:00"/>
    <d v="2024-12-03T00:00:00"/>
    <d v="1899-12-30T20:25:00"/>
    <x v="4"/>
    <x v="3"/>
    <x v="5"/>
    <x v="3"/>
    <x v="11"/>
    <x v="1"/>
    <s v="Hut Points"/>
    <b v="1"/>
    <b v="0"/>
    <n v="5.333333333333333"/>
    <n v="0.66666666666666663"/>
    <s v="December"/>
    <s v="Offline"/>
    <n v="18"/>
    <n v="22"/>
    <b v="1"/>
    <n v="20"/>
    <n v="3"/>
    <x v="3"/>
    <n v="29.948453608247419"/>
  </r>
  <r>
    <s v="ORD407"/>
    <x v="2"/>
    <x v="5"/>
    <d v="2024-12-04T00:00:00"/>
    <d v="1899-12-30T18:00:00"/>
    <d v="2024-12-04T00:00:00"/>
    <d v="1899-12-30T18:30:00"/>
    <x v="3"/>
    <x v="0"/>
    <x v="1"/>
    <x v="0"/>
    <x v="6"/>
    <x v="0"/>
    <s v="UPI"/>
    <b v="1"/>
    <b v="0"/>
    <n v="7.5"/>
    <n v="0.75"/>
    <s v="December"/>
    <s v="Online"/>
    <n v="9.6"/>
    <n v="20.399999999999999"/>
    <b v="0"/>
    <n v="6"/>
    <n v="2"/>
    <x v="0"/>
    <n v="28.844221105527641"/>
  </r>
  <r>
    <s v="ORD408"/>
    <x v="4"/>
    <x v="18"/>
    <d v="2024-12-05T00:00:00"/>
    <d v="1899-12-30T20:15:00"/>
    <d v="2024-12-05T00:00:00"/>
    <d v="1899-12-30T21:00:00"/>
    <x v="7"/>
    <x v="1"/>
    <x v="0"/>
    <x v="1"/>
    <x v="12"/>
    <x v="1"/>
    <s v="Cash"/>
    <b v="1"/>
    <b v="0"/>
    <n v="5"/>
    <n v="0.44444444444444442"/>
    <s v="December"/>
    <s v="Offline"/>
    <n v="21.6"/>
    <n v="23.4"/>
    <b v="1"/>
    <n v="12"/>
    <n v="3"/>
    <x v="1"/>
    <n v="30.286458333333329"/>
  </r>
  <r>
    <s v="ORD409"/>
    <x v="0"/>
    <x v="20"/>
    <d v="2024-12-06T00:00:00"/>
    <d v="1899-12-30T18:00:00"/>
    <d v="2024-12-06T00:00:00"/>
    <d v="1899-12-30T18:20:00"/>
    <x v="2"/>
    <x v="0"/>
    <x v="0"/>
    <x v="2"/>
    <x v="2"/>
    <x v="2"/>
    <s v="Card"/>
    <b v="1"/>
    <b v="0"/>
    <n v="6.666666666666667"/>
    <n v="0.66666666666666663"/>
    <s v="December"/>
    <s v="Online"/>
    <n v="7.1999999999999993"/>
    <n v="12.8"/>
    <b v="0"/>
    <n v="4"/>
    <n v="1"/>
    <x v="0"/>
    <n v="30.259433962264151"/>
  </r>
  <r>
    <s v="ORD410"/>
    <x v="1"/>
    <x v="21"/>
    <d v="2024-12-07T00:00:00"/>
    <d v="1899-12-30T19:15:00"/>
    <d v="2024-12-07T00:00:00"/>
    <d v="1899-12-30T19:45:00"/>
    <x v="3"/>
    <x v="1"/>
    <x v="1"/>
    <x v="1"/>
    <x v="7"/>
    <x v="0"/>
    <s v="Wallet"/>
    <b v="1"/>
    <b v="1"/>
    <n v="5"/>
    <n v="0.66666666666666663"/>
    <s v="December"/>
    <s v="Online"/>
    <n v="14.4"/>
    <n v="15.6"/>
    <b v="0"/>
    <n v="12"/>
    <n v="2"/>
    <x v="3"/>
    <n v="28.186274509803919"/>
  </r>
  <r>
    <s v="ORD411"/>
    <x v="3"/>
    <x v="22"/>
    <d v="2024-12-08T00:00:00"/>
    <d v="1899-12-30T20:30:00"/>
    <d v="2024-12-08T00:00:00"/>
    <d v="1899-12-30T21:10:00"/>
    <x v="4"/>
    <x v="3"/>
    <x v="3"/>
    <x v="3"/>
    <x v="8"/>
    <x v="1"/>
    <s v="Hut Points"/>
    <b v="1"/>
    <b v="1"/>
    <n v="5"/>
    <n v="0.625"/>
    <s v="December"/>
    <s v="Offline"/>
    <n v="19.2"/>
    <n v="20.8"/>
    <b v="1"/>
    <n v="20"/>
    <n v="3"/>
    <x v="1"/>
    <n v="29.948453608247419"/>
  </r>
  <r>
    <s v="ORD412"/>
    <x v="2"/>
    <x v="23"/>
    <d v="2024-12-09T00:00:00"/>
    <d v="1899-12-30T18:45:00"/>
    <d v="2024-12-09T00:00:00"/>
    <d v="1899-12-30T19:05:00"/>
    <x v="2"/>
    <x v="2"/>
    <x v="2"/>
    <x v="4"/>
    <x v="0"/>
    <x v="2"/>
    <s v="Cash"/>
    <b v="1"/>
    <b v="0"/>
    <n v="8"/>
    <n v="0.4"/>
    <s v="December"/>
    <s v="Offline"/>
    <n v="6"/>
    <n v="14"/>
    <b v="0"/>
    <n v="1"/>
    <n v="1"/>
    <x v="0"/>
    <n v="28.844221105527641"/>
  </r>
  <r>
    <s v="ORD413"/>
    <x v="4"/>
    <x v="11"/>
    <d v="2024-12-10T00:00:00"/>
    <d v="1899-12-30T19:00:00"/>
    <d v="2024-12-10T00:00:00"/>
    <d v="1899-12-30T19:50:00"/>
    <x v="5"/>
    <x v="1"/>
    <x v="1"/>
    <x v="1"/>
    <x v="9"/>
    <x v="1"/>
    <s v="Card"/>
    <b v="1"/>
    <b v="0"/>
    <n v="5"/>
    <n v="0.4"/>
    <s v="December"/>
    <s v="Online"/>
    <n v="24"/>
    <n v="26"/>
    <b v="1"/>
    <n v="12"/>
    <n v="3"/>
    <x v="3"/>
    <n v="30.286458333333329"/>
  </r>
  <r>
    <s v="ORD414"/>
    <x v="0"/>
    <x v="0"/>
    <d v="2024-12-11T00:00:00"/>
    <d v="1899-12-30T18:00:00"/>
    <d v="2024-12-11T00:00:00"/>
    <d v="1899-12-30T18:20:00"/>
    <x v="2"/>
    <x v="0"/>
    <x v="0"/>
    <x v="2"/>
    <x v="2"/>
    <x v="2"/>
    <s v="Domino's Cash"/>
    <b v="1"/>
    <b v="0"/>
    <n v="6.666666666666667"/>
    <n v="0.66666666666666663"/>
    <s v="December"/>
    <s v="Offline"/>
    <n v="7.1999999999999993"/>
    <n v="12.8"/>
    <b v="0"/>
    <n v="4"/>
    <n v="1"/>
    <x v="0"/>
    <n v="30.259433962264151"/>
  </r>
  <r>
    <s v="ORD415"/>
    <x v="0"/>
    <x v="3"/>
    <d v="2024-12-12T00:00:00"/>
    <d v="1899-12-30T20:00:00"/>
    <d v="2024-12-12T00:00:00"/>
    <d v="1899-12-30T20:20:00"/>
    <x v="2"/>
    <x v="0"/>
    <x v="6"/>
    <x v="2"/>
    <x v="2"/>
    <x v="2"/>
    <s v="Card"/>
    <b v="1"/>
    <b v="0"/>
    <n v="6.666666666666667"/>
    <n v="0.66666666666666663"/>
    <s v="December"/>
    <s v="Online"/>
    <n v="7.1999999999999993"/>
    <n v="12.8"/>
    <b v="0"/>
    <n v="4"/>
    <n v="1"/>
    <x v="1"/>
    <n v="30.259433962264151"/>
  </r>
  <r>
    <s v="ORD416"/>
    <x v="1"/>
    <x v="2"/>
    <d v="2024-12-13T00:00:00"/>
    <d v="1899-12-30T19:15:00"/>
    <d v="2024-12-13T00:00:00"/>
    <d v="1899-12-30T19:45:00"/>
    <x v="3"/>
    <x v="1"/>
    <x v="7"/>
    <x v="1"/>
    <x v="7"/>
    <x v="0"/>
    <s v="UPI"/>
    <b v="1"/>
    <b v="0"/>
    <n v="5"/>
    <n v="0.66666666666666663"/>
    <s v="December"/>
    <s v="Online"/>
    <n v="14.4"/>
    <n v="15.6"/>
    <b v="0"/>
    <n v="12"/>
    <n v="2"/>
    <x v="3"/>
    <n v="28.186274509803919"/>
  </r>
  <r>
    <s v="ORD417"/>
    <x v="3"/>
    <x v="1"/>
    <d v="2024-12-14T00:00:00"/>
    <d v="1899-12-30T20:30:00"/>
    <d v="2024-12-14T00:00:00"/>
    <d v="1899-12-30T21:10:00"/>
    <x v="4"/>
    <x v="3"/>
    <x v="3"/>
    <x v="3"/>
    <x v="8"/>
    <x v="1"/>
    <s v="Hut Points"/>
    <b v="1"/>
    <b v="1"/>
    <n v="5"/>
    <n v="0.625"/>
    <s v="December"/>
    <s v="Offline"/>
    <n v="19.2"/>
    <n v="20.8"/>
    <b v="1"/>
    <n v="20"/>
    <n v="3"/>
    <x v="1"/>
    <n v="29.948453608247419"/>
  </r>
  <r>
    <s v="ORD418"/>
    <x v="2"/>
    <x v="6"/>
    <d v="2024-12-15T00:00:00"/>
    <d v="1899-12-30T18:45:00"/>
    <d v="2024-12-15T00:00:00"/>
    <d v="1899-12-30T19:05:00"/>
    <x v="2"/>
    <x v="2"/>
    <x v="2"/>
    <x v="4"/>
    <x v="0"/>
    <x v="2"/>
    <s v="Cash"/>
    <b v="1"/>
    <b v="1"/>
    <n v="8"/>
    <n v="0.4"/>
    <s v="December"/>
    <s v="Offline"/>
    <n v="6"/>
    <n v="14"/>
    <b v="0"/>
    <n v="1"/>
    <n v="1"/>
    <x v="0"/>
    <n v="28.844221105527641"/>
  </r>
  <r>
    <s v="ORD419"/>
    <x v="4"/>
    <x v="7"/>
    <d v="2024-12-16T00:00:00"/>
    <d v="1899-12-30T19:00:00"/>
    <d v="2024-12-16T00:00:00"/>
    <d v="1899-12-30T19:50:00"/>
    <x v="5"/>
    <x v="1"/>
    <x v="1"/>
    <x v="1"/>
    <x v="9"/>
    <x v="1"/>
    <s v="Card"/>
    <b v="1"/>
    <b v="0"/>
    <n v="5"/>
    <n v="0.4"/>
    <s v="December"/>
    <s v="Online"/>
    <n v="24"/>
    <n v="26"/>
    <b v="1"/>
    <n v="12"/>
    <n v="3"/>
    <x v="3"/>
    <n v="30.286458333333329"/>
  </r>
  <r>
    <s v="ORD420"/>
    <x v="0"/>
    <x v="3"/>
    <d v="2024-12-17T00:00:00"/>
    <d v="1899-12-30T20:00:00"/>
    <d v="2024-12-17T00:00:00"/>
    <d v="1899-12-30T20:35:00"/>
    <x v="6"/>
    <x v="0"/>
    <x v="4"/>
    <x v="0"/>
    <x v="10"/>
    <x v="0"/>
    <s v="Wallet"/>
    <b v="1"/>
    <b v="0"/>
    <n v="6.3636363636363633"/>
    <n v="0.54545454545454541"/>
    <s v="December"/>
    <s v="Online"/>
    <n v="13.2"/>
    <n v="21.8"/>
    <b v="1"/>
    <n v="6"/>
    <n v="2"/>
    <x v="1"/>
    <n v="30.259433962264151"/>
  </r>
  <r>
    <s v="ORD421"/>
    <x v="1"/>
    <x v="10"/>
    <d v="2024-12-18T00:00:00"/>
    <d v="1899-12-30T18:30:00"/>
    <d v="2024-12-18T00:00:00"/>
    <d v="1899-12-30T18:50:00"/>
    <x v="2"/>
    <x v="2"/>
    <x v="2"/>
    <x v="2"/>
    <x v="4"/>
    <x v="2"/>
    <s v="UPI"/>
    <b v="1"/>
    <b v="0"/>
    <n v="10"/>
    <n v="1"/>
    <s v="December"/>
    <s v="Online"/>
    <n v="4.8"/>
    <n v="15.2"/>
    <b v="0"/>
    <n v="2"/>
    <n v="1"/>
    <x v="0"/>
    <n v="28.186274509803919"/>
  </r>
  <r>
    <s v="ORD422"/>
    <x v="3"/>
    <x v="11"/>
    <d v="2024-12-19T00:00:00"/>
    <d v="1899-12-30T19:45:00"/>
    <d v="2024-12-19T00:00:00"/>
    <d v="1899-12-30T20:25:00"/>
    <x v="4"/>
    <x v="3"/>
    <x v="5"/>
    <x v="3"/>
    <x v="11"/>
    <x v="1"/>
    <s v="Card"/>
    <b v="1"/>
    <b v="0"/>
    <n v="5.333333333333333"/>
    <n v="0.66666666666666663"/>
    <s v="December"/>
    <s v="Online"/>
    <n v="18"/>
    <n v="22"/>
    <b v="1"/>
    <n v="20"/>
    <n v="3"/>
    <x v="3"/>
    <n v="29.948453608247419"/>
  </r>
  <r>
    <s v="ORD423"/>
    <x v="2"/>
    <x v="4"/>
    <d v="2024-12-20T00:00:00"/>
    <d v="1899-12-30T18:00:00"/>
    <d v="2024-12-20T00:00:00"/>
    <d v="1899-12-30T18:30:00"/>
    <x v="3"/>
    <x v="0"/>
    <x v="1"/>
    <x v="0"/>
    <x v="6"/>
    <x v="0"/>
    <s v="Card"/>
    <b v="1"/>
    <b v="0"/>
    <n v="7.5"/>
    <n v="0.75"/>
    <s v="December"/>
    <s v="Online"/>
    <n v="9.6"/>
    <n v="20.399999999999999"/>
    <b v="0"/>
    <n v="6"/>
    <n v="2"/>
    <x v="0"/>
    <n v="28.844221105527641"/>
  </r>
  <r>
    <s v="ORD424"/>
    <x v="4"/>
    <x v="9"/>
    <d v="2024-12-21T00:00:00"/>
    <d v="1899-12-30T20:15:00"/>
    <d v="2024-12-21T00:00:00"/>
    <d v="1899-12-30T21:00:00"/>
    <x v="7"/>
    <x v="1"/>
    <x v="0"/>
    <x v="1"/>
    <x v="12"/>
    <x v="1"/>
    <s v="Wallet"/>
    <b v="1"/>
    <b v="1"/>
    <n v="5"/>
    <n v="0.44444444444444442"/>
    <s v="December"/>
    <s v="Online"/>
    <n v="21.6"/>
    <n v="23.4"/>
    <b v="1"/>
    <n v="12"/>
    <n v="3"/>
    <x v="1"/>
    <n v="30.286458333333329"/>
  </r>
  <r>
    <s v="ORD425"/>
    <x v="0"/>
    <x v="3"/>
    <d v="2024-12-12T00:00:00"/>
    <d v="1899-12-30T20:00:00"/>
    <d v="2024-12-12T00:00:00"/>
    <d v="1899-12-30T20:20:00"/>
    <x v="2"/>
    <x v="0"/>
    <x v="6"/>
    <x v="2"/>
    <x v="2"/>
    <x v="2"/>
    <s v="Card"/>
    <b v="1"/>
    <b v="0"/>
    <n v="6.666666666666667"/>
    <n v="0.66666666666666663"/>
    <s v="December"/>
    <s v="Online"/>
    <n v="7.1999999999999993"/>
    <n v="12.8"/>
    <b v="0"/>
    <n v="4"/>
    <n v="1"/>
    <x v="1"/>
    <n v="30.259433962264151"/>
  </r>
  <r>
    <s v="ORD426"/>
    <x v="1"/>
    <x v="2"/>
    <d v="2024-12-13T00:00:00"/>
    <d v="1899-12-30T19:15:00"/>
    <d v="2024-12-13T00:00:00"/>
    <d v="1899-12-30T19:45:00"/>
    <x v="3"/>
    <x v="1"/>
    <x v="7"/>
    <x v="1"/>
    <x v="7"/>
    <x v="0"/>
    <s v="UPI"/>
    <b v="1"/>
    <b v="0"/>
    <n v="5"/>
    <n v="0.66666666666666663"/>
    <s v="December"/>
    <s v="Online"/>
    <n v="14.4"/>
    <n v="15.6"/>
    <b v="0"/>
    <n v="12"/>
    <n v="2"/>
    <x v="3"/>
    <n v="28.186274509803919"/>
  </r>
  <r>
    <s v="ORD427"/>
    <x v="3"/>
    <x v="1"/>
    <d v="2024-12-14T00:00:00"/>
    <d v="1899-12-30T20:30:00"/>
    <d v="2024-12-14T00:00:00"/>
    <d v="1899-12-30T21:10:00"/>
    <x v="4"/>
    <x v="3"/>
    <x v="3"/>
    <x v="3"/>
    <x v="8"/>
    <x v="1"/>
    <s v="Hut Points"/>
    <b v="1"/>
    <b v="1"/>
    <n v="5"/>
    <n v="0.625"/>
    <s v="December"/>
    <s v="Offline"/>
    <n v="19.2"/>
    <n v="20.8"/>
    <b v="1"/>
    <n v="20"/>
    <n v="3"/>
    <x v="1"/>
    <n v="29.948453608247419"/>
  </r>
  <r>
    <s v="ORD428"/>
    <x v="2"/>
    <x v="6"/>
    <d v="2024-12-15T00:00:00"/>
    <d v="1899-12-30T18:45:00"/>
    <d v="2024-12-15T00:00:00"/>
    <d v="1899-12-30T19:05:00"/>
    <x v="2"/>
    <x v="2"/>
    <x v="2"/>
    <x v="4"/>
    <x v="0"/>
    <x v="2"/>
    <s v="Cash"/>
    <b v="1"/>
    <b v="1"/>
    <n v="8"/>
    <n v="0.4"/>
    <s v="December"/>
    <s v="Offline"/>
    <n v="6"/>
    <n v="14"/>
    <b v="0"/>
    <n v="1"/>
    <n v="1"/>
    <x v="0"/>
    <n v="28.844221105527641"/>
  </r>
  <r>
    <s v="ORD429"/>
    <x v="4"/>
    <x v="7"/>
    <d v="2024-12-16T00:00:00"/>
    <d v="1899-12-30T19:00:00"/>
    <d v="2024-12-16T00:00:00"/>
    <d v="1899-12-30T19:50:00"/>
    <x v="5"/>
    <x v="1"/>
    <x v="1"/>
    <x v="1"/>
    <x v="9"/>
    <x v="1"/>
    <s v="Card"/>
    <b v="1"/>
    <b v="0"/>
    <n v="5"/>
    <n v="0.4"/>
    <s v="December"/>
    <s v="Online"/>
    <n v="24"/>
    <n v="26"/>
    <b v="1"/>
    <n v="12"/>
    <n v="3"/>
    <x v="3"/>
    <n v="30.286458333333329"/>
  </r>
  <r>
    <s v="ORD430"/>
    <x v="0"/>
    <x v="3"/>
    <d v="2024-12-17T00:00:00"/>
    <d v="1899-12-30T20:00:00"/>
    <d v="2024-12-17T00:00:00"/>
    <d v="1899-12-30T20:35:00"/>
    <x v="6"/>
    <x v="0"/>
    <x v="4"/>
    <x v="0"/>
    <x v="10"/>
    <x v="0"/>
    <s v="Wallet"/>
    <b v="1"/>
    <b v="0"/>
    <n v="6.3636363636363633"/>
    <n v="0.54545454545454541"/>
    <s v="December"/>
    <s v="Online"/>
    <n v="13.2"/>
    <n v="21.8"/>
    <b v="1"/>
    <n v="6"/>
    <n v="2"/>
    <x v="1"/>
    <n v="30.259433962264151"/>
  </r>
  <r>
    <s v="ORD431"/>
    <x v="1"/>
    <x v="10"/>
    <d v="2024-12-18T00:00:00"/>
    <d v="1899-12-30T18:30:00"/>
    <d v="2024-12-18T00:00:00"/>
    <d v="1899-12-30T18:50:00"/>
    <x v="2"/>
    <x v="2"/>
    <x v="2"/>
    <x v="2"/>
    <x v="4"/>
    <x v="2"/>
    <s v="UPI"/>
    <b v="1"/>
    <b v="0"/>
    <n v="10"/>
    <n v="1"/>
    <s v="December"/>
    <s v="Online"/>
    <n v="4.8"/>
    <n v="15.2"/>
    <b v="0"/>
    <n v="2"/>
    <n v="1"/>
    <x v="0"/>
    <n v="28.186274509803919"/>
  </r>
  <r>
    <s v="ORD432"/>
    <x v="3"/>
    <x v="11"/>
    <d v="2024-12-19T00:00:00"/>
    <d v="1899-12-30T19:45:00"/>
    <d v="2024-12-19T00:00:00"/>
    <d v="1899-12-30T20:25:00"/>
    <x v="4"/>
    <x v="3"/>
    <x v="5"/>
    <x v="3"/>
    <x v="11"/>
    <x v="1"/>
    <s v="Card"/>
    <b v="1"/>
    <b v="0"/>
    <n v="5.333333333333333"/>
    <n v="0.66666666666666663"/>
    <s v="December"/>
    <s v="Online"/>
    <n v="18"/>
    <n v="22"/>
    <b v="1"/>
    <n v="20"/>
    <n v="3"/>
    <x v="3"/>
    <n v="29.948453608247419"/>
  </r>
  <r>
    <s v="ORD433"/>
    <x v="2"/>
    <x v="4"/>
    <d v="2024-12-20T00:00:00"/>
    <d v="1899-12-30T18:00:00"/>
    <d v="2024-12-20T00:00:00"/>
    <d v="1899-12-30T18:30:00"/>
    <x v="3"/>
    <x v="0"/>
    <x v="1"/>
    <x v="0"/>
    <x v="6"/>
    <x v="0"/>
    <s v="Card"/>
    <b v="1"/>
    <b v="0"/>
    <n v="7.5"/>
    <n v="0.75"/>
    <s v="December"/>
    <s v="Online"/>
    <n v="9.6"/>
    <n v="20.399999999999999"/>
    <b v="0"/>
    <n v="6"/>
    <n v="2"/>
    <x v="0"/>
    <n v="28.844221105527641"/>
  </r>
  <r>
    <s v="ORD434"/>
    <x v="4"/>
    <x v="9"/>
    <d v="2024-12-21T00:00:00"/>
    <d v="1899-12-30T20:15:00"/>
    <d v="2024-12-21T00:00:00"/>
    <d v="1899-12-30T21:00:00"/>
    <x v="7"/>
    <x v="1"/>
    <x v="0"/>
    <x v="1"/>
    <x v="12"/>
    <x v="1"/>
    <s v="Wallet"/>
    <b v="1"/>
    <b v="1"/>
    <n v="5"/>
    <n v="0.44444444444444442"/>
    <s v="December"/>
    <s v="Online"/>
    <n v="21.6"/>
    <n v="23.4"/>
    <b v="1"/>
    <n v="12"/>
    <n v="3"/>
    <x v="1"/>
    <n v="30.286458333333329"/>
  </r>
  <r>
    <s v="ORD435"/>
    <x v="0"/>
    <x v="12"/>
    <d v="2024-12-22T00:00:00"/>
    <d v="1899-12-30T18:00:00"/>
    <d v="2024-12-22T00:00:00"/>
    <d v="1899-12-30T18:20:00"/>
    <x v="2"/>
    <x v="0"/>
    <x v="0"/>
    <x v="2"/>
    <x v="2"/>
    <x v="2"/>
    <s v="Card"/>
    <b v="1"/>
    <b v="1"/>
    <n v="6.666666666666667"/>
    <n v="0.66666666666666663"/>
    <s v="December"/>
    <s v="Online"/>
    <n v="7.1999999999999993"/>
    <n v="12.8"/>
    <b v="0"/>
    <n v="4"/>
    <n v="1"/>
    <x v="0"/>
    <n v="30.259433962264151"/>
  </r>
  <r>
    <s v="ORD436"/>
    <x v="1"/>
    <x v="13"/>
    <d v="2024-12-23T00:00:00"/>
    <d v="1899-12-30T19:15:00"/>
    <d v="2024-12-23T00:00:00"/>
    <d v="1899-12-30T19:45:00"/>
    <x v="3"/>
    <x v="1"/>
    <x v="1"/>
    <x v="1"/>
    <x v="7"/>
    <x v="0"/>
    <s v="Cash"/>
    <b v="1"/>
    <b v="0"/>
    <n v="5"/>
    <n v="0.66666666666666663"/>
    <s v="December"/>
    <s v="Offline"/>
    <n v="14.4"/>
    <n v="15.6"/>
    <b v="0"/>
    <n v="12"/>
    <n v="2"/>
    <x v="3"/>
    <n v="28.186274509803919"/>
  </r>
  <r>
    <s v="ORD437"/>
    <x v="3"/>
    <x v="14"/>
    <d v="2024-12-24T00:00:00"/>
    <d v="1899-12-30T20:30:00"/>
    <d v="2024-12-24T00:00:00"/>
    <d v="1899-12-30T21:10:00"/>
    <x v="4"/>
    <x v="3"/>
    <x v="3"/>
    <x v="3"/>
    <x v="8"/>
    <x v="1"/>
    <s v="Card"/>
    <b v="1"/>
    <b v="0"/>
    <n v="5"/>
    <n v="0.625"/>
    <s v="December"/>
    <s v="Online"/>
    <n v="19.2"/>
    <n v="20.8"/>
    <b v="1"/>
    <n v="20"/>
    <n v="3"/>
    <x v="1"/>
    <n v="29.948453608247419"/>
  </r>
  <r>
    <s v="ORD438"/>
    <x v="2"/>
    <x v="15"/>
    <d v="2024-12-25T00:00:00"/>
    <d v="1899-12-30T18:45:00"/>
    <d v="2024-12-25T00:00:00"/>
    <d v="1899-12-30T19:05:00"/>
    <x v="2"/>
    <x v="2"/>
    <x v="2"/>
    <x v="4"/>
    <x v="0"/>
    <x v="2"/>
    <s v="Wallet"/>
    <b v="1"/>
    <b v="0"/>
    <n v="8"/>
    <n v="0.4"/>
    <s v="December"/>
    <s v="Online"/>
    <n v="6"/>
    <n v="14"/>
    <b v="0"/>
    <n v="1"/>
    <n v="1"/>
    <x v="0"/>
    <n v="28.844221105527641"/>
  </r>
  <r>
    <s v="ORD439"/>
    <x v="4"/>
    <x v="16"/>
    <d v="2024-12-26T00:00:00"/>
    <d v="1899-12-30T19:00:00"/>
    <d v="2024-12-26T00:00:00"/>
    <d v="1899-12-30T19:50:00"/>
    <x v="5"/>
    <x v="1"/>
    <x v="1"/>
    <x v="1"/>
    <x v="9"/>
    <x v="1"/>
    <s v="Card"/>
    <b v="1"/>
    <b v="0"/>
    <n v="5"/>
    <n v="0.4"/>
    <s v="December"/>
    <s v="Online"/>
    <n v="24"/>
    <n v="26"/>
    <b v="1"/>
    <n v="12"/>
    <n v="3"/>
    <x v="3"/>
    <n v="30.286458333333329"/>
  </r>
  <r>
    <s v="ORD440"/>
    <x v="0"/>
    <x v="17"/>
    <d v="2024-12-27T00:00:00"/>
    <d v="1899-12-30T20:00:00"/>
    <d v="2024-12-27T00:00:00"/>
    <d v="1899-12-30T20:35:00"/>
    <x v="6"/>
    <x v="0"/>
    <x v="0"/>
    <x v="0"/>
    <x v="10"/>
    <x v="0"/>
    <s v="Wallet"/>
    <b v="1"/>
    <b v="0"/>
    <n v="6.3636363636363633"/>
    <n v="0.54545454545454541"/>
    <s v="December"/>
    <s v="Online"/>
    <n v="13.2"/>
    <n v="21.8"/>
    <b v="1"/>
    <n v="6"/>
    <n v="2"/>
    <x v="1"/>
    <n v="30.259433962264151"/>
  </r>
  <r>
    <s v="ORD441"/>
    <x v="1"/>
    <x v="18"/>
    <d v="2024-12-28T00:00:00"/>
    <d v="1899-12-30T18:30:00"/>
    <d v="2024-12-28T00:00:00"/>
    <d v="1899-12-30T18:50:00"/>
    <x v="2"/>
    <x v="2"/>
    <x v="2"/>
    <x v="2"/>
    <x v="4"/>
    <x v="2"/>
    <s v="UPI"/>
    <b v="1"/>
    <b v="1"/>
    <n v="10"/>
    <n v="1"/>
    <s v="December"/>
    <s v="Online"/>
    <n v="4.8"/>
    <n v="15.2"/>
    <b v="0"/>
    <n v="2"/>
    <n v="1"/>
    <x v="0"/>
    <n v="28.186274509803919"/>
  </r>
  <r>
    <s v="ORD442"/>
    <x v="3"/>
    <x v="19"/>
    <d v="2024-12-29T00:00:00"/>
    <d v="1899-12-30T19:45:00"/>
    <d v="2024-12-29T00:00:00"/>
    <d v="1899-12-30T20:25:00"/>
    <x v="4"/>
    <x v="3"/>
    <x v="5"/>
    <x v="3"/>
    <x v="11"/>
    <x v="1"/>
    <s v="Card"/>
    <b v="1"/>
    <b v="1"/>
    <n v="5.333333333333333"/>
    <n v="0.66666666666666663"/>
    <s v="December"/>
    <s v="Online"/>
    <n v="18"/>
    <n v="22"/>
    <b v="1"/>
    <n v="20"/>
    <n v="3"/>
    <x v="3"/>
    <n v="29.948453608247419"/>
  </r>
  <r>
    <s v="ORD443"/>
    <x v="2"/>
    <x v="5"/>
    <d v="2024-12-30T00:00:00"/>
    <d v="1899-12-30T18:00:00"/>
    <d v="2024-12-30T00:00:00"/>
    <d v="1899-12-30T18:30:00"/>
    <x v="3"/>
    <x v="0"/>
    <x v="1"/>
    <x v="0"/>
    <x v="6"/>
    <x v="0"/>
    <s v="UPI"/>
    <b v="1"/>
    <b v="0"/>
    <n v="7.5"/>
    <n v="0.75"/>
    <s v="December"/>
    <s v="Online"/>
    <n v="9.6"/>
    <n v="20.399999999999999"/>
    <b v="0"/>
    <n v="6"/>
    <n v="2"/>
    <x v="0"/>
    <n v="28.844221105527641"/>
  </r>
  <r>
    <s v="ORD444"/>
    <x v="4"/>
    <x v="18"/>
    <d v="2024-12-31T00:00:00"/>
    <d v="1899-12-30T20:15:00"/>
    <d v="2024-12-31T00:00:00"/>
    <d v="1899-12-30T21:00:00"/>
    <x v="7"/>
    <x v="1"/>
    <x v="0"/>
    <x v="1"/>
    <x v="12"/>
    <x v="1"/>
    <s v="Cash"/>
    <b v="1"/>
    <b v="0"/>
    <n v="5"/>
    <n v="0.44444444444444442"/>
    <s v="December"/>
    <s v="Offline"/>
    <n v="21.6"/>
    <n v="23.4"/>
    <b v="1"/>
    <n v="12"/>
    <n v="3"/>
    <x v="1"/>
    <n v="30.286458333333329"/>
  </r>
  <r>
    <s v="ORD445"/>
    <x v="0"/>
    <x v="20"/>
    <d v="2025-01-01T00:00:00"/>
    <d v="1899-12-30T18:00:00"/>
    <d v="2025-01-01T00:00:00"/>
    <d v="1899-12-30T18:20:00"/>
    <x v="2"/>
    <x v="0"/>
    <x v="0"/>
    <x v="2"/>
    <x v="2"/>
    <x v="2"/>
    <s v="Card"/>
    <b v="1"/>
    <b v="0"/>
    <n v="6.666666666666667"/>
    <n v="0.66666666666666663"/>
    <s v="January"/>
    <s v="Online"/>
    <n v="7.1999999999999993"/>
    <n v="12.8"/>
    <b v="0"/>
    <n v="4"/>
    <n v="1"/>
    <x v="0"/>
    <n v="30.259433962264151"/>
  </r>
  <r>
    <s v="ORD446"/>
    <x v="1"/>
    <x v="21"/>
    <d v="2025-01-02T00:00:00"/>
    <d v="1899-12-30T19:15:00"/>
    <d v="2025-01-02T00:00:00"/>
    <d v="1899-12-30T19:45:00"/>
    <x v="3"/>
    <x v="1"/>
    <x v="1"/>
    <x v="1"/>
    <x v="7"/>
    <x v="0"/>
    <s v="Wallet"/>
    <b v="1"/>
    <b v="0"/>
    <n v="5"/>
    <n v="0.66666666666666663"/>
    <s v="January"/>
    <s v="Online"/>
    <n v="14.4"/>
    <n v="15.6"/>
    <b v="0"/>
    <n v="12"/>
    <n v="2"/>
    <x v="3"/>
    <n v="28.186274509803919"/>
  </r>
  <r>
    <s v="ORD447"/>
    <x v="3"/>
    <x v="22"/>
    <d v="2025-01-03T00:00:00"/>
    <d v="1899-12-30T20:30:00"/>
    <d v="2025-01-03T00:00:00"/>
    <d v="1899-12-30T21:10:00"/>
    <x v="4"/>
    <x v="3"/>
    <x v="3"/>
    <x v="3"/>
    <x v="8"/>
    <x v="1"/>
    <s v="Card"/>
    <b v="1"/>
    <b v="0"/>
    <n v="5"/>
    <n v="0.625"/>
    <s v="January"/>
    <s v="Online"/>
    <n v="19.2"/>
    <n v="20.8"/>
    <b v="1"/>
    <n v="20"/>
    <n v="3"/>
    <x v="1"/>
    <n v="29.948453608247419"/>
  </r>
  <r>
    <s v="ORD448"/>
    <x v="2"/>
    <x v="23"/>
    <d v="2025-01-04T00:00:00"/>
    <d v="1899-12-30T18:45:00"/>
    <d v="2025-01-04T00:00:00"/>
    <d v="1899-12-30T19:05:00"/>
    <x v="2"/>
    <x v="2"/>
    <x v="2"/>
    <x v="4"/>
    <x v="0"/>
    <x v="2"/>
    <s v="Cash"/>
    <b v="1"/>
    <b v="1"/>
    <n v="8"/>
    <n v="0.4"/>
    <s v="January"/>
    <s v="Offline"/>
    <n v="6"/>
    <n v="14"/>
    <b v="0"/>
    <n v="1"/>
    <n v="1"/>
    <x v="0"/>
    <n v="28.844221105527641"/>
  </r>
  <r>
    <s v="ORD449"/>
    <x v="4"/>
    <x v="11"/>
    <d v="2025-01-05T00:00:00"/>
    <d v="1899-12-30T19:00:00"/>
    <d v="2025-01-05T00:00:00"/>
    <d v="1899-12-30T19:50:00"/>
    <x v="5"/>
    <x v="1"/>
    <x v="1"/>
    <x v="1"/>
    <x v="9"/>
    <x v="1"/>
    <s v="Card"/>
    <b v="1"/>
    <b v="1"/>
    <n v="5"/>
    <n v="0.4"/>
    <s v="January"/>
    <s v="Online"/>
    <n v="24"/>
    <n v="26"/>
    <b v="1"/>
    <n v="12"/>
    <n v="3"/>
    <x v="3"/>
    <n v="30.286458333333329"/>
  </r>
  <r>
    <s v="ORD450"/>
    <x v="0"/>
    <x v="0"/>
    <d v="2025-01-06T00:00:00"/>
    <d v="1899-12-30T18:00:00"/>
    <d v="2025-01-06T00:00:00"/>
    <d v="1899-12-30T18:20:00"/>
    <x v="2"/>
    <x v="0"/>
    <x v="0"/>
    <x v="2"/>
    <x v="2"/>
    <x v="2"/>
    <s v="Domino's Cash"/>
    <b v="1"/>
    <b v="0"/>
    <n v="6.666666666666667"/>
    <n v="0.66666666666666663"/>
    <s v="January"/>
    <s v="Offline"/>
    <n v="7.1999999999999993"/>
    <n v="12.8"/>
    <b v="0"/>
    <n v="4"/>
    <n v="1"/>
    <x v="0"/>
    <n v="30.259433962264151"/>
  </r>
  <r>
    <s v="ORD451"/>
    <x v="1"/>
    <x v="2"/>
    <d v="2025-01-07T00:00:00"/>
    <d v="1899-12-30T19:15:00"/>
    <d v="2025-01-07T00:00:00"/>
    <d v="1899-12-30T19:45:00"/>
    <x v="3"/>
    <x v="1"/>
    <x v="7"/>
    <x v="1"/>
    <x v="7"/>
    <x v="0"/>
    <s v="UPI"/>
    <b v="1"/>
    <b v="0"/>
    <n v="5"/>
    <n v="0.66666666666666663"/>
    <s v="January"/>
    <s v="Online"/>
    <n v="14.4"/>
    <n v="15.6"/>
    <b v="0"/>
    <n v="12"/>
    <n v="2"/>
    <x v="3"/>
    <n v="28.186274509803919"/>
  </r>
  <r>
    <s v="ORD452"/>
    <x v="3"/>
    <x v="1"/>
    <d v="2025-01-08T00:00:00"/>
    <d v="1899-12-30T20:30:00"/>
    <d v="2025-01-08T00:00:00"/>
    <d v="1899-12-30T21:10:00"/>
    <x v="4"/>
    <x v="3"/>
    <x v="3"/>
    <x v="3"/>
    <x v="8"/>
    <x v="1"/>
    <s v="Card"/>
    <b v="1"/>
    <b v="0"/>
    <n v="5"/>
    <n v="0.625"/>
    <s v="January"/>
    <s v="Online"/>
    <n v="19.2"/>
    <n v="20.8"/>
    <b v="1"/>
    <n v="20"/>
    <n v="3"/>
    <x v="1"/>
    <n v="29.948453608247419"/>
  </r>
  <r>
    <s v="ORD453"/>
    <x v="2"/>
    <x v="6"/>
    <d v="2025-01-09T00:00:00"/>
    <d v="1899-12-30T18:00:00"/>
    <d v="2025-01-09T00:00:00"/>
    <d v="1899-12-30T18:30:00"/>
    <x v="3"/>
    <x v="0"/>
    <x v="8"/>
    <x v="0"/>
    <x v="1"/>
    <x v="0"/>
    <s v="Card"/>
    <b v="1"/>
    <b v="0"/>
    <n v="6"/>
    <n v="0.6"/>
    <s v="January"/>
    <s v="Online"/>
    <n v="12"/>
    <n v="18"/>
    <b v="0"/>
    <n v="6"/>
    <n v="2"/>
    <x v="0"/>
    <n v="28.844221105527641"/>
  </r>
  <r>
    <s v="ORD454"/>
    <x v="4"/>
    <x v="8"/>
    <d v="2025-01-10T00:00:00"/>
    <d v="1899-12-30T19:15:00"/>
    <d v="2025-01-10T00:00:00"/>
    <d v="1899-12-30T19:50:00"/>
    <x v="6"/>
    <x v="1"/>
    <x v="9"/>
    <x v="1"/>
    <x v="14"/>
    <x v="1"/>
    <s v="UPI"/>
    <b v="1"/>
    <b v="0"/>
    <n v="5.384615384615385"/>
    <n v="0.61538461538461542"/>
    <s v="January"/>
    <s v="Online"/>
    <n v="15.6"/>
    <n v="19.399999999999999"/>
    <b v="1"/>
    <n v="12"/>
    <n v="3"/>
    <x v="3"/>
    <n v="30.286458333333329"/>
  </r>
  <r>
    <s v="ORD455"/>
    <x v="0"/>
    <x v="24"/>
    <d v="2025-01-11T00:00:00"/>
    <d v="1899-12-30T20:30:00"/>
    <d v="2025-01-11T00:00:00"/>
    <d v="1899-12-30T21:10:00"/>
    <x v="4"/>
    <x v="3"/>
    <x v="3"/>
    <x v="3"/>
    <x v="8"/>
    <x v="1"/>
    <s v="Wallet"/>
    <b v="1"/>
    <b v="1"/>
    <n v="5"/>
    <n v="0.625"/>
    <s v="January"/>
    <s v="Online"/>
    <n v="19.2"/>
    <n v="20.8"/>
    <b v="1"/>
    <n v="20"/>
    <n v="3"/>
    <x v="1"/>
    <n v="30.259433962264151"/>
  </r>
  <r>
    <s v="ORD456"/>
    <x v="1"/>
    <x v="13"/>
    <d v="2025-01-12T00:00:00"/>
    <d v="1899-12-30T18:45:00"/>
    <d v="2025-01-12T00:00:00"/>
    <d v="1899-12-30T19:05:00"/>
    <x v="2"/>
    <x v="2"/>
    <x v="2"/>
    <x v="4"/>
    <x v="0"/>
    <x v="2"/>
    <s v="Cash"/>
    <b v="1"/>
    <b v="1"/>
    <n v="8"/>
    <n v="0.4"/>
    <s v="January"/>
    <s v="Offline"/>
    <n v="6"/>
    <n v="14"/>
    <b v="0"/>
    <n v="1"/>
    <n v="1"/>
    <x v="0"/>
    <n v="28.186274509803919"/>
  </r>
  <r>
    <s v="ORD457"/>
    <x v="3"/>
    <x v="9"/>
    <d v="2025-01-13T00:00:00"/>
    <d v="1899-12-30T19:00:00"/>
    <d v="2025-01-13T00:00:00"/>
    <d v="1899-12-30T19:50:00"/>
    <x v="5"/>
    <x v="1"/>
    <x v="1"/>
    <x v="1"/>
    <x v="9"/>
    <x v="1"/>
    <s v="Card"/>
    <b v="1"/>
    <b v="0"/>
    <n v="5"/>
    <n v="0.4"/>
    <s v="January"/>
    <s v="Online"/>
    <n v="24"/>
    <n v="26"/>
    <b v="1"/>
    <n v="12"/>
    <n v="3"/>
    <x v="3"/>
    <n v="29.948453608247419"/>
  </r>
  <r>
    <s v="ORD458"/>
    <x v="0"/>
    <x v="3"/>
    <d v="2025-01-14T00:00:00"/>
    <d v="1899-12-30T20:00:00"/>
    <d v="2025-01-14T00:00:00"/>
    <d v="1899-12-30T20:35:00"/>
    <x v="6"/>
    <x v="0"/>
    <x v="4"/>
    <x v="0"/>
    <x v="10"/>
    <x v="0"/>
    <s v="Domino's Cash"/>
    <b v="1"/>
    <b v="0"/>
    <n v="6.3636363636363633"/>
    <n v="0.54545454545454541"/>
    <s v="January"/>
    <s v="Offline"/>
    <n v="13.2"/>
    <n v="21.8"/>
    <b v="1"/>
    <n v="6"/>
    <n v="2"/>
    <x v="1"/>
    <n v="30.259433962264151"/>
  </r>
  <r>
    <s v="ORD459"/>
    <x v="1"/>
    <x v="10"/>
    <d v="2025-01-15T00:00:00"/>
    <d v="1899-12-30T18:30:00"/>
    <d v="2025-01-15T00:00:00"/>
    <d v="1899-12-30T18:50:00"/>
    <x v="2"/>
    <x v="2"/>
    <x v="2"/>
    <x v="2"/>
    <x v="4"/>
    <x v="2"/>
    <s v="UPI"/>
    <b v="1"/>
    <b v="0"/>
    <n v="10"/>
    <n v="1"/>
    <s v="January"/>
    <s v="Online"/>
    <n v="4.8"/>
    <n v="15.2"/>
    <b v="0"/>
    <n v="2"/>
    <n v="1"/>
    <x v="0"/>
    <n v="28.186274509803919"/>
  </r>
  <r>
    <s v="ORD460"/>
    <x v="3"/>
    <x v="11"/>
    <d v="2025-01-16T00:00:00"/>
    <d v="1899-12-30T19:45:00"/>
    <d v="2025-01-16T00:00:00"/>
    <d v="1899-12-30T20:25:00"/>
    <x v="4"/>
    <x v="3"/>
    <x v="5"/>
    <x v="3"/>
    <x v="11"/>
    <x v="1"/>
    <s v="Card"/>
    <b v="1"/>
    <b v="0"/>
    <n v="5.333333333333333"/>
    <n v="0.66666666666666663"/>
    <s v="January"/>
    <s v="Online"/>
    <n v="18"/>
    <n v="22"/>
    <b v="1"/>
    <n v="20"/>
    <n v="3"/>
    <x v="3"/>
    <n v="29.948453608247419"/>
  </r>
  <r>
    <s v="ORD461"/>
    <x v="0"/>
    <x v="0"/>
    <d v="2025-01-17T00:00:00"/>
    <d v="1899-12-30T18:00:00"/>
    <d v="2025-01-17T00:00:00"/>
    <d v="1899-12-30T18:20:00"/>
    <x v="2"/>
    <x v="0"/>
    <x v="0"/>
    <x v="2"/>
    <x v="2"/>
    <x v="2"/>
    <s v="Card"/>
    <b v="1"/>
    <b v="0"/>
    <n v="6.666666666666667"/>
    <n v="0.66666666666666663"/>
    <s v="January"/>
    <s v="Online"/>
    <n v="7.1999999999999993"/>
    <n v="12.8"/>
    <b v="0"/>
    <n v="4"/>
    <n v="1"/>
    <x v="0"/>
    <n v="30.259433962264151"/>
  </r>
  <r>
    <s v="ORD462"/>
    <x v="1"/>
    <x v="2"/>
    <d v="2025-01-18T00:00:00"/>
    <d v="1899-12-30T19:15:00"/>
    <d v="2025-01-18T00:00:00"/>
    <d v="1899-12-30T19:45:00"/>
    <x v="3"/>
    <x v="1"/>
    <x v="7"/>
    <x v="1"/>
    <x v="7"/>
    <x v="0"/>
    <s v="UPI"/>
    <b v="1"/>
    <b v="1"/>
    <n v="5"/>
    <n v="0.66666666666666663"/>
    <s v="January"/>
    <s v="Online"/>
    <n v="14.4"/>
    <n v="15.6"/>
    <b v="0"/>
    <n v="12"/>
    <n v="2"/>
    <x v="3"/>
    <n v="28.186274509803919"/>
  </r>
  <r>
    <s v="ORD463"/>
    <x v="2"/>
    <x v="1"/>
    <d v="2025-01-19T00:00:00"/>
    <d v="1899-12-30T20:30:00"/>
    <d v="2025-01-19T00:00:00"/>
    <d v="1899-12-30T21:10:00"/>
    <x v="4"/>
    <x v="3"/>
    <x v="3"/>
    <x v="3"/>
    <x v="8"/>
    <x v="1"/>
    <s v="Wallet"/>
    <b v="1"/>
    <b v="1"/>
    <n v="5"/>
    <n v="0.625"/>
    <s v="January"/>
    <s v="Online"/>
    <n v="19.2"/>
    <n v="20.8"/>
    <b v="1"/>
    <n v="20"/>
    <n v="3"/>
    <x v="1"/>
    <n v="28.844221105527641"/>
  </r>
  <r>
    <s v="ORD464"/>
    <x v="4"/>
    <x v="6"/>
    <d v="2025-01-20T00:00:00"/>
    <d v="1899-12-30T18:45:00"/>
    <d v="2025-01-20T00:00:00"/>
    <d v="1899-12-30T19:05:00"/>
    <x v="2"/>
    <x v="2"/>
    <x v="2"/>
    <x v="4"/>
    <x v="0"/>
    <x v="2"/>
    <s v="Cash"/>
    <b v="1"/>
    <b v="0"/>
    <n v="8"/>
    <n v="0.4"/>
    <s v="January"/>
    <s v="Offline"/>
    <n v="6"/>
    <n v="14"/>
    <b v="0"/>
    <n v="1"/>
    <n v="1"/>
    <x v="0"/>
    <n v="30.286458333333329"/>
  </r>
  <r>
    <s v="ORD465"/>
    <x v="0"/>
    <x v="7"/>
    <d v="2025-01-21T00:00:00"/>
    <d v="1899-12-30T19:00:00"/>
    <d v="2025-01-21T00:00:00"/>
    <d v="1899-12-30T19:50:00"/>
    <x v="5"/>
    <x v="1"/>
    <x v="1"/>
    <x v="1"/>
    <x v="9"/>
    <x v="1"/>
    <s v="Card"/>
    <b v="1"/>
    <b v="0"/>
    <n v="5"/>
    <n v="0.4"/>
    <s v="January"/>
    <s v="Online"/>
    <n v="24"/>
    <n v="26"/>
    <b v="1"/>
    <n v="12"/>
    <n v="3"/>
    <x v="3"/>
    <n v="30.259433962264151"/>
  </r>
  <r>
    <s v="ORD466"/>
    <x v="1"/>
    <x v="25"/>
    <d v="2025-01-22T00:00:00"/>
    <d v="1899-12-30T20:00:00"/>
    <d v="2025-01-22T00:00:00"/>
    <d v="1899-12-30T20:35:00"/>
    <x v="6"/>
    <x v="0"/>
    <x v="4"/>
    <x v="0"/>
    <x v="10"/>
    <x v="0"/>
    <s v="Wallet"/>
    <b v="1"/>
    <b v="0"/>
    <n v="6.3636363636363633"/>
    <n v="0.54545454545454541"/>
    <s v="January"/>
    <s v="Online"/>
    <n v="13.2"/>
    <n v="21.8"/>
    <b v="1"/>
    <n v="6"/>
    <n v="2"/>
    <x v="1"/>
    <n v="28.186274509803919"/>
  </r>
  <r>
    <s v="ORD467"/>
    <x v="3"/>
    <x v="26"/>
    <d v="2025-01-23T00:00:00"/>
    <d v="1899-12-30T18:30:00"/>
    <d v="2025-01-23T00:00:00"/>
    <d v="1899-12-30T18:50:00"/>
    <x v="2"/>
    <x v="2"/>
    <x v="2"/>
    <x v="2"/>
    <x v="4"/>
    <x v="2"/>
    <s v="UPI"/>
    <b v="1"/>
    <b v="0"/>
    <n v="10"/>
    <n v="1"/>
    <s v="January"/>
    <s v="Online"/>
    <n v="4.8"/>
    <n v="15.2"/>
    <b v="0"/>
    <n v="2"/>
    <n v="1"/>
    <x v="0"/>
    <n v="29.948453608247419"/>
  </r>
  <r>
    <s v="ORD468"/>
    <x v="2"/>
    <x v="14"/>
    <d v="2025-01-24T00:00:00"/>
    <d v="1899-12-30T19:45:00"/>
    <d v="2025-01-24T00:00:00"/>
    <d v="1899-12-30T20:25:00"/>
    <x v="4"/>
    <x v="3"/>
    <x v="5"/>
    <x v="3"/>
    <x v="11"/>
    <x v="1"/>
    <s v="Card"/>
    <b v="1"/>
    <b v="0"/>
    <n v="5.333333333333333"/>
    <n v="0.66666666666666663"/>
    <s v="January"/>
    <s v="Online"/>
    <n v="18"/>
    <n v="22"/>
    <b v="1"/>
    <n v="20"/>
    <n v="3"/>
    <x v="3"/>
    <n v="28.844221105527641"/>
  </r>
  <r>
    <s v="ORD469"/>
    <x v="4"/>
    <x v="4"/>
    <d v="2025-01-25T00:00:00"/>
    <d v="1899-12-30T18:00:00"/>
    <d v="2025-01-25T00:00:00"/>
    <d v="1899-12-30T18:30:00"/>
    <x v="3"/>
    <x v="0"/>
    <x v="1"/>
    <x v="0"/>
    <x v="6"/>
    <x v="0"/>
    <s v="UPI"/>
    <b v="1"/>
    <b v="1"/>
    <n v="7.5"/>
    <n v="0.75"/>
    <s v="January"/>
    <s v="Online"/>
    <n v="9.6"/>
    <n v="20.399999999999999"/>
    <b v="0"/>
    <n v="6"/>
    <n v="2"/>
    <x v="0"/>
    <n v="30.286458333333329"/>
  </r>
  <r>
    <s v="ORD470"/>
    <x v="0"/>
    <x v="12"/>
    <d v="2025-01-26T00:00:00"/>
    <d v="1899-12-30T20:15:00"/>
    <d v="2025-01-26T00:00:00"/>
    <d v="1899-12-30T21:00:00"/>
    <x v="7"/>
    <x v="1"/>
    <x v="0"/>
    <x v="1"/>
    <x v="12"/>
    <x v="1"/>
    <s v="Cash"/>
    <b v="1"/>
    <b v="1"/>
    <n v="5"/>
    <n v="0.44444444444444442"/>
    <s v="January"/>
    <s v="Offline"/>
    <n v="21.6"/>
    <n v="23.4"/>
    <b v="1"/>
    <n v="12"/>
    <n v="3"/>
    <x v="1"/>
    <n v="30.259433962264151"/>
  </r>
  <r>
    <s v="ORD471"/>
    <x v="1"/>
    <x v="13"/>
    <d v="2025-01-27T00:00:00"/>
    <d v="1899-12-30T18:00:00"/>
    <d v="2025-01-27T00:00:00"/>
    <d v="1899-12-30T18:20:00"/>
    <x v="2"/>
    <x v="0"/>
    <x v="0"/>
    <x v="2"/>
    <x v="2"/>
    <x v="2"/>
    <s v="Card"/>
    <b v="1"/>
    <b v="0"/>
    <n v="6.666666666666667"/>
    <n v="0.66666666666666663"/>
    <s v="January"/>
    <s v="Online"/>
    <n v="7.1999999999999993"/>
    <n v="12.8"/>
    <b v="0"/>
    <n v="4"/>
    <n v="1"/>
    <x v="0"/>
    <n v="28.186274509803919"/>
  </r>
  <r>
    <s v="ORD472"/>
    <x v="3"/>
    <x v="15"/>
    <d v="2025-01-28T00:00:00"/>
    <d v="1899-12-30T19:15:00"/>
    <d v="2025-01-28T00:00:00"/>
    <d v="1899-12-30T19:45:00"/>
    <x v="3"/>
    <x v="1"/>
    <x v="1"/>
    <x v="1"/>
    <x v="7"/>
    <x v="0"/>
    <s v="Wallet"/>
    <b v="1"/>
    <b v="0"/>
    <n v="5"/>
    <n v="0.66666666666666663"/>
    <s v="January"/>
    <s v="Online"/>
    <n v="14.4"/>
    <n v="15.6"/>
    <b v="0"/>
    <n v="12"/>
    <n v="2"/>
    <x v="3"/>
    <n v="29.948453608247419"/>
  </r>
  <r>
    <s v="ORD473"/>
    <x v="2"/>
    <x v="16"/>
    <d v="2025-01-29T00:00:00"/>
    <d v="1899-12-30T20:30:00"/>
    <d v="2025-01-29T00:00:00"/>
    <d v="1899-12-30T21:10:00"/>
    <x v="4"/>
    <x v="3"/>
    <x v="3"/>
    <x v="3"/>
    <x v="8"/>
    <x v="1"/>
    <s v="Card"/>
    <b v="1"/>
    <b v="0"/>
    <n v="5"/>
    <n v="0.625"/>
    <s v="January"/>
    <s v="Online"/>
    <n v="19.2"/>
    <n v="20.8"/>
    <b v="1"/>
    <n v="20"/>
    <n v="3"/>
    <x v="1"/>
    <n v="28.844221105527641"/>
  </r>
  <r>
    <s v="ORD474"/>
    <x v="4"/>
    <x v="17"/>
    <d v="2025-01-30T00:00:00"/>
    <d v="1899-12-30T18:45:00"/>
    <d v="2025-01-30T00:00:00"/>
    <d v="1899-12-30T19:05:00"/>
    <x v="2"/>
    <x v="2"/>
    <x v="2"/>
    <x v="4"/>
    <x v="0"/>
    <x v="2"/>
    <s v="Cash"/>
    <b v="1"/>
    <b v="0"/>
    <n v="8"/>
    <n v="0.4"/>
    <s v="January"/>
    <s v="Offline"/>
    <n v="6"/>
    <n v="14"/>
    <b v="0"/>
    <n v="1"/>
    <n v="1"/>
    <x v="0"/>
    <n v="30.286458333333329"/>
  </r>
  <r>
    <s v="ORD475"/>
    <x v="0"/>
    <x v="18"/>
    <d v="2025-01-31T00:00:00"/>
    <d v="1899-12-30T19:00:00"/>
    <d v="2025-01-31T00:00:00"/>
    <d v="1899-12-30T19:50:00"/>
    <x v="5"/>
    <x v="1"/>
    <x v="1"/>
    <x v="1"/>
    <x v="9"/>
    <x v="1"/>
    <s v="Card"/>
    <b v="1"/>
    <b v="0"/>
    <n v="5"/>
    <n v="0.4"/>
    <s v="January"/>
    <s v="Online"/>
    <n v="24"/>
    <n v="26"/>
    <b v="1"/>
    <n v="12"/>
    <n v="3"/>
    <x v="3"/>
    <n v="30.259433962264151"/>
  </r>
  <r>
    <s v="ORD476"/>
    <x v="1"/>
    <x v="5"/>
    <d v="2025-02-01T00:00:00"/>
    <d v="1899-12-30T20:00:00"/>
    <d v="2025-02-01T00:00:00"/>
    <d v="1899-12-30T20:35:00"/>
    <x v="6"/>
    <x v="0"/>
    <x v="4"/>
    <x v="0"/>
    <x v="10"/>
    <x v="0"/>
    <s v="Wallet"/>
    <b v="1"/>
    <b v="1"/>
    <n v="6.3636363636363633"/>
    <n v="0.54545454545454541"/>
    <s v="February"/>
    <s v="Online"/>
    <n v="13.2"/>
    <n v="21.8"/>
    <b v="1"/>
    <n v="6"/>
    <n v="2"/>
    <x v="1"/>
    <n v="28.186274509803919"/>
  </r>
  <r>
    <s v="ORD477"/>
    <x v="3"/>
    <x v="19"/>
    <d v="2025-02-02T00:00:00"/>
    <d v="1899-12-30T18:30:00"/>
    <d v="2025-02-02T00:00:00"/>
    <d v="1899-12-30T18:50:00"/>
    <x v="2"/>
    <x v="2"/>
    <x v="2"/>
    <x v="2"/>
    <x v="4"/>
    <x v="2"/>
    <s v="UPI"/>
    <b v="1"/>
    <b v="1"/>
    <n v="10"/>
    <n v="1"/>
    <s v="February"/>
    <s v="Online"/>
    <n v="4.8"/>
    <n v="15.2"/>
    <b v="0"/>
    <n v="2"/>
    <n v="1"/>
    <x v="0"/>
    <n v="29.948453608247419"/>
  </r>
  <r>
    <s v="ORD478"/>
    <x v="2"/>
    <x v="9"/>
    <d v="2025-02-03T00:00:00"/>
    <d v="1899-12-30T19:45:00"/>
    <d v="2025-02-03T00:00:00"/>
    <d v="1899-12-30T20:25:00"/>
    <x v="4"/>
    <x v="3"/>
    <x v="5"/>
    <x v="3"/>
    <x v="11"/>
    <x v="1"/>
    <s v="Card"/>
    <b v="1"/>
    <b v="0"/>
    <n v="5.333333333333333"/>
    <n v="0.66666666666666663"/>
    <s v="February"/>
    <s v="Online"/>
    <n v="18"/>
    <n v="22"/>
    <b v="1"/>
    <n v="20"/>
    <n v="3"/>
    <x v="3"/>
    <n v="28.844221105527641"/>
  </r>
  <r>
    <s v="ORD479"/>
    <x v="4"/>
    <x v="10"/>
    <d v="2025-02-04T00:00:00"/>
    <d v="1899-12-30T18:00:00"/>
    <d v="2025-02-04T00:00:00"/>
    <d v="1899-12-30T18:30:00"/>
    <x v="3"/>
    <x v="0"/>
    <x v="1"/>
    <x v="0"/>
    <x v="6"/>
    <x v="0"/>
    <s v="UPI"/>
    <b v="1"/>
    <b v="0"/>
    <n v="7.5"/>
    <n v="0.75"/>
    <s v="February"/>
    <s v="Online"/>
    <n v="9.6"/>
    <n v="20.399999999999999"/>
    <b v="0"/>
    <n v="6"/>
    <n v="2"/>
    <x v="0"/>
    <n v="30.286458333333329"/>
  </r>
  <r>
    <s v="ORD480"/>
    <x v="0"/>
    <x v="27"/>
    <d v="2025-02-05T00:00:00"/>
    <d v="1899-12-30T20:15:00"/>
    <d v="2025-02-05T00:00:00"/>
    <d v="1899-12-30T21:00:00"/>
    <x v="7"/>
    <x v="1"/>
    <x v="0"/>
    <x v="1"/>
    <x v="12"/>
    <x v="1"/>
    <s v="Cash"/>
    <b v="1"/>
    <b v="0"/>
    <n v="5"/>
    <n v="0.44444444444444442"/>
    <s v="February"/>
    <s v="Offline"/>
    <n v="21.6"/>
    <n v="23.4"/>
    <b v="1"/>
    <n v="12"/>
    <n v="3"/>
    <x v="1"/>
    <n v="30.259433962264151"/>
  </r>
  <r>
    <s v="ORD481"/>
    <x v="1"/>
    <x v="11"/>
    <d v="2025-02-06T00:00:00"/>
    <d v="1899-12-30T18:00:00"/>
    <d v="2025-02-06T00:00:00"/>
    <d v="1899-12-30T18:20:00"/>
    <x v="2"/>
    <x v="0"/>
    <x v="0"/>
    <x v="2"/>
    <x v="2"/>
    <x v="2"/>
    <s v="Card"/>
    <b v="1"/>
    <b v="0"/>
    <n v="6.666666666666667"/>
    <n v="0.66666666666666663"/>
    <s v="February"/>
    <s v="Online"/>
    <n v="7.1999999999999993"/>
    <n v="12.8"/>
    <b v="0"/>
    <n v="4"/>
    <n v="1"/>
    <x v="0"/>
    <n v="28.186274509803919"/>
  </r>
  <r>
    <s v="ORD482"/>
    <x v="3"/>
    <x v="28"/>
    <d v="2025-02-07T00:00:00"/>
    <d v="1899-12-30T19:15:00"/>
    <d v="2025-02-07T00:00:00"/>
    <d v="1899-12-30T19:45:00"/>
    <x v="3"/>
    <x v="1"/>
    <x v="1"/>
    <x v="1"/>
    <x v="7"/>
    <x v="0"/>
    <s v="Wallet"/>
    <b v="1"/>
    <b v="0"/>
    <n v="5"/>
    <n v="0.66666666666666663"/>
    <s v="February"/>
    <s v="Online"/>
    <n v="14.4"/>
    <n v="15.6"/>
    <b v="0"/>
    <n v="12"/>
    <n v="2"/>
    <x v="3"/>
    <n v="29.948453608247419"/>
  </r>
  <r>
    <s v="ORD483"/>
    <x v="2"/>
    <x v="23"/>
    <d v="2025-02-08T00:00:00"/>
    <d v="1899-12-30T20:30:00"/>
    <d v="2025-02-08T00:00:00"/>
    <d v="1899-12-30T21:10:00"/>
    <x v="4"/>
    <x v="3"/>
    <x v="3"/>
    <x v="3"/>
    <x v="8"/>
    <x v="1"/>
    <s v="Card"/>
    <b v="1"/>
    <b v="1"/>
    <n v="5"/>
    <n v="0.625"/>
    <s v="February"/>
    <s v="Online"/>
    <n v="19.2"/>
    <n v="20.8"/>
    <b v="1"/>
    <n v="20"/>
    <n v="3"/>
    <x v="1"/>
    <n v="28.844221105527641"/>
  </r>
  <r>
    <s v="ORD484"/>
    <x v="4"/>
    <x v="29"/>
    <d v="2025-02-09T00:00:00"/>
    <d v="1899-12-30T18:45:00"/>
    <d v="2025-02-09T00:00:00"/>
    <d v="1899-12-30T19:05:00"/>
    <x v="2"/>
    <x v="2"/>
    <x v="2"/>
    <x v="4"/>
    <x v="0"/>
    <x v="2"/>
    <s v="Cash"/>
    <b v="1"/>
    <b v="1"/>
    <n v="8"/>
    <n v="0.4"/>
    <s v="February"/>
    <s v="Offline"/>
    <n v="6"/>
    <n v="14"/>
    <b v="0"/>
    <n v="1"/>
    <n v="1"/>
    <x v="0"/>
    <n v="30.286458333333329"/>
  </r>
  <r>
    <s v="ORD485"/>
    <x v="0"/>
    <x v="30"/>
    <d v="2025-02-10T00:00:00"/>
    <d v="1899-12-30T19:00:00"/>
    <d v="2025-02-10T00:00:00"/>
    <d v="1899-12-30T19:50:00"/>
    <x v="5"/>
    <x v="1"/>
    <x v="1"/>
    <x v="1"/>
    <x v="9"/>
    <x v="1"/>
    <s v="Card"/>
    <b v="1"/>
    <b v="0"/>
    <n v="5"/>
    <n v="0.4"/>
    <s v="February"/>
    <s v="Online"/>
    <n v="24"/>
    <n v="26"/>
    <b v="1"/>
    <n v="12"/>
    <n v="3"/>
    <x v="3"/>
    <n v="30.259433962264151"/>
  </r>
  <r>
    <s v="ORD486"/>
    <x v="1"/>
    <x v="31"/>
    <d v="2025-02-11T00:00:00"/>
    <d v="1899-12-30T20:00:00"/>
    <d v="2025-02-11T00:00:00"/>
    <d v="1899-12-30T20:35:00"/>
    <x v="6"/>
    <x v="0"/>
    <x v="4"/>
    <x v="0"/>
    <x v="10"/>
    <x v="0"/>
    <s v="Wallet"/>
    <b v="1"/>
    <b v="0"/>
    <n v="6.3636363636363633"/>
    <n v="0.54545454545454541"/>
    <s v="February"/>
    <s v="Online"/>
    <n v="13.2"/>
    <n v="21.8"/>
    <b v="1"/>
    <n v="6"/>
    <n v="2"/>
    <x v="1"/>
    <n v="28.186274509803919"/>
  </r>
  <r>
    <s v="ORD487"/>
    <x v="3"/>
    <x v="32"/>
    <d v="2025-02-12T00:00:00"/>
    <d v="1899-12-30T18:30:00"/>
    <d v="2025-02-12T00:00:00"/>
    <d v="1899-12-30T18:50:00"/>
    <x v="2"/>
    <x v="2"/>
    <x v="2"/>
    <x v="2"/>
    <x v="4"/>
    <x v="2"/>
    <s v="Wallet"/>
    <b v="1"/>
    <b v="0"/>
    <n v="10"/>
    <n v="1"/>
    <s v="February"/>
    <s v="Online"/>
    <n v="4.8"/>
    <n v="15.2"/>
    <b v="0"/>
    <n v="2"/>
    <n v="1"/>
    <x v="0"/>
    <n v="29.948453608247419"/>
  </r>
  <r>
    <s v="ORD488"/>
    <x v="2"/>
    <x v="33"/>
    <d v="2025-02-13T00:00:00"/>
    <d v="1899-12-30T19:45:00"/>
    <d v="2025-02-13T00:00:00"/>
    <d v="1899-12-30T20:25:00"/>
    <x v="4"/>
    <x v="3"/>
    <x v="3"/>
    <x v="3"/>
    <x v="11"/>
    <x v="1"/>
    <s v="Card"/>
    <b v="1"/>
    <b v="0"/>
    <n v="5.333333333333333"/>
    <n v="0.66666666666666663"/>
    <s v="February"/>
    <s v="Online"/>
    <n v="18"/>
    <n v="22"/>
    <b v="1"/>
    <n v="20"/>
    <n v="3"/>
    <x v="3"/>
    <n v="28.844221105527641"/>
  </r>
  <r>
    <s v="ORD489"/>
    <x v="4"/>
    <x v="34"/>
    <d v="2025-02-14T00:00:00"/>
    <d v="1899-12-30T18:00:00"/>
    <d v="2025-02-14T00:00:00"/>
    <d v="1899-12-30T18:20:00"/>
    <x v="2"/>
    <x v="0"/>
    <x v="0"/>
    <x v="2"/>
    <x v="2"/>
    <x v="2"/>
    <s v="Card"/>
    <b v="1"/>
    <b v="0"/>
    <n v="6.666666666666667"/>
    <n v="0.66666666666666663"/>
    <s v="February"/>
    <s v="Online"/>
    <n v="7.1999999999999993"/>
    <n v="12.8"/>
    <b v="0"/>
    <n v="4"/>
    <n v="1"/>
    <x v="0"/>
    <n v="30.286458333333329"/>
  </r>
  <r>
    <s v="ORD490"/>
    <x v="0"/>
    <x v="35"/>
    <d v="2025-02-15T00:00:00"/>
    <d v="1899-12-30T19:15:00"/>
    <d v="2025-02-15T00:00:00"/>
    <d v="1899-12-30T19:45:00"/>
    <x v="3"/>
    <x v="1"/>
    <x v="7"/>
    <x v="1"/>
    <x v="7"/>
    <x v="0"/>
    <s v="UPI"/>
    <b v="1"/>
    <b v="1"/>
    <n v="5"/>
    <n v="0.66666666666666663"/>
    <s v="February"/>
    <s v="Online"/>
    <n v="14.4"/>
    <n v="15.6"/>
    <b v="0"/>
    <n v="12"/>
    <n v="2"/>
    <x v="3"/>
    <n v="30.259433962264151"/>
  </r>
  <r>
    <s v="ORD491"/>
    <x v="1"/>
    <x v="36"/>
    <d v="2025-02-16T00:00:00"/>
    <d v="1899-12-30T20:30:00"/>
    <d v="2025-02-16T00:00:00"/>
    <d v="1899-12-30T21:10:00"/>
    <x v="4"/>
    <x v="3"/>
    <x v="3"/>
    <x v="3"/>
    <x v="8"/>
    <x v="1"/>
    <s v="Wallet"/>
    <b v="1"/>
    <b v="1"/>
    <n v="5"/>
    <n v="0.625"/>
    <s v="February"/>
    <s v="Online"/>
    <n v="19.2"/>
    <n v="20.8"/>
    <b v="1"/>
    <n v="20"/>
    <n v="3"/>
    <x v="1"/>
    <n v="28.186274509803919"/>
  </r>
  <r>
    <s v="ORD492"/>
    <x v="3"/>
    <x v="37"/>
    <d v="2025-02-17T00:00:00"/>
    <d v="1899-12-30T18:45:00"/>
    <d v="2025-02-17T00:00:00"/>
    <d v="1899-12-30T19:05:00"/>
    <x v="2"/>
    <x v="2"/>
    <x v="2"/>
    <x v="4"/>
    <x v="0"/>
    <x v="2"/>
    <s v="Cash"/>
    <b v="1"/>
    <b v="0"/>
    <n v="8"/>
    <n v="0.4"/>
    <s v="February"/>
    <s v="Offline"/>
    <n v="6"/>
    <n v="14"/>
    <b v="0"/>
    <n v="1"/>
    <n v="1"/>
    <x v="0"/>
    <n v="29.948453608247419"/>
  </r>
  <r>
    <s v="ORD493"/>
    <x v="0"/>
    <x v="8"/>
    <d v="2025-02-18T00:00:00"/>
    <d v="1899-12-30T19:00:00"/>
    <d v="2025-02-18T00:00:00"/>
    <d v="1899-12-30T19:50:00"/>
    <x v="5"/>
    <x v="1"/>
    <x v="1"/>
    <x v="1"/>
    <x v="9"/>
    <x v="1"/>
    <s v="Card"/>
    <b v="1"/>
    <b v="0"/>
    <n v="5"/>
    <n v="0.4"/>
    <s v="February"/>
    <s v="Online"/>
    <n v="24"/>
    <n v="26"/>
    <b v="1"/>
    <n v="12"/>
    <n v="3"/>
    <x v="3"/>
    <n v="30.259433962264151"/>
  </r>
  <r>
    <s v="ORD494"/>
    <x v="1"/>
    <x v="38"/>
    <d v="2025-02-19T00:00:00"/>
    <d v="1899-12-30T20:00:00"/>
    <d v="2025-02-19T00:00:00"/>
    <d v="1899-12-30T20:35:00"/>
    <x v="6"/>
    <x v="0"/>
    <x v="4"/>
    <x v="0"/>
    <x v="10"/>
    <x v="0"/>
    <s v="Wallet"/>
    <b v="1"/>
    <b v="0"/>
    <n v="6.3636363636363633"/>
    <n v="0.54545454545454541"/>
    <s v="February"/>
    <s v="Online"/>
    <n v="13.2"/>
    <n v="21.8"/>
    <b v="1"/>
    <n v="6"/>
    <n v="2"/>
    <x v="1"/>
    <n v="28.186274509803919"/>
  </r>
  <r>
    <s v="ORD495"/>
    <x v="3"/>
    <x v="39"/>
    <d v="2025-02-20T00:00:00"/>
    <d v="1899-12-30T18:30:00"/>
    <d v="2025-02-20T00:00:00"/>
    <d v="1899-12-30T18:50:00"/>
    <x v="2"/>
    <x v="2"/>
    <x v="2"/>
    <x v="2"/>
    <x v="4"/>
    <x v="2"/>
    <s v="UPI"/>
    <b v="1"/>
    <b v="0"/>
    <n v="10"/>
    <n v="1"/>
    <s v="February"/>
    <s v="Online"/>
    <n v="4.8"/>
    <n v="15.2"/>
    <b v="0"/>
    <n v="2"/>
    <n v="1"/>
    <x v="0"/>
    <n v="29.948453608247419"/>
  </r>
  <r>
    <s v="ORD496"/>
    <x v="2"/>
    <x v="3"/>
    <d v="2025-02-21T00:00:00"/>
    <d v="1899-12-30T19:45:00"/>
    <d v="2025-02-21T00:00:00"/>
    <d v="1899-12-30T20:25:00"/>
    <x v="4"/>
    <x v="3"/>
    <x v="5"/>
    <x v="3"/>
    <x v="11"/>
    <x v="1"/>
    <s v="Card"/>
    <b v="1"/>
    <b v="0"/>
    <n v="5.333333333333333"/>
    <n v="0.66666666666666663"/>
    <s v="February"/>
    <s v="Online"/>
    <n v="18"/>
    <n v="22"/>
    <b v="1"/>
    <n v="20"/>
    <n v="3"/>
    <x v="3"/>
    <n v="28.844221105527641"/>
  </r>
  <r>
    <s v="ORD497"/>
    <x v="4"/>
    <x v="40"/>
    <d v="2025-02-22T00:00:00"/>
    <d v="1899-12-30T18:00:00"/>
    <d v="2025-02-22T00:00:00"/>
    <d v="1899-12-30T18:30:00"/>
    <x v="3"/>
    <x v="0"/>
    <x v="1"/>
    <x v="0"/>
    <x v="6"/>
    <x v="0"/>
    <s v="UPI"/>
    <b v="1"/>
    <b v="1"/>
    <n v="7.5"/>
    <n v="0.75"/>
    <s v="February"/>
    <s v="Online"/>
    <n v="9.6"/>
    <n v="20.399999999999999"/>
    <b v="0"/>
    <n v="6"/>
    <n v="2"/>
    <x v="0"/>
    <n v="30.286458333333329"/>
  </r>
  <r>
    <s v="ORD498"/>
    <x v="0"/>
    <x v="41"/>
    <d v="2025-02-23T00:00:00"/>
    <d v="1899-12-30T20:15:00"/>
    <d v="2025-02-23T00:00:00"/>
    <d v="1899-12-30T21:00:00"/>
    <x v="7"/>
    <x v="1"/>
    <x v="0"/>
    <x v="1"/>
    <x v="12"/>
    <x v="1"/>
    <s v="Cash"/>
    <b v="1"/>
    <b v="1"/>
    <n v="5"/>
    <n v="0.44444444444444442"/>
    <s v="February"/>
    <s v="Offline"/>
    <n v="21.6"/>
    <n v="23.4"/>
    <b v="1"/>
    <n v="12"/>
    <n v="3"/>
    <x v="1"/>
    <n v="30.259433962264151"/>
  </r>
  <r>
    <s v="ORD499"/>
    <x v="1"/>
    <x v="42"/>
    <d v="2025-02-24T00:00:00"/>
    <d v="1899-12-30T18:00:00"/>
    <d v="2025-02-24T00:00:00"/>
    <d v="1899-12-30T18:20:00"/>
    <x v="2"/>
    <x v="0"/>
    <x v="0"/>
    <x v="2"/>
    <x v="2"/>
    <x v="2"/>
    <s v="Card"/>
    <b v="1"/>
    <b v="0"/>
    <n v="6.666666666666667"/>
    <n v="0.66666666666666663"/>
    <s v="February"/>
    <s v="Online"/>
    <n v="7.1999999999999993"/>
    <n v="12.8"/>
    <b v="0"/>
    <n v="4"/>
    <n v="1"/>
    <x v="0"/>
    <n v="28.186274509803919"/>
  </r>
  <r>
    <s v="ORD500"/>
    <x v="3"/>
    <x v="43"/>
    <d v="2025-02-25T00:00:00"/>
    <d v="1899-12-30T19:15:00"/>
    <d v="2025-02-25T00:00:00"/>
    <d v="1899-12-30T19:45:00"/>
    <x v="3"/>
    <x v="1"/>
    <x v="1"/>
    <x v="1"/>
    <x v="7"/>
    <x v="0"/>
    <s v="Wallet"/>
    <b v="1"/>
    <b v="0"/>
    <n v="5"/>
    <n v="0.66666666666666663"/>
    <s v="February"/>
    <s v="Online"/>
    <n v="14.4"/>
    <n v="15.6"/>
    <b v="0"/>
    <n v="12"/>
    <n v="2"/>
    <x v="3"/>
    <n v="29.948453608247419"/>
  </r>
  <r>
    <s v="ORD501"/>
    <x v="2"/>
    <x v="44"/>
    <d v="2025-02-26T00:00:00"/>
    <d v="1899-12-30T20:30:00"/>
    <d v="2025-02-26T00:00:00"/>
    <d v="1899-12-30T21:10:00"/>
    <x v="4"/>
    <x v="3"/>
    <x v="3"/>
    <x v="3"/>
    <x v="8"/>
    <x v="1"/>
    <s v="Card"/>
    <b v="1"/>
    <b v="0"/>
    <n v="5"/>
    <n v="0.625"/>
    <s v="February"/>
    <s v="Online"/>
    <n v="19.2"/>
    <n v="20.8"/>
    <b v="1"/>
    <n v="20"/>
    <n v="3"/>
    <x v="1"/>
    <n v="28.844221105527641"/>
  </r>
  <r>
    <s v="ORD502"/>
    <x v="4"/>
    <x v="45"/>
    <d v="2025-02-27T00:00:00"/>
    <d v="1899-12-30T18:45:00"/>
    <d v="2025-02-27T00:00:00"/>
    <d v="1899-12-30T19:05:00"/>
    <x v="2"/>
    <x v="2"/>
    <x v="2"/>
    <x v="4"/>
    <x v="0"/>
    <x v="2"/>
    <s v="Cash"/>
    <b v="1"/>
    <b v="0"/>
    <n v="8"/>
    <n v="0.4"/>
    <s v="February"/>
    <s v="Offline"/>
    <n v="6"/>
    <n v="14"/>
    <b v="0"/>
    <n v="1"/>
    <n v="1"/>
    <x v="0"/>
    <n v="30.286458333333329"/>
  </r>
  <r>
    <s v="ORD503"/>
    <x v="0"/>
    <x v="46"/>
    <d v="2025-02-28T00:00:00"/>
    <d v="1899-12-30T19:00:00"/>
    <d v="2025-02-28T00:00:00"/>
    <d v="1899-12-30T19:50:00"/>
    <x v="5"/>
    <x v="1"/>
    <x v="1"/>
    <x v="1"/>
    <x v="9"/>
    <x v="1"/>
    <s v="Domino's Cash"/>
    <b v="1"/>
    <b v="0"/>
    <n v="5"/>
    <n v="0.4"/>
    <s v="February"/>
    <s v="Offline"/>
    <n v="24"/>
    <n v="26"/>
    <b v="1"/>
    <n v="12"/>
    <n v="3"/>
    <x v="3"/>
    <n v="30.259433962264151"/>
  </r>
  <r>
    <s v="ORD504"/>
    <x v="1"/>
    <x v="47"/>
    <d v="2025-03-01T00:00:00"/>
    <d v="1899-12-30T20:00:00"/>
    <d v="2025-03-01T00:00:00"/>
    <d v="1899-12-30T20:35:00"/>
    <x v="6"/>
    <x v="0"/>
    <x v="4"/>
    <x v="0"/>
    <x v="10"/>
    <x v="0"/>
    <s v="Wallet"/>
    <b v="1"/>
    <b v="1"/>
    <n v="6.3636363636363633"/>
    <n v="0.54545454545454541"/>
    <s v="March"/>
    <s v="Online"/>
    <n v="13.2"/>
    <n v="21.8"/>
    <b v="1"/>
    <n v="6"/>
    <n v="2"/>
    <x v="1"/>
    <n v="28.186274509803919"/>
  </r>
  <r>
    <s v="ORD505"/>
    <x v="3"/>
    <x v="48"/>
    <d v="2025-03-02T00:00:00"/>
    <d v="1899-12-30T18:30:00"/>
    <d v="2025-03-02T00:00:00"/>
    <d v="1899-12-30T18:50:00"/>
    <x v="2"/>
    <x v="2"/>
    <x v="2"/>
    <x v="2"/>
    <x v="4"/>
    <x v="2"/>
    <s v="UPI"/>
    <b v="1"/>
    <b v="1"/>
    <n v="10"/>
    <n v="1"/>
    <s v="March"/>
    <s v="Online"/>
    <n v="4.8"/>
    <n v="15.2"/>
    <b v="0"/>
    <n v="2"/>
    <n v="1"/>
    <x v="0"/>
    <n v="29.948453608247419"/>
  </r>
  <r>
    <s v="ORD506"/>
    <x v="2"/>
    <x v="49"/>
    <d v="2025-03-03T00:00:00"/>
    <d v="1899-12-30T19:45:00"/>
    <d v="2025-03-03T00:00:00"/>
    <d v="1899-12-30T20:25:00"/>
    <x v="4"/>
    <x v="3"/>
    <x v="5"/>
    <x v="3"/>
    <x v="11"/>
    <x v="1"/>
    <s v="Card"/>
    <b v="1"/>
    <b v="0"/>
    <n v="5.333333333333333"/>
    <n v="0.66666666666666663"/>
    <s v="March"/>
    <s v="Online"/>
    <n v="18"/>
    <n v="22"/>
    <b v="1"/>
    <n v="20"/>
    <n v="3"/>
    <x v="3"/>
    <n v="28.844221105527641"/>
  </r>
  <r>
    <s v="ORD507"/>
    <x v="4"/>
    <x v="50"/>
    <d v="2025-03-04T00:00:00"/>
    <d v="1899-12-30T18:00:00"/>
    <d v="2025-03-04T00:00:00"/>
    <d v="1899-12-30T18:30:00"/>
    <x v="3"/>
    <x v="0"/>
    <x v="1"/>
    <x v="0"/>
    <x v="6"/>
    <x v="0"/>
    <s v="UPI"/>
    <b v="1"/>
    <b v="0"/>
    <n v="7.5"/>
    <n v="0.75"/>
    <s v="March"/>
    <s v="Online"/>
    <n v="9.6"/>
    <n v="20.399999999999999"/>
    <b v="0"/>
    <n v="6"/>
    <n v="2"/>
    <x v="0"/>
    <n v="30.286458333333329"/>
  </r>
  <r>
    <s v="ORD508"/>
    <x v="0"/>
    <x v="51"/>
    <d v="2025-03-05T00:00:00"/>
    <d v="1899-12-30T20:15:00"/>
    <d v="2025-03-05T00:00:00"/>
    <d v="1899-12-30T21:00:00"/>
    <x v="7"/>
    <x v="1"/>
    <x v="0"/>
    <x v="1"/>
    <x v="12"/>
    <x v="1"/>
    <s v="Cash"/>
    <b v="1"/>
    <b v="0"/>
    <n v="5"/>
    <n v="0.44444444444444442"/>
    <s v="March"/>
    <s v="Offline"/>
    <n v="21.6"/>
    <n v="23.4"/>
    <b v="1"/>
    <n v="12"/>
    <n v="3"/>
    <x v="1"/>
    <n v="30.259433962264151"/>
  </r>
  <r>
    <s v="ORD509"/>
    <x v="1"/>
    <x v="52"/>
    <d v="2025-03-06T00:00:00"/>
    <d v="1899-12-30T18:00:00"/>
    <d v="2025-03-06T00:00:00"/>
    <d v="1899-12-30T18:20:00"/>
    <x v="2"/>
    <x v="0"/>
    <x v="0"/>
    <x v="2"/>
    <x v="2"/>
    <x v="2"/>
    <s v="Card"/>
    <b v="1"/>
    <b v="0"/>
    <n v="6.666666666666667"/>
    <n v="0.66666666666666663"/>
    <s v="March"/>
    <s v="Online"/>
    <n v="7.1999999999999993"/>
    <n v="12.8"/>
    <b v="0"/>
    <n v="4"/>
    <n v="1"/>
    <x v="0"/>
    <n v="28.186274509803919"/>
  </r>
  <r>
    <s v="ORD510"/>
    <x v="3"/>
    <x v="53"/>
    <d v="2025-03-07T00:00:00"/>
    <d v="1899-12-30T19:15:00"/>
    <d v="2025-03-07T00:00:00"/>
    <d v="1899-12-30T19:45:00"/>
    <x v="3"/>
    <x v="1"/>
    <x v="1"/>
    <x v="1"/>
    <x v="7"/>
    <x v="0"/>
    <s v="Wallet"/>
    <b v="1"/>
    <b v="0"/>
    <n v="5"/>
    <n v="0.66666666666666663"/>
    <s v="March"/>
    <s v="Online"/>
    <n v="14.4"/>
    <n v="15.6"/>
    <b v="0"/>
    <n v="12"/>
    <n v="2"/>
    <x v="3"/>
    <n v="29.948453608247419"/>
  </r>
  <r>
    <s v="ORD511"/>
    <x v="2"/>
    <x v="54"/>
    <d v="2025-03-08T00:00:00"/>
    <d v="1899-12-30T20:30:00"/>
    <d v="2025-03-08T00:00:00"/>
    <d v="1899-12-30T21:10:00"/>
    <x v="4"/>
    <x v="3"/>
    <x v="3"/>
    <x v="3"/>
    <x v="8"/>
    <x v="1"/>
    <s v="Card"/>
    <b v="1"/>
    <b v="1"/>
    <n v="5"/>
    <n v="0.625"/>
    <s v="March"/>
    <s v="Online"/>
    <n v="19.2"/>
    <n v="20.8"/>
    <b v="1"/>
    <n v="20"/>
    <n v="3"/>
    <x v="1"/>
    <n v="28.844221105527641"/>
  </r>
  <r>
    <s v="ORD512"/>
    <x v="4"/>
    <x v="55"/>
    <d v="2025-03-09T00:00:00"/>
    <d v="1899-12-30T18:45:00"/>
    <d v="2025-03-09T00:00:00"/>
    <d v="1899-12-30T19:05:00"/>
    <x v="2"/>
    <x v="2"/>
    <x v="2"/>
    <x v="4"/>
    <x v="0"/>
    <x v="2"/>
    <s v="Cash"/>
    <b v="1"/>
    <b v="1"/>
    <n v="8"/>
    <n v="0.4"/>
    <s v="March"/>
    <s v="Offline"/>
    <n v="6"/>
    <n v="14"/>
    <b v="0"/>
    <n v="1"/>
    <n v="1"/>
    <x v="0"/>
    <n v="30.286458333333329"/>
  </r>
  <r>
    <s v="ORD513"/>
    <x v="0"/>
    <x v="56"/>
    <d v="2025-03-10T00:00:00"/>
    <d v="1899-12-30T19:00:00"/>
    <d v="2025-03-10T00:00:00"/>
    <d v="1899-12-30T19:50:00"/>
    <x v="5"/>
    <x v="1"/>
    <x v="1"/>
    <x v="1"/>
    <x v="9"/>
    <x v="1"/>
    <s v="Card"/>
    <b v="1"/>
    <b v="0"/>
    <n v="5"/>
    <n v="0.4"/>
    <s v="March"/>
    <s v="Online"/>
    <n v="24"/>
    <n v="26"/>
    <b v="1"/>
    <n v="12"/>
    <n v="3"/>
    <x v="3"/>
    <n v="30.259433962264151"/>
  </r>
  <r>
    <s v="ORD514"/>
    <x v="1"/>
    <x v="57"/>
    <d v="2025-03-11T00:00:00"/>
    <d v="1899-12-30T20:00:00"/>
    <d v="2025-03-11T00:00:00"/>
    <d v="1899-12-30T20:35:00"/>
    <x v="6"/>
    <x v="0"/>
    <x v="4"/>
    <x v="0"/>
    <x v="10"/>
    <x v="0"/>
    <s v="Wallet"/>
    <b v="1"/>
    <b v="0"/>
    <n v="6.3636363636363633"/>
    <n v="0.54545454545454541"/>
    <s v="March"/>
    <s v="Online"/>
    <n v="13.2"/>
    <n v="21.8"/>
    <b v="1"/>
    <n v="6"/>
    <n v="2"/>
    <x v="1"/>
    <n v="28.186274509803919"/>
  </r>
  <r>
    <s v="ORD515"/>
    <x v="3"/>
    <x v="58"/>
    <d v="2025-03-12T00:00:00"/>
    <d v="1899-12-30T18:30:00"/>
    <d v="2025-03-12T00:00:00"/>
    <d v="1899-12-30T18:50:00"/>
    <x v="2"/>
    <x v="2"/>
    <x v="2"/>
    <x v="2"/>
    <x v="4"/>
    <x v="2"/>
    <s v="UPI"/>
    <b v="1"/>
    <b v="0"/>
    <n v="10"/>
    <n v="1"/>
    <s v="March"/>
    <s v="Online"/>
    <n v="4.8"/>
    <n v="15.2"/>
    <b v="0"/>
    <n v="2"/>
    <n v="1"/>
    <x v="0"/>
    <n v="29.948453608247419"/>
  </r>
  <r>
    <s v="ORD516"/>
    <x v="2"/>
    <x v="59"/>
    <d v="2025-03-13T00:00:00"/>
    <d v="1899-12-30T19:45:00"/>
    <d v="2025-03-13T00:00:00"/>
    <d v="1899-12-30T20:25:00"/>
    <x v="4"/>
    <x v="3"/>
    <x v="3"/>
    <x v="3"/>
    <x v="11"/>
    <x v="1"/>
    <s v="Card"/>
    <b v="1"/>
    <b v="0"/>
    <n v="5.333333333333333"/>
    <n v="0.66666666666666663"/>
    <s v="March"/>
    <s v="Online"/>
    <n v="18"/>
    <n v="22"/>
    <b v="1"/>
    <n v="20"/>
    <n v="3"/>
    <x v="3"/>
    <n v="28.844221105527641"/>
  </r>
  <r>
    <s v="ORD517"/>
    <x v="4"/>
    <x v="60"/>
    <d v="2025-03-14T00:00:00"/>
    <d v="1899-12-30T18:00:00"/>
    <d v="2025-03-14T00:00:00"/>
    <d v="1899-12-30T18:20:00"/>
    <x v="2"/>
    <x v="0"/>
    <x v="0"/>
    <x v="2"/>
    <x v="2"/>
    <x v="2"/>
    <s v="Card"/>
    <b v="1"/>
    <b v="0"/>
    <n v="6.666666666666667"/>
    <n v="0.66666666666666663"/>
    <s v="March"/>
    <s v="Online"/>
    <n v="7.1999999999999993"/>
    <n v="12.8"/>
    <b v="0"/>
    <n v="4"/>
    <n v="1"/>
    <x v="0"/>
    <n v="30.286458333333329"/>
  </r>
  <r>
    <s v="ORD518"/>
    <x v="0"/>
    <x v="61"/>
    <d v="2025-03-15T00:00:00"/>
    <d v="1899-12-30T19:15:00"/>
    <d v="2025-03-15T00:00:00"/>
    <d v="1899-12-30T19:45:00"/>
    <x v="3"/>
    <x v="1"/>
    <x v="7"/>
    <x v="1"/>
    <x v="7"/>
    <x v="0"/>
    <s v="UPI"/>
    <b v="1"/>
    <b v="1"/>
    <n v="5"/>
    <n v="0.66666666666666663"/>
    <s v="March"/>
    <s v="Online"/>
    <n v="14.4"/>
    <n v="15.6"/>
    <b v="0"/>
    <n v="12"/>
    <n v="2"/>
    <x v="3"/>
    <n v="30.259433962264151"/>
  </r>
  <r>
    <s v="ORD519"/>
    <x v="1"/>
    <x v="62"/>
    <d v="2025-03-16T00:00:00"/>
    <d v="1899-12-30T20:30:00"/>
    <d v="2025-03-16T00:00:00"/>
    <d v="1899-12-30T21:10:00"/>
    <x v="4"/>
    <x v="3"/>
    <x v="3"/>
    <x v="3"/>
    <x v="8"/>
    <x v="1"/>
    <s v="Wallet"/>
    <b v="1"/>
    <b v="1"/>
    <n v="5"/>
    <n v="0.625"/>
    <s v="March"/>
    <s v="Online"/>
    <n v="19.2"/>
    <n v="20.8"/>
    <b v="1"/>
    <n v="20"/>
    <n v="3"/>
    <x v="1"/>
    <n v="28.186274509803919"/>
  </r>
  <r>
    <s v="ORD520"/>
    <x v="3"/>
    <x v="63"/>
    <d v="2025-03-17T00:00:00"/>
    <d v="1899-12-30T18:45:00"/>
    <d v="2025-03-17T00:00:00"/>
    <d v="1899-12-30T19:05:00"/>
    <x v="2"/>
    <x v="2"/>
    <x v="2"/>
    <x v="4"/>
    <x v="0"/>
    <x v="2"/>
    <s v="Cash"/>
    <b v="1"/>
    <b v="0"/>
    <n v="8"/>
    <n v="0.4"/>
    <s v="March"/>
    <s v="Offline"/>
    <n v="6"/>
    <n v="14"/>
    <b v="0"/>
    <n v="1"/>
    <n v="1"/>
    <x v="0"/>
    <n v="29.948453608247419"/>
  </r>
  <r>
    <s v="ORD521"/>
    <x v="0"/>
    <x v="24"/>
    <d v="2025-03-18T00:00:00"/>
    <d v="1899-12-30T19:00:00"/>
    <d v="2025-03-18T00:00:00"/>
    <d v="1899-12-30T19:50:00"/>
    <x v="5"/>
    <x v="1"/>
    <x v="1"/>
    <x v="1"/>
    <x v="9"/>
    <x v="1"/>
    <s v="Card"/>
    <b v="1"/>
    <b v="0"/>
    <n v="5"/>
    <n v="0.4"/>
    <s v="March"/>
    <s v="Online"/>
    <n v="24"/>
    <n v="26"/>
    <b v="1"/>
    <n v="12"/>
    <n v="3"/>
    <x v="3"/>
    <n v="30.259433962264151"/>
  </r>
  <r>
    <s v="ORD522"/>
    <x v="1"/>
    <x v="64"/>
    <d v="2025-03-19T00:00:00"/>
    <d v="1899-12-30T20:00:00"/>
    <d v="2025-03-19T00:00:00"/>
    <d v="1899-12-30T20:35:00"/>
    <x v="6"/>
    <x v="0"/>
    <x v="4"/>
    <x v="0"/>
    <x v="10"/>
    <x v="0"/>
    <s v="Wallet"/>
    <b v="1"/>
    <b v="0"/>
    <n v="6.3636363636363633"/>
    <n v="0.54545454545454541"/>
    <s v="March"/>
    <s v="Online"/>
    <n v="13.2"/>
    <n v="21.8"/>
    <b v="1"/>
    <n v="6"/>
    <n v="2"/>
    <x v="1"/>
    <n v="28.186274509803919"/>
  </r>
  <r>
    <s v="ORD523"/>
    <x v="3"/>
    <x v="65"/>
    <d v="2025-03-20T00:00:00"/>
    <d v="1899-12-30T18:30:00"/>
    <d v="2025-03-20T00:00:00"/>
    <d v="1899-12-30T18:50:00"/>
    <x v="2"/>
    <x v="2"/>
    <x v="2"/>
    <x v="2"/>
    <x v="4"/>
    <x v="2"/>
    <s v="UPI"/>
    <b v="1"/>
    <b v="0"/>
    <n v="10"/>
    <n v="1"/>
    <s v="March"/>
    <s v="Online"/>
    <n v="4.8"/>
    <n v="15.2"/>
    <b v="0"/>
    <n v="2"/>
    <n v="1"/>
    <x v="0"/>
    <n v="29.948453608247419"/>
  </r>
  <r>
    <s v="ORD524"/>
    <x v="2"/>
    <x v="66"/>
    <d v="2025-03-21T00:00:00"/>
    <d v="1899-12-30T19:45:00"/>
    <d v="2025-03-21T00:00:00"/>
    <d v="1899-12-30T20:25:00"/>
    <x v="4"/>
    <x v="3"/>
    <x v="5"/>
    <x v="3"/>
    <x v="11"/>
    <x v="1"/>
    <s v="Card"/>
    <b v="1"/>
    <b v="0"/>
    <n v="5.333333333333333"/>
    <n v="0.66666666666666663"/>
    <s v="March"/>
    <s v="Online"/>
    <n v="18"/>
    <n v="22"/>
    <b v="1"/>
    <n v="20"/>
    <n v="3"/>
    <x v="3"/>
    <n v="28.844221105527641"/>
  </r>
  <r>
    <s v="ORD525"/>
    <x v="4"/>
    <x v="67"/>
    <d v="2025-03-22T00:00:00"/>
    <d v="1899-12-30T18:00:00"/>
    <d v="2025-03-22T00:00:00"/>
    <d v="1899-12-30T18:30:00"/>
    <x v="3"/>
    <x v="0"/>
    <x v="1"/>
    <x v="0"/>
    <x v="6"/>
    <x v="0"/>
    <s v="UPI"/>
    <b v="1"/>
    <b v="1"/>
    <n v="7.5"/>
    <n v="0.75"/>
    <s v="March"/>
    <s v="Online"/>
    <n v="9.6"/>
    <n v="20.399999999999999"/>
    <b v="0"/>
    <n v="6"/>
    <n v="2"/>
    <x v="0"/>
    <n v="30.286458333333329"/>
  </r>
  <r>
    <s v="ORD526"/>
    <x v="0"/>
    <x v="68"/>
    <d v="2025-03-23T00:00:00"/>
    <d v="1899-12-30T20:15:00"/>
    <d v="2025-03-23T00:00:00"/>
    <d v="1899-12-30T21:00:00"/>
    <x v="7"/>
    <x v="1"/>
    <x v="0"/>
    <x v="1"/>
    <x v="12"/>
    <x v="1"/>
    <s v="Cash"/>
    <b v="1"/>
    <b v="1"/>
    <n v="5"/>
    <n v="0.44444444444444442"/>
    <s v="March"/>
    <s v="Offline"/>
    <n v="21.6"/>
    <n v="23.4"/>
    <b v="1"/>
    <n v="12"/>
    <n v="3"/>
    <x v="1"/>
    <n v="30.259433962264151"/>
  </r>
  <r>
    <s v="ORD527"/>
    <x v="1"/>
    <x v="69"/>
    <d v="2025-03-24T00:00:00"/>
    <d v="1899-12-30T18:00:00"/>
    <d v="2025-03-24T00:00:00"/>
    <d v="1899-12-30T18:20:00"/>
    <x v="2"/>
    <x v="0"/>
    <x v="0"/>
    <x v="2"/>
    <x v="2"/>
    <x v="2"/>
    <s v="Card"/>
    <b v="1"/>
    <b v="0"/>
    <n v="6.666666666666667"/>
    <n v="0.66666666666666663"/>
    <s v="March"/>
    <s v="Online"/>
    <n v="7.1999999999999993"/>
    <n v="12.8"/>
    <b v="0"/>
    <n v="4"/>
    <n v="1"/>
    <x v="0"/>
    <n v="28.186274509803919"/>
  </r>
  <r>
    <s v="ORD528"/>
    <x v="3"/>
    <x v="70"/>
    <d v="2025-03-25T00:00:00"/>
    <d v="1899-12-30T19:15:00"/>
    <d v="2025-03-25T00:00:00"/>
    <d v="1899-12-30T19:45:00"/>
    <x v="3"/>
    <x v="1"/>
    <x v="1"/>
    <x v="1"/>
    <x v="7"/>
    <x v="0"/>
    <s v="Wallet"/>
    <b v="1"/>
    <b v="0"/>
    <n v="5"/>
    <n v="0.66666666666666663"/>
    <s v="March"/>
    <s v="Online"/>
    <n v="14.4"/>
    <n v="15.6"/>
    <b v="0"/>
    <n v="12"/>
    <n v="2"/>
    <x v="3"/>
    <n v="29.948453608247419"/>
  </r>
  <r>
    <s v="ORD529"/>
    <x v="2"/>
    <x v="71"/>
    <d v="2025-03-26T00:00:00"/>
    <d v="1899-12-30T20:30:00"/>
    <d v="2025-03-26T00:00:00"/>
    <d v="1899-12-30T21:10:00"/>
    <x v="4"/>
    <x v="3"/>
    <x v="3"/>
    <x v="3"/>
    <x v="8"/>
    <x v="1"/>
    <s v="Card"/>
    <b v="1"/>
    <b v="0"/>
    <n v="5"/>
    <n v="0.625"/>
    <s v="March"/>
    <s v="Online"/>
    <n v="19.2"/>
    <n v="20.8"/>
    <b v="1"/>
    <n v="20"/>
    <n v="3"/>
    <x v="1"/>
    <n v="28.844221105527641"/>
  </r>
  <r>
    <s v="ORD530"/>
    <x v="4"/>
    <x v="72"/>
    <d v="2025-03-27T00:00:00"/>
    <d v="1899-12-30T18:45:00"/>
    <d v="2025-03-27T00:00:00"/>
    <d v="1899-12-30T19:05:00"/>
    <x v="2"/>
    <x v="2"/>
    <x v="2"/>
    <x v="4"/>
    <x v="0"/>
    <x v="2"/>
    <s v="Cash"/>
    <b v="1"/>
    <b v="0"/>
    <n v="8"/>
    <n v="0.4"/>
    <s v="March"/>
    <s v="Offline"/>
    <n v="6"/>
    <n v="14"/>
    <b v="0"/>
    <n v="1"/>
    <n v="1"/>
    <x v="0"/>
    <n v="30.286458333333329"/>
  </r>
  <r>
    <s v="ORD531"/>
    <x v="0"/>
    <x v="73"/>
    <d v="2025-03-28T00:00:00"/>
    <d v="1899-12-30T19:00:00"/>
    <d v="2025-03-28T00:00:00"/>
    <d v="1899-12-30T19:50:00"/>
    <x v="5"/>
    <x v="1"/>
    <x v="1"/>
    <x v="1"/>
    <x v="9"/>
    <x v="1"/>
    <s v="Domino's Cash"/>
    <b v="1"/>
    <b v="0"/>
    <n v="5"/>
    <n v="0.4"/>
    <s v="March"/>
    <s v="Offline"/>
    <n v="24"/>
    <n v="26"/>
    <b v="1"/>
    <n v="12"/>
    <n v="3"/>
    <x v="3"/>
    <n v="30.259433962264151"/>
  </r>
  <r>
    <s v="ORD532"/>
    <x v="1"/>
    <x v="74"/>
    <d v="2025-03-29T00:00:00"/>
    <d v="1899-12-30T20:00:00"/>
    <d v="2025-03-29T00:00:00"/>
    <d v="1899-12-30T20:35:00"/>
    <x v="6"/>
    <x v="0"/>
    <x v="4"/>
    <x v="0"/>
    <x v="10"/>
    <x v="0"/>
    <s v="Wallet"/>
    <b v="1"/>
    <b v="1"/>
    <n v="6.3636363636363633"/>
    <n v="0.54545454545454541"/>
    <s v="March"/>
    <s v="Online"/>
    <n v="13.2"/>
    <n v="21.8"/>
    <b v="1"/>
    <n v="6"/>
    <n v="2"/>
    <x v="1"/>
    <n v="28.186274509803919"/>
  </r>
  <r>
    <s v="ORD533"/>
    <x v="3"/>
    <x v="75"/>
    <d v="2025-03-30T00:00:00"/>
    <d v="1899-12-30T18:30:00"/>
    <d v="2025-03-30T00:00:00"/>
    <d v="1899-12-30T18:50:00"/>
    <x v="2"/>
    <x v="2"/>
    <x v="2"/>
    <x v="2"/>
    <x v="4"/>
    <x v="2"/>
    <s v="UPI"/>
    <b v="1"/>
    <b v="1"/>
    <n v="10"/>
    <n v="1"/>
    <s v="March"/>
    <s v="Online"/>
    <n v="4.8"/>
    <n v="15.2"/>
    <b v="0"/>
    <n v="2"/>
    <n v="1"/>
    <x v="0"/>
    <n v="29.948453608247419"/>
  </r>
  <r>
    <s v="ORD534"/>
    <x v="2"/>
    <x v="76"/>
    <d v="2025-03-31T00:00:00"/>
    <d v="1899-12-30T19:45:00"/>
    <d v="2025-03-31T00:00:00"/>
    <d v="1899-12-30T20:25:00"/>
    <x v="4"/>
    <x v="3"/>
    <x v="5"/>
    <x v="3"/>
    <x v="11"/>
    <x v="1"/>
    <s v="Card"/>
    <b v="1"/>
    <b v="0"/>
    <n v="5.333333333333333"/>
    <n v="0.66666666666666663"/>
    <s v="March"/>
    <s v="Online"/>
    <n v="18"/>
    <n v="22"/>
    <b v="1"/>
    <n v="20"/>
    <n v="3"/>
    <x v="3"/>
    <n v="28.844221105527641"/>
  </r>
  <r>
    <s v="ORD535"/>
    <x v="4"/>
    <x v="77"/>
    <d v="2025-04-01T00:00:00"/>
    <d v="1899-12-30T18:00:00"/>
    <d v="2025-04-01T00:00:00"/>
    <d v="1899-12-30T18:30:00"/>
    <x v="3"/>
    <x v="0"/>
    <x v="1"/>
    <x v="0"/>
    <x v="6"/>
    <x v="0"/>
    <s v="UPI"/>
    <b v="1"/>
    <b v="0"/>
    <n v="7.5"/>
    <n v="0.75"/>
    <s v="April"/>
    <s v="Online"/>
    <n v="9.6"/>
    <n v="20.399999999999999"/>
    <b v="0"/>
    <n v="6"/>
    <n v="2"/>
    <x v="0"/>
    <n v="30.286458333333329"/>
  </r>
  <r>
    <s v="ORD536"/>
    <x v="0"/>
    <x v="78"/>
    <d v="2025-04-02T00:00:00"/>
    <d v="1899-12-30T20:15:00"/>
    <d v="2025-04-02T00:00:00"/>
    <d v="1899-12-30T21:00:00"/>
    <x v="7"/>
    <x v="1"/>
    <x v="0"/>
    <x v="1"/>
    <x v="12"/>
    <x v="1"/>
    <s v="Cash"/>
    <b v="1"/>
    <b v="0"/>
    <n v="5"/>
    <n v="0.44444444444444442"/>
    <s v="April"/>
    <s v="Offline"/>
    <n v="21.6"/>
    <n v="23.4"/>
    <b v="1"/>
    <n v="12"/>
    <n v="3"/>
    <x v="1"/>
    <n v="30.259433962264151"/>
  </r>
  <r>
    <s v="ORD537"/>
    <x v="1"/>
    <x v="66"/>
    <d v="2025-04-03T00:00:00"/>
    <d v="1899-12-30T18:00:00"/>
    <d v="2025-04-03T00:00:00"/>
    <d v="1899-12-30T18:20:00"/>
    <x v="2"/>
    <x v="0"/>
    <x v="0"/>
    <x v="2"/>
    <x v="2"/>
    <x v="2"/>
    <s v="Card"/>
    <b v="1"/>
    <b v="0"/>
    <n v="6.666666666666667"/>
    <n v="0.66666666666666663"/>
    <s v="April"/>
    <s v="Online"/>
    <n v="7.1999999999999993"/>
    <n v="12.8"/>
    <b v="0"/>
    <n v="4"/>
    <n v="1"/>
    <x v="0"/>
    <n v="28.186274509803919"/>
  </r>
  <r>
    <s v="ORD538"/>
    <x v="3"/>
    <x v="65"/>
    <d v="2025-04-04T00:00:00"/>
    <d v="1899-12-30T19:15:00"/>
    <d v="2025-04-04T00:00:00"/>
    <d v="1899-12-30T19:45:00"/>
    <x v="3"/>
    <x v="1"/>
    <x v="1"/>
    <x v="1"/>
    <x v="7"/>
    <x v="0"/>
    <s v="Wallet"/>
    <b v="1"/>
    <b v="0"/>
    <n v="5"/>
    <n v="0.66666666666666663"/>
    <s v="April"/>
    <s v="Online"/>
    <n v="14.4"/>
    <n v="15.6"/>
    <b v="0"/>
    <n v="12"/>
    <n v="2"/>
    <x v="3"/>
    <n v="29.948453608247419"/>
  </r>
  <r>
    <s v="ORD539"/>
    <x v="2"/>
    <x v="67"/>
    <d v="2025-04-05T00:00:00"/>
    <d v="1899-12-30T20:30:00"/>
    <d v="2025-04-05T00:00:00"/>
    <d v="1899-12-30T21:10:00"/>
    <x v="4"/>
    <x v="3"/>
    <x v="3"/>
    <x v="3"/>
    <x v="8"/>
    <x v="1"/>
    <s v="Card"/>
    <b v="1"/>
    <b v="1"/>
    <n v="5"/>
    <n v="0.625"/>
    <s v="April"/>
    <s v="Online"/>
    <n v="19.2"/>
    <n v="20.8"/>
    <b v="1"/>
    <n v="20"/>
    <n v="3"/>
    <x v="1"/>
    <n v="28.844221105527641"/>
  </r>
  <r>
    <s v="ORD540"/>
    <x v="4"/>
    <x v="68"/>
    <d v="2025-04-06T00:00:00"/>
    <d v="1899-12-30T18:45:00"/>
    <d v="2025-04-06T00:00:00"/>
    <d v="1899-12-30T19:05:00"/>
    <x v="2"/>
    <x v="2"/>
    <x v="2"/>
    <x v="4"/>
    <x v="0"/>
    <x v="2"/>
    <s v="Cash"/>
    <b v="1"/>
    <b v="1"/>
    <n v="8"/>
    <n v="0.4"/>
    <s v="April"/>
    <s v="Offline"/>
    <n v="6"/>
    <n v="14"/>
    <b v="0"/>
    <n v="1"/>
    <n v="1"/>
    <x v="0"/>
    <n v="30.286458333333329"/>
  </r>
  <r>
    <s v="ORD541"/>
    <x v="0"/>
    <x v="69"/>
    <d v="2025-04-07T00:00:00"/>
    <d v="1899-12-30T19:00:00"/>
    <d v="2025-04-07T00:00:00"/>
    <d v="1899-12-30T19:50:00"/>
    <x v="5"/>
    <x v="1"/>
    <x v="1"/>
    <x v="1"/>
    <x v="9"/>
    <x v="1"/>
    <s v="Card"/>
    <b v="1"/>
    <b v="0"/>
    <n v="5"/>
    <n v="0.4"/>
    <s v="April"/>
    <s v="Online"/>
    <n v="24"/>
    <n v="26"/>
    <b v="1"/>
    <n v="12"/>
    <n v="3"/>
    <x v="3"/>
    <n v="30.259433962264151"/>
  </r>
  <r>
    <s v="ORD542"/>
    <x v="1"/>
    <x v="70"/>
    <d v="2025-04-08T00:00:00"/>
    <d v="1899-12-30T20:00:00"/>
    <d v="2025-04-08T00:00:00"/>
    <d v="1899-12-30T20:35:00"/>
    <x v="6"/>
    <x v="0"/>
    <x v="4"/>
    <x v="0"/>
    <x v="10"/>
    <x v="0"/>
    <s v="Wallet"/>
    <b v="1"/>
    <b v="0"/>
    <n v="6.3636363636363633"/>
    <n v="0.54545454545454541"/>
    <s v="April"/>
    <s v="Online"/>
    <n v="13.2"/>
    <n v="21.8"/>
    <b v="1"/>
    <n v="6"/>
    <n v="2"/>
    <x v="1"/>
    <n v="28.186274509803919"/>
  </r>
  <r>
    <s v="ORD543"/>
    <x v="3"/>
    <x v="71"/>
    <d v="2025-04-09T00:00:00"/>
    <d v="1899-12-30T18:30:00"/>
    <d v="2025-04-09T00:00:00"/>
    <d v="1899-12-30T18:50:00"/>
    <x v="2"/>
    <x v="2"/>
    <x v="2"/>
    <x v="2"/>
    <x v="4"/>
    <x v="2"/>
    <s v="UPI"/>
    <b v="1"/>
    <b v="0"/>
    <n v="10"/>
    <n v="1"/>
    <s v="April"/>
    <s v="Online"/>
    <n v="4.8"/>
    <n v="15.2"/>
    <b v="0"/>
    <n v="2"/>
    <n v="1"/>
    <x v="0"/>
    <n v="29.948453608247419"/>
  </r>
  <r>
    <s v="ORD544"/>
    <x v="0"/>
    <x v="13"/>
    <d v="2025-04-10T00:00:00"/>
    <d v="1899-12-30T19:00:00"/>
    <d v="2025-04-10T00:00:00"/>
    <d v="1899-12-30T19:45:00"/>
    <x v="7"/>
    <x v="1"/>
    <x v="8"/>
    <x v="1"/>
    <x v="15"/>
    <x v="0"/>
    <s v="Card"/>
    <b v="1"/>
    <b v="0"/>
    <n v="6.4285714285714288"/>
    <n v="0.5714285714285714"/>
    <s v="April"/>
    <s v="Online"/>
    <n v="16.8"/>
    <n v="28.2"/>
    <b v="1"/>
    <n v="12"/>
    <n v="2"/>
    <x v="3"/>
    <n v="30.259433962264151"/>
  </r>
  <r>
    <s v="ORD545"/>
    <x v="1"/>
    <x v="10"/>
    <d v="2025-04-11T00:00:00"/>
    <d v="1899-12-30T20:15:00"/>
    <d v="2025-04-11T00:00:00"/>
    <d v="1899-12-30T20:55:00"/>
    <x v="4"/>
    <x v="0"/>
    <x v="9"/>
    <x v="0"/>
    <x v="14"/>
    <x v="1"/>
    <s v="Wallet"/>
    <b v="1"/>
    <b v="0"/>
    <n v="6.1538461538461542"/>
    <n v="0.46153846153846162"/>
    <s v="April"/>
    <s v="Online"/>
    <n v="15.6"/>
    <n v="24.4"/>
    <b v="1"/>
    <n v="6"/>
    <n v="3"/>
    <x v="1"/>
    <n v="28.186274509803919"/>
  </r>
  <r>
    <s v="ORD546"/>
    <x v="3"/>
    <x v="3"/>
    <d v="2025-04-12T00:00:00"/>
    <d v="1899-12-30T18:45:00"/>
    <d v="2025-04-12T00:00:00"/>
    <d v="1899-12-30T19:05:00"/>
    <x v="2"/>
    <x v="2"/>
    <x v="2"/>
    <x v="4"/>
    <x v="0"/>
    <x v="2"/>
    <s v="Cash"/>
    <b v="1"/>
    <b v="1"/>
    <n v="8"/>
    <n v="0.4"/>
    <s v="April"/>
    <s v="Offline"/>
    <n v="6"/>
    <n v="14"/>
    <b v="0"/>
    <n v="1"/>
    <n v="1"/>
    <x v="0"/>
    <n v="29.948453608247419"/>
  </r>
  <r>
    <s v="ORD547"/>
    <x v="2"/>
    <x v="9"/>
    <d v="2025-04-13T00:00:00"/>
    <d v="1899-12-30T19:30:00"/>
    <d v="2025-04-13T00:00:00"/>
    <d v="1899-12-30T20:10:00"/>
    <x v="4"/>
    <x v="3"/>
    <x v="3"/>
    <x v="3"/>
    <x v="8"/>
    <x v="1"/>
    <s v="Card"/>
    <b v="1"/>
    <b v="1"/>
    <n v="5"/>
    <n v="0.625"/>
    <s v="April"/>
    <s v="Online"/>
    <n v="19.2"/>
    <n v="20.8"/>
    <b v="1"/>
    <n v="20"/>
    <n v="3"/>
    <x v="3"/>
    <n v="28.844221105527641"/>
  </r>
  <r>
    <s v="ORD548"/>
    <x v="4"/>
    <x v="79"/>
    <d v="2025-04-14T00:00:00"/>
    <d v="1899-12-30T18:00:00"/>
    <d v="2025-04-14T00:00:00"/>
    <d v="1899-12-30T18:30:00"/>
    <x v="3"/>
    <x v="0"/>
    <x v="1"/>
    <x v="0"/>
    <x v="6"/>
    <x v="0"/>
    <s v="UPI"/>
    <b v="1"/>
    <b v="0"/>
    <n v="7.5"/>
    <n v="0.75"/>
    <s v="April"/>
    <s v="Online"/>
    <n v="9.6"/>
    <n v="20.399999999999999"/>
    <b v="0"/>
    <n v="6"/>
    <n v="2"/>
    <x v="0"/>
    <n v="30.286458333333329"/>
  </r>
  <r>
    <s v="ORD549"/>
    <x v="0"/>
    <x v="2"/>
    <d v="2025-04-15T00:00:00"/>
    <d v="1899-12-30T20:15:00"/>
    <d v="2025-04-15T00:00:00"/>
    <d v="1899-12-30T21:00:00"/>
    <x v="7"/>
    <x v="1"/>
    <x v="0"/>
    <x v="1"/>
    <x v="12"/>
    <x v="1"/>
    <s v="Cash"/>
    <b v="1"/>
    <b v="0"/>
    <n v="5"/>
    <n v="0.44444444444444442"/>
    <s v="April"/>
    <s v="Offline"/>
    <n v="21.6"/>
    <n v="23.4"/>
    <b v="1"/>
    <n v="12"/>
    <n v="3"/>
    <x v="1"/>
    <n v="30.259433962264151"/>
  </r>
  <r>
    <s v="ORD550"/>
    <x v="1"/>
    <x v="11"/>
    <d v="2025-04-16T00:00:00"/>
    <d v="1899-12-30T18:00:00"/>
    <d v="2025-04-16T00:00:00"/>
    <d v="1899-12-30T18:20:00"/>
    <x v="2"/>
    <x v="0"/>
    <x v="0"/>
    <x v="2"/>
    <x v="2"/>
    <x v="2"/>
    <s v="Card"/>
    <b v="1"/>
    <b v="0"/>
    <n v="6.666666666666667"/>
    <n v="0.66666666666666663"/>
    <s v="April"/>
    <s v="Online"/>
    <n v="7.1999999999999993"/>
    <n v="12.8"/>
    <b v="0"/>
    <n v="4"/>
    <n v="1"/>
    <x v="0"/>
    <n v="28.186274509803919"/>
  </r>
  <r>
    <s v="ORD551"/>
    <x v="3"/>
    <x v="8"/>
    <d v="2025-04-17T00:00:00"/>
    <d v="1899-12-30T19:15:00"/>
    <d v="2025-04-17T00:00:00"/>
    <d v="1899-12-30T19:45:00"/>
    <x v="3"/>
    <x v="1"/>
    <x v="1"/>
    <x v="1"/>
    <x v="7"/>
    <x v="0"/>
    <s v="Wallet"/>
    <b v="1"/>
    <b v="0"/>
    <n v="5"/>
    <n v="0.66666666666666663"/>
    <s v="April"/>
    <s v="Online"/>
    <n v="14.4"/>
    <n v="15.6"/>
    <b v="0"/>
    <n v="12"/>
    <n v="2"/>
    <x v="3"/>
    <n v="29.948453608247419"/>
  </r>
  <r>
    <s v="ORD552"/>
    <x v="2"/>
    <x v="7"/>
    <d v="2025-04-18T00:00:00"/>
    <d v="1899-12-30T20:30:00"/>
    <d v="2025-04-18T00:00:00"/>
    <d v="1899-12-30T21:10:00"/>
    <x v="4"/>
    <x v="3"/>
    <x v="3"/>
    <x v="3"/>
    <x v="8"/>
    <x v="1"/>
    <s v="Card"/>
    <b v="1"/>
    <b v="0"/>
    <n v="5"/>
    <n v="0.625"/>
    <s v="April"/>
    <s v="Online"/>
    <n v="19.2"/>
    <n v="20.8"/>
    <b v="1"/>
    <n v="20"/>
    <n v="3"/>
    <x v="1"/>
    <n v="28.844221105527641"/>
  </r>
  <r>
    <s v="ORD553"/>
    <x v="4"/>
    <x v="14"/>
    <d v="2025-04-19T00:00:00"/>
    <d v="1899-12-30T18:45:00"/>
    <d v="2025-04-19T00:00:00"/>
    <d v="1899-12-30T19:05:00"/>
    <x v="2"/>
    <x v="2"/>
    <x v="2"/>
    <x v="4"/>
    <x v="0"/>
    <x v="2"/>
    <s v="Cash"/>
    <b v="1"/>
    <b v="1"/>
    <n v="8"/>
    <n v="0.4"/>
    <s v="April"/>
    <s v="Offline"/>
    <n v="6"/>
    <n v="14"/>
    <b v="0"/>
    <n v="1"/>
    <n v="1"/>
    <x v="0"/>
    <n v="30.286458333333329"/>
  </r>
  <r>
    <s v="ORD554"/>
    <x v="0"/>
    <x v="17"/>
    <d v="2025-04-20T00:00:00"/>
    <d v="1899-12-30T19:00:00"/>
    <d v="2025-04-20T00:00:00"/>
    <d v="1899-12-30T19:50:00"/>
    <x v="5"/>
    <x v="1"/>
    <x v="1"/>
    <x v="1"/>
    <x v="9"/>
    <x v="1"/>
    <s v="Domino's Cash"/>
    <b v="1"/>
    <b v="1"/>
    <n v="5"/>
    <n v="0.4"/>
    <s v="April"/>
    <s v="Offline"/>
    <n v="24"/>
    <n v="26"/>
    <b v="1"/>
    <n v="12"/>
    <n v="3"/>
    <x v="3"/>
    <n v="30.259433962264151"/>
  </r>
  <r>
    <s v="ORD555"/>
    <x v="1"/>
    <x v="18"/>
    <d v="2025-04-21T00:00:00"/>
    <d v="1899-12-30T20:00:00"/>
    <d v="2025-04-21T00:00:00"/>
    <d v="1899-12-30T20:35:00"/>
    <x v="6"/>
    <x v="0"/>
    <x v="4"/>
    <x v="0"/>
    <x v="10"/>
    <x v="0"/>
    <s v="Wallet"/>
    <b v="1"/>
    <b v="0"/>
    <n v="6.3636363636363633"/>
    <n v="0.54545454545454541"/>
    <s v="April"/>
    <s v="Online"/>
    <n v="13.2"/>
    <n v="21.8"/>
    <b v="1"/>
    <n v="6"/>
    <n v="2"/>
    <x v="1"/>
    <n v="28.186274509803919"/>
  </r>
  <r>
    <s v="ORD556"/>
    <x v="3"/>
    <x v="28"/>
    <d v="2025-04-22T00:00:00"/>
    <d v="1899-12-30T18:30:00"/>
    <d v="2025-04-22T00:00:00"/>
    <d v="1899-12-30T18:50:00"/>
    <x v="2"/>
    <x v="2"/>
    <x v="2"/>
    <x v="2"/>
    <x v="4"/>
    <x v="2"/>
    <s v="UPI"/>
    <b v="1"/>
    <b v="0"/>
    <n v="10"/>
    <n v="1"/>
    <s v="April"/>
    <s v="Online"/>
    <n v="4.8"/>
    <n v="15.2"/>
    <b v="0"/>
    <n v="2"/>
    <n v="1"/>
    <x v="0"/>
    <n v="29.948453608247419"/>
  </r>
  <r>
    <s v="ORD557"/>
    <x v="2"/>
    <x v="80"/>
    <d v="2025-04-23T00:00:00"/>
    <d v="1899-12-30T19:45:00"/>
    <d v="2025-04-23T00:00:00"/>
    <d v="1899-12-30T20:25:00"/>
    <x v="4"/>
    <x v="3"/>
    <x v="5"/>
    <x v="3"/>
    <x v="11"/>
    <x v="1"/>
    <s v="Card"/>
    <b v="1"/>
    <b v="0"/>
    <n v="5.333333333333333"/>
    <n v="0.66666666666666663"/>
    <s v="April"/>
    <s v="Online"/>
    <n v="18"/>
    <n v="22"/>
    <b v="1"/>
    <n v="20"/>
    <n v="3"/>
    <x v="3"/>
    <n v="28.844221105527641"/>
  </r>
  <r>
    <s v="ORD558"/>
    <x v="4"/>
    <x v="81"/>
    <d v="2025-04-24T00:00:00"/>
    <d v="1899-12-30T18:00:00"/>
    <d v="2025-04-24T00:00:00"/>
    <d v="1899-12-30T18:30:00"/>
    <x v="3"/>
    <x v="0"/>
    <x v="1"/>
    <x v="0"/>
    <x v="6"/>
    <x v="0"/>
    <s v="UPI"/>
    <b v="1"/>
    <b v="0"/>
    <n v="7.5"/>
    <n v="0.75"/>
    <s v="April"/>
    <s v="Online"/>
    <n v="9.6"/>
    <n v="20.399999999999999"/>
    <b v="0"/>
    <n v="6"/>
    <n v="2"/>
    <x v="0"/>
    <n v="30.286458333333329"/>
  </r>
  <r>
    <s v="ORD559"/>
    <x v="0"/>
    <x v="19"/>
    <d v="2025-04-25T00:00:00"/>
    <d v="1899-12-30T20:15:00"/>
    <d v="2025-04-25T00:00:00"/>
    <d v="1899-12-30T21:00:00"/>
    <x v="7"/>
    <x v="1"/>
    <x v="0"/>
    <x v="1"/>
    <x v="12"/>
    <x v="1"/>
    <s v="Cash"/>
    <b v="1"/>
    <b v="0"/>
    <n v="5"/>
    <n v="0.44444444444444442"/>
    <s v="April"/>
    <s v="Offline"/>
    <n v="21.6"/>
    <n v="23.4"/>
    <b v="1"/>
    <n v="12"/>
    <n v="3"/>
    <x v="1"/>
    <n v="30.259433962264151"/>
  </r>
  <r>
    <s v="ORD560"/>
    <x v="1"/>
    <x v="12"/>
    <d v="2025-04-26T00:00:00"/>
    <d v="1899-12-30T18:00:00"/>
    <d v="2025-04-26T00:00:00"/>
    <d v="1899-12-30T18:20:00"/>
    <x v="2"/>
    <x v="0"/>
    <x v="0"/>
    <x v="2"/>
    <x v="2"/>
    <x v="2"/>
    <s v="Card"/>
    <b v="1"/>
    <b v="1"/>
    <n v="6.666666666666667"/>
    <n v="0.66666666666666663"/>
    <s v="April"/>
    <s v="Online"/>
    <n v="7.1999999999999993"/>
    <n v="12.8"/>
    <b v="0"/>
    <n v="4"/>
    <n v="1"/>
    <x v="0"/>
    <n v="28.186274509803919"/>
  </r>
  <r>
    <s v="ORD561"/>
    <x v="3"/>
    <x v="15"/>
    <d v="2025-04-27T00:00:00"/>
    <d v="1899-12-30T19:15:00"/>
    <d v="2025-04-27T00:00:00"/>
    <d v="1899-12-30T19:45:00"/>
    <x v="3"/>
    <x v="1"/>
    <x v="1"/>
    <x v="1"/>
    <x v="7"/>
    <x v="0"/>
    <s v="Wallet"/>
    <b v="1"/>
    <b v="1"/>
    <n v="5"/>
    <n v="0.66666666666666663"/>
    <s v="April"/>
    <s v="Online"/>
    <n v="14.4"/>
    <n v="15.6"/>
    <b v="0"/>
    <n v="12"/>
    <n v="2"/>
    <x v="3"/>
    <n v="29.948453608247419"/>
  </r>
  <r>
    <s v="ORD562"/>
    <x v="2"/>
    <x v="16"/>
    <d v="2025-04-28T00:00:00"/>
    <d v="1899-12-30T20:30:00"/>
    <d v="2025-04-28T00:00:00"/>
    <d v="1899-12-30T21:10:00"/>
    <x v="4"/>
    <x v="3"/>
    <x v="3"/>
    <x v="3"/>
    <x v="8"/>
    <x v="1"/>
    <s v="Card"/>
    <b v="1"/>
    <b v="0"/>
    <n v="5"/>
    <n v="0.625"/>
    <s v="April"/>
    <s v="Online"/>
    <n v="19.2"/>
    <n v="20.8"/>
    <b v="1"/>
    <n v="20"/>
    <n v="3"/>
    <x v="1"/>
    <n v="28.844221105527641"/>
  </r>
  <r>
    <s v="ORD563"/>
    <x v="4"/>
    <x v="22"/>
    <d v="2025-04-29T00:00:00"/>
    <d v="1899-12-30T18:45:00"/>
    <d v="2025-04-29T00:00:00"/>
    <d v="1899-12-30T19:05:00"/>
    <x v="2"/>
    <x v="2"/>
    <x v="2"/>
    <x v="4"/>
    <x v="0"/>
    <x v="2"/>
    <s v="Cash"/>
    <b v="1"/>
    <b v="0"/>
    <n v="8"/>
    <n v="0.4"/>
    <s v="April"/>
    <s v="Offline"/>
    <n v="6"/>
    <n v="14"/>
    <b v="0"/>
    <n v="1"/>
    <n v="1"/>
    <x v="0"/>
    <n v="30.286458333333329"/>
  </r>
  <r>
    <s v="ORD564"/>
    <x v="0"/>
    <x v="23"/>
    <d v="2025-04-30T00:00:00"/>
    <d v="1899-12-30T19:00:00"/>
    <d v="2025-04-30T00:00:00"/>
    <d v="1899-12-30T19:50:00"/>
    <x v="5"/>
    <x v="1"/>
    <x v="1"/>
    <x v="1"/>
    <x v="9"/>
    <x v="1"/>
    <s v="Card"/>
    <b v="1"/>
    <b v="0"/>
    <n v="5"/>
    <n v="0.4"/>
    <s v="April"/>
    <s v="Online"/>
    <n v="24"/>
    <n v="26"/>
    <b v="1"/>
    <n v="12"/>
    <n v="3"/>
    <x v="3"/>
    <n v="30.259433962264151"/>
  </r>
  <r>
    <s v="ORD565"/>
    <x v="1"/>
    <x v="30"/>
    <d v="2025-05-01T00:00:00"/>
    <d v="1899-12-30T20:00:00"/>
    <d v="2025-05-01T00:00:00"/>
    <d v="1899-12-30T20:35:00"/>
    <x v="6"/>
    <x v="0"/>
    <x v="4"/>
    <x v="0"/>
    <x v="10"/>
    <x v="0"/>
    <s v="Wallet"/>
    <b v="1"/>
    <b v="0"/>
    <n v="6.3636363636363633"/>
    <n v="0.54545454545454541"/>
    <s v="May"/>
    <s v="Online"/>
    <n v="13.2"/>
    <n v="21.8"/>
    <b v="1"/>
    <n v="6"/>
    <n v="2"/>
    <x v="1"/>
    <n v="28.186274509803919"/>
  </r>
  <r>
    <s v="ORD566"/>
    <x v="3"/>
    <x v="31"/>
    <d v="2025-05-02T00:00:00"/>
    <d v="1899-12-30T18:30:00"/>
    <d v="2025-05-02T00:00:00"/>
    <d v="1899-12-30T18:50:00"/>
    <x v="2"/>
    <x v="2"/>
    <x v="2"/>
    <x v="2"/>
    <x v="4"/>
    <x v="2"/>
    <s v="UPI"/>
    <b v="1"/>
    <b v="0"/>
    <n v="10"/>
    <n v="1"/>
    <s v="May"/>
    <s v="Online"/>
    <n v="4.8"/>
    <n v="15.2"/>
    <b v="0"/>
    <n v="2"/>
    <n v="1"/>
    <x v="0"/>
    <n v="29.948453608247419"/>
  </r>
  <r>
    <s v="ORD567"/>
    <x v="2"/>
    <x v="32"/>
    <d v="2025-05-03T00:00:00"/>
    <d v="1899-12-30T19:45:00"/>
    <d v="2025-05-03T00:00:00"/>
    <d v="1899-12-30T20:25:00"/>
    <x v="4"/>
    <x v="3"/>
    <x v="5"/>
    <x v="3"/>
    <x v="11"/>
    <x v="1"/>
    <s v="Card"/>
    <b v="1"/>
    <b v="1"/>
    <n v="5.333333333333333"/>
    <n v="0.66666666666666663"/>
    <s v="May"/>
    <s v="Online"/>
    <n v="18"/>
    <n v="22"/>
    <b v="1"/>
    <n v="20"/>
    <n v="3"/>
    <x v="3"/>
    <n v="28.844221105527641"/>
  </r>
  <r>
    <s v="ORD568"/>
    <x v="4"/>
    <x v="33"/>
    <d v="2025-05-04T00:00:00"/>
    <d v="1899-12-30T18:00:00"/>
    <d v="2025-05-04T00:00:00"/>
    <d v="1899-12-30T18:30:00"/>
    <x v="3"/>
    <x v="0"/>
    <x v="1"/>
    <x v="0"/>
    <x v="6"/>
    <x v="0"/>
    <s v="UPI"/>
    <b v="1"/>
    <b v="1"/>
    <n v="7.5"/>
    <n v="0.75"/>
    <s v="May"/>
    <s v="Online"/>
    <n v="9.6"/>
    <n v="20.399999999999999"/>
    <b v="0"/>
    <n v="6"/>
    <n v="2"/>
    <x v="0"/>
    <n v="30.286458333333329"/>
  </r>
  <r>
    <s v="ORD569"/>
    <x v="0"/>
    <x v="34"/>
    <d v="2025-05-05T00:00:00"/>
    <d v="1899-12-30T20:15:00"/>
    <d v="2025-05-05T00:00:00"/>
    <d v="1899-12-30T21:00:00"/>
    <x v="7"/>
    <x v="1"/>
    <x v="0"/>
    <x v="1"/>
    <x v="12"/>
    <x v="1"/>
    <s v="Cash"/>
    <b v="1"/>
    <b v="0"/>
    <n v="5"/>
    <n v="0.44444444444444442"/>
    <s v="May"/>
    <s v="Offline"/>
    <n v="21.6"/>
    <n v="23.4"/>
    <b v="1"/>
    <n v="12"/>
    <n v="3"/>
    <x v="1"/>
    <n v="30.259433962264151"/>
  </r>
  <r>
    <s v="ORD570"/>
    <x v="1"/>
    <x v="30"/>
    <d v="2025-05-01T00:00:00"/>
    <d v="1899-12-30T20:00:00"/>
    <d v="2025-05-01T00:00:00"/>
    <d v="1899-12-30T20:35:00"/>
    <x v="6"/>
    <x v="0"/>
    <x v="4"/>
    <x v="0"/>
    <x v="10"/>
    <x v="0"/>
    <s v="Wallet"/>
    <b v="1"/>
    <b v="0"/>
    <n v="6.3636363636363633"/>
    <n v="0.54545454545454541"/>
    <s v="May"/>
    <s v="Online"/>
    <n v="13.2"/>
    <n v="21.8"/>
    <b v="1"/>
    <n v="6"/>
    <n v="2"/>
    <x v="1"/>
    <n v="28.186274509803919"/>
  </r>
  <r>
    <s v="ORD571"/>
    <x v="0"/>
    <x v="0"/>
    <d v="2025-05-07T00:00:00"/>
    <d v="1899-12-30T19:00:00"/>
    <d v="2025-05-07T00:00:00"/>
    <d v="1899-12-30T19:45:00"/>
    <x v="7"/>
    <x v="1"/>
    <x v="8"/>
    <x v="1"/>
    <x v="15"/>
    <x v="0"/>
    <s v="Card"/>
    <b v="1"/>
    <b v="0"/>
    <n v="6.4285714285714288"/>
    <n v="0.5714285714285714"/>
    <s v="May"/>
    <s v="Online"/>
    <n v="16.8"/>
    <n v="28.2"/>
    <b v="1"/>
    <n v="12"/>
    <n v="2"/>
    <x v="3"/>
    <n v="30.259433962264151"/>
  </r>
  <r>
    <s v="ORD572"/>
    <x v="1"/>
    <x v="1"/>
    <d v="2025-05-08T00:00:00"/>
    <d v="1899-12-30T20:15:00"/>
    <d v="2025-05-08T00:00:00"/>
    <d v="1899-12-30T20:55:00"/>
    <x v="4"/>
    <x v="0"/>
    <x v="9"/>
    <x v="0"/>
    <x v="14"/>
    <x v="1"/>
    <s v="Wallet"/>
    <b v="1"/>
    <b v="0"/>
    <n v="6.1538461538461542"/>
    <n v="0.46153846153846162"/>
    <s v="May"/>
    <s v="Online"/>
    <n v="15.6"/>
    <n v="24.4"/>
    <b v="1"/>
    <n v="6"/>
    <n v="3"/>
    <x v="1"/>
    <n v="28.186274509803919"/>
  </r>
  <r>
    <s v="ORD573"/>
    <x v="3"/>
    <x v="2"/>
    <d v="2025-05-09T00:00:00"/>
    <d v="1899-12-30T18:45:00"/>
    <d v="2025-05-09T00:00:00"/>
    <d v="1899-12-30T19:05:00"/>
    <x v="2"/>
    <x v="2"/>
    <x v="2"/>
    <x v="4"/>
    <x v="0"/>
    <x v="2"/>
    <s v="Cash"/>
    <b v="1"/>
    <b v="0"/>
    <n v="8"/>
    <n v="0.4"/>
    <s v="May"/>
    <s v="Offline"/>
    <n v="6"/>
    <n v="14"/>
    <b v="0"/>
    <n v="1"/>
    <n v="1"/>
    <x v="0"/>
    <n v="29.948453608247419"/>
  </r>
  <r>
    <s v="ORD574"/>
    <x v="2"/>
    <x v="6"/>
    <d v="2025-05-10T00:00:00"/>
    <d v="1899-12-30T19:30:00"/>
    <d v="2025-05-10T00:00:00"/>
    <d v="1899-12-30T20:10:00"/>
    <x v="4"/>
    <x v="3"/>
    <x v="3"/>
    <x v="3"/>
    <x v="8"/>
    <x v="1"/>
    <s v="Card"/>
    <b v="1"/>
    <b v="1"/>
    <n v="5"/>
    <n v="0.625"/>
    <s v="May"/>
    <s v="Online"/>
    <n v="19.2"/>
    <n v="20.8"/>
    <b v="1"/>
    <n v="20"/>
    <n v="3"/>
    <x v="3"/>
    <n v="28.844221105527641"/>
  </r>
  <r>
    <s v="ORD575"/>
    <x v="4"/>
    <x v="7"/>
    <d v="2025-05-11T00:00:00"/>
    <d v="1899-12-30T18:00:00"/>
    <d v="2025-05-11T00:00:00"/>
    <d v="1899-12-30T18:30:00"/>
    <x v="3"/>
    <x v="0"/>
    <x v="1"/>
    <x v="0"/>
    <x v="6"/>
    <x v="0"/>
    <s v="UPI"/>
    <b v="1"/>
    <b v="1"/>
    <n v="7.5"/>
    <n v="0.75"/>
    <s v="May"/>
    <s v="Online"/>
    <n v="9.6"/>
    <n v="20.399999999999999"/>
    <b v="0"/>
    <n v="6"/>
    <n v="2"/>
    <x v="0"/>
    <n v="30.286458333333329"/>
  </r>
  <r>
    <s v="ORD576"/>
    <x v="0"/>
    <x v="25"/>
    <d v="2025-05-12T00:00:00"/>
    <d v="1899-12-30T20:15:00"/>
    <d v="2025-05-12T00:00:00"/>
    <d v="1899-12-30T21:00:00"/>
    <x v="7"/>
    <x v="1"/>
    <x v="0"/>
    <x v="1"/>
    <x v="12"/>
    <x v="1"/>
    <s v="Cash"/>
    <b v="1"/>
    <b v="0"/>
    <n v="5"/>
    <n v="0.44444444444444442"/>
    <s v="May"/>
    <s v="Offline"/>
    <n v="21.6"/>
    <n v="23.4"/>
    <b v="1"/>
    <n v="12"/>
    <n v="3"/>
    <x v="1"/>
    <n v="30.259433962264151"/>
  </r>
  <r>
    <s v="ORD577"/>
    <x v="1"/>
    <x v="26"/>
    <d v="2025-05-13T00:00:00"/>
    <d v="1899-12-30T18:00:00"/>
    <d v="2025-05-13T00:00:00"/>
    <d v="1899-12-30T18:20:00"/>
    <x v="2"/>
    <x v="0"/>
    <x v="0"/>
    <x v="2"/>
    <x v="2"/>
    <x v="2"/>
    <s v="Card"/>
    <b v="1"/>
    <b v="0"/>
    <n v="6.666666666666667"/>
    <n v="0.66666666666666663"/>
    <s v="May"/>
    <s v="Online"/>
    <n v="7.1999999999999993"/>
    <n v="12.8"/>
    <b v="0"/>
    <n v="4"/>
    <n v="1"/>
    <x v="0"/>
    <n v="28.186274509803919"/>
  </r>
  <r>
    <s v="ORD578"/>
    <x v="3"/>
    <x v="14"/>
    <d v="2025-05-14T00:00:00"/>
    <d v="1899-12-30T19:15:00"/>
    <d v="2025-05-14T00:00:00"/>
    <d v="1899-12-30T19:45:00"/>
    <x v="3"/>
    <x v="1"/>
    <x v="1"/>
    <x v="1"/>
    <x v="7"/>
    <x v="0"/>
    <s v="Wallet"/>
    <b v="1"/>
    <b v="0"/>
    <n v="5"/>
    <n v="0.66666666666666663"/>
    <s v="May"/>
    <s v="Online"/>
    <n v="14.4"/>
    <n v="15.6"/>
    <b v="0"/>
    <n v="12"/>
    <n v="2"/>
    <x v="3"/>
    <n v="29.948453608247419"/>
  </r>
  <r>
    <s v="ORD579"/>
    <x v="2"/>
    <x v="4"/>
    <d v="2025-05-15T00:00:00"/>
    <d v="1899-12-30T20:30:00"/>
    <d v="2025-05-15T00:00:00"/>
    <d v="1899-12-30T21:10:00"/>
    <x v="4"/>
    <x v="3"/>
    <x v="3"/>
    <x v="3"/>
    <x v="8"/>
    <x v="1"/>
    <s v="Card"/>
    <b v="1"/>
    <b v="0"/>
    <n v="5"/>
    <n v="0.625"/>
    <s v="May"/>
    <s v="Online"/>
    <n v="19.2"/>
    <n v="20.8"/>
    <b v="1"/>
    <n v="20"/>
    <n v="3"/>
    <x v="1"/>
    <n v="28.844221105527641"/>
  </r>
  <r>
    <s v="ORD580"/>
    <x v="4"/>
    <x v="12"/>
    <d v="2025-05-16T00:00:00"/>
    <d v="1899-12-30T18:45:00"/>
    <d v="2025-05-16T00:00:00"/>
    <d v="1899-12-30T19:05:00"/>
    <x v="2"/>
    <x v="2"/>
    <x v="2"/>
    <x v="4"/>
    <x v="0"/>
    <x v="2"/>
    <s v="Cash"/>
    <b v="1"/>
    <b v="0"/>
    <n v="8"/>
    <n v="0.4"/>
    <s v="May"/>
    <s v="Offline"/>
    <n v="6"/>
    <n v="14"/>
    <b v="0"/>
    <n v="1"/>
    <n v="1"/>
    <x v="0"/>
    <n v="30.286458333333329"/>
  </r>
  <r>
    <s v="ORD581"/>
    <x v="0"/>
    <x v="13"/>
    <d v="2025-05-17T00:00:00"/>
    <d v="1899-12-30T19:00:00"/>
    <d v="2025-05-17T00:00:00"/>
    <d v="1899-12-30T19:50:00"/>
    <x v="5"/>
    <x v="1"/>
    <x v="1"/>
    <x v="1"/>
    <x v="9"/>
    <x v="1"/>
    <s v="Domino's Cash"/>
    <b v="1"/>
    <b v="1"/>
    <n v="5"/>
    <n v="0.4"/>
    <s v="May"/>
    <s v="Offline"/>
    <n v="24"/>
    <n v="26"/>
    <b v="1"/>
    <n v="12"/>
    <n v="3"/>
    <x v="3"/>
    <n v="30.259433962264151"/>
  </r>
  <r>
    <s v="ORD582"/>
    <x v="1"/>
    <x v="15"/>
    <d v="2025-05-18T00:00:00"/>
    <d v="1899-12-30T20:00:00"/>
    <d v="2025-05-18T00:00:00"/>
    <d v="1899-12-30T20:35:00"/>
    <x v="6"/>
    <x v="0"/>
    <x v="4"/>
    <x v="0"/>
    <x v="10"/>
    <x v="0"/>
    <s v="Wallet"/>
    <b v="1"/>
    <b v="1"/>
    <n v="6.3636363636363633"/>
    <n v="0.54545454545454541"/>
    <s v="May"/>
    <s v="Online"/>
    <n v="13.2"/>
    <n v="21.8"/>
    <b v="1"/>
    <n v="6"/>
    <n v="2"/>
    <x v="1"/>
    <n v="28.186274509803919"/>
  </r>
  <r>
    <s v="ORD583"/>
    <x v="3"/>
    <x v="16"/>
    <d v="2025-05-19T00:00:00"/>
    <d v="1899-12-30T18:30:00"/>
    <d v="2025-05-19T00:00:00"/>
    <d v="1899-12-30T18:50:00"/>
    <x v="2"/>
    <x v="2"/>
    <x v="2"/>
    <x v="2"/>
    <x v="4"/>
    <x v="2"/>
    <s v="UPI"/>
    <b v="1"/>
    <b v="0"/>
    <n v="10"/>
    <n v="1"/>
    <s v="May"/>
    <s v="Online"/>
    <n v="4.8"/>
    <n v="15.2"/>
    <b v="0"/>
    <n v="2"/>
    <n v="1"/>
    <x v="0"/>
    <n v="29.948453608247419"/>
  </r>
  <r>
    <s v="ORD584"/>
    <x v="2"/>
    <x v="17"/>
    <d v="2025-05-20T00:00:00"/>
    <d v="1899-12-30T19:45:00"/>
    <d v="2025-05-20T00:00:00"/>
    <d v="1899-12-30T20:25:00"/>
    <x v="4"/>
    <x v="3"/>
    <x v="5"/>
    <x v="3"/>
    <x v="11"/>
    <x v="1"/>
    <s v="Card"/>
    <b v="1"/>
    <b v="0"/>
    <n v="5.333333333333333"/>
    <n v="0.66666666666666663"/>
    <s v="May"/>
    <s v="Online"/>
    <n v="18"/>
    <n v="22"/>
    <b v="1"/>
    <n v="20"/>
    <n v="3"/>
    <x v="3"/>
    <n v="28.844221105527641"/>
  </r>
  <r>
    <s v="ORD585"/>
    <x v="4"/>
    <x v="18"/>
    <d v="2025-05-21T00:00:00"/>
    <d v="1899-12-30T18:00:00"/>
    <d v="2025-05-21T00:00:00"/>
    <d v="1899-12-30T18:30:00"/>
    <x v="3"/>
    <x v="0"/>
    <x v="1"/>
    <x v="0"/>
    <x v="6"/>
    <x v="0"/>
    <s v="UPI"/>
    <b v="1"/>
    <b v="0"/>
    <n v="7.5"/>
    <n v="0.75"/>
    <s v="May"/>
    <s v="Online"/>
    <n v="9.6"/>
    <n v="20.399999999999999"/>
    <b v="0"/>
    <n v="6"/>
    <n v="2"/>
    <x v="0"/>
    <n v="30.286458333333329"/>
  </r>
  <r>
    <s v="ORD586"/>
    <x v="0"/>
    <x v="5"/>
    <d v="2025-05-22T00:00:00"/>
    <d v="1899-12-30T20:15:00"/>
    <d v="2025-05-22T00:00:00"/>
    <d v="1899-12-30T21:00:00"/>
    <x v="7"/>
    <x v="1"/>
    <x v="0"/>
    <x v="1"/>
    <x v="12"/>
    <x v="1"/>
    <s v="Cash"/>
    <b v="1"/>
    <b v="0"/>
    <n v="5"/>
    <n v="0.44444444444444442"/>
    <s v="May"/>
    <s v="Offline"/>
    <n v="21.6"/>
    <n v="23.4"/>
    <b v="1"/>
    <n v="12"/>
    <n v="3"/>
    <x v="1"/>
    <n v="30.259433962264151"/>
  </r>
  <r>
    <s v="ORD587"/>
    <x v="1"/>
    <x v="19"/>
    <d v="2025-05-23T00:00:00"/>
    <d v="1899-12-30T18:00:00"/>
    <d v="2025-05-23T00:00:00"/>
    <d v="1899-12-30T18:20:00"/>
    <x v="2"/>
    <x v="0"/>
    <x v="0"/>
    <x v="2"/>
    <x v="2"/>
    <x v="2"/>
    <s v="Card"/>
    <b v="1"/>
    <b v="0"/>
    <n v="6.666666666666667"/>
    <n v="0.66666666666666663"/>
    <s v="May"/>
    <s v="Online"/>
    <n v="7.1999999999999993"/>
    <n v="12.8"/>
    <b v="0"/>
    <n v="4"/>
    <n v="1"/>
    <x v="0"/>
    <n v="28.186274509803919"/>
  </r>
  <r>
    <s v="ORD588"/>
    <x v="3"/>
    <x v="9"/>
    <d v="2025-05-24T00:00:00"/>
    <d v="1899-12-30T19:15:00"/>
    <d v="2025-05-24T00:00:00"/>
    <d v="1899-12-30T19:45:00"/>
    <x v="3"/>
    <x v="1"/>
    <x v="1"/>
    <x v="1"/>
    <x v="7"/>
    <x v="0"/>
    <s v="Wallet"/>
    <b v="1"/>
    <b v="1"/>
    <n v="5"/>
    <n v="0.66666666666666663"/>
    <s v="May"/>
    <s v="Online"/>
    <n v="14.4"/>
    <n v="15.6"/>
    <b v="0"/>
    <n v="12"/>
    <n v="2"/>
    <x v="3"/>
    <n v="29.948453608247419"/>
  </r>
  <r>
    <s v="ORD589"/>
    <x v="2"/>
    <x v="10"/>
    <d v="2025-05-25T00:00:00"/>
    <d v="1899-12-30T20:30:00"/>
    <d v="2025-05-25T00:00:00"/>
    <d v="1899-12-30T21:10:00"/>
    <x v="4"/>
    <x v="3"/>
    <x v="3"/>
    <x v="3"/>
    <x v="8"/>
    <x v="1"/>
    <s v="Card"/>
    <b v="1"/>
    <b v="1"/>
    <n v="5"/>
    <n v="0.625"/>
    <s v="May"/>
    <s v="Online"/>
    <n v="19.2"/>
    <n v="20.8"/>
    <b v="1"/>
    <n v="20"/>
    <n v="3"/>
    <x v="1"/>
    <n v="28.844221105527641"/>
  </r>
  <r>
    <s v="ORD590"/>
    <x v="4"/>
    <x v="27"/>
    <d v="2025-05-26T00:00:00"/>
    <d v="1899-12-30T18:45:00"/>
    <d v="2025-05-26T00:00:00"/>
    <d v="1899-12-30T19:05:00"/>
    <x v="2"/>
    <x v="2"/>
    <x v="2"/>
    <x v="4"/>
    <x v="0"/>
    <x v="2"/>
    <s v="Cash"/>
    <b v="1"/>
    <b v="0"/>
    <n v="8"/>
    <n v="0.4"/>
    <s v="May"/>
    <s v="Offline"/>
    <n v="6"/>
    <n v="14"/>
    <b v="0"/>
    <n v="1"/>
    <n v="1"/>
    <x v="0"/>
    <n v="30.286458333333329"/>
  </r>
  <r>
    <s v="ORD591"/>
    <x v="0"/>
    <x v="11"/>
    <d v="2025-05-27T00:00:00"/>
    <d v="1899-12-30T19:00:00"/>
    <d v="2025-05-27T00:00:00"/>
    <d v="1899-12-30T19:50:00"/>
    <x v="5"/>
    <x v="1"/>
    <x v="1"/>
    <x v="1"/>
    <x v="9"/>
    <x v="1"/>
    <s v="Card"/>
    <b v="1"/>
    <b v="0"/>
    <n v="5"/>
    <n v="0.4"/>
    <s v="May"/>
    <s v="Online"/>
    <n v="24"/>
    <n v="26"/>
    <b v="1"/>
    <n v="12"/>
    <n v="3"/>
    <x v="3"/>
    <n v="30.259433962264151"/>
  </r>
  <r>
    <s v="ORD592"/>
    <x v="1"/>
    <x v="21"/>
    <d v="2025-05-28T00:00:00"/>
    <d v="1899-12-30T20:00:00"/>
    <d v="2025-05-28T00:00:00"/>
    <d v="1899-12-30T20:35:00"/>
    <x v="6"/>
    <x v="0"/>
    <x v="4"/>
    <x v="0"/>
    <x v="10"/>
    <x v="0"/>
    <s v="Wallet"/>
    <b v="1"/>
    <b v="0"/>
    <n v="6.3636363636363633"/>
    <n v="0.54545454545454541"/>
    <s v="May"/>
    <s v="Online"/>
    <n v="13.2"/>
    <n v="21.8"/>
    <b v="1"/>
    <n v="6"/>
    <n v="2"/>
    <x v="1"/>
    <n v="28.186274509803919"/>
  </r>
  <r>
    <s v="ORD593"/>
    <x v="3"/>
    <x v="20"/>
    <d v="2025-05-29T00:00:00"/>
    <d v="1899-12-30T18:30:00"/>
    <d v="2025-05-29T00:00:00"/>
    <d v="1899-12-30T18:50:00"/>
    <x v="2"/>
    <x v="2"/>
    <x v="2"/>
    <x v="2"/>
    <x v="4"/>
    <x v="2"/>
    <s v="UPI"/>
    <b v="1"/>
    <b v="0"/>
    <n v="10"/>
    <n v="1"/>
    <s v="May"/>
    <s v="Online"/>
    <n v="4.8"/>
    <n v="15.2"/>
    <b v="0"/>
    <n v="2"/>
    <n v="1"/>
    <x v="0"/>
    <n v="29.948453608247419"/>
  </r>
  <r>
    <s v="ORD594"/>
    <x v="2"/>
    <x v="28"/>
    <d v="2025-05-30T00:00:00"/>
    <d v="1899-12-30T19:45:00"/>
    <d v="2025-05-30T00:00:00"/>
    <d v="1899-12-30T20:25:00"/>
    <x v="4"/>
    <x v="3"/>
    <x v="5"/>
    <x v="3"/>
    <x v="11"/>
    <x v="1"/>
    <s v="Card"/>
    <b v="1"/>
    <b v="0"/>
    <n v="5.333333333333333"/>
    <n v="0.66666666666666663"/>
    <s v="May"/>
    <s v="Online"/>
    <n v="18"/>
    <n v="22"/>
    <b v="1"/>
    <n v="20"/>
    <n v="3"/>
    <x v="3"/>
    <n v="28.844221105527641"/>
  </r>
  <r>
    <s v="ORD595"/>
    <x v="4"/>
    <x v="22"/>
    <d v="2025-05-31T00:00:00"/>
    <d v="1899-12-30T18:00:00"/>
    <d v="2025-05-31T00:00:00"/>
    <d v="1899-12-30T18:30:00"/>
    <x v="3"/>
    <x v="0"/>
    <x v="1"/>
    <x v="0"/>
    <x v="6"/>
    <x v="0"/>
    <s v="UPI"/>
    <b v="1"/>
    <b v="1"/>
    <n v="7.5"/>
    <n v="0.75"/>
    <s v="May"/>
    <s v="Online"/>
    <n v="9.6"/>
    <n v="20.399999999999999"/>
    <b v="0"/>
    <n v="6"/>
    <n v="2"/>
    <x v="0"/>
    <n v="30.286458333333329"/>
  </r>
  <r>
    <s v="ORD596"/>
    <x v="0"/>
    <x v="79"/>
    <d v="2025-06-01T00:00:00"/>
    <d v="1899-12-30T20:15:00"/>
    <d v="2025-06-01T00:00:00"/>
    <d v="1899-12-30T21:00:00"/>
    <x v="7"/>
    <x v="1"/>
    <x v="0"/>
    <x v="1"/>
    <x v="12"/>
    <x v="1"/>
    <s v="Cash"/>
    <b v="1"/>
    <b v="1"/>
    <n v="5"/>
    <n v="0.44444444444444442"/>
    <s v="June"/>
    <s v="Offline"/>
    <n v="21.6"/>
    <n v="23.4"/>
    <b v="1"/>
    <n v="12"/>
    <n v="3"/>
    <x v="1"/>
    <n v="30.259433962264151"/>
  </r>
  <r>
    <s v="ORD597"/>
    <x v="1"/>
    <x v="80"/>
    <d v="2025-06-02T00:00:00"/>
    <d v="1899-12-30T18:00:00"/>
    <d v="2025-06-02T00:00:00"/>
    <d v="1899-12-30T18:20:00"/>
    <x v="2"/>
    <x v="0"/>
    <x v="0"/>
    <x v="2"/>
    <x v="2"/>
    <x v="2"/>
    <s v="Card"/>
    <b v="1"/>
    <b v="0"/>
    <n v="6.666666666666667"/>
    <n v="0.66666666666666663"/>
    <s v="June"/>
    <s v="Online"/>
    <n v="7.1999999999999993"/>
    <n v="12.8"/>
    <b v="0"/>
    <n v="4"/>
    <n v="1"/>
    <x v="0"/>
    <n v="28.186274509803919"/>
  </r>
  <r>
    <s v="ORD598"/>
    <x v="3"/>
    <x v="81"/>
    <d v="2025-06-03T00:00:00"/>
    <d v="1899-12-30T19:15:00"/>
    <d v="2025-06-03T00:00:00"/>
    <d v="1899-12-30T19:45:00"/>
    <x v="3"/>
    <x v="1"/>
    <x v="1"/>
    <x v="1"/>
    <x v="7"/>
    <x v="0"/>
    <s v="Wallet"/>
    <b v="1"/>
    <b v="0"/>
    <n v="5"/>
    <n v="0.66666666666666663"/>
    <s v="June"/>
    <s v="Online"/>
    <n v="14.4"/>
    <n v="15.6"/>
    <b v="0"/>
    <n v="12"/>
    <n v="2"/>
    <x v="3"/>
    <n v="29.948453608247419"/>
  </r>
  <r>
    <s v="ORD599"/>
    <x v="2"/>
    <x v="8"/>
    <d v="2025-06-04T00:00:00"/>
    <d v="1899-12-30T20:30:00"/>
    <d v="2025-06-04T00:00:00"/>
    <d v="1899-12-30T21:10:00"/>
    <x v="4"/>
    <x v="3"/>
    <x v="3"/>
    <x v="3"/>
    <x v="8"/>
    <x v="1"/>
    <s v="Card"/>
    <b v="1"/>
    <b v="0"/>
    <n v="5"/>
    <n v="0.625"/>
    <s v="June"/>
    <s v="Online"/>
    <n v="19.2"/>
    <n v="20.8"/>
    <b v="1"/>
    <n v="20"/>
    <n v="3"/>
    <x v="1"/>
    <n v="28.844221105527641"/>
  </r>
  <r>
    <s v="ORD600"/>
    <x v="4"/>
    <x v="3"/>
    <d v="2025-06-05T00:00:00"/>
    <d v="1899-12-30T18:45:00"/>
    <d v="2025-06-05T00:00:00"/>
    <d v="1899-12-30T19:05:00"/>
    <x v="2"/>
    <x v="2"/>
    <x v="2"/>
    <x v="4"/>
    <x v="0"/>
    <x v="2"/>
    <s v="Cash"/>
    <b v="1"/>
    <b v="0"/>
    <n v="8"/>
    <n v="0.4"/>
    <s v="June"/>
    <s v="Offline"/>
    <n v="6"/>
    <n v="14"/>
    <b v="0"/>
    <n v="1"/>
    <n v="1"/>
    <x v="0"/>
    <n v="30.286458333333329"/>
  </r>
  <r>
    <s v="ORD601"/>
    <x v="0"/>
    <x v="0"/>
    <d v="2025-06-06T00:00:00"/>
    <d v="1899-12-30T19:00:00"/>
    <d v="2025-06-06T00:00:00"/>
    <d v="1899-12-30T19:45:00"/>
    <x v="7"/>
    <x v="1"/>
    <x v="8"/>
    <x v="1"/>
    <x v="15"/>
    <x v="0"/>
    <s v="Card"/>
    <b v="1"/>
    <b v="0"/>
    <n v="6.4285714285714288"/>
    <n v="0.5714285714285714"/>
    <s v="June"/>
    <s v="Online"/>
    <n v="16.8"/>
    <n v="28.2"/>
    <b v="1"/>
    <n v="12"/>
    <n v="2"/>
    <x v="3"/>
    <n v="30.259433962264151"/>
  </r>
  <r>
    <s v="ORD602"/>
    <x v="1"/>
    <x v="1"/>
    <d v="2025-06-07T00:00:00"/>
    <d v="1899-12-30T20:15:00"/>
    <d v="2025-06-07T00:00:00"/>
    <d v="1899-12-30T20:55:00"/>
    <x v="4"/>
    <x v="0"/>
    <x v="9"/>
    <x v="0"/>
    <x v="14"/>
    <x v="1"/>
    <s v="Wallet"/>
    <b v="1"/>
    <b v="1"/>
    <n v="6.1538461538461542"/>
    <n v="0.46153846153846162"/>
    <s v="June"/>
    <s v="Online"/>
    <n v="15.6"/>
    <n v="24.4"/>
    <b v="1"/>
    <n v="6"/>
    <n v="3"/>
    <x v="1"/>
    <n v="28.186274509803919"/>
  </r>
  <r>
    <s v="ORD603"/>
    <x v="3"/>
    <x v="2"/>
    <d v="2025-06-08T00:00:00"/>
    <d v="1899-12-30T18:45:00"/>
    <d v="2025-06-08T00:00:00"/>
    <d v="1899-12-30T19:05:00"/>
    <x v="2"/>
    <x v="2"/>
    <x v="2"/>
    <x v="4"/>
    <x v="0"/>
    <x v="2"/>
    <s v="Cash"/>
    <b v="1"/>
    <b v="1"/>
    <n v="8"/>
    <n v="0.4"/>
    <s v="June"/>
    <s v="Offline"/>
    <n v="6"/>
    <n v="14"/>
    <b v="0"/>
    <n v="1"/>
    <n v="1"/>
    <x v="0"/>
    <n v="29.948453608247419"/>
  </r>
  <r>
    <s v="ORD604"/>
    <x v="2"/>
    <x v="6"/>
    <d v="2025-06-09T00:00:00"/>
    <d v="1899-12-30T19:30:00"/>
    <d v="2025-06-09T00:00:00"/>
    <d v="1899-12-30T20:10:00"/>
    <x v="4"/>
    <x v="3"/>
    <x v="3"/>
    <x v="3"/>
    <x v="8"/>
    <x v="1"/>
    <s v="Card"/>
    <b v="1"/>
    <b v="0"/>
    <n v="5"/>
    <n v="0.625"/>
    <s v="June"/>
    <s v="Online"/>
    <n v="19.2"/>
    <n v="20.8"/>
    <b v="1"/>
    <n v="20"/>
    <n v="3"/>
    <x v="3"/>
    <n v="28.844221105527641"/>
  </r>
  <r>
    <s v="ORD605"/>
    <x v="4"/>
    <x v="7"/>
    <d v="2025-06-10T00:00:00"/>
    <d v="1899-12-30T18:00:00"/>
    <d v="2025-06-10T00:00:00"/>
    <d v="1899-12-30T18:30:00"/>
    <x v="3"/>
    <x v="0"/>
    <x v="1"/>
    <x v="0"/>
    <x v="6"/>
    <x v="0"/>
    <s v="UPI"/>
    <b v="1"/>
    <b v="0"/>
    <n v="7.5"/>
    <n v="0.75"/>
    <s v="June"/>
    <s v="Online"/>
    <n v="9.6"/>
    <n v="20.399999999999999"/>
    <b v="0"/>
    <n v="6"/>
    <n v="2"/>
    <x v="0"/>
    <n v="30.286458333333329"/>
  </r>
  <r>
    <s v="ORD606"/>
    <x v="0"/>
    <x v="25"/>
    <d v="2025-06-11T00:00:00"/>
    <d v="1899-12-30T20:15:00"/>
    <d v="2025-06-11T00:00:00"/>
    <d v="1899-12-30T21:00:00"/>
    <x v="7"/>
    <x v="1"/>
    <x v="0"/>
    <x v="1"/>
    <x v="12"/>
    <x v="1"/>
    <s v="Cash"/>
    <b v="1"/>
    <b v="0"/>
    <n v="5"/>
    <n v="0.44444444444444442"/>
    <s v="June"/>
    <s v="Offline"/>
    <n v="21.6"/>
    <n v="23.4"/>
    <b v="1"/>
    <n v="12"/>
    <n v="3"/>
    <x v="1"/>
    <n v="30.259433962264151"/>
  </r>
  <r>
    <s v="ORD607"/>
    <x v="1"/>
    <x v="26"/>
    <d v="2025-06-12T00:00:00"/>
    <d v="1899-12-30T18:00:00"/>
    <d v="2025-06-12T00:00:00"/>
    <d v="1899-12-30T18:20:00"/>
    <x v="2"/>
    <x v="0"/>
    <x v="0"/>
    <x v="2"/>
    <x v="2"/>
    <x v="2"/>
    <s v="Card"/>
    <b v="1"/>
    <b v="0"/>
    <n v="6.666666666666667"/>
    <n v="0.66666666666666663"/>
    <s v="June"/>
    <s v="Online"/>
    <n v="7.1999999999999993"/>
    <n v="12.8"/>
    <b v="0"/>
    <n v="4"/>
    <n v="1"/>
    <x v="0"/>
    <n v="28.186274509803919"/>
  </r>
  <r>
    <s v="ORD608"/>
    <x v="3"/>
    <x v="14"/>
    <d v="2025-06-13T00:00:00"/>
    <d v="1899-12-30T19:15:00"/>
    <d v="2025-06-13T00:00:00"/>
    <d v="1899-12-30T19:45:00"/>
    <x v="3"/>
    <x v="1"/>
    <x v="1"/>
    <x v="1"/>
    <x v="7"/>
    <x v="0"/>
    <s v="Wallet"/>
    <b v="1"/>
    <b v="0"/>
    <n v="5"/>
    <n v="0.66666666666666663"/>
    <s v="June"/>
    <s v="Online"/>
    <n v="14.4"/>
    <n v="15.6"/>
    <b v="0"/>
    <n v="12"/>
    <n v="2"/>
    <x v="3"/>
    <n v="29.948453608247419"/>
  </r>
  <r>
    <s v="ORD609"/>
    <x v="2"/>
    <x v="4"/>
    <d v="2025-06-14T00:00:00"/>
    <d v="1899-12-30T20:30:00"/>
    <d v="2025-06-14T00:00:00"/>
    <d v="1899-12-30T21:10:00"/>
    <x v="4"/>
    <x v="3"/>
    <x v="3"/>
    <x v="3"/>
    <x v="8"/>
    <x v="1"/>
    <s v="Card"/>
    <b v="1"/>
    <b v="1"/>
    <n v="5"/>
    <n v="0.625"/>
    <s v="June"/>
    <s v="Online"/>
    <n v="19.2"/>
    <n v="20.8"/>
    <b v="1"/>
    <n v="20"/>
    <n v="3"/>
    <x v="1"/>
    <n v="28.844221105527641"/>
  </r>
  <r>
    <s v="ORD610"/>
    <x v="4"/>
    <x v="12"/>
    <d v="2025-06-15T00:00:00"/>
    <d v="1899-12-30T18:45:00"/>
    <d v="2025-06-15T00:00:00"/>
    <d v="1899-12-30T19:05:00"/>
    <x v="2"/>
    <x v="2"/>
    <x v="2"/>
    <x v="4"/>
    <x v="0"/>
    <x v="2"/>
    <s v="Cash"/>
    <b v="1"/>
    <b v="1"/>
    <n v="8"/>
    <n v="0.4"/>
    <s v="June"/>
    <s v="Offline"/>
    <n v="6"/>
    <n v="14"/>
    <b v="0"/>
    <n v="1"/>
    <n v="1"/>
    <x v="0"/>
    <n v="30.286458333333329"/>
  </r>
  <r>
    <s v="ORD611"/>
    <x v="0"/>
    <x v="13"/>
    <d v="2025-06-16T00:00:00"/>
    <d v="1899-12-30T19:00:00"/>
    <d v="2025-06-16T00:00:00"/>
    <d v="1899-12-30T19:50:00"/>
    <x v="5"/>
    <x v="1"/>
    <x v="1"/>
    <x v="1"/>
    <x v="9"/>
    <x v="1"/>
    <s v="Domino's Cash"/>
    <b v="1"/>
    <b v="0"/>
    <n v="5"/>
    <n v="0.4"/>
    <s v="June"/>
    <s v="Offline"/>
    <n v="24"/>
    <n v="26"/>
    <b v="1"/>
    <n v="12"/>
    <n v="3"/>
    <x v="3"/>
    <n v="30.259433962264151"/>
  </r>
  <r>
    <s v="ORD612"/>
    <x v="1"/>
    <x v="15"/>
    <d v="2025-06-17T00:00:00"/>
    <d v="1899-12-30T20:00:00"/>
    <d v="2025-06-17T00:00:00"/>
    <d v="1899-12-30T20:35:00"/>
    <x v="6"/>
    <x v="0"/>
    <x v="4"/>
    <x v="0"/>
    <x v="10"/>
    <x v="0"/>
    <s v="Wallet"/>
    <b v="1"/>
    <b v="0"/>
    <n v="6.3636363636363633"/>
    <n v="0.54545454545454541"/>
    <s v="June"/>
    <s v="Online"/>
    <n v="13.2"/>
    <n v="21.8"/>
    <b v="1"/>
    <n v="6"/>
    <n v="2"/>
    <x v="1"/>
    <n v="28.186274509803919"/>
  </r>
  <r>
    <s v="ORD613"/>
    <x v="3"/>
    <x v="16"/>
    <d v="2025-06-18T00:00:00"/>
    <d v="1899-12-30T18:30:00"/>
    <d v="2025-06-18T00:00:00"/>
    <d v="1899-12-30T18:50:00"/>
    <x v="2"/>
    <x v="2"/>
    <x v="2"/>
    <x v="2"/>
    <x v="4"/>
    <x v="2"/>
    <s v="UPI"/>
    <b v="1"/>
    <b v="0"/>
    <n v="10"/>
    <n v="1"/>
    <s v="June"/>
    <s v="Online"/>
    <n v="4.8"/>
    <n v="15.2"/>
    <b v="0"/>
    <n v="2"/>
    <n v="1"/>
    <x v="0"/>
    <n v="29.948453608247419"/>
  </r>
  <r>
    <s v="ORD614"/>
    <x v="2"/>
    <x v="17"/>
    <d v="2025-06-19T00:00:00"/>
    <d v="1899-12-30T19:45:00"/>
    <d v="2025-06-19T00:00:00"/>
    <d v="1899-12-30T20:25:00"/>
    <x v="4"/>
    <x v="3"/>
    <x v="5"/>
    <x v="3"/>
    <x v="11"/>
    <x v="1"/>
    <s v="Card"/>
    <b v="1"/>
    <b v="0"/>
    <n v="5.333333333333333"/>
    <n v="0.66666666666666663"/>
    <s v="June"/>
    <s v="Online"/>
    <n v="18"/>
    <n v="22"/>
    <b v="1"/>
    <n v="20"/>
    <n v="3"/>
    <x v="3"/>
    <n v="28.844221105527641"/>
  </r>
  <r>
    <s v="ORD615"/>
    <x v="4"/>
    <x v="18"/>
    <d v="2025-06-20T00:00:00"/>
    <d v="1899-12-30T18:00:00"/>
    <d v="2025-06-20T00:00:00"/>
    <d v="1899-12-30T18:30:00"/>
    <x v="3"/>
    <x v="0"/>
    <x v="1"/>
    <x v="0"/>
    <x v="6"/>
    <x v="0"/>
    <s v="UPI"/>
    <b v="1"/>
    <b v="0"/>
    <n v="7.5"/>
    <n v="0.75"/>
    <s v="June"/>
    <s v="Online"/>
    <n v="9.6"/>
    <n v="20.399999999999999"/>
    <b v="0"/>
    <n v="6"/>
    <n v="2"/>
    <x v="0"/>
    <n v="30.286458333333329"/>
  </r>
  <r>
    <s v="ORD616"/>
    <x v="0"/>
    <x v="5"/>
    <d v="2025-06-21T00:00:00"/>
    <d v="1899-12-30T20:15:00"/>
    <d v="2025-06-21T00:00:00"/>
    <d v="1899-12-30T21:00:00"/>
    <x v="7"/>
    <x v="1"/>
    <x v="0"/>
    <x v="1"/>
    <x v="12"/>
    <x v="1"/>
    <s v="Cash"/>
    <b v="1"/>
    <b v="1"/>
    <n v="5"/>
    <n v="0.44444444444444442"/>
    <s v="June"/>
    <s v="Offline"/>
    <n v="21.6"/>
    <n v="23.4"/>
    <b v="1"/>
    <n v="12"/>
    <n v="3"/>
    <x v="1"/>
    <n v="30.259433962264151"/>
  </r>
  <r>
    <s v="ORD617"/>
    <x v="1"/>
    <x v="19"/>
    <d v="2025-06-22T00:00:00"/>
    <d v="1899-12-30T18:00:00"/>
    <d v="2025-06-22T00:00:00"/>
    <d v="1899-12-30T18:20:00"/>
    <x v="2"/>
    <x v="0"/>
    <x v="0"/>
    <x v="2"/>
    <x v="2"/>
    <x v="2"/>
    <s v="Card"/>
    <b v="1"/>
    <b v="1"/>
    <n v="6.666666666666667"/>
    <n v="0.66666666666666663"/>
    <s v="June"/>
    <s v="Online"/>
    <n v="7.1999999999999993"/>
    <n v="12.8"/>
    <b v="0"/>
    <n v="4"/>
    <n v="1"/>
    <x v="0"/>
    <n v="28.186274509803919"/>
  </r>
  <r>
    <s v="ORD618"/>
    <x v="3"/>
    <x v="9"/>
    <d v="2025-06-23T00:00:00"/>
    <d v="1899-12-30T19:15:00"/>
    <d v="2025-06-23T00:00:00"/>
    <d v="1899-12-30T19:45:00"/>
    <x v="3"/>
    <x v="1"/>
    <x v="1"/>
    <x v="1"/>
    <x v="7"/>
    <x v="0"/>
    <s v="Wallet"/>
    <b v="1"/>
    <b v="0"/>
    <n v="5"/>
    <n v="0.66666666666666663"/>
    <s v="June"/>
    <s v="Online"/>
    <n v="14.4"/>
    <n v="15.6"/>
    <b v="0"/>
    <n v="12"/>
    <n v="2"/>
    <x v="3"/>
    <n v="29.948453608247419"/>
  </r>
  <r>
    <s v="ORD619"/>
    <x v="2"/>
    <x v="10"/>
    <d v="2025-06-24T00:00:00"/>
    <d v="1899-12-30T20:30:00"/>
    <d v="2025-06-24T00:00:00"/>
    <d v="1899-12-30T21:10:00"/>
    <x v="4"/>
    <x v="3"/>
    <x v="3"/>
    <x v="3"/>
    <x v="8"/>
    <x v="1"/>
    <s v="Card"/>
    <b v="1"/>
    <b v="0"/>
    <n v="5"/>
    <n v="0.625"/>
    <s v="June"/>
    <s v="Online"/>
    <n v="19.2"/>
    <n v="20.8"/>
    <b v="1"/>
    <n v="20"/>
    <n v="3"/>
    <x v="1"/>
    <n v="28.844221105527641"/>
  </r>
  <r>
    <s v="ORD620"/>
    <x v="4"/>
    <x v="27"/>
    <d v="2025-06-25T00:00:00"/>
    <d v="1899-12-30T18:45:00"/>
    <d v="2025-06-25T00:00:00"/>
    <d v="1899-12-30T19:05:00"/>
    <x v="2"/>
    <x v="2"/>
    <x v="2"/>
    <x v="4"/>
    <x v="0"/>
    <x v="2"/>
    <s v="Cash"/>
    <b v="1"/>
    <b v="0"/>
    <n v="8"/>
    <n v="0.4"/>
    <s v="June"/>
    <s v="Offline"/>
    <n v="6"/>
    <n v="14"/>
    <b v="0"/>
    <n v="1"/>
    <n v="1"/>
    <x v="0"/>
    <n v="30.286458333333329"/>
  </r>
  <r>
    <s v="ORD621"/>
    <x v="0"/>
    <x v="11"/>
    <d v="2025-06-26T00:00:00"/>
    <d v="1899-12-30T19:00:00"/>
    <d v="2025-06-26T00:00:00"/>
    <d v="1899-12-30T19:50:00"/>
    <x v="5"/>
    <x v="1"/>
    <x v="1"/>
    <x v="1"/>
    <x v="9"/>
    <x v="1"/>
    <s v="Card"/>
    <b v="1"/>
    <b v="0"/>
    <n v="5"/>
    <n v="0.4"/>
    <s v="June"/>
    <s v="Online"/>
    <n v="24"/>
    <n v="26"/>
    <b v="1"/>
    <n v="12"/>
    <n v="3"/>
    <x v="3"/>
    <n v="30.259433962264151"/>
  </r>
  <r>
    <s v="ORD622"/>
    <x v="1"/>
    <x v="21"/>
    <d v="2025-06-27T00:00:00"/>
    <d v="1899-12-30T20:00:00"/>
    <d v="2025-06-27T00:00:00"/>
    <d v="1899-12-30T20:35:00"/>
    <x v="6"/>
    <x v="0"/>
    <x v="4"/>
    <x v="0"/>
    <x v="10"/>
    <x v="0"/>
    <s v="Wallet"/>
    <b v="1"/>
    <b v="0"/>
    <n v="6.3636363636363633"/>
    <n v="0.54545454545454541"/>
    <s v="June"/>
    <s v="Online"/>
    <n v="13.2"/>
    <n v="21.8"/>
    <b v="1"/>
    <n v="6"/>
    <n v="2"/>
    <x v="1"/>
    <n v="28.186274509803919"/>
  </r>
  <r>
    <s v="ORD623"/>
    <x v="3"/>
    <x v="20"/>
    <d v="2025-06-28T00:00:00"/>
    <d v="1899-12-30T18:30:00"/>
    <d v="2025-06-28T00:00:00"/>
    <d v="1899-12-30T18:50:00"/>
    <x v="2"/>
    <x v="2"/>
    <x v="2"/>
    <x v="2"/>
    <x v="4"/>
    <x v="2"/>
    <s v="UPI"/>
    <b v="1"/>
    <b v="1"/>
    <n v="10"/>
    <n v="1"/>
    <s v="June"/>
    <s v="Online"/>
    <n v="4.8"/>
    <n v="15.2"/>
    <b v="0"/>
    <n v="2"/>
    <n v="1"/>
    <x v="0"/>
    <n v="29.948453608247419"/>
  </r>
  <r>
    <s v="ORD624"/>
    <x v="2"/>
    <x v="28"/>
    <d v="2025-06-29T00:00:00"/>
    <d v="1899-12-30T19:45:00"/>
    <d v="2025-06-29T00:00:00"/>
    <d v="1899-12-30T20:25:00"/>
    <x v="4"/>
    <x v="3"/>
    <x v="5"/>
    <x v="3"/>
    <x v="11"/>
    <x v="1"/>
    <s v="Card"/>
    <b v="1"/>
    <b v="1"/>
    <n v="5.333333333333333"/>
    <n v="0.66666666666666663"/>
    <s v="June"/>
    <s v="Online"/>
    <n v="18"/>
    <n v="22"/>
    <b v="1"/>
    <n v="20"/>
    <n v="3"/>
    <x v="3"/>
    <n v="28.844221105527641"/>
  </r>
  <r>
    <s v="ORD625"/>
    <x v="0"/>
    <x v="13"/>
    <d v="2025-06-15T00:00:00"/>
    <d v="1899-12-30T19:20:00"/>
    <d v="2025-06-15T00:00:00"/>
    <d v="1899-12-30T19:55:00"/>
    <x v="6"/>
    <x v="1"/>
    <x v="3"/>
    <x v="1"/>
    <x v="16"/>
    <x v="0"/>
    <s v="Card"/>
    <b v="1"/>
    <b v="1"/>
    <n v="6.481481481481481"/>
    <n v="0.7407407407407407"/>
    <s v="June"/>
    <s v="Online"/>
    <n v="12.96"/>
    <n v="22.04"/>
    <b v="1"/>
    <n v="12"/>
    <n v="2"/>
    <x v="3"/>
    <n v="30.259433962264151"/>
  </r>
  <r>
    <s v="ORD626"/>
    <x v="3"/>
    <x v="3"/>
    <d v="2025-06-15T00:00:00"/>
    <d v="1899-12-30T20:00:00"/>
    <d v="2025-06-15T00:00:00"/>
    <d v="1899-12-30T20:30:00"/>
    <x v="3"/>
    <x v="0"/>
    <x v="0"/>
    <x v="2"/>
    <x v="17"/>
    <x v="2"/>
    <s v="Wallet"/>
    <b v="1"/>
    <b v="1"/>
    <n v="7.3170731707317076"/>
    <n v="0.48780487804878048"/>
    <s v="June"/>
    <s v="Online"/>
    <n v="9.8399999999999981"/>
    <n v="20.16"/>
    <b v="0"/>
    <n v="4"/>
    <n v="1"/>
    <x v="1"/>
    <n v="29.948453608247419"/>
  </r>
  <r>
    <s v="ORD627"/>
    <x v="2"/>
    <x v="8"/>
    <d v="2025-06-15T00:00:00"/>
    <d v="1899-12-30T20:05:00"/>
    <d v="2025-06-15T00:00:00"/>
    <d v="1899-12-30T20:55:00"/>
    <x v="5"/>
    <x v="3"/>
    <x v="1"/>
    <x v="3"/>
    <x v="18"/>
    <x v="1"/>
    <s v="Cash"/>
    <b v="1"/>
    <b v="1"/>
    <n v="5.7471264367816097"/>
    <n v="0.57471264367816099"/>
    <s v="June"/>
    <s v="Offline"/>
    <n v="20.88"/>
    <n v="29.12"/>
    <b v="1"/>
    <n v="20"/>
    <n v="3"/>
    <x v="1"/>
    <n v="28.844221105527641"/>
  </r>
  <r>
    <s v="ORD628"/>
    <x v="0"/>
    <x v="13"/>
    <d v="2025-06-15T00:00:00"/>
    <d v="1899-12-30T21:00:00"/>
    <d v="2025-06-15T00:00:00"/>
    <d v="1899-12-30T21:35:00"/>
    <x v="6"/>
    <x v="1"/>
    <x v="3"/>
    <x v="1"/>
    <x v="16"/>
    <x v="0"/>
    <s v="Card"/>
    <b v="1"/>
    <b v="1"/>
    <n v="6.481481481481481"/>
    <n v="0.7407407407407407"/>
    <s v="June"/>
    <s v="Online"/>
    <n v="12.96"/>
    <n v="22.04"/>
    <b v="1"/>
    <n v="12"/>
    <n v="2"/>
    <x v="7"/>
    <n v="30.259433962264151"/>
  </r>
  <r>
    <s v="ORD629"/>
    <x v="1"/>
    <x v="9"/>
    <d v="2025-06-16T00:00:00"/>
    <d v="1899-12-30T17:45:00"/>
    <d v="2025-06-16T00:00:00"/>
    <d v="1899-12-30T18:10:00"/>
    <x v="1"/>
    <x v="0"/>
    <x v="4"/>
    <x v="0"/>
    <x v="19"/>
    <x v="2"/>
    <s v="UPI"/>
    <b v="0"/>
    <b v="0"/>
    <n v="6.4102564102564106"/>
    <n v="0.76923076923076927"/>
    <s v="June"/>
    <s v="Online"/>
    <n v="9.36"/>
    <n v="15.64"/>
    <b v="0"/>
    <n v="6"/>
    <n v="1"/>
    <x v="5"/>
    <n v="28.186274509803919"/>
  </r>
  <r>
    <s v="ORD630"/>
    <x v="3"/>
    <x v="3"/>
    <d v="2025-06-16T00:00:00"/>
    <d v="1899-12-30T18:30:00"/>
    <d v="2025-06-16T00:00:00"/>
    <d v="1899-12-30T19:10:00"/>
    <x v="4"/>
    <x v="1"/>
    <x v="5"/>
    <x v="3"/>
    <x v="7"/>
    <x v="0"/>
    <s v="Wallet"/>
    <b v="1"/>
    <b v="0"/>
    <n v="6.666666666666667"/>
    <n v="0.83333333333333337"/>
    <s v="June"/>
    <s v="Online"/>
    <n v="14.4"/>
    <n v="25.6"/>
    <b v="1"/>
    <n v="15"/>
    <n v="2"/>
    <x v="0"/>
    <n v="29.948453608247419"/>
  </r>
  <r>
    <s v="ORD631"/>
    <x v="0"/>
    <x v="7"/>
    <d v="2025-06-16T00:00:00"/>
    <d v="1899-12-30T19:00:00"/>
    <d v="2025-06-16T00:00:00"/>
    <d v="1899-12-30T19:35:00"/>
    <x v="6"/>
    <x v="0"/>
    <x v="0"/>
    <x v="2"/>
    <x v="3"/>
    <x v="0"/>
    <s v="Hut Points"/>
    <b v="1"/>
    <b v="0"/>
    <n v="7.7777777777777777"/>
    <n v="0.44444444444444442"/>
    <s v="June"/>
    <s v="Offline"/>
    <n v="10.8"/>
    <n v="24.2"/>
    <b v="1"/>
    <n v="4"/>
    <n v="2"/>
    <x v="3"/>
    <n v="30.259433962264151"/>
  </r>
  <r>
    <s v="ORD632"/>
    <x v="3"/>
    <x v="4"/>
    <d v="2025-06-16T00:00:00"/>
    <d v="1899-12-30T20:15:00"/>
    <d v="2025-06-16T00:00:00"/>
    <d v="1899-12-30T21:00:00"/>
    <x v="7"/>
    <x v="1"/>
    <x v="3"/>
    <x v="1"/>
    <x v="13"/>
    <x v="1"/>
    <s v="Card"/>
    <b v="1"/>
    <b v="0"/>
    <n v="6.25"/>
    <n v="0.55555555555555558"/>
    <s v="June"/>
    <s v="Online"/>
    <n v="17.28"/>
    <n v="27.72"/>
    <b v="1"/>
    <n v="12"/>
    <n v="3"/>
    <x v="1"/>
    <n v="29.948453608247419"/>
  </r>
  <r>
    <s v="ORD633"/>
    <x v="0"/>
    <x v="13"/>
    <d v="2025-06-16T00:00:00"/>
    <d v="1899-12-30T21:10:00"/>
    <d v="2025-06-16T00:00:00"/>
    <d v="1899-12-30T21:40:00"/>
    <x v="3"/>
    <x v="1"/>
    <x v="3"/>
    <x v="1"/>
    <x v="16"/>
    <x v="0"/>
    <s v="Cash"/>
    <b v="1"/>
    <b v="0"/>
    <n v="5.5555555555555554"/>
    <n v="0.7407407407407407"/>
    <s v="June"/>
    <s v="Offline"/>
    <n v="12.96"/>
    <n v="17.04"/>
    <b v="0"/>
    <n v="12"/>
    <n v="2"/>
    <x v="7"/>
    <n v="30.259433962264151"/>
  </r>
  <r>
    <s v="ORD634"/>
    <x v="2"/>
    <x v="2"/>
    <d v="2025-06-17T00:00:00"/>
    <d v="1899-12-30T18:10:00"/>
    <d v="2025-06-17T00:00:00"/>
    <d v="1899-12-30T18:50:00"/>
    <x v="4"/>
    <x v="3"/>
    <x v="9"/>
    <x v="3"/>
    <x v="20"/>
    <x v="1"/>
    <s v="UPI"/>
    <b v="1"/>
    <b v="0"/>
    <n v="5.1282051282051286"/>
    <n v="0.64102564102564108"/>
    <s v="June"/>
    <s v="Online"/>
    <n v="18.72"/>
    <n v="21.28"/>
    <b v="1"/>
    <n v="20"/>
    <n v="3"/>
    <x v="0"/>
    <n v="28.844221105527641"/>
  </r>
  <r>
    <s v="ORD635"/>
    <x v="4"/>
    <x v="46"/>
    <d v="2025-06-17T00:00:00"/>
    <d v="1899-12-30T19:15:00"/>
    <d v="2025-06-17T00:00:00"/>
    <d v="1899-12-30T19:40:00"/>
    <x v="1"/>
    <x v="2"/>
    <x v="8"/>
    <x v="0"/>
    <x v="21"/>
    <x v="0"/>
    <s v="Card"/>
    <b v="1"/>
    <b v="0"/>
    <n v="7.8125"/>
    <n v="0.9375"/>
    <s v="June"/>
    <s v="Online"/>
    <n v="7.68"/>
    <n v="17.32"/>
    <b v="0"/>
    <n v="3"/>
    <n v="2"/>
    <x v="3"/>
    <n v="26.666666666666671"/>
  </r>
  <r>
    <s v="ORD636"/>
    <x v="3"/>
    <x v="3"/>
    <d v="2025-06-17T00:00:00"/>
    <d v="1899-12-30T20:00:00"/>
    <d v="2025-06-17T00:00:00"/>
    <d v="1899-12-30T20:30:00"/>
    <x v="3"/>
    <x v="0"/>
    <x v="0"/>
    <x v="2"/>
    <x v="17"/>
    <x v="2"/>
    <s v="Wallet"/>
    <b v="1"/>
    <b v="0"/>
    <n v="7.3170731707317076"/>
    <n v="0.48780487804878048"/>
    <s v="June"/>
    <s v="Online"/>
    <n v="9.8399999999999981"/>
    <n v="20.16"/>
    <b v="0"/>
    <n v="4"/>
    <n v="1"/>
    <x v="1"/>
    <n v="29.948453608247419"/>
  </r>
  <r>
    <s v="ORD637"/>
    <x v="1"/>
    <x v="14"/>
    <d v="2025-06-18T00:00:00"/>
    <d v="1899-12-30T17:45:00"/>
    <d v="2025-06-18T00:00:00"/>
    <d v="1899-12-30T18:35:00"/>
    <x v="5"/>
    <x v="1"/>
    <x v="1"/>
    <x v="1"/>
    <x v="22"/>
    <x v="1"/>
    <s v="Card"/>
    <b v="0"/>
    <b v="0"/>
    <n v="6.0240963855421681"/>
    <n v="0.48192771084337338"/>
    <s v="June"/>
    <s v="Online"/>
    <n v="19.920000000000002"/>
    <n v="30.08"/>
    <b v="1"/>
    <n v="12"/>
    <n v="3"/>
    <x v="5"/>
    <n v="28.186274509803919"/>
  </r>
  <r>
    <s v="ORD638"/>
    <x v="0"/>
    <x v="13"/>
    <d v="2025-06-18T00:00:00"/>
    <d v="1899-12-30T19:05:00"/>
    <d v="2025-06-18T00:00:00"/>
    <d v="1899-12-30T19:40:00"/>
    <x v="6"/>
    <x v="1"/>
    <x v="3"/>
    <x v="1"/>
    <x v="16"/>
    <x v="0"/>
    <s v="UPI"/>
    <b v="1"/>
    <b v="0"/>
    <n v="6.481481481481481"/>
    <n v="0.7407407407407407"/>
    <s v="June"/>
    <s v="Online"/>
    <n v="12.96"/>
    <n v="22.04"/>
    <b v="1"/>
    <n v="12"/>
    <n v="2"/>
    <x v="3"/>
    <n v="30.259433962264151"/>
  </r>
  <r>
    <s v="ORD639"/>
    <x v="4"/>
    <x v="18"/>
    <d v="2025-06-18T00:00:00"/>
    <d v="1899-12-30T20:00:00"/>
    <d v="2025-06-18T00:00:00"/>
    <d v="1899-12-30T20:25:00"/>
    <x v="1"/>
    <x v="0"/>
    <x v="1"/>
    <x v="0"/>
    <x v="6"/>
    <x v="2"/>
    <s v="Wallet"/>
    <b v="1"/>
    <b v="0"/>
    <n v="6.25"/>
    <n v="0.75"/>
    <s v="June"/>
    <s v="Online"/>
    <n v="9.6"/>
    <n v="15.4"/>
    <b v="0"/>
    <n v="6"/>
    <n v="1"/>
    <x v="1"/>
    <n v="26.666666666666671"/>
  </r>
  <r>
    <s v="ORD640"/>
    <x v="3"/>
    <x v="3"/>
    <d v="2025-06-18T00:00:00"/>
    <d v="1899-12-30T21:00:00"/>
    <d v="2025-06-18T00:00:00"/>
    <d v="1899-12-30T21:30:00"/>
    <x v="3"/>
    <x v="0"/>
    <x v="0"/>
    <x v="2"/>
    <x v="17"/>
    <x v="2"/>
    <s v="Card"/>
    <b v="1"/>
    <b v="0"/>
    <n v="7.3170731707317076"/>
    <n v="0.48780487804878048"/>
    <s v="June"/>
    <s v="Online"/>
    <n v="9.8399999999999981"/>
    <n v="20.16"/>
    <b v="0"/>
    <n v="4"/>
    <n v="1"/>
    <x v="7"/>
    <n v="29.948453608247419"/>
  </r>
  <r>
    <s v="ORD641"/>
    <x v="0"/>
    <x v="1"/>
    <d v="2025-06-19T00:00:00"/>
    <d v="1899-12-30T18:15:00"/>
    <d v="2025-06-19T00:00:00"/>
    <d v="1899-12-30T18:55:00"/>
    <x v="4"/>
    <x v="1"/>
    <x v="3"/>
    <x v="3"/>
    <x v="23"/>
    <x v="0"/>
    <s v="Cash"/>
    <b v="1"/>
    <b v="0"/>
    <n v="6.3492063492063497"/>
    <n v="0.79365079365079372"/>
    <s v="June"/>
    <s v="Offline"/>
    <n v="15.12"/>
    <n v="24.88"/>
    <b v="1"/>
    <n v="15"/>
    <n v="2"/>
    <x v="0"/>
    <n v="30.259433962264151"/>
  </r>
  <r>
    <s v="ORD642"/>
    <x v="2"/>
    <x v="10"/>
    <d v="2025-06-19T00:00:00"/>
    <d v="1899-12-30T19:10:00"/>
    <d v="2025-06-19T00:00:00"/>
    <d v="1899-12-30T19:55:00"/>
    <x v="7"/>
    <x v="3"/>
    <x v="2"/>
    <x v="2"/>
    <x v="15"/>
    <x v="1"/>
    <s v="Wallet"/>
    <b v="1"/>
    <b v="0"/>
    <n v="6.4285714285714288"/>
    <n v="0.2857142857142857"/>
    <s v="June"/>
    <s v="Online"/>
    <n v="16.8"/>
    <n v="28.2"/>
    <b v="1"/>
    <n v="8"/>
    <n v="3"/>
    <x v="3"/>
    <n v="28.844221105527641"/>
  </r>
  <r>
    <s v="ORD643"/>
    <x v="0"/>
    <x v="13"/>
    <d v="2025-06-19T00:00:00"/>
    <d v="1899-12-30T20:00:00"/>
    <d v="2025-06-19T00:00:00"/>
    <d v="1899-12-30T20:30:00"/>
    <x v="3"/>
    <x v="1"/>
    <x v="3"/>
    <x v="1"/>
    <x v="16"/>
    <x v="0"/>
    <s v="Card"/>
    <b v="1"/>
    <b v="0"/>
    <n v="5.5555555555555554"/>
    <n v="0.7407407407407407"/>
    <s v="June"/>
    <s v="Online"/>
    <n v="12.96"/>
    <n v="17.04"/>
    <b v="0"/>
    <n v="12"/>
    <n v="2"/>
    <x v="1"/>
    <n v="30.259433962264151"/>
  </r>
  <r>
    <s v="ORD644"/>
    <x v="4"/>
    <x v="46"/>
    <d v="2025-06-20T00:00:00"/>
    <d v="1899-12-30T18:10:00"/>
    <d v="2025-06-20T00:00:00"/>
    <d v="1899-12-30T18:40:00"/>
    <x v="3"/>
    <x v="2"/>
    <x v="8"/>
    <x v="0"/>
    <x v="21"/>
    <x v="0"/>
    <s v="Cash"/>
    <b v="1"/>
    <b v="0"/>
    <n v="9.375"/>
    <n v="0.9375"/>
    <s v="June"/>
    <s v="Offline"/>
    <n v="7.68"/>
    <n v="22.32"/>
    <b v="0"/>
    <n v="3"/>
    <n v="2"/>
    <x v="0"/>
    <n v="26.666666666666671"/>
  </r>
  <r>
    <s v="ORD645"/>
    <x v="3"/>
    <x v="4"/>
    <d v="2025-06-20T00:00:00"/>
    <d v="1899-12-30T19:00:00"/>
    <d v="2025-06-20T00:00:00"/>
    <d v="1899-12-30T19:30:00"/>
    <x v="3"/>
    <x v="0"/>
    <x v="5"/>
    <x v="1"/>
    <x v="24"/>
    <x v="0"/>
    <s v="Card"/>
    <b v="1"/>
    <b v="0"/>
    <n v="5.1724137931034484"/>
    <n v="0.68965517241379315"/>
    <s v="June"/>
    <s v="Online"/>
    <n v="13.92"/>
    <n v="16.079999999999998"/>
    <b v="0"/>
    <n v="8"/>
    <n v="2"/>
    <x v="3"/>
    <n v="29.948453608247419"/>
  </r>
  <r>
    <s v="ORD646"/>
    <x v="0"/>
    <x v="5"/>
    <d v="2025-07-21T00:00:00"/>
    <d v="1899-12-30T19:00:00"/>
    <d v="2025-07-21T00:00:00"/>
    <d v="1899-12-30T19:50:00"/>
    <x v="5"/>
    <x v="1"/>
    <x v="1"/>
    <x v="1"/>
    <x v="9"/>
    <x v="1"/>
    <s v="Card"/>
    <b v="1"/>
    <b v="0"/>
    <n v="5"/>
    <n v="0.4"/>
    <s v="July"/>
    <s v="Online"/>
    <n v="24"/>
    <n v="26"/>
    <b v="1"/>
    <n v="12"/>
    <n v="3"/>
    <x v="3"/>
    <n v="30.259433962264151"/>
  </r>
  <r>
    <s v="ORD647"/>
    <x v="1"/>
    <x v="19"/>
    <d v="2025-07-22T00:00:00"/>
    <d v="1899-12-30T20:00:00"/>
    <d v="2025-07-22T00:00:00"/>
    <d v="1899-12-30T20:35:00"/>
    <x v="6"/>
    <x v="0"/>
    <x v="4"/>
    <x v="0"/>
    <x v="10"/>
    <x v="0"/>
    <s v="Wallet"/>
    <b v="1"/>
    <b v="0"/>
    <n v="6.3636363636363633"/>
    <n v="0.54545454545454541"/>
    <s v="July"/>
    <s v="Online"/>
    <n v="13.2"/>
    <n v="21.8"/>
    <b v="1"/>
    <n v="6"/>
    <n v="2"/>
    <x v="1"/>
    <n v="28.186274509803919"/>
  </r>
  <r>
    <s v="ORD648"/>
    <x v="3"/>
    <x v="9"/>
    <d v="2025-07-23T00:00:00"/>
    <d v="1899-12-30T18:30:00"/>
    <d v="2025-07-23T00:00:00"/>
    <d v="1899-12-30T18:50:00"/>
    <x v="2"/>
    <x v="2"/>
    <x v="2"/>
    <x v="2"/>
    <x v="4"/>
    <x v="2"/>
    <s v="UPI"/>
    <b v="1"/>
    <b v="0"/>
    <n v="10"/>
    <n v="1"/>
    <s v="July"/>
    <s v="Online"/>
    <n v="4.8"/>
    <n v="15.2"/>
    <b v="0"/>
    <n v="2"/>
    <n v="1"/>
    <x v="0"/>
    <n v="29.948453608247419"/>
  </r>
  <r>
    <s v="ORD649"/>
    <x v="2"/>
    <x v="10"/>
    <d v="2025-07-24T00:00:00"/>
    <d v="1899-12-30T19:45:00"/>
    <d v="2025-07-24T00:00:00"/>
    <d v="1899-12-30T20:25:00"/>
    <x v="4"/>
    <x v="3"/>
    <x v="3"/>
    <x v="3"/>
    <x v="8"/>
    <x v="1"/>
    <s v="Card"/>
    <b v="1"/>
    <b v="0"/>
    <n v="5"/>
    <n v="0.625"/>
    <s v="July"/>
    <s v="Online"/>
    <n v="19.2"/>
    <n v="20.8"/>
    <b v="1"/>
    <n v="20"/>
    <n v="3"/>
    <x v="3"/>
    <n v="28.844221105527641"/>
  </r>
  <r>
    <s v="ORD650"/>
    <x v="4"/>
    <x v="11"/>
    <d v="2025-07-25T00:00:00"/>
    <d v="1899-12-30T18:15:00"/>
    <d v="2025-07-25T00:00:00"/>
    <d v="1899-12-30T18:45:00"/>
    <x v="3"/>
    <x v="0"/>
    <x v="8"/>
    <x v="0"/>
    <x v="6"/>
    <x v="0"/>
    <s v="UPI"/>
    <b v="1"/>
    <b v="0"/>
    <n v="7.5"/>
    <n v="0.75"/>
    <s v="July"/>
    <s v="Online"/>
    <n v="9.6"/>
    <n v="20.399999999999999"/>
    <b v="0"/>
    <n v="6"/>
    <n v="2"/>
    <x v="0"/>
    <n v="30.286458333333329"/>
  </r>
  <r>
    <s v="ORD651"/>
    <x v="0"/>
    <x v="28"/>
    <d v="2025-07-26T00:00:00"/>
    <d v="1899-12-30T19:30:00"/>
    <d v="2025-07-26T00:00:00"/>
    <d v="1899-12-30T20:10:00"/>
    <x v="4"/>
    <x v="1"/>
    <x v="9"/>
    <x v="1"/>
    <x v="14"/>
    <x v="1"/>
    <s v="Cash"/>
    <b v="1"/>
    <b v="1"/>
    <n v="6.1538461538461542"/>
    <n v="0.61538461538461542"/>
    <s v="July"/>
    <s v="Offline"/>
    <n v="15.6"/>
    <n v="24.4"/>
    <b v="1"/>
    <n v="12"/>
    <n v="3"/>
    <x v="3"/>
    <n v="30.259433962264151"/>
  </r>
  <r>
    <s v="ORD652"/>
    <x v="1"/>
    <x v="20"/>
    <d v="2025-07-27T00:00:00"/>
    <d v="1899-12-30T20:45:00"/>
    <d v="2025-07-27T00:00:00"/>
    <d v="1899-12-30T21:15:00"/>
    <x v="3"/>
    <x v="0"/>
    <x v="0"/>
    <x v="2"/>
    <x v="5"/>
    <x v="2"/>
    <s v="Card"/>
    <b v="1"/>
    <b v="1"/>
    <n v="8.5714285714285712"/>
    <n v="0.5714285714285714"/>
    <s v="July"/>
    <s v="Online"/>
    <n v="8.4"/>
    <n v="21.6"/>
    <b v="0"/>
    <n v="4"/>
    <n v="1"/>
    <x v="1"/>
    <n v="28.186274509803919"/>
  </r>
  <r>
    <s v="ORD653"/>
    <x v="3"/>
    <x v="21"/>
    <d v="2025-07-28T00:00:00"/>
    <d v="1899-12-30T18:00:00"/>
    <d v="2025-07-28T00:00:00"/>
    <d v="1899-12-30T18:30:00"/>
    <x v="3"/>
    <x v="1"/>
    <x v="1"/>
    <x v="1"/>
    <x v="1"/>
    <x v="0"/>
    <s v="Wallet"/>
    <b v="1"/>
    <b v="0"/>
    <n v="6"/>
    <n v="0.8"/>
    <s v="July"/>
    <s v="Online"/>
    <n v="12"/>
    <n v="18"/>
    <b v="0"/>
    <n v="12"/>
    <n v="2"/>
    <x v="0"/>
    <n v="29.948453608247419"/>
  </r>
  <r>
    <s v="ORD654"/>
    <x v="2"/>
    <x v="27"/>
    <d v="2025-07-29T00:00:00"/>
    <d v="1899-12-30T19:15:00"/>
    <d v="2025-07-29T00:00:00"/>
    <d v="1899-12-30T19:55:00"/>
    <x v="4"/>
    <x v="3"/>
    <x v="3"/>
    <x v="3"/>
    <x v="15"/>
    <x v="1"/>
    <s v="Card"/>
    <b v="1"/>
    <b v="0"/>
    <n v="5.7142857142857144"/>
    <n v="0.7142857142857143"/>
    <s v="July"/>
    <s v="Online"/>
    <n v="16.8"/>
    <n v="23.2"/>
    <b v="1"/>
    <n v="20"/>
    <n v="3"/>
    <x v="3"/>
    <n v="28.844221105527641"/>
  </r>
  <r>
    <s v="ORD655"/>
    <x v="4"/>
    <x v="81"/>
    <d v="2025-07-30T00:00:00"/>
    <d v="1899-12-30T20:30:00"/>
    <d v="2025-07-30T00:00:00"/>
    <d v="1899-12-30T21:00:00"/>
    <x v="3"/>
    <x v="0"/>
    <x v="2"/>
    <x v="2"/>
    <x v="6"/>
    <x v="0"/>
    <s v="UPI"/>
    <b v="1"/>
    <b v="0"/>
    <n v="7.5"/>
    <n v="0.5"/>
    <s v="July"/>
    <s v="Online"/>
    <n v="9.6"/>
    <n v="20.399999999999999"/>
    <b v="0"/>
    <n v="4"/>
    <n v="2"/>
    <x v="1"/>
    <n v="30.286458333333329"/>
  </r>
  <r>
    <s v="ORD656"/>
    <x v="0"/>
    <x v="29"/>
    <d v="2025-07-31T00:00:00"/>
    <d v="1899-12-30T18:45:00"/>
    <d v="2025-07-31T00:00:00"/>
    <d v="1899-12-30T19:25:00"/>
    <x v="4"/>
    <x v="1"/>
    <x v="1"/>
    <x v="1"/>
    <x v="7"/>
    <x v="1"/>
    <s v="Domino's Cash"/>
    <b v="1"/>
    <b v="0"/>
    <n v="6.666666666666667"/>
    <n v="0.66666666666666663"/>
    <s v="July"/>
    <s v="Offline"/>
    <n v="14.4"/>
    <n v="25.6"/>
    <b v="1"/>
    <n v="12"/>
    <n v="3"/>
    <x v="0"/>
    <n v="30.259433962264151"/>
  </r>
  <r>
    <s v="ORD657"/>
    <x v="1"/>
    <x v="23"/>
    <d v="2025-08-01T00:00:00"/>
    <d v="1899-12-30T20:00:00"/>
    <d v="2025-08-01T00:00:00"/>
    <d v="1899-12-30T20:30:00"/>
    <x v="3"/>
    <x v="0"/>
    <x v="4"/>
    <x v="0"/>
    <x v="1"/>
    <x v="0"/>
    <s v="Wallet"/>
    <b v="1"/>
    <b v="0"/>
    <n v="6"/>
    <n v="0.6"/>
    <s v="August"/>
    <s v="Online"/>
    <n v="12"/>
    <n v="18"/>
    <b v="0"/>
    <n v="6"/>
    <n v="2"/>
    <x v="1"/>
    <n v="28.186274509803919"/>
  </r>
  <r>
    <s v="ORD658"/>
    <x v="3"/>
    <x v="30"/>
    <d v="2025-08-02T00:00:00"/>
    <d v="1899-12-30T18:30:00"/>
    <d v="2025-08-02T00:00:00"/>
    <d v="1899-12-30T19:00:00"/>
    <x v="3"/>
    <x v="2"/>
    <x v="2"/>
    <x v="2"/>
    <x v="2"/>
    <x v="2"/>
    <s v="UPI"/>
    <b v="1"/>
    <b v="1"/>
    <n v="10"/>
    <n v="0.66666666666666663"/>
    <s v="August"/>
    <s v="Online"/>
    <n v="7.1999999999999993"/>
    <n v="22.8"/>
    <b v="0"/>
    <n v="2"/>
    <n v="1"/>
    <x v="0"/>
    <n v="29.948453608247419"/>
  </r>
  <r>
    <s v="ORD659"/>
    <x v="2"/>
    <x v="31"/>
    <d v="2025-08-03T00:00:00"/>
    <d v="1899-12-30T19:45:00"/>
    <d v="2025-08-03T00:00:00"/>
    <d v="1899-12-30T20:25:00"/>
    <x v="4"/>
    <x v="3"/>
    <x v="5"/>
    <x v="3"/>
    <x v="8"/>
    <x v="1"/>
    <s v="Card"/>
    <b v="1"/>
    <b v="1"/>
    <n v="5"/>
    <n v="0.625"/>
    <s v="August"/>
    <s v="Online"/>
    <n v="19.2"/>
    <n v="20.8"/>
    <b v="1"/>
    <n v="20"/>
    <n v="3"/>
    <x v="3"/>
    <n v="28.844221105527641"/>
  </r>
  <r>
    <s v="ORD660"/>
    <x v="4"/>
    <x v="32"/>
    <d v="2025-08-04T00:00:00"/>
    <d v="1899-12-30T18:00:00"/>
    <d v="2025-08-04T00:00:00"/>
    <d v="1899-12-30T18:30:00"/>
    <x v="3"/>
    <x v="0"/>
    <x v="1"/>
    <x v="0"/>
    <x v="6"/>
    <x v="0"/>
    <s v="UPI"/>
    <b v="1"/>
    <b v="0"/>
    <n v="7.5"/>
    <n v="0.75"/>
    <s v="August"/>
    <s v="Online"/>
    <n v="9.6"/>
    <n v="20.399999999999999"/>
    <b v="0"/>
    <n v="6"/>
    <n v="2"/>
    <x v="0"/>
    <n v="30.286458333333329"/>
  </r>
  <r>
    <s v="ORD661"/>
    <x v="0"/>
    <x v="33"/>
    <d v="2025-08-05T00:00:00"/>
    <d v="1899-12-30T19:15:00"/>
    <d v="2025-08-05T00:00:00"/>
    <d v="1899-12-30T19:55:00"/>
    <x v="4"/>
    <x v="1"/>
    <x v="0"/>
    <x v="1"/>
    <x v="7"/>
    <x v="1"/>
    <s v="Cash"/>
    <b v="1"/>
    <b v="0"/>
    <n v="6.666666666666667"/>
    <n v="0.66666666666666663"/>
    <s v="August"/>
    <s v="Offline"/>
    <n v="14.4"/>
    <n v="25.6"/>
    <b v="1"/>
    <n v="12"/>
    <n v="3"/>
    <x v="3"/>
    <n v="30.259433962264151"/>
  </r>
  <r>
    <s v="ORD662"/>
    <x v="1"/>
    <x v="34"/>
    <d v="2025-08-06T00:00:00"/>
    <d v="1899-12-30T20:30:00"/>
    <d v="2025-08-06T00:00:00"/>
    <d v="1899-12-30T21:00:00"/>
    <x v="3"/>
    <x v="0"/>
    <x v="0"/>
    <x v="2"/>
    <x v="5"/>
    <x v="2"/>
    <s v="Card"/>
    <b v="1"/>
    <b v="0"/>
    <n v="8.5714285714285712"/>
    <n v="0.5714285714285714"/>
    <s v="August"/>
    <s v="Online"/>
    <n v="8.4"/>
    <n v="21.6"/>
    <b v="0"/>
    <n v="4"/>
    <n v="1"/>
    <x v="1"/>
    <n v="28.186274509803919"/>
  </r>
  <r>
    <s v="ORD663"/>
    <x v="3"/>
    <x v="35"/>
    <d v="2025-08-07T00:00:00"/>
    <d v="1899-12-30T18:45:00"/>
    <d v="2025-08-07T00:00:00"/>
    <d v="1899-12-30T19:15:00"/>
    <x v="3"/>
    <x v="1"/>
    <x v="1"/>
    <x v="1"/>
    <x v="10"/>
    <x v="0"/>
    <s v="Wallet"/>
    <b v="1"/>
    <b v="0"/>
    <n v="5.4545454545454541"/>
    <n v="0.72727272727272729"/>
    <s v="August"/>
    <s v="Online"/>
    <n v="13.2"/>
    <n v="16.8"/>
    <b v="0"/>
    <n v="12"/>
    <n v="2"/>
    <x v="0"/>
    <n v="29.948453608247419"/>
  </r>
  <r>
    <s v="ORD664"/>
    <x v="2"/>
    <x v="37"/>
    <d v="2025-08-08T00:00:00"/>
    <d v="1899-12-30T20:00:00"/>
    <d v="2025-08-08T00:00:00"/>
    <d v="1899-12-30T20:40:00"/>
    <x v="4"/>
    <x v="3"/>
    <x v="3"/>
    <x v="3"/>
    <x v="11"/>
    <x v="1"/>
    <s v="Card"/>
    <b v="1"/>
    <b v="0"/>
    <n v="5.333333333333333"/>
    <n v="0.66666666666666663"/>
    <s v="August"/>
    <s v="Online"/>
    <n v="18"/>
    <n v="22"/>
    <b v="1"/>
    <n v="20"/>
    <n v="3"/>
    <x v="1"/>
    <n v="28.844221105527641"/>
  </r>
  <r>
    <s v="ORD665"/>
    <x v="4"/>
    <x v="8"/>
    <d v="2025-08-09T00:00:00"/>
    <d v="1899-12-30T18:15:00"/>
    <d v="2025-08-09T00:00:00"/>
    <d v="1899-12-30T18:45:00"/>
    <x v="3"/>
    <x v="2"/>
    <x v="2"/>
    <x v="4"/>
    <x v="0"/>
    <x v="2"/>
    <s v="Cash"/>
    <b v="1"/>
    <b v="1"/>
    <n v="12"/>
    <n v="0.4"/>
    <s v="August"/>
    <s v="Offline"/>
    <n v="6"/>
    <n v="24"/>
    <b v="0"/>
    <n v="1"/>
    <n v="1"/>
    <x v="0"/>
    <n v="30.286458333333329"/>
  </r>
  <r>
    <s v="ORD666"/>
    <x v="0"/>
    <x v="38"/>
    <d v="2025-08-10T00:00:00"/>
    <d v="1899-12-30T19:30:00"/>
    <d v="2025-08-10T00:00:00"/>
    <d v="1899-12-30T20:10:00"/>
    <x v="4"/>
    <x v="1"/>
    <x v="1"/>
    <x v="1"/>
    <x v="14"/>
    <x v="1"/>
    <s v="Card"/>
    <b v="1"/>
    <b v="1"/>
    <n v="6.1538461538461542"/>
    <n v="0.61538461538461542"/>
    <s v="August"/>
    <s v="Online"/>
    <n v="15.6"/>
    <n v="24.4"/>
    <b v="1"/>
    <n v="12"/>
    <n v="3"/>
    <x v="3"/>
    <n v="30.259433962264151"/>
  </r>
  <r>
    <s v="ORD667"/>
    <x v="1"/>
    <x v="39"/>
    <d v="2025-08-11T00:00:00"/>
    <d v="1899-12-30T20:45:00"/>
    <d v="2025-08-11T00:00:00"/>
    <d v="1899-12-30T21:15:00"/>
    <x v="3"/>
    <x v="0"/>
    <x v="4"/>
    <x v="0"/>
    <x v="1"/>
    <x v="0"/>
    <s v="Wallet"/>
    <b v="1"/>
    <b v="0"/>
    <n v="6"/>
    <n v="0.6"/>
    <s v="August"/>
    <s v="Online"/>
    <n v="12"/>
    <n v="18"/>
    <b v="0"/>
    <n v="6"/>
    <n v="2"/>
    <x v="1"/>
    <n v="28.186274509803919"/>
  </r>
  <r>
    <s v="ORD668"/>
    <x v="3"/>
    <x v="36"/>
    <d v="2025-08-12T00:00:00"/>
    <d v="1899-12-30T18:00:00"/>
    <d v="2025-08-12T00:00:00"/>
    <d v="1899-12-30T18:30:00"/>
    <x v="3"/>
    <x v="2"/>
    <x v="2"/>
    <x v="2"/>
    <x v="2"/>
    <x v="2"/>
    <s v="UPI"/>
    <b v="1"/>
    <b v="0"/>
    <n v="10"/>
    <n v="0.66666666666666663"/>
    <s v="August"/>
    <s v="Online"/>
    <n v="7.1999999999999993"/>
    <n v="22.8"/>
    <b v="0"/>
    <n v="2"/>
    <n v="1"/>
    <x v="0"/>
    <n v="29.948453608247419"/>
  </r>
  <r>
    <s v="ORD669"/>
    <x v="2"/>
    <x v="82"/>
    <d v="2025-08-13T00:00:00"/>
    <d v="1899-12-30T19:15:00"/>
    <d v="2025-08-13T00:00:00"/>
    <d v="1899-12-30T19:55:00"/>
    <x v="4"/>
    <x v="3"/>
    <x v="3"/>
    <x v="3"/>
    <x v="15"/>
    <x v="1"/>
    <s v="Card"/>
    <b v="1"/>
    <b v="0"/>
    <n v="5.7142857142857144"/>
    <n v="0.7142857142857143"/>
    <s v="August"/>
    <s v="Online"/>
    <n v="16.8"/>
    <n v="23.2"/>
    <b v="1"/>
    <n v="20"/>
    <n v="3"/>
    <x v="3"/>
    <n v="28.844221105527641"/>
  </r>
  <r>
    <s v="ORD670"/>
    <x v="4"/>
    <x v="83"/>
    <d v="2025-08-14T00:00:00"/>
    <d v="1899-12-30T20:30:00"/>
    <d v="2025-08-14T00:00:00"/>
    <d v="1899-12-30T21:00:00"/>
    <x v="3"/>
    <x v="0"/>
    <x v="1"/>
    <x v="0"/>
    <x v="6"/>
    <x v="0"/>
    <s v="UPI"/>
    <b v="1"/>
    <b v="0"/>
    <n v="7.5"/>
    <n v="0.75"/>
    <s v="August"/>
    <s v="Online"/>
    <n v="9.6"/>
    <n v="20.399999999999999"/>
    <b v="0"/>
    <n v="6"/>
    <n v="2"/>
    <x v="1"/>
    <n v="30.286458333333329"/>
  </r>
  <r>
    <s v="ORD671"/>
    <x v="0"/>
    <x v="12"/>
    <d v="2025-08-15T00:00:00"/>
    <d v="1899-12-30T19:00:00"/>
    <d v="2025-08-15T00:00:00"/>
    <d v="1899-12-30T19:35:00"/>
    <x v="6"/>
    <x v="1"/>
    <x v="3"/>
    <x v="1"/>
    <x v="1"/>
    <x v="0"/>
    <s v="Card"/>
    <b v="1"/>
    <b v="0"/>
    <n v="7"/>
    <n v="0.8"/>
    <s v="August"/>
    <s v="Online"/>
    <n v="12"/>
    <n v="23"/>
    <b v="1"/>
    <n v="12"/>
    <n v="2"/>
    <x v="3"/>
    <n v="30.259433962264151"/>
  </r>
  <r>
    <s v="ORD672"/>
    <x v="3"/>
    <x v="13"/>
    <d v="2025-08-16T00:00:00"/>
    <d v="1899-12-30T18:30:00"/>
    <d v="2025-08-16T00:00:00"/>
    <d v="1899-12-30T19:10:00"/>
    <x v="4"/>
    <x v="0"/>
    <x v="0"/>
    <x v="2"/>
    <x v="7"/>
    <x v="1"/>
    <s v="Wallet"/>
    <b v="1"/>
    <b v="1"/>
    <n v="6.666666666666667"/>
    <n v="0.33333333333333331"/>
    <s v="August"/>
    <s v="Online"/>
    <n v="14.4"/>
    <n v="25.6"/>
    <b v="1"/>
    <n v="4"/>
    <n v="3"/>
    <x v="0"/>
    <n v="29.948453608247419"/>
  </r>
  <r>
    <s v="ORD673"/>
    <x v="1"/>
    <x v="17"/>
    <d v="2025-08-17T00:00:00"/>
    <d v="1899-12-30T20:00:00"/>
    <d v="2025-08-17T00:00:00"/>
    <d v="1899-12-30T20:25:00"/>
    <x v="1"/>
    <x v="0"/>
    <x v="4"/>
    <x v="0"/>
    <x v="5"/>
    <x v="2"/>
    <s v="UPI"/>
    <b v="1"/>
    <b v="1"/>
    <n v="7.1428571428571432"/>
    <n v="0.8571428571428571"/>
    <s v="August"/>
    <s v="Online"/>
    <n v="8.4"/>
    <n v="16.600000000000001"/>
    <b v="0"/>
    <n v="6"/>
    <n v="1"/>
    <x v="1"/>
    <n v="28.186274509803919"/>
  </r>
  <r>
    <s v="ORD674"/>
    <x v="2"/>
    <x v="16"/>
    <d v="2025-08-18T00:00:00"/>
    <d v="1899-12-30T19:15:00"/>
    <d v="2025-08-18T00:00:00"/>
    <d v="1899-12-30T19:55:00"/>
    <x v="4"/>
    <x v="3"/>
    <x v="1"/>
    <x v="3"/>
    <x v="15"/>
    <x v="1"/>
    <s v="Cash"/>
    <b v="1"/>
    <b v="0"/>
    <n v="5.7142857142857144"/>
    <n v="0.7142857142857143"/>
    <s v="August"/>
    <s v="Offline"/>
    <n v="16.8"/>
    <n v="23.2"/>
    <b v="1"/>
    <n v="20"/>
    <n v="3"/>
    <x v="3"/>
    <n v="28.844221105527641"/>
  </r>
  <r>
    <s v="ORD675"/>
    <x v="4"/>
    <x v="15"/>
    <d v="2025-08-19T00:00:00"/>
    <d v="1899-12-30T18:45:00"/>
    <d v="2025-08-19T00:00:00"/>
    <d v="1899-12-30T19:15:00"/>
    <x v="3"/>
    <x v="0"/>
    <x v="8"/>
    <x v="0"/>
    <x v="6"/>
    <x v="0"/>
    <s v="Card"/>
    <b v="1"/>
    <b v="0"/>
    <n v="7.5"/>
    <n v="0.75"/>
    <s v="August"/>
    <s v="Online"/>
    <n v="9.6"/>
    <n v="20.399999999999999"/>
    <b v="0"/>
    <n v="6"/>
    <n v="2"/>
    <x v="0"/>
    <n v="30.286458333333329"/>
  </r>
  <r>
    <s v="ORD676"/>
    <x v="0"/>
    <x v="19"/>
    <d v="2025-08-20T00:00:00"/>
    <d v="1899-12-30T20:30:00"/>
    <d v="2025-08-20T00:00:00"/>
    <d v="1899-12-30T21:00:00"/>
    <x v="3"/>
    <x v="1"/>
    <x v="9"/>
    <x v="1"/>
    <x v="10"/>
    <x v="0"/>
    <s v="UPI"/>
    <b v="1"/>
    <b v="0"/>
    <n v="5.4545454545454541"/>
    <n v="0.72727272727272729"/>
    <s v="August"/>
    <s v="Online"/>
    <n v="13.2"/>
    <n v="16.8"/>
    <b v="0"/>
    <n v="12"/>
    <n v="2"/>
    <x v="1"/>
    <n v="30.259433962264151"/>
  </r>
  <r>
    <s v="ORD677"/>
    <x v="3"/>
    <x v="18"/>
    <d v="2025-08-21T00:00:00"/>
    <d v="1899-12-30T19:00:00"/>
    <d v="2025-08-21T00:00:00"/>
    <d v="1899-12-30T19:30:00"/>
    <x v="3"/>
    <x v="0"/>
    <x v="0"/>
    <x v="2"/>
    <x v="6"/>
    <x v="2"/>
    <s v="Wallet"/>
    <b v="1"/>
    <b v="0"/>
    <n v="7.5"/>
    <n v="0.5"/>
    <s v="August"/>
    <s v="Online"/>
    <n v="9.6"/>
    <n v="20.399999999999999"/>
    <b v="0"/>
    <n v="4"/>
    <n v="1"/>
    <x v="3"/>
    <n v="29.948453608247419"/>
  </r>
  <r>
    <s v="ORD678"/>
    <x v="1"/>
    <x v="5"/>
    <d v="2025-08-22T00:00:00"/>
    <d v="1899-12-30T18:15:00"/>
    <d v="2025-08-22T00:00:00"/>
    <d v="1899-12-30T18:50:00"/>
    <x v="6"/>
    <x v="0"/>
    <x v="4"/>
    <x v="0"/>
    <x v="1"/>
    <x v="0"/>
    <s v="Card"/>
    <b v="1"/>
    <b v="0"/>
    <n v="7"/>
    <n v="0.6"/>
    <s v="August"/>
    <s v="Online"/>
    <n v="12"/>
    <n v="23"/>
    <b v="1"/>
    <n v="6"/>
    <n v="2"/>
    <x v="0"/>
    <n v="28.186274509803919"/>
  </r>
  <r>
    <s v="ORD679"/>
    <x v="2"/>
    <x v="10"/>
    <d v="2025-08-23T00:00:00"/>
    <d v="1899-12-30T20:00:00"/>
    <d v="2025-08-23T00:00:00"/>
    <d v="1899-12-30T20:45:00"/>
    <x v="7"/>
    <x v="3"/>
    <x v="3"/>
    <x v="3"/>
    <x v="8"/>
    <x v="1"/>
    <s v="Cash"/>
    <b v="1"/>
    <b v="1"/>
    <n v="5.625"/>
    <n v="0.625"/>
    <s v="August"/>
    <s v="Offline"/>
    <n v="19.2"/>
    <n v="25.8"/>
    <b v="1"/>
    <n v="20"/>
    <n v="3"/>
    <x v="1"/>
    <n v="28.844221105527641"/>
  </r>
  <r>
    <s v="ORD680"/>
    <x v="4"/>
    <x v="9"/>
    <d v="2025-08-24T00:00:00"/>
    <d v="1899-12-30T19:30:00"/>
    <d v="2025-08-24T00:00:00"/>
    <d v="1899-12-30T20:00:00"/>
    <x v="3"/>
    <x v="0"/>
    <x v="8"/>
    <x v="0"/>
    <x v="3"/>
    <x v="0"/>
    <s v="UPI"/>
    <b v="1"/>
    <b v="1"/>
    <n v="6.666666666666667"/>
    <n v="0.66666666666666663"/>
    <s v="August"/>
    <s v="Online"/>
    <n v="10.8"/>
    <n v="19.2"/>
    <b v="0"/>
    <n v="6"/>
    <n v="2"/>
    <x v="3"/>
    <n v="30.286458333333329"/>
  </r>
  <r>
    <s v="ORD681"/>
    <x v="0"/>
    <x v="11"/>
    <d v="2025-08-25T00:00:00"/>
    <d v="1899-12-30T18:00:00"/>
    <d v="2025-08-25T00:00:00"/>
    <d v="1899-12-30T18:35:00"/>
    <x v="6"/>
    <x v="1"/>
    <x v="1"/>
    <x v="1"/>
    <x v="7"/>
    <x v="0"/>
    <s v="Card"/>
    <b v="1"/>
    <b v="0"/>
    <n v="5.833333333333333"/>
    <n v="0.66666666666666663"/>
    <s v="August"/>
    <s v="Online"/>
    <n v="14.4"/>
    <n v="20.6"/>
    <b v="1"/>
    <n v="12"/>
    <n v="2"/>
    <x v="0"/>
    <n v="30.259433962264151"/>
  </r>
  <r>
    <s v="ORD682"/>
    <x v="3"/>
    <x v="20"/>
    <d v="2025-08-26T00:00:00"/>
    <d v="1899-12-30T19:15:00"/>
    <d v="2025-08-26T00:00:00"/>
    <d v="1899-12-30T19:45:00"/>
    <x v="3"/>
    <x v="0"/>
    <x v="0"/>
    <x v="2"/>
    <x v="6"/>
    <x v="2"/>
    <s v="Wallet"/>
    <b v="1"/>
    <b v="0"/>
    <n v="7.5"/>
    <n v="0.5"/>
    <s v="August"/>
    <s v="Online"/>
    <n v="9.6"/>
    <n v="20.399999999999999"/>
    <b v="0"/>
    <n v="4"/>
    <n v="1"/>
    <x v="3"/>
    <n v="29.948453608247419"/>
  </r>
  <r>
    <s v="ORD683"/>
    <x v="1"/>
    <x v="22"/>
    <d v="2025-08-27T00:00:00"/>
    <d v="1899-12-30T20:30:00"/>
    <d v="2025-08-27T00:00:00"/>
    <d v="1899-12-30T21:00:00"/>
    <x v="3"/>
    <x v="0"/>
    <x v="4"/>
    <x v="0"/>
    <x v="1"/>
    <x v="0"/>
    <s v="UPI"/>
    <b v="1"/>
    <b v="0"/>
    <n v="6"/>
    <n v="0.6"/>
    <s v="August"/>
    <s v="Online"/>
    <n v="12"/>
    <n v="18"/>
    <b v="0"/>
    <n v="6"/>
    <n v="2"/>
    <x v="1"/>
    <n v="28.186274509803919"/>
  </r>
  <r>
    <s v="ORD684"/>
    <x v="2"/>
    <x v="23"/>
    <d v="2025-08-28T00:00:00"/>
    <d v="1899-12-30T18:45:00"/>
    <d v="2025-08-28T00:00:00"/>
    <d v="1899-12-30T19:25:00"/>
    <x v="4"/>
    <x v="3"/>
    <x v="3"/>
    <x v="3"/>
    <x v="11"/>
    <x v="1"/>
    <s v="Card"/>
    <b v="1"/>
    <b v="0"/>
    <n v="5.333333333333333"/>
    <n v="0.66666666666666663"/>
    <s v="August"/>
    <s v="Online"/>
    <n v="18"/>
    <n v="22"/>
    <b v="1"/>
    <n v="20"/>
    <n v="3"/>
    <x v="0"/>
    <n v="28.844221105527641"/>
  </r>
  <r>
    <s v="ORD685"/>
    <x v="4"/>
    <x v="28"/>
    <d v="2025-08-29T00:00:00"/>
    <d v="1899-12-30T19:00:00"/>
    <d v="2025-08-29T00:00:00"/>
    <d v="1899-12-30T19:30:00"/>
    <x v="3"/>
    <x v="0"/>
    <x v="8"/>
    <x v="0"/>
    <x v="6"/>
    <x v="0"/>
    <s v="Cash"/>
    <b v="1"/>
    <b v="0"/>
    <n v="7.5"/>
    <n v="0.75"/>
    <s v="August"/>
    <s v="Offline"/>
    <n v="9.6"/>
    <n v="20.399999999999999"/>
    <b v="0"/>
    <n v="6"/>
    <n v="2"/>
    <x v="3"/>
    <n v="30.286458333333329"/>
  </r>
  <r>
    <s v="ORD686"/>
    <x v="0"/>
    <x v="79"/>
    <d v="2025-08-30T00:00:00"/>
    <d v="1899-12-30T20:15:00"/>
    <d v="2025-08-30T00:00:00"/>
    <d v="1899-12-30T20:45:00"/>
    <x v="3"/>
    <x v="1"/>
    <x v="9"/>
    <x v="1"/>
    <x v="10"/>
    <x v="0"/>
    <s v="UPI"/>
    <b v="1"/>
    <b v="1"/>
    <n v="5.4545454545454541"/>
    <n v="0.72727272727272729"/>
    <s v="August"/>
    <s v="Online"/>
    <n v="13.2"/>
    <n v="16.8"/>
    <b v="0"/>
    <n v="12"/>
    <n v="2"/>
    <x v="1"/>
    <n v="30.259433962264151"/>
  </r>
  <r>
    <s v="ORD687"/>
    <x v="3"/>
    <x v="80"/>
    <d v="2025-08-31T00:00:00"/>
    <d v="1899-12-30T18:30:00"/>
    <d v="2025-08-31T00:00:00"/>
    <d v="1899-12-30T19:00:00"/>
    <x v="3"/>
    <x v="0"/>
    <x v="0"/>
    <x v="2"/>
    <x v="6"/>
    <x v="2"/>
    <s v="Wallet"/>
    <b v="1"/>
    <b v="1"/>
    <n v="7.5"/>
    <n v="0.5"/>
    <s v="August"/>
    <s v="Online"/>
    <n v="9.6"/>
    <n v="20.399999999999999"/>
    <b v="0"/>
    <n v="4"/>
    <n v="1"/>
    <x v="0"/>
    <n v="29.948453608247419"/>
  </r>
  <r>
    <s v="ORD688"/>
    <x v="1"/>
    <x v="81"/>
    <d v="2025-09-01T00:00:00"/>
    <d v="1899-12-30T19:45:00"/>
    <d v="2025-09-01T00:00:00"/>
    <d v="1899-12-30T20:15:00"/>
    <x v="3"/>
    <x v="0"/>
    <x v="4"/>
    <x v="0"/>
    <x v="1"/>
    <x v="0"/>
    <s v="Card"/>
    <b v="1"/>
    <b v="0"/>
    <n v="6"/>
    <n v="0.6"/>
    <s v="September"/>
    <s v="Online"/>
    <n v="12"/>
    <n v="18"/>
    <b v="0"/>
    <n v="6"/>
    <n v="2"/>
    <x v="3"/>
    <n v="28.186274509803919"/>
  </r>
  <r>
    <s v="ORD689"/>
    <x v="2"/>
    <x v="29"/>
    <d v="2025-09-02T00:00:00"/>
    <d v="1899-12-30T20:00:00"/>
    <d v="2025-09-02T00:00:00"/>
    <d v="1899-12-30T20:40:00"/>
    <x v="4"/>
    <x v="3"/>
    <x v="3"/>
    <x v="3"/>
    <x v="8"/>
    <x v="1"/>
    <s v="UPI"/>
    <b v="1"/>
    <b v="0"/>
    <n v="5"/>
    <n v="0.625"/>
    <s v="September"/>
    <s v="Online"/>
    <n v="19.2"/>
    <n v="20.8"/>
    <b v="1"/>
    <n v="20"/>
    <n v="3"/>
    <x v="1"/>
    <n v="28.844221105527641"/>
  </r>
  <r>
    <s v="ORD690"/>
    <x v="4"/>
    <x v="30"/>
    <d v="2025-09-03T00:00:00"/>
    <d v="1899-12-30T18:15:00"/>
    <d v="2025-09-03T00:00:00"/>
    <d v="1899-12-30T18:45:00"/>
    <x v="3"/>
    <x v="0"/>
    <x v="8"/>
    <x v="0"/>
    <x v="6"/>
    <x v="0"/>
    <s v="Card"/>
    <b v="1"/>
    <b v="0"/>
    <n v="7.5"/>
    <n v="0.75"/>
    <s v="September"/>
    <s v="Online"/>
    <n v="9.6"/>
    <n v="20.399999999999999"/>
    <b v="0"/>
    <n v="6"/>
    <n v="2"/>
    <x v="0"/>
    <n v="30.286458333333329"/>
  </r>
  <r>
    <s v="ORD691"/>
    <x v="0"/>
    <x v="31"/>
    <d v="2025-09-04T00:00:00"/>
    <d v="1899-12-30T19:30:00"/>
    <d v="2025-09-04T00:00:00"/>
    <d v="1899-12-30T20:00:00"/>
    <x v="3"/>
    <x v="1"/>
    <x v="1"/>
    <x v="1"/>
    <x v="7"/>
    <x v="0"/>
    <s v="Cash"/>
    <b v="1"/>
    <b v="0"/>
    <n v="5"/>
    <n v="0.66666666666666663"/>
    <s v="September"/>
    <s v="Offline"/>
    <n v="14.4"/>
    <n v="15.6"/>
    <b v="0"/>
    <n v="12"/>
    <n v="2"/>
    <x v="3"/>
    <n v="30.259433962264151"/>
  </r>
  <r>
    <s v="ORD692"/>
    <x v="3"/>
    <x v="32"/>
    <d v="2025-09-05T00:00:00"/>
    <d v="1899-12-30T20:45:00"/>
    <d v="2025-09-05T00:00:00"/>
    <d v="1899-12-30T21:15:00"/>
    <x v="3"/>
    <x v="0"/>
    <x v="0"/>
    <x v="2"/>
    <x v="6"/>
    <x v="2"/>
    <s v="Wallet"/>
    <b v="1"/>
    <b v="0"/>
    <n v="7.5"/>
    <n v="0.5"/>
    <s v="September"/>
    <s v="Online"/>
    <n v="9.6"/>
    <n v="20.399999999999999"/>
    <b v="0"/>
    <n v="4"/>
    <n v="1"/>
    <x v="1"/>
    <n v="29.948453608247419"/>
  </r>
  <r>
    <s v="ORD693"/>
    <x v="1"/>
    <x v="33"/>
    <d v="2025-09-06T00:00:00"/>
    <d v="1899-12-30T18:00:00"/>
    <d v="2025-09-06T00:00:00"/>
    <d v="1899-12-30T18:30:00"/>
    <x v="3"/>
    <x v="0"/>
    <x v="4"/>
    <x v="0"/>
    <x v="1"/>
    <x v="0"/>
    <s v="UPI"/>
    <b v="1"/>
    <b v="1"/>
    <n v="6"/>
    <n v="0.6"/>
    <s v="September"/>
    <s v="Online"/>
    <n v="12"/>
    <n v="18"/>
    <b v="0"/>
    <n v="6"/>
    <n v="2"/>
    <x v="0"/>
    <n v="28.186274509803919"/>
  </r>
  <r>
    <s v="ORD694"/>
    <x v="2"/>
    <x v="34"/>
    <d v="2025-09-07T00:00:00"/>
    <d v="1899-12-30T19:15:00"/>
    <d v="2025-09-07T00:00:00"/>
    <d v="1899-12-30T19:55:00"/>
    <x v="4"/>
    <x v="3"/>
    <x v="3"/>
    <x v="3"/>
    <x v="15"/>
    <x v="1"/>
    <s v="Card"/>
    <b v="1"/>
    <b v="1"/>
    <n v="5.7142857142857144"/>
    <n v="0.7142857142857143"/>
    <s v="September"/>
    <s v="Online"/>
    <n v="16.8"/>
    <n v="23.2"/>
    <b v="1"/>
    <n v="20"/>
    <n v="3"/>
    <x v="3"/>
    <n v="28.844221105527641"/>
  </r>
  <r>
    <s v="ORD695"/>
    <x v="4"/>
    <x v="35"/>
    <d v="2025-09-08T00:00:00"/>
    <d v="1899-12-30T20:30:00"/>
    <d v="2025-09-08T00:00:00"/>
    <d v="1899-12-30T21:00:00"/>
    <x v="3"/>
    <x v="0"/>
    <x v="8"/>
    <x v="0"/>
    <x v="3"/>
    <x v="0"/>
    <s v="Cash"/>
    <b v="1"/>
    <b v="0"/>
    <n v="6.666666666666667"/>
    <n v="0.66666666666666663"/>
    <s v="September"/>
    <s v="Offline"/>
    <n v="10.8"/>
    <n v="19.2"/>
    <b v="0"/>
    <n v="6"/>
    <n v="2"/>
    <x v="1"/>
    <n v="30.286458333333329"/>
  </r>
  <r>
    <s v="ORD696"/>
    <x v="0"/>
    <x v="37"/>
    <d v="2025-09-09T00:00:00"/>
    <d v="1899-12-30T18:45:00"/>
    <d v="2025-09-09T00:00:00"/>
    <d v="1899-12-30T19:15:00"/>
    <x v="3"/>
    <x v="1"/>
    <x v="9"/>
    <x v="1"/>
    <x v="10"/>
    <x v="0"/>
    <s v="UPI"/>
    <b v="1"/>
    <b v="0"/>
    <n v="5.4545454545454541"/>
    <n v="0.72727272727272729"/>
    <s v="September"/>
    <s v="Online"/>
    <n v="13.2"/>
    <n v="16.8"/>
    <b v="0"/>
    <n v="12"/>
    <n v="2"/>
    <x v="0"/>
    <n v="30.259433962264151"/>
  </r>
  <r>
    <s v="ORD697"/>
    <x v="3"/>
    <x v="8"/>
    <d v="2025-09-10T00:00:00"/>
    <d v="1899-12-30T19:00:00"/>
    <d v="2025-09-10T00:00:00"/>
    <d v="1899-12-30T19:30:00"/>
    <x v="3"/>
    <x v="0"/>
    <x v="0"/>
    <x v="2"/>
    <x v="6"/>
    <x v="2"/>
    <s v="Wallet"/>
    <b v="1"/>
    <b v="0"/>
    <n v="7.5"/>
    <n v="0.5"/>
    <s v="September"/>
    <s v="Online"/>
    <n v="9.6"/>
    <n v="20.399999999999999"/>
    <b v="0"/>
    <n v="4"/>
    <n v="1"/>
    <x v="3"/>
    <n v="29.948453608247419"/>
  </r>
  <r>
    <s v="ORD698"/>
    <x v="1"/>
    <x v="38"/>
    <d v="2025-09-11T00:00:00"/>
    <d v="1899-12-30T20:15:00"/>
    <d v="2025-09-11T00:00:00"/>
    <d v="1899-12-30T20:45:00"/>
    <x v="3"/>
    <x v="0"/>
    <x v="4"/>
    <x v="0"/>
    <x v="1"/>
    <x v="0"/>
    <s v="UPI"/>
    <b v="1"/>
    <b v="0"/>
    <n v="6"/>
    <n v="0.6"/>
    <s v="September"/>
    <s v="Online"/>
    <n v="12"/>
    <n v="18"/>
    <b v="0"/>
    <n v="6"/>
    <n v="2"/>
    <x v="1"/>
    <n v="28.186274509803919"/>
  </r>
  <r>
    <s v="ORD699"/>
    <x v="2"/>
    <x v="29"/>
    <d v="2025-09-12T00:00:00"/>
    <d v="1899-12-30T19:30:00"/>
    <d v="2025-09-12T00:00:00"/>
    <d v="1899-12-30T20:00:00"/>
    <x v="3"/>
    <x v="3"/>
    <x v="3"/>
    <x v="3"/>
    <x v="7"/>
    <x v="1"/>
    <s v="Card"/>
    <b v="1"/>
    <b v="0"/>
    <n v="5"/>
    <n v="0.83333333333333337"/>
    <s v="September"/>
    <s v="Online"/>
    <n v="14.4"/>
    <n v="15.6"/>
    <b v="0"/>
    <n v="20"/>
    <n v="3"/>
    <x v="3"/>
    <n v="28.844221105527641"/>
  </r>
  <r>
    <s v="ORD700"/>
    <x v="4"/>
    <x v="30"/>
    <d v="2025-09-13T00:00:00"/>
    <d v="1899-12-30T18:45:00"/>
    <d v="2025-09-13T00:00:00"/>
    <d v="1899-12-30T19:15:00"/>
    <x v="3"/>
    <x v="0"/>
    <x v="8"/>
    <x v="0"/>
    <x v="3"/>
    <x v="0"/>
    <s v="Cash"/>
    <b v="1"/>
    <b v="1"/>
    <n v="6.666666666666667"/>
    <n v="0.66666666666666663"/>
    <s v="September"/>
    <s v="Offline"/>
    <n v="10.8"/>
    <n v="19.2"/>
    <b v="0"/>
    <n v="6"/>
    <n v="2"/>
    <x v="0"/>
    <n v="30.286458333333329"/>
  </r>
  <r>
    <s v="ORD701"/>
    <x v="0"/>
    <x v="31"/>
    <d v="2025-09-14T00:00:00"/>
    <d v="1899-12-30T20:00:00"/>
    <d v="2025-09-14T00:00:00"/>
    <d v="1899-12-30T20:30:00"/>
    <x v="3"/>
    <x v="1"/>
    <x v="9"/>
    <x v="1"/>
    <x v="10"/>
    <x v="0"/>
    <s v="UPI"/>
    <b v="1"/>
    <b v="1"/>
    <n v="5.4545454545454541"/>
    <n v="0.72727272727272729"/>
    <s v="September"/>
    <s v="Online"/>
    <n v="13.2"/>
    <n v="16.8"/>
    <b v="0"/>
    <n v="12"/>
    <n v="2"/>
    <x v="1"/>
    <n v="30.259433962264151"/>
  </r>
  <r>
    <s v="ORD702"/>
    <x v="3"/>
    <x v="8"/>
    <d v="2025-09-15T00:00:00"/>
    <d v="1899-12-30T19:15:00"/>
    <d v="2025-09-15T00:00:00"/>
    <d v="1899-12-30T19:45:00"/>
    <x v="3"/>
    <x v="0"/>
    <x v="0"/>
    <x v="2"/>
    <x v="6"/>
    <x v="2"/>
    <s v="Wallet"/>
    <b v="1"/>
    <b v="0"/>
    <n v="7.5"/>
    <n v="0.5"/>
    <s v="September"/>
    <s v="Online"/>
    <n v="9.6"/>
    <n v="20.399999999999999"/>
    <b v="0"/>
    <n v="4"/>
    <n v="1"/>
    <x v="3"/>
    <n v="29.948453608247419"/>
  </r>
  <r>
    <s v="ORD703"/>
    <x v="1"/>
    <x v="38"/>
    <d v="2025-09-16T00:00:00"/>
    <d v="1899-12-30T20:30:00"/>
    <d v="2025-09-16T00:00:00"/>
    <d v="1899-12-30T21:00:00"/>
    <x v="3"/>
    <x v="0"/>
    <x v="4"/>
    <x v="0"/>
    <x v="1"/>
    <x v="0"/>
    <s v="Card"/>
    <b v="1"/>
    <b v="0"/>
    <n v="6"/>
    <n v="0.6"/>
    <s v="September"/>
    <s v="Online"/>
    <n v="12"/>
    <n v="18"/>
    <b v="0"/>
    <n v="6"/>
    <n v="2"/>
    <x v="1"/>
    <n v="28.186274509803919"/>
  </r>
  <r>
    <s v="ORD704"/>
    <x v="2"/>
    <x v="29"/>
    <d v="2025-09-17T00:00:00"/>
    <d v="1899-12-30T19:45:00"/>
    <d v="2025-09-17T00:00:00"/>
    <d v="1899-12-30T20:15:00"/>
    <x v="3"/>
    <x v="3"/>
    <x v="3"/>
    <x v="3"/>
    <x v="7"/>
    <x v="1"/>
    <s v="UPI"/>
    <b v="1"/>
    <b v="0"/>
    <n v="5"/>
    <n v="0.83333333333333337"/>
    <s v="September"/>
    <s v="Online"/>
    <n v="14.4"/>
    <n v="15.6"/>
    <b v="0"/>
    <n v="20"/>
    <n v="3"/>
    <x v="3"/>
    <n v="28.844221105527641"/>
  </r>
  <r>
    <s v="ORD705"/>
    <x v="4"/>
    <x v="30"/>
    <d v="2025-09-18T00:00:00"/>
    <d v="1899-12-30T18:00:00"/>
    <d v="2025-09-18T00:00:00"/>
    <d v="1899-12-30T18:30:00"/>
    <x v="3"/>
    <x v="0"/>
    <x v="8"/>
    <x v="0"/>
    <x v="3"/>
    <x v="0"/>
    <s v="Cash"/>
    <b v="1"/>
    <b v="0"/>
    <n v="6.666666666666667"/>
    <n v="0.66666666666666663"/>
    <s v="September"/>
    <s v="Offline"/>
    <n v="10.8"/>
    <n v="19.2"/>
    <b v="0"/>
    <n v="6"/>
    <n v="2"/>
    <x v="0"/>
    <n v="30.286458333333329"/>
  </r>
  <r>
    <s v="ORD706"/>
    <x v="0"/>
    <x v="31"/>
    <d v="2025-09-19T00:00:00"/>
    <d v="1899-12-30T20:15:00"/>
    <d v="2025-09-19T00:00:00"/>
    <d v="1899-12-30T20:45:00"/>
    <x v="3"/>
    <x v="1"/>
    <x v="9"/>
    <x v="1"/>
    <x v="10"/>
    <x v="0"/>
    <s v="UPI"/>
    <b v="1"/>
    <b v="0"/>
    <n v="5.4545454545454541"/>
    <n v="0.72727272727272729"/>
    <s v="September"/>
    <s v="Online"/>
    <n v="13.2"/>
    <n v="16.8"/>
    <b v="0"/>
    <n v="12"/>
    <n v="2"/>
    <x v="1"/>
    <n v="30.259433962264151"/>
  </r>
  <r>
    <s v="ORD707"/>
    <x v="3"/>
    <x v="8"/>
    <d v="2025-09-20T00:00:00"/>
    <d v="1899-12-30T19:30:00"/>
    <d v="2025-09-20T00:00:00"/>
    <d v="1899-12-30T20:00:00"/>
    <x v="3"/>
    <x v="0"/>
    <x v="0"/>
    <x v="2"/>
    <x v="6"/>
    <x v="2"/>
    <s v="Wallet"/>
    <b v="1"/>
    <b v="1"/>
    <n v="7.5"/>
    <n v="0.5"/>
    <s v="September"/>
    <s v="Online"/>
    <n v="9.6"/>
    <n v="20.399999999999999"/>
    <b v="0"/>
    <n v="4"/>
    <n v="1"/>
    <x v="3"/>
    <n v="29.948453608247419"/>
  </r>
  <r>
    <s v="ORD708"/>
    <x v="1"/>
    <x v="38"/>
    <d v="2025-09-21T00:00:00"/>
    <d v="1899-12-30T20:45:00"/>
    <d v="2025-09-21T00:00:00"/>
    <d v="1899-12-30T21:15:00"/>
    <x v="3"/>
    <x v="0"/>
    <x v="4"/>
    <x v="0"/>
    <x v="1"/>
    <x v="0"/>
    <s v="Card"/>
    <b v="1"/>
    <b v="1"/>
    <n v="6"/>
    <n v="0.6"/>
    <s v="September"/>
    <s v="Online"/>
    <n v="12"/>
    <n v="18"/>
    <b v="0"/>
    <n v="6"/>
    <n v="2"/>
    <x v="1"/>
    <n v="28.186274509803919"/>
  </r>
  <r>
    <s v="ORD709"/>
    <x v="2"/>
    <x v="29"/>
    <d v="2025-09-22T00:00:00"/>
    <d v="1899-12-30T19:00:00"/>
    <d v="2025-09-22T00:00:00"/>
    <d v="1899-12-30T19:30:00"/>
    <x v="3"/>
    <x v="3"/>
    <x v="3"/>
    <x v="3"/>
    <x v="7"/>
    <x v="1"/>
    <s v="UPI"/>
    <b v="1"/>
    <b v="0"/>
    <n v="5"/>
    <n v="0.83333333333333337"/>
    <s v="September"/>
    <s v="Online"/>
    <n v="14.4"/>
    <n v="15.6"/>
    <b v="0"/>
    <n v="20"/>
    <n v="3"/>
    <x v="3"/>
    <n v="28.844221105527641"/>
  </r>
  <r>
    <s v="ORD710"/>
    <x v="4"/>
    <x v="30"/>
    <d v="2025-09-23T00:00:00"/>
    <d v="1899-12-30T18:15:00"/>
    <d v="2025-09-23T00:00:00"/>
    <d v="1899-12-30T18:45:00"/>
    <x v="3"/>
    <x v="0"/>
    <x v="8"/>
    <x v="0"/>
    <x v="3"/>
    <x v="0"/>
    <s v="Cash"/>
    <b v="1"/>
    <b v="0"/>
    <n v="6.666666666666667"/>
    <n v="0.66666666666666663"/>
    <s v="September"/>
    <s v="Offline"/>
    <n v="10.8"/>
    <n v="19.2"/>
    <b v="0"/>
    <n v="6"/>
    <n v="2"/>
    <x v="0"/>
    <n v="30.286458333333329"/>
  </r>
  <r>
    <s v="ORD711"/>
    <x v="0"/>
    <x v="31"/>
    <d v="2025-09-24T00:00:00"/>
    <d v="1899-12-30T19:30:00"/>
    <d v="2025-09-24T00:00:00"/>
    <d v="1899-12-30T20:00:00"/>
    <x v="3"/>
    <x v="1"/>
    <x v="9"/>
    <x v="1"/>
    <x v="10"/>
    <x v="0"/>
    <s v="UPI"/>
    <b v="1"/>
    <b v="0"/>
    <n v="5.4545454545454541"/>
    <n v="0.72727272727272729"/>
    <s v="September"/>
    <s v="Online"/>
    <n v="13.2"/>
    <n v="16.8"/>
    <b v="0"/>
    <n v="12"/>
    <n v="2"/>
    <x v="3"/>
    <n v="30.259433962264151"/>
  </r>
  <r>
    <s v="ORD712"/>
    <x v="3"/>
    <x v="8"/>
    <d v="2025-09-25T00:00:00"/>
    <d v="1899-12-30T20:45:00"/>
    <d v="2025-09-25T00:00:00"/>
    <d v="1899-12-30T21:15:00"/>
    <x v="3"/>
    <x v="0"/>
    <x v="0"/>
    <x v="2"/>
    <x v="6"/>
    <x v="2"/>
    <s v="Wallet"/>
    <b v="1"/>
    <b v="0"/>
    <n v="7.5"/>
    <n v="0.5"/>
    <s v="September"/>
    <s v="Online"/>
    <n v="9.6"/>
    <n v="20.399999999999999"/>
    <b v="0"/>
    <n v="4"/>
    <n v="1"/>
    <x v="1"/>
    <n v="29.948453608247419"/>
  </r>
  <r>
    <s v="ORD713"/>
    <x v="1"/>
    <x v="38"/>
    <d v="2025-09-26T00:00:00"/>
    <d v="1899-12-30T18:00:00"/>
    <d v="2025-09-26T00:00:00"/>
    <d v="1899-12-30T18:30:00"/>
    <x v="3"/>
    <x v="0"/>
    <x v="4"/>
    <x v="0"/>
    <x v="1"/>
    <x v="0"/>
    <s v="Card"/>
    <b v="1"/>
    <b v="0"/>
    <n v="6"/>
    <n v="0.6"/>
    <s v="September"/>
    <s v="Online"/>
    <n v="12"/>
    <n v="18"/>
    <b v="0"/>
    <n v="6"/>
    <n v="2"/>
    <x v="0"/>
    <n v="28.186274509803919"/>
  </r>
  <r>
    <s v="ORD714"/>
    <x v="2"/>
    <x v="29"/>
    <d v="2025-09-27T00:00:00"/>
    <d v="1899-12-30T19:15:00"/>
    <d v="2025-09-27T00:00:00"/>
    <d v="1899-12-30T19:45:00"/>
    <x v="3"/>
    <x v="3"/>
    <x v="3"/>
    <x v="3"/>
    <x v="7"/>
    <x v="1"/>
    <s v="UPI"/>
    <b v="1"/>
    <b v="1"/>
    <n v="5"/>
    <n v="0.83333333333333337"/>
    <s v="September"/>
    <s v="Online"/>
    <n v="14.4"/>
    <n v="15.6"/>
    <b v="0"/>
    <n v="20"/>
    <n v="3"/>
    <x v="3"/>
    <n v="28.844221105527641"/>
  </r>
  <r>
    <s v="ORD715"/>
    <x v="4"/>
    <x v="30"/>
    <d v="2025-09-28T00:00:00"/>
    <d v="1899-12-30T20:30:00"/>
    <d v="2025-09-28T00:00:00"/>
    <d v="1899-12-30T21:00:00"/>
    <x v="3"/>
    <x v="0"/>
    <x v="8"/>
    <x v="0"/>
    <x v="3"/>
    <x v="0"/>
    <s v="Cash"/>
    <b v="1"/>
    <b v="1"/>
    <n v="6.666666666666667"/>
    <n v="0.66666666666666663"/>
    <s v="September"/>
    <s v="Offline"/>
    <n v="10.8"/>
    <n v="19.2"/>
    <b v="0"/>
    <n v="6"/>
    <n v="2"/>
    <x v="1"/>
    <n v="30.286458333333329"/>
  </r>
  <r>
    <s v="ORD716"/>
    <x v="0"/>
    <x v="31"/>
    <d v="2025-09-29T00:00:00"/>
    <d v="1899-12-30T19:00:00"/>
    <d v="2025-09-29T00:00:00"/>
    <d v="1899-12-30T19:30:00"/>
    <x v="3"/>
    <x v="1"/>
    <x v="9"/>
    <x v="1"/>
    <x v="10"/>
    <x v="0"/>
    <s v="UPI"/>
    <b v="1"/>
    <b v="0"/>
    <n v="5.4545454545454541"/>
    <n v="0.72727272727272729"/>
    <s v="September"/>
    <s v="Online"/>
    <n v="13.2"/>
    <n v="16.8"/>
    <b v="0"/>
    <n v="12"/>
    <n v="2"/>
    <x v="3"/>
    <n v="30.259433962264151"/>
  </r>
  <r>
    <s v="ORD717"/>
    <x v="3"/>
    <x v="8"/>
    <d v="2025-09-30T00:00:00"/>
    <d v="1899-12-30T20:15:00"/>
    <d v="2025-09-30T00:00:00"/>
    <d v="1899-12-30T20:45:00"/>
    <x v="3"/>
    <x v="0"/>
    <x v="0"/>
    <x v="2"/>
    <x v="6"/>
    <x v="2"/>
    <s v="Wallet"/>
    <b v="1"/>
    <b v="0"/>
    <n v="7.5"/>
    <n v="0.5"/>
    <s v="September"/>
    <s v="Online"/>
    <n v="9.6"/>
    <n v="20.399999999999999"/>
    <b v="0"/>
    <n v="4"/>
    <n v="1"/>
    <x v="1"/>
    <n v="29.948453608247419"/>
  </r>
  <r>
    <s v="ORD718"/>
    <x v="1"/>
    <x v="38"/>
    <d v="2025-10-01T00:00:00"/>
    <d v="1899-12-30T18:30:00"/>
    <d v="2025-10-01T00:00:00"/>
    <d v="1899-12-30T19:00:00"/>
    <x v="3"/>
    <x v="0"/>
    <x v="4"/>
    <x v="0"/>
    <x v="1"/>
    <x v="0"/>
    <s v="Card"/>
    <b v="1"/>
    <b v="0"/>
    <n v="6"/>
    <n v="0.6"/>
    <s v="October"/>
    <s v="Online"/>
    <n v="12"/>
    <n v="18"/>
    <b v="0"/>
    <n v="6"/>
    <n v="2"/>
    <x v="0"/>
    <n v="28.186274509803919"/>
  </r>
  <r>
    <s v="ORD719"/>
    <x v="2"/>
    <x v="29"/>
    <d v="2025-10-02T00:00:00"/>
    <d v="1899-12-30T19:45:00"/>
    <d v="2025-10-02T00:00:00"/>
    <d v="1899-12-30T20:15:00"/>
    <x v="3"/>
    <x v="3"/>
    <x v="3"/>
    <x v="3"/>
    <x v="7"/>
    <x v="1"/>
    <s v="UPI"/>
    <b v="1"/>
    <b v="0"/>
    <n v="5"/>
    <n v="0.83333333333333337"/>
    <s v="October"/>
    <s v="Online"/>
    <n v="14.4"/>
    <n v="15.6"/>
    <b v="0"/>
    <n v="20"/>
    <n v="3"/>
    <x v="3"/>
    <n v="28.844221105527641"/>
  </r>
  <r>
    <s v="ORD720"/>
    <x v="4"/>
    <x v="30"/>
    <d v="2025-10-03T00:00:00"/>
    <d v="1899-12-30T18:00:00"/>
    <d v="2025-10-03T00:00:00"/>
    <d v="1899-12-30T18:30:00"/>
    <x v="3"/>
    <x v="0"/>
    <x v="8"/>
    <x v="0"/>
    <x v="3"/>
    <x v="0"/>
    <s v="Cash"/>
    <b v="1"/>
    <b v="0"/>
    <n v="6.666666666666667"/>
    <n v="0.66666666666666663"/>
    <s v="October"/>
    <s v="Offline"/>
    <n v="10.8"/>
    <n v="19.2"/>
    <b v="0"/>
    <n v="6"/>
    <n v="2"/>
    <x v="0"/>
    <n v="30.286458333333329"/>
  </r>
  <r>
    <s v="ORD721"/>
    <x v="0"/>
    <x v="31"/>
    <d v="2025-10-04T00:00:00"/>
    <d v="1899-12-30T19:15:00"/>
    <d v="2025-10-04T00:00:00"/>
    <d v="1899-12-30T19:45:00"/>
    <x v="3"/>
    <x v="1"/>
    <x v="9"/>
    <x v="1"/>
    <x v="10"/>
    <x v="0"/>
    <s v="UPI"/>
    <b v="1"/>
    <b v="1"/>
    <n v="5.4545454545454541"/>
    <n v="0.72727272727272729"/>
    <s v="October"/>
    <s v="Online"/>
    <n v="13.2"/>
    <n v="16.8"/>
    <b v="0"/>
    <n v="12"/>
    <n v="2"/>
    <x v="3"/>
    <n v="30.259433962264151"/>
  </r>
  <r>
    <s v="ORD722"/>
    <x v="3"/>
    <x v="8"/>
    <d v="2025-10-05T00:00:00"/>
    <d v="1899-12-30T20:30:00"/>
    <d v="2025-10-05T00:00:00"/>
    <d v="1899-12-30T21:00:00"/>
    <x v="3"/>
    <x v="0"/>
    <x v="0"/>
    <x v="2"/>
    <x v="6"/>
    <x v="2"/>
    <s v="Wallet"/>
    <b v="1"/>
    <b v="1"/>
    <n v="7.5"/>
    <n v="0.5"/>
    <s v="October"/>
    <s v="Online"/>
    <n v="9.6"/>
    <n v="20.399999999999999"/>
    <b v="0"/>
    <n v="4"/>
    <n v="1"/>
    <x v="1"/>
    <n v="29.948453608247419"/>
  </r>
  <r>
    <s v="ORD723"/>
    <x v="1"/>
    <x v="38"/>
    <d v="2025-10-06T00:00:00"/>
    <d v="1899-12-30T18:45:00"/>
    <d v="2025-10-06T00:00:00"/>
    <d v="1899-12-30T19:15:00"/>
    <x v="3"/>
    <x v="0"/>
    <x v="4"/>
    <x v="0"/>
    <x v="1"/>
    <x v="0"/>
    <s v="Card"/>
    <b v="1"/>
    <b v="0"/>
    <n v="6"/>
    <n v="0.6"/>
    <s v="October"/>
    <s v="Online"/>
    <n v="12"/>
    <n v="18"/>
    <b v="0"/>
    <n v="6"/>
    <n v="2"/>
    <x v="0"/>
    <n v="28.186274509803919"/>
  </r>
  <r>
    <s v="ORD724"/>
    <x v="2"/>
    <x v="29"/>
    <d v="2025-10-07T00:00:00"/>
    <d v="1899-12-30T19:00:00"/>
    <d v="2025-10-07T00:00:00"/>
    <d v="1899-12-30T19:30:00"/>
    <x v="3"/>
    <x v="3"/>
    <x v="3"/>
    <x v="3"/>
    <x v="7"/>
    <x v="1"/>
    <s v="UPI"/>
    <b v="1"/>
    <b v="0"/>
    <n v="5"/>
    <n v="0.83333333333333337"/>
    <s v="October"/>
    <s v="Online"/>
    <n v="14.4"/>
    <n v="15.6"/>
    <b v="0"/>
    <n v="20"/>
    <n v="3"/>
    <x v="3"/>
    <n v="28.844221105527641"/>
  </r>
  <r>
    <s v="ORD725"/>
    <x v="4"/>
    <x v="30"/>
    <d v="2025-10-08T00:00:00"/>
    <d v="1899-12-30T20:15:00"/>
    <d v="2025-10-08T00:00:00"/>
    <d v="1899-12-30T20:45:00"/>
    <x v="3"/>
    <x v="0"/>
    <x v="8"/>
    <x v="0"/>
    <x v="3"/>
    <x v="0"/>
    <s v="UPI"/>
    <b v="1"/>
    <b v="0"/>
    <n v="6.666666666666667"/>
    <n v="0.66666666666666663"/>
    <s v="October"/>
    <s v="Online"/>
    <n v="10.8"/>
    <n v="19.2"/>
    <b v="0"/>
    <n v="6"/>
    <n v="2"/>
    <x v="1"/>
    <n v="30.286458333333329"/>
  </r>
  <r>
    <s v="ORD726"/>
    <x v="1"/>
    <x v="38"/>
    <d v="2025-10-09T00:00:00"/>
    <d v="1899-12-30T20:30:00"/>
    <d v="2025-10-09T00:00:00"/>
    <d v="1899-12-30T21:00:00"/>
    <x v="3"/>
    <x v="0"/>
    <x v="4"/>
    <x v="0"/>
    <x v="1"/>
    <x v="0"/>
    <s v="UPI"/>
    <b v="1"/>
    <b v="0"/>
    <n v="6"/>
    <n v="0.6"/>
    <s v="October"/>
    <s v="Online"/>
    <n v="12"/>
    <n v="18"/>
    <b v="0"/>
    <n v="6"/>
    <n v="2"/>
    <x v="1"/>
    <n v="28.186274509803919"/>
  </r>
  <r>
    <s v="ORD727"/>
    <x v="2"/>
    <x v="29"/>
    <d v="2025-10-10T00:00:00"/>
    <d v="1899-12-30T19:45:00"/>
    <d v="2025-10-10T00:00:00"/>
    <d v="1899-12-30T20:15:00"/>
    <x v="3"/>
    <x v="3"/>
    <x v="3"/>
    <x v="3"/>
    <x v="7"/>
    <x v="1"/>
    <s v="Card"/>
    <b v="1"/>
    <b v="0"/>
    <n v="5"/>
    <n v="0.83333333333333337"/>
    <s v="October"/>
    <s v="Online"/>
    <n v="14.4"/>
    <n v="15.6"/>
    <b v="0"/>
    <n v="20"/>
    <n v="3"/>
    <x v="3"/>
    <n v="28.844221105527641"/>
  </r>
  <r>
    <s v="ORD728"/>
    <x v="4"/>
    <x v="30"/>
    <d v="2025-10-11T00:00:00"/>
    <d v="1899-12-30T18:00:00"/>
    <d v="2025-10-11T00:00:00"/>
    <d v="1899-12-30T18:30:00"/>
    <x v="3"/>
    <x v="0"/>
    <x v="8"/>
    <x v="0"/>
    <x v="3"/>
    <x v="0"/>
    <s v="Cash"/>
    <b v="1"/>
    <b v="1"/>
    <n v="6.666666666666667"/>
    <n v="0.66666666666666663"/>
    <s v="October"/>
    <s v="Offline"/>
    <n v="10.8"/>
    <n v="19.2"/>
    <b v="0"/>
    <n v="6"/>
    <n v="2"/>
    <x v="0"/>
    <n v="30.286458333333329"/>
  </r>
  <r>
    <s v="ORD729"/>
    <x v="0"/>
    <x v="31"/>
    <d v="2025-10-12T00:00:00"/>
    <d v="1899-12-30T19:15:00"/>
    <d v="2025-10-12T00:00:00"/>
    <d v="1899-12-30T19:45:00"/>
    <x v="3"/>
    <x v="1"/>
    <x v="9"/>
    <x v="1"/>
    <x v="10"/>
    <x v="0"/>
    <s v="UPI"/>
    <b v="1"/>
    <b v="1"/>
    <n v="5.4545454545454541"/>
    <n v="0.72727272727272729"/>
    <s v="October"/>
    <s v="Online"/>
    <n v="13.2"/>
    <n v="16.8"/>
    <b v="0"/>
    <n v="12"/>
    <n v="2"/>
    <x v="3"/>
    <n v="30.259433962264151"/>
  </r>
  <r>
    <s v="ORD730"/>
    <x v="3"/>
    <x v="8"/>
    <d v="2025-10-13T00:00:00"/>
    <d v="1899-12-30T20:30:00"/>
    <d v="2025-10-13T00:00:00"/>
    <d v="1899-12-30T21:00:00"/>
    <x v="3"/>
    <x v="0"/>
    <x v="0"/>
    <x v="2"/>
    <x v="6"/>
    <x v="2"/>
    <s v="Wallet"/>
    <b v="1"/>
    <b v="0"/>
    <n v="7.5"/>
    <n v="0.5"/>
    <s v="October"/>
    <s v="Online"/>
    <n v="9.6"/>
    <n v="20.399999999999999"/>
    <b v="0"/>
    <n v="4"/>
    <n v="1"/>
    <x v="1"/>
    <n v="29.948453608247419"/>
  </r>
  <r>
    <s v="ORD731"/>
    <x v="1"/>
    <x v="38"/>
    <d v="2025-10-14T00:00:00"/>
    <d v="1899-12-30T18:45:00"/>
    <d v="2025-10-14T00:00:00"/>
    <d v="1899-12-30T19:15:00"/>
    <x v="3"/>
    <x v="0"/>
    <x v="4"/>
    <x v="0"/>
    <x v="1"/>
    <x v="0"/>
    <s v="Card"/>
    <b v="1"/>
    <b v="0"/>
    <n v="6"/>
    <n v="0.6"/>
    <s v="October"/>
    <s v="Online"/>
    <n v="12"/>
    <n v="18"/>
    <b v="0"/>
    <n v="6"/>
    <n v="2"/>
    <x v="0"/>
    <n v="28.186274509803919"/>
  </r>
  <r>
    <s v="ORD732"/>
    <x v="2"/>
    <x v="29"/>
    <d v="2025-10-15T00:00:00"/>
    <d v="1899-12-30T19:00:00"/>
    <d v="2025-10-15T00:00:00"/>
    <d v="1899-12-30T19:30:00"/>
    <x v="3"/>
    <x v="3"/>
    <x v="3"/>
    <x v="3"/>
    <x v="7"/>
    <x v="1"/>
    <s v="UPI"/>
    <b v="1"/>
    <b v="0"/>
    <n v="5"/>
    <n v="0.83333333333333337"/>
    <s v="October"/>
    <s v="Online"/>
    <n v="14.4"/>
    <n v="15.6"/>
    <b v="0"/>
    <n v="20"/>
    <n v="3"/>
    <x v="3"/>
    <n v="28.844221105527641"/>
  </r>
  <r>
    <s v="ORD733"/>
    <x v="4"/>
    <x v="30"/>
    <d v="2025-10-16T00:00:00"/>
    <d v="1899-12-30T20:15:00"/>
    <d v="2025-10-16T00:00:00"/>
    <d v="1899-12-30T20:45:00"/>
    <x v="3"/>
    <x v="0"/>
    <x v="8"/>
    <x v="0"/>
    <x v="3"/>
    <x v="0"/>
    <s v="Cash"/>
    <b v="1"/>
    <b v="0"/>
    <n v="6.666666666666667"/>
    <n v="0.66666666666666663"/>
    <s v="October"/>
    <s v="Offline"/>
    <n v="10.8"/>
    <n v="19.2"/>
    <b v="0"/>
    <n v="6"/>
    <n v="2"/>
    <x v="1"/>
    <n v="30.286458333333329"/>
  </r>
  <r>
    <s v="ORD734"/>
    <x v="0"/>
    <x v="31"/>
    <d v="2025-10-17T00:00:00"/>
    <d v="1899-12-30T19:30:00"/>
    <d v="2025-10-17T00:00:00"/>
    <d v="1899-12-30T20:00:00"/>
    <x v="3"/>
    <x v="1"/>
    <x v="9"/>
    <x v="1"/>
    <x v="10"/>
    <x v="0"/>
    <s v="UPI"/>
    <b v="1"/>
    <b v="0"/>
    <n v="5.4545454545454541"/>
    <n v="0.72727272727272729"/>
    <s v="October"/>
    <s v="Online"/>
    <n v="13.2"/>
    <n v="16.8"/>
    <b v="0"/>
    <n v="12"/>
    <n v="2"/>
    <x v="3"/>
    <n v="30.259433962264151"/>
  </r>
  <r>
    <s v="ORD735"/>
    <x v="3"/>
    <x v="8"/>
    <d v="2025-10-18T00:00:00"/>
    <d v="1899-12-30T20:45:00"/>
    <d v="2025-10-18T00:00:00"/>
    <d v="1899-12-30T21:15:00"/>
    <x v="3"/>
    <x v="0"/>
    <x v="0"/>
    <x v="2"/>
    <x v="6"/>
    <x v="2"/>
    <s v="Wallet"/>
    <b v="1"/>
    <b v="1"/>
    <n v="7.5"/>
    <n v="0.5"/>
    <s v="October"/>
    <s v="Online"/>
    <n v="9.6"/>
    <n v="20.399999999999999"/>
    <b v="0"/>
    <n v="4"/>
    <n v="1"/>
    <x v="1"/>
    <n v="29.948453608247419"/>
  </r>
  <r>
    <s v="ORD736"/>
    <x v="1"/>
    <x v="38"/>
    <d v="2025-10-19T00:00:00"/>
    <d v="1899-12-30T18:00:00"/>
    <d v="2025-10-19T00:00:00"/>
    <d v="1899-12-30T18:30:00"/>
    <x v="3"/>
    <x v="0"/>
    <x v="4"/>
    <x v="0"/>
    <x v="1"/>
    <x v="0"/>
    <s v="Card"/>
    <b v="1"/>
    <b v="1"/>
    <n v="6"/>
    <n v="0.6"/>
    <s v="October"/>
    <s v="Online"/>
    <n v="12"/>
    <n v="18"/>
    <b v="0"/>
    <n v="6"/>
    <n v="2"/>
    <x v="0"/>
    <n v="28.186274509803919"/>
  </r>
  <r>
    <s v="ORD737"/>
    <x v="2"/>
    <x v="29"/>
    <d v="2025-10-20T00:00:00"/>
    <d v="1899-12-30T19:15:00"/>
    <d v="2025-10-20T00:00:00"/>
    <d v="1899-12-30T19:45:00"/>
    <x v="3"/>
    <x v="3"/>
    <x v="3"/>
    <x v="3"/>
    <x v="7"/>
    <x v="1"/>
    <s v="UPI"/>
    <b v="1"/>
    <b v="0"/>
    <n v="5"/>
    <n v="0.83333333333333337"/>
    <s v="October"/>
    <s v="Online"/>
    <n v="14.4"/>
    <n v="15.6"/>
    <b v="0"/>
    <n v="20"/>
    <n v="3"/>
    <x v="3"/>
    <n v="28.844221105527641"/>
  </r>
  <r>
    <s v="ORD738"/>
    <x v="4"/>
    <x v="30"/>
    <d v="2025-10-21T00:00:00"/>
    <d v="1899-12-30T20:30:00"/>
    <d v="2025-10-21T00:00:00"/>
    <d v="1899-12-30T21:00:00"/>
    <x v="3"/>
    <x v="0"/>
    <x v="8"/>
    <x v="0"/>
    <x v="3"/>
    <x v="0"/>
    <s v="Cash"/>
    <b v="1"/>
    <b v="0"/>
    <n v="6.666666666666667"/>
    <n v="0.66666666666666663"/>
    <s v="October"/>
    <s v="Offline"/>
    <n v="10.8"/>
    <n v="19.2"/>
    <b v="0"/>
    <n v="6"/>
    <n v="2"/>
    <x v="1"/>
    <n v="30.286458333333329"/>
  </r>
  <r>
    <s v="ORD739"/>
    <x v="0"/>
    <x v="31"/>
    <d v="2025-10-22T00:00:00"/>
    <d v="1899-12-30T19:00:00"/>
    <d v="2025-10-22T00:00:00"/>
    <d v="1899-12-30T19:30:00"/>
    <x v="3"/>
    <x v="1"/>
    <x v="9"/>
    <x v="1"/>
    <x v="10"/>
    <x v="0"/>
    <s v="UPI"/>
    <b v="1"/>
    <b v="0"/>
    <n v="5.4545454545454541"/>
    <n v="0.72727272727272729"/>
    <s v="October"/>
    <s v="Online"/>
    <n v="13.2"/>
    <n v="16.8"/>
    <b v="0"/>
    <n v="12"/>
    <n v="2"/>
    <x v="3"/>
    <n v="30.259433962264151"/>
  </r>
  <r>
    <s v="ORD740"/>
    <x v="3"/>
    <x v="8"/>
    <d v="2025-10-23T00:00:00"/>
    <d v="1899-12-30T20:15:00"/>
    <d v="2025-10-23T00:00:00"/>
    <d v="1899-12-30T20:45:00"/>
    <x v="3"/>
    <x v="0"/>
    <x v="0"/>
    <x v="2"/>
    <x v="6"/>
    <x v="2"/>
    <s v="Wallet"/>
    <b v="1"/>
    <b v="0"/>
    <n v="7.5"/>
    <n v="0.5"/>
    <s v="October"/>
    <s v="Online"/>
    <n v="9.6"/>
    <n v="20.399999999999999"/>
    <b v="0"/>
    <n v="4"/>
    <n v="1"/>
    <x v="1"/>
    <n v="29.948453608247419"/>
  </r>
  <r>
    <s v="ORD741"/>
    <x v="1"/>
    <x v="38"/>
    <d v="2025-10-24T00:00:00"/>
    <d v="1899-12-30T18:30:00"/>
    <d v="2025-10-24T00:00:00"/>
    <d v="1899-12-30T19:00:00"/>
    <x v="3"/>
    <x v="0"/>
    <x v="4"/>
    <x v="0"/>
    <x v="1"/>
    <x v="0"/>
    <s v="Card"/>
    <b v="1"/>
    <b v="0"/>
    <n v="6"/>
    <n v="0.6"/>
    <s v="October"/>
    <s v="Online"/>
    <n v="12"/>
    <n v="18"/>
    <b v="0"/>
    <n v="6"/>
    <n v="2"/>
    <x v="0"/>
    <n v="28.186274509803919"/>
  </r>
  <r>
    <s v="ORD742"/>
    <x v="2"/>
    <x v="29"/>
    <d v="2025-10-25T00:00:00"/>
    <d v="1899-12-30T19:45:00"/>
    <d v="2025-10-25T00:00:00"/>
    <d v="1899-12-30T20:15:00"/>
    <x v="3"/>
    <x v="3"/>
    <x v="3"/>
    <x v="3"/>
    <x v="7"/>
    <x v="1"/>
    <s v="UPI"/>
    <b v="1"/>
    <b v="1"/>
    <n v="5"/>
    <n v="0.83333333333333337"/>
    <s v="October"/>
    <s v="Online"/>
    <n v="14.4"/>
    <n v="15.6"/>
    <b v="0"/>
    <n v="20"/>
    <n v="3"/>
    <x v="3"/>
    <n v="28.844221105527641"/>
  </r>
  <r>
    <s v="ORD743"/>
    <x v="4"/>
    <x v="30"/>
    <d v="2025-10-26T00:00:00"/>
    <d v="1899-12-30T18:00:00"/>
    <d v="2025-10-26T00:00:00"/>
    <d v="1899-12-30T18:30:00"/>
    <x v="3"/>
    <x v="0"/>
    <x v="8"/>
    <x v="0"/>
    <x v="3"/>
    <x v="0"/>
    <s v="Cash"/>
    <b v="1"/>
    <b v="1"/>
    <n v="6.666666666666667"/>
    <n v="0.66666666666666663"/>
    <s v="October"/>
    <s v="Offline"/>
    <n v="10.8"/>
    <n v="19.2"/>
    <b v="0"/>
    <n v="6"/>
    <n v="2"/>
    <x v="0"/>
    <n v="30.286458333333329"/>
  </r>
  <r>
    <s v="ORD744"/>
    <x v="0"/>
    <x v="31"/>
    <d v="2025-10-27T00:00:00"/>
    <d v="1899-12-30T19:15:00"/>
    <d v="2025-10-27T00:00:00"/>
    <d v="1899-12-30T19:45:00"/>
    <x v="3"/>
    <x v="1"/>
    <x v="9"/>
    <x v="1"/>
    <x v="10"/>
    <x v="0"/>
    <s v="UPI"/>
    <b v="1"/>
    <b v="0"/>
    <n v="5.4545454545454541"/>
    <n v="0.72727272727272729"/>
    <s v="October"/>
    <s v="Online"/>
    <n v="13.2"/>
    <n v="16.8"/>
    <b v="0"/>
    <n v="12"/>
    <n v="2"/>
    <x v="3"/>
    <n v="30.259433962264151"/>
  </r>
  <r>
    <s v="ORD745"/>
    <x v="3"/>
    <x v="8"/>
    <d v="2025-10-28T00:00:00"/>
    <d v="1899-12-30T20:30:00"/>
    <d v="2025-10-28T00:00:00"/>
    <d v="1899-12-30T21:00:00"/>
    <x v="3"/>
    <x v="0"/>
    <x v="0"/>
    <x v="2"/>
    <x v="6"/>
    <x v="2"/>
    <s v="Wallet"/>
    <b v="1"/>
    <b v="0"/>
    <n v="7.5"/>
    <n v="0.5"/>
    <s v="October"/>
    <s v="Online"/>
    <n v="9.6"/>
    <n v="20.399999999999999"/>
    <b v="0"/>
    <n v="4"/>
    <n v="1"/>
    <x v="1"/>
    <n v="29.948453608247419"/>
  </r>
  <r>
    <s v="ORD746"/>
    <x v="1"/>
    <x v="38"/>
    <d v="2025-10-29T00:00:00"/>
    <d v="1899-12-30T18:45:00"/>
    <d v="2025-10-29T00:00:00"/>
    <d v="1899-12-30T19:15:00"/>
    <x v="3"/>
    <x v="0"/>
    <x v="4"/>
    <x v="0"/>
    <x v="1"/>
    <x v="0"/>
    <s v="Card"/>
    <b v="1"/>
    <b v="0"/>
    <n v="6"/>
    <n v="0.6"/>
    <s v="October"/>
    <s v="Online"/>
    <n v="12"/>
    <n v="18"/>
    <b v="0"/>
    <n v="6"/>
    <n v="2"/>
    <x v="0"/>
    <n v="28.186274509803919"/>
  </r>
  <r>
    <s v="ORD747"/>
    <x v="2"/>
    <x v="29"/>
    <d v="2025-10-30T00:00:00"/>
    <d v="1899-12-30T19:00:00"/>
    <d v="2025-10-30T00:00:00"/>
    <d v="1899-12-30T19:30:00"/>
    <x v="3"/>
    <x v="3"/>
    <x v="3"/>
    <x v="3"/>
    <x v="7"/>
    <x v="1"/>
    <s v="UPI"/>
    <b v="1"/>
    <b v="0"/>
    <n v="5"/>
    <n v="0.83333333333333337"/>
    <s v="October"/>
    <s v="Online"/>
    <n v="14.4"/>
    <n v="15.6"/>
    <b v="0"/>
    <n v="20"/>
    <n v="3"/>
    <x v="3"/>
    <n v="28.844221105527641"/>
  </r>
  <r>
    <s v="ORD748"/>
    <x v="4"/>
    <x v="30"/>
    <d v="2025-10-31T00:00:00"/>
    <d v="1899-12-30T20:15:00"/>
    <d v="2025-10-31T00:00:00"/>
    <d v="1899-12-30T20:45:00"/>
    <x v="3"/>
    <x v="0"/>
    <x v="8"/>
    <x v="0"/>
    <x v="3"/>
    <x v="0"/>
    <s v="Cash"/>
    <b v="1"/>
    <b v="0"/>
    <n v="6.666666666666667"/>
    <n v="0.66666666666666663"/>
    <s v="October"/>
    <s v="Offline"/>
    <n v="10.8"/>
    <n v="19.2"/>
    <b v="0"/>
    <n v="6"/>
    <n v="2"/>
    <x v="1"/>
    <n v="30.286458333333329"/>
  </r>
  <r>
    <s v="ORD749"/>
    <x v="0"/>
    <x v="31"/>
    <d v="2025-11-01T00:00:00"/>
    <d v="1899-12-30T19:30:00"/>
    <d v="2025-11-01T00:00:00"/>
    <d v="1899-12-30T20:00:00"/>
    <x v="3"/>
    <x v="1"/>
    <x v="9"/>
    <x v="1"/>
    <x v="10"/>
    <x v="0"/>
    <s v="UPI"/>
    <b v="1"/>
    <b v="1"/>
    <n v="5.4545454545454541"/>
    <n v="0.72727272727272729"/>
    <s v="November"/>
    <s v="Online"/>
    <n v="13.2"/>
    <n v="16.8"/>
    <b v="0"/>
    <n v="12"/>
    <n v="2"/>
    <x v="3"/>
    <n v="30.259433962264151"/>
  </r>
  <r>
    <s v="ORD750"/>
    <x v="3"/>
    <x v="8"/>
    <d v="2025-11-02T00:00:00"/>
    <d v="1899-12-30T20:45:00"/>
    <d v="2025-11-02T00:00:00"/>
    <d v="1899-12-30T21:15:00"/>
    <x v="3"/>
    <x v="0"/>
    <x v="0"/>
    <x v="2"/>
    <x v="6"/>
    <x v="2"/>
    <s v="Wallet"/>
    <b v="1"/>
    <b v="1"/>
    <n v="7.5"/>
    <n v="0.5"/>
    <s v="November"/>
    <s v="Online"/>
    <n v="9.6"/>
    <n v="20.399999999999999"/>
    <b v="0"/>
    <n v="4"/>
    <n v="1"/>
    <x v="1"/>
    <n v="29.948453608247419"/>
  </r>
  <r>
    <s v="ORD751"/>
    <x v="1"/>
    <x v="38"/>
    <d v="2025-11-03T00:00:00"/>
    <d v="1899-12-30T18:00:00"/>
    <d v="2025-11-03T00:00:00"/>
    <d v="1899-12-30T18:30:00"/>
    <x v="3"/>
    <x v="0"/>
    <x v="4"/>
    <x v="0"/>
    <x v="1"/>
    <x v="0"/>
    <s v="Card"/>
    <b v="1"/>
    <b v="0"/>
    <n v="6"/>
    <n v="0.6"/>
    <s v="November"/>
    <s v="Online"/>
    <n v="12"/>
    <n v="18"/>
    <b v="0"/>
    <n v="6"/>
    <n v="2"/>
    <x v="0"/>
    <n v="28.186274509803919"/>
  </r>
  <r>
    <s v="ORD752"/>
    <x v="2"/>
    <x v="29"/>
    <d v="2025-11-04T00:00:00"/>
    <d v="1899-12-30T19:15:00"/>
    <d v="2025-11-04T00:00:00"/>
    <d v="1899-12-30T19:45:00"/>
    <x v="3"/>
    <x v="3"/>
    <x v="3"/>
    <x v="3"/>
    <x v="7"/>
    <x v="1"/>
    <s v="UPI"/>
    <b v="1"/>
    <b v="0"/>
    <n v="5"/>
    <n v="0.83333333333333337"/>
    <s v="November"/>
    <s v="Online"/>
    <n v="14.4"/>
    <n v="15.6"/>
    <b v="0"/>
    <n v="20"/>
    <n v="3"/>
    <x v="3"/>
    <n v="28.844221105527641"/>
  </r>
  <r>
    <s v="ORD753"/>
    <x v="4"/>
    <x v="30"/>
    <d v="2025-11-05T00:00:00"/>
    <d v="1899-12-30T20:30:00"/>
    <d v="2025-11-05T00:00:00"/>
    <d v="1899-12-30T21:00:00"/>
    <x v="3"/>
    <x v="0"/>
    <x v="8"/>
    <x v="0"/>
    <x v="3"/>
    <x v="0"/>
    <s v="UPI"/>
    <b v="1"/>
    <b v="0"/>
    <n v="6.666666666666667"/>
    <n v="0.66666666666666663"/>
    <s v="November"/>
    <s v="Online"/>
    <n v="10.8"/>
    <n v="19.2"/>
    <b v="0"/>
    <n v="6"/>
    <n v="2"/>
    <x v="1"/>
    <n v="30.286458333333329"/>
  </r>
  <r>
    <s v="ORD754"/>
    <x v="1"/>
    <x v="38"/>
    <d v="2025-11-06T00:00:00"/>
    <d v="1899-12-30T18:45:00"/>
    <d v="2025-11-06T00:00:00"/>
    <d v="1899-12-30T19:15:00"/>
    <x v="3"/>
    <x v="0"/>
    <x v="10"/>
    <x v="0"/>
    <x v="1"/>
    <x v="0"/>
    <s v="UPI"/>
    <b v="1"/>
    <b v="0"/>
    <n v="6"/>
    <n v="0.6"/>
    <s v="November"/>
    <s v="Online"/>
    <n v="12"/>
    <n v="18"/>
    <b v="0"/>
    <n v="6"/>
    <n v="2"/>
    <x v="0"/>
    <n v="28.186274509803919"/>
  </r>
  <r>
    <s v="ORD755"/>
    <x v="2"/>
    <x v="29"/>
    <d v="2025-11-07T00:00:00"/>
    <d v="1899-12-30T19:00:00"/>
    <d v="2025-11-07T00:00:00"/>
    <d v="1899-12-30T19:30:00"/>
    <x v="3"/>
    <x v="3"/>
    <x v="3"/>
    <x v="3"/>
    <x v="7"/>
    <x v="1"/>
    <s v="Card"/>
    <b v="1"/>
    <b v="0"/>
    <n v="5"/>
    <n v="0.83333333333333337"/>
    <s v="November"/>
    <s v="Online"/>
    <n v="14.4"/>
    <n v="15.6"/>
    <b v="0"/>
    <n v="20"/>
    <n v="3"/>
    <x v="3"/>
    <n v="28.844221105527641"/>
  </r>
  <r>
    <s v="ORD756"/>
    <x v="4"/>
    <x v="30"/>
    <d v="2025-11-08T00:00:00"/>
    <d v="1899-12-30T20:15:00"/>
    <d v="2025-11-08T00:00:00"/>
    <d v="1899-12-30T20:45:00"/>
    <x v="3"/>
    <x v="0"/>
    <x v="11"/>
    <x v="0"/>
    <x v="3"/>
    <x v="0"/>
    <s v="Cash"/>
    <b v="1"/>
    <b v="1"/>
    <n v="6.666666666666667"/>
    <n v="0.66666666666666663"/>
    <s v="November"/>
    <s v="Offline"/>
    <n v="10.8"/>
    <n v="19.2"/>
    <b v="0"/>
    <n v="6"/>
    <n v="2"/>
    <x v="1"/>
    <n v="30.286458333333329"/>
  </r>
  <r>
    <s v="ORD757"/>
    <x v="0"/>
    <x v="31"/>
    <d v="2025-11-09T00:00:00"/>
    <d v="1899-12-30T19:30:00"/>
    <d v="2025-11-09T00:00:00"/>
    <d v="1899-12-30T20:00:00"/>
    <x v="3"/>
    <x v="1"/>
    <x v="9"/>
    <x v="1"/>
    <x v="10"/>
    <x v="0"/>
    <s v="UPI"/>
    <b v="1"/>
    <b v="1"/>
    <n v="5.4545454545454541"/>
    <n v="0.72727272727272729"/>
    <s v="November"/>
    <s v="Online"/>
    <n v="13.2"/>
    <n v="16.8"/>
    <b v="0"/>
    <n v="12"/>
    <n v="2"/>
    <x v="3"/>
    <n v="30.259433962264151"/>
  </r>
  <r>
    <s v="ORD758"/>
    <x v="3"/>
    <x v="8"/>
    <d v="2025-11-10T00:00:00"/>
    <d v="1899-12-30T20:45:00"/>
    <d v="2025-11-10T00:00:00"/>
    <d v="1899-12-30T21:15:00"/>
    <x v="3"/>
    <x v="0"/>
    <x v="0"/>
    <x v="2"/>
    <x v="6"/>
    <x v="2"/>
    <s v="Wallet"/>
    <b v="1"/>
    <b v="0"/>
    <n v="7.5"/>
    <n v="0.5"/>
    <s v="November"/>
    <s v="Online"/>
    <n v="9.6"/>
    <n v="20.399999999999999"/>
    <b v="0"/>
    <n v="4"/>
    <n v="1"/>
    <x v="1"/>
    <n v="29.948453608247419"/>
  </r>
  <r>
    <s v="ORD759"/>
    <x v="1"/>
    <x v="38"/>
    <d v="2025-11-11T00:00:00"/>
    <d v="1899-12-30T18:00:00"/>
    <d v="2025-11-11T00:00:00"/>
    <d v="1899-12-30T18:30:00"/>
    <x v="3"/>
    <x v="0"/>
    <x v="10"/>
    <x v="0"/>
    <x v="1"/>
    <x v="0"/>
    <s v="Card"/>
    <b v="1"/>
    <b v="0"/>
    <n v="6"/>
    <n v="0.6"/>
    <s v="November"/>
    <s v="Online"/>
    <n v="12"/>
    <n v="18"/>
    <b v="0"/>
    <n v="6"/>
    <n v="2"/>
    <x v="0"/>
    <n v="28.186274509803919"/>
  </r>
  <r>
    <s v="ORD760"/>
    <x v="2"/>
    <x v="29"/>
    <d v="2025-11-12T00:00:00"/>
    <d v="1899-12-30T19:15:00"/>
    <d v="2025-11-12T00:00:00"/>
    <d v="1899-12-30T19:45:00"/>
    <x v="3"/>
    <x v="3"/>
    <x v="3"/>
    <x v="3"/>
    <x v="7"/>
    <x v="1"/>
    <s v="UPI"/>
    <b v="1"/>
    <b v="0"/>
    <n v="5"/>
    <n v="0.83333333333333337"/>
    <s v="November"/>
    <s v="Online"/>
    <n v="14.4"/>
    <n v="15.6"/>
    <b v="0"/>
    <n v="20"/>
    <n v="3"/>
    <x v="3"/>
    <n v="28.844221105527641"/>
  </r>
  <r>
    <s v="ORD761"/>
    <x v="4"/>
    <x v="30"/>
    <d v="2025-11-13T00:00:00"/>
    <d v="1899-12-30T20:30:00"/>
    <d v="2025-11-13T00:00:00"/>
    <d v="1899-12-30T21:00:00"/>
    <x v="3"/>
    <x v="0"/>
    <x v="11"/>
    <x v="0"/>
    <x v="3"/>
    <x v="0"/>
    <s v="Cash"/>
    <b v="1"/>
    <b v="0"/>
    <n v="6.666666666666667"/>
    <n v="0.66666666666666663"/>
    <s v="November"/>
    <s v="Offline"/>
    <n v="10.8"/>
    <n v="19.2"/>
    <b v="0"/>
    <n v="6"/>
    <n v="2"/>
    <x v="1"/>
    <n v="30.286458333333329"/>
  </r>
  <r>
    <s v="ORD762"/>
    <x v="0"/>
    <x v="31"/>
    <d v="2025-11-14T00:00:00"/>
    <d v="1899-12-30T19:00:00"/>
    <d v="2025-11-14T00:00:00"/>
    <d v="1899-12-30T19:30:00"/>
    <x v="3"/>
    <x v="1"/>
    <x v="9"/>
    <x v="1"/>
    <x v="10"/>
    <x v="0"/>
    <s v="UPI"/>
    <b v="1"/>
    <b v="0"/>
    <n v="5.4545454545454541"/>
    <n v="0.72727272727272729"/>
    <s v="November"/>
    <s v="Online"/>
    <n v="13.2"/>
    <n v="16.8"/>
    <b v="0"/>
    <n v="12"/>
    <n v="2"/>
    <x v="3"/>
    <n v="30.259433962264151"/>
  </r>
  <r>
    <s v="ORD763"/>
    <x v="3"/>
    <x v="8"/>
    <d v="2025-11-15T00:00:00"/>
    <d v="1899-12-30T20:15:00"/>
    <d v="2025-11-15T00:00:00"/>
    <d v="1899-12-30T20:45:00"/>
    <x v="3"/>
    <x v="0"/>
    <x v="0"/>
    <x v="2"/>
    <x v="6"/>
    <x v="2"/>
    <s v="Wallet"/>
    <b v="1"/>
    <b v="1"/>
    <n v="7.5"/>
    <n v="0.5"/>
    <s v="November"/>
    <s v="Online"/>
    <n v="9.6"/>
    <n v="20.399999999999999"/>
    <b v="0"/>
    <n v="4"/>
    <n v="1"/>
    <x v="1"/>
    <n v="29.948453608247419"/>
  </r>
  <r>
    <s v="ORD764"/>
    <x v="1"/>
    <x v="38"/>
    <d v="2025-11-16T00:00:00"/>
    <d v="1899-12-30T18:30:00"/>
    <d v="2025-11-16T00:00:00"/>
    <d v="1899-12-30T19:00:00"/>
    <x v="3"/>
    <x v="0"/>
    <x v="10"/>
    <x v="0"/>
    <x v="1"/>
    <x v="0"/>
    <s v="Card"/>
    <b v="1"/>
    <b v="1"/>
    <n v="6"/>
    <n v="0.6"/>
    <s v="November"/>
    <s v="Online"/>
    <n v="12"/>
    <n v="18"/>
    <b v="0"/>
    <n v="6"/>
    <n v="2"/>
    <x v="0"/>
    <n v="28.186274509803919"/>
  </r>
  <r>
    <s v="ORD765"/>
    <x v="2"/>
    <x v="29"/>
    <d v="2025-11-17T00:00:00"/>
    <d v="1899-12-30T19:45:00"/>
    <d v="2025-11-17T00:00:00"/>
    <d v="1899-12-30T20:15:00"/>
    <x v="3"/>
    <x v="3"/>
    <x v="3"/>
    <x v="3"/>
    <x v="7"/>
    <x v="1"/>
    <s v="UPI"/>
    <b v="1"/>
    <b v="0"/>
    <n v="5"/>
    <n v="0.83333333333333337"/>
    <s v="November"/>
    <s v="Online"/>
    <n v="14.4"/>
    <n v="15.6"/>
    <b v="0"/>
    <n v="20"/>
    <n v="3"/>
    <x v="3"/>
    <n v="28.844221105527641"/>
  </r>
  <r>
    <s v="ORD766"/>
    <x v="4"/>
    <x v="30"/>
    <d v="2025-11-18T00:00:00"/>
    <d v="1899-12-30T20:00:00"/>
    <d v="2025-11-18T00:00:00"/>
    <d v="1899-12-30T20:30:00"/>
    <x v="3"/>
    <x v="0"/>
    <x v="11"/>
    <x v="0"/>
    <x v="3"/>
    <x v="0"/>
    <s v="Cash"/>
    <b v="1"/>
    <b v="0"/>
    <n v="6.666666666666667"/>
    <n v="0.66666666666666663"/>
    <s v="November"/>
    <s v="Offline"/>
    <n v="10.8"/>
    <n v="19.2"/>
    <b v="0"/>
    <n v="6"/>
    <n v="2"/>
    <x v="1"/>
    <n v="30.286458333333329"/>
  </r>
  <r>
    <s v="ORD767"/>
    <x v="0"/>
    <x v="31"/>
    <d v="2025-11-19T00:00:00"/>
    <d v="1899-12-30T19:15:00"/>
    <d v="2025-11-19T00:00:00"/>
    <d v="1899-12-30T19:45:00"/>
    <x v="3"/>
    <x v="1"/>
    <x v="9"/>
    <x v="1"/>
    <x v="10"/>
    <x v="0"/>
    <s v="UPI"/>
    <b v="1"/>
    <b v="0"/>
    <n v="5.4545454545454541"/>
    <n v="0.72727272727272729"/>
    <s v="November"/>
    <s v="Online"/>
    <n v="13.2"/>
    <n v="16.8"/>
    <b v="0"/>
    <n v="12"/>
    <n v="2"/>
    <x v="3"/>
    <n v="30.259433962264151"/>
  </r>
  <r>
    <s v="ORD768"/>
    <x v="3"/>
    <x v="8"/>
    <d v="2025-11-20T00:00:00"/>
    <d v="1899-12-30T20:30:00"/>
    <d v="2025-11-20T00:00:00"/>
    <d v="1899-12-30T21:00:00"/>
    <x v="3"/>
    <x v="0"/>
    <x v="0"/>
    <x v="2"/>
    <x v="6"/>
    <x v="2"/>
    <s v="Wallet"/>
    <b v="1"/>
    <b v="0"/>
    <n v="7.5"/>
    <n v="0.5"/>
    <s v="November"/>
    <s v="Online"/>
    <n v="9.6"/>
    <n v="20.399999999999999"/>
    <b v="0"/>
    <n v="4"/>
    <n v="1"/>
    <x v="1"/>
    <n v="29.948453608247419"/>
  </r>
  <r>
    <s v="ORD769"/>
    <x v="1"/>
    <x v="38"/>
    <d v="2025-11-21T00:00:00"/>
    <d v="1899-12-30T18:45:00"/>
    <d v="2025-11-21T00:00:00"/>
    <d v="1899-12-30T19:15:00"/>
    <x v="3"/>
    <x v="0"/>
    <x v="10"/>
    <x v="0"/>
    <x v="1"/>
    <x v="0"/>
    <s v="Card"/>
    <b v="1"/>
    <b v="0"/>
    <n v="6"/>
    <n v="0.6"/>
    <s v="November"/>
    <s v="Online"/>
    <n v="12"/>
    <n v="18"/>
    <b v="0"/>
    <n v="6"/>
    <n v="2"/>
    <x v="0"/>
    <n v="28.186274509803919"/>
  </r>
  <r>
    <s v="ORD770"/>
    <x v="2"/>
    <x v="29"/>
    <d v="2025-11-22T00:00:00"/>
    <d v="1899-12-30T19:00:00"/>
    <d v="2025-11-22T00:00:00"/>
    <d v="1899-12-30T19:30:00"/>
    <x v="3"/>
    <x v="3"/>
    <x v="3"/>
    <x v="3"/>
    <x v="7"/>
    <x v="1"/>
    <s v="UPI"/>
    <b v="1"/>
    <b v="1"/>
    <n v="5"/>
    <n v="0.83333333333333337"/>
    <s v="November"/>
    <s v="Online"/>
    <n v="14.4"/>
    <n v="15.6"/>
    <b v="0"/>
    <n v="20"/>
    <n v="3"/>
    <x v="3"/>
    <n v="28.844221105527641"/>
  </r>
  <r>
    <s v="ORD771"/>
    <x v="4"/>
    <x v="30"/>
    <d v="2025-11-23T00:00:00"/>
    <d v="1899-12-30T20:15:00"/>
    <d v="2025-11-23T00:00:00"/>
    <d v="1899-12-30T20:45:00"/>
    <x v="3"/>
    <x v="0"/>
    <x v="11"/>
    <x v="0"/>
    <x v="3"/>
    <x v="0"/>
    <s v="Cash"/>
    <b v="1"/>
    <b v="1"/>
    <n v="6.666666666666667"/>
    <n v="0.66666666666666663"/>
    <s v="November"/>
    <s v="Offline"/>
    <n v="10.8"/>
    <n v="19.2"/>
    <b v="0"/>
    <n v="6"/>
    <n v="2"/>
    <x v="1"/>
    <n v="30.286458333333329"/>
  </r>
  <r>
    <s v="ORD772"/>
    <x v="0"/>
    <x v="31"/>
    <d v="2025-11-24T00:00:00"/>
    <d v="1899-12-30T19:30:00"/>
    <d v="2025-11-24T00:00:00"/>
    <d v="1899-12-30T20:00:00"/>
    <x v="3"/>
    <x v="1"/>
    <x v="9"/>
    <x v="1"/>
    <x v="10"/>
    <x v="0"/>
    <s v="UPI"/>
    <b v="1"/>
    <b v="0"/>
    <n v="5.4545454545454541"/>
    <n v="0.72727272727272729"/>
    <s v="November"/>
    <s v="Online"/>
    <n v="13.2"/>
    <n v="16.8"/>
    <b v="0"/>
    <n v="12"/>
    <n v="2"/>
    <x v="3"/>
    <n v="30.259433962264151"/>
  </r>
  <r>
    <s v="ORD773"/>
    <x v="3"/>
    <x v="8"/>
    <d v="2025-11-25T00:00:00"/>
    <d v="1899-12-30T20:45:00"/>
    <d v="2025-11-25T00:00:00"/>
    <d v="1899-12-30T21:15:00"/>
    <x v="3"/>
    <x v="0"/>
    <x v="0"/>
    <x v="2"/>
    <x v="6"/>
    <x v="2"/>
    <s v="Wallet"/>
    <b v="1"/>
    <b v="0"/>
    <n v="7.5"/>
    <n v="0.5"/>
    <s v="November"/>
    <s v="Online"/>
    <n v="9.6"/>
    <n v="20.399999999999999"/>
    <b v="0"/>
    <n v="4"/>
    <n v="1"/>
    <x v="1"/>
    <n v="29.948453608247419"/>
  </r>
  <r>
    <s v="ORD774"/>
    <x v="1"/>
    <x v="38"/>
    <d v="2025-11-26T00:00:00"/>
    <d v="1899-12-30T18:00:00"/>
    <d v="2025-11-26T00:00:00"/>
    <d v="1899-12-30T18:30:00"/>
    <x v="3"/>
    <x v="0"/>
    <x v="10"/>
    <x v="0"/>
    <x v="1"/>
    <x v="0"/>
    <s v="Card"/>
    <b v="1"/>
    <b v="0"/>
    <n v="6"/>
    <n v="0.6"/>
    <s v="November"/>
    <s v="Online"/>
    <n v="12"/>
    <n v="18"/>
    <b v="0"/>
    <n v="6"/>
    <n v="2"/>
    <x v="0"/>
    <n v="28.186274509803919"/>
  </r>
  <r>
    <s v="ORD775"/>
    <x v="2"/>
    <x v="29"/>
    <d v="2025-11-27T00:00:00"/>
    <d v="1899-12-30T19:15:00"/>
    <d v="2025-11-27T00:00:00"/>
    <d v="1899-12-30T19:45:00"/>
    <x v="3"/>
    <x v="3"/>
    <x v="3"/>
    <x v="3"/>
    <x v="7"/>
    <x v="1"/>
    <s v="UPI"/>
    <b v="1"/>
    <b v="0"/>
    <n v="5"/>
    <n v="0.83333333333333337"/>
    <s v="November"/>
    <s v="Online"/>
    <n v="14.4"/>
    <n v="15.6"/>
    <b v="0"/>
    <n v="20"/>
    <n v="3"/>
    <x v="3"/>
    <n v="28.844221105527641"/>
  </r>
  <r>
    <s v="ORD776"/>
    <x v="4"/>
    <x v="30"/>
    <d v="2025-11-28T00:00:00"/>
    <d v="1899-12-30T20:30:00"/>
    <d v="2025-11-28T00:00:00"/>
    <d v="1899-12-30T21:00:00"/>
    <x v="3"/>
    <x v="0"/>
    <x v="11"/>
    <x v="0"/>
    <x v="3"/>
    <x v="0"/>
    <s v="Cash"/>
    <b v="1"/>
    <b v="0"/>
    <n v="6.666666666666667"/>
    <n v="0.66666666666666663"/>
    <s v="November"/>
    <s v="Offline"/>
    <n v="10.8"/>
    <n v="19.2"/>
    <b v="0"/>
    <n v="6"/>
    <n v="2"/>
    <x v="1"/>
    <n v="30.286458333333329"/>
  </r>
  <r>
    <s v="ORD777"/>
    <x v="0"/>
    <x v="31"/>
    <d v="2025-11-29T00:00:00"/>
    <d v="1899-12-30T19:00:00"/>
    <d v="2025-11-29T00:00:00"/>
    <d v="1899-12-30T19:30:00"/>
    <x v="3"/>
    <x v="1"/>
    <x v="9"/>
    <x v="1"/>
    <x v="10"/>
    <x v="0"/>
    <s v="UPI"/>
    <b v="1"/>
    <b v="1"/>
    <n v="5.4545454545454541"/>
    <n v="0.72727272727272729"/>
    <s v="November"/>
    <s v="Online"/>
    <n v="13.2"/>
    <n v="16.8"/>
    <b v="0"/>
    <n v="12"/>
    <n v="2"/>
    <x v="3"/>
    <n v="30.259433962264151"/>
  </r>
  <r>
    <s v="ORD778"/>
    <x v="3"/>
    <x v="8"/>
    <d v="2025-11-30T00:00:00"/>
    <d v="1899-12-30T20:15:00"/>
    <d v="2025-11-30T00:00:00"/>
    <d v="1899-12-30T20:45:00"/>
    <x v="3"/>
    <x v="0"/>
    <x v="0"/>
    <x v="2"/>
    <x v="6"/>
    <x v="2"/>
    <s v="Wallet"/>
    <b v="1"/>
    <b v="1"/>
    <n v="7.5"/>
    <n v="0.5"/>
    <s v="November"/>
    <s v="Online"/>
    <n v="9.6"/>
    <n v="20.399999999999999"/>
    <b v="0"/>
    <n v="4"/>
    <n v="1"/>
    <x v="1"/>
    <n v="29.948453608247419"/>
  </r>
  <r>
    <s v="ORD779"/>
    <x v="1"/>
    <x v="38"/>
    <d v="2025-12-01T00:00:00"/>
    <d v="1899-12-30T18:30:00"/>
    <d v="2025-12-01T00:00:00"/>
    <d v="1899-12-30T19:00:00"/>
    <x v="3"/>
    <x v="0"/>
    <x v="10"/>
    <x v="0"/>
    <x v="1"/>
    <x v="0"/>
    <s v="Card"/>
    <b v="1"/>
    <b v="0"/>
    <n v="6"/>
    <n v="0.6"/>
    <s v="December"/>
    <s v="Online"/>
    <n v="12"/>
    <n v="18"/>
    <b v="0"/>
    <n v="6"/>
    <n v="2"/>
    <x v="0"/>
    <n v="28.186274509803919"/>
  </r>
  <r>
    <s v="ORD780"/>
    <x v="2"/>
    <x v="29"/>
    <d v="2025-12-02T00:00:00"/>
    <d v="1899-12-30T19:45:00"/>
    <d v="2025-12-02T00:00:00"/>
    <d v="1899-12-30T20:15:00"/>
    <x v="3"/>
    <x v="3"/>
    <x v="3"/>
    <x v="3"/>
    <x v="7"/>
    <x v="1"/>
    <s v="UPI"/>
    <b v="1"/>
    <b v="0"/>
    <n v="5"/>
    <n v="0.83333333333333337"/>
    <s v="December"/>
    <s v="Online"/>
    <n v="14.4"/>
    <n v="15.6"/>
    <b v="0"/>
    <n v="20"/>
    <n v="3"/>
    <x v="3"/>
    <n v="28.844221105527641"/>
  </r>
  <r>
    <s v="ORD781"/>
    <x v="4"/>
    <x v="30"/>
    <d v="2025-12-03T00:00:00"/>
    <d v="1899-12-30T20:00:00"/>
    <d v="2025-12-03T00:00:00"/>
    <d v="1899-12-30T20:30:00"/>
    <x v="3"/>
    <x v="0"/>
    <x v="11"/>
    <x v="0"/>
    <x v="3"/>
    <x v="0"/>
    <s v="Cash"/>
    <b v="1"/>
    <b v="0"/>
    <n v="6.666666666666667"/>
    <n v="0.66666666666666663"/>
    <s v="December"/>
    <s v="Offline"/>
    <n v="10.8"/>
    <n v="19.2"/>
    <b v="0"/>
    <n v="6"/>
    <n v="2"/>
    <x v="1"/>
    <n v="30.286458333333329"/>
  </r>
  <r>
    <s v="ORD782"/>
    <x v="1"/>
    <x v="38"/>
    <d v="2025-12-04T00:00:00"/>
    <d v="1899-12-30T18:15:00"/>
    <d v="2025-12-04T00:00:00"/>
    <d v="1899-12-30T18:45:00"/>
    <x v="3"/>
    <x v="0"/>
    <x v="10"/>
    <x v="0"/>
    <x v="1"/>
    <x v="0"/>
    <s v="UPI"/>
    <b v="1"/>
    <b v="0"/>
    <n v="6"/>
    <n v="0.6"/>
    <s v="December"/>
    <s v="Online"/>
    <n v="12"/>
    <n v="18"/>
    <b v="0"/>
    <n v="6"/>
    <n v="2"/>
    <x v="0"/>
    <n v="28.186274509803919"/>
  </r>
  <r>
    <s v="ORD783"/>
    <x v="2"/>
    <x v="29"/>
    <d v="2025-12-05T00:00:00"/>
    <d v="1899-12-30T19:30:00"/>
    <d v="2025-12-05T00:00:00"/>
    <d v="1899-12-30T20:00:00"/>
    <x v="3"/>
    <x v="3"/>
    <x v="3"/>
    <x v="3"/>
    <x v="7"/>
    <x v="1"/>
    <s v="Card"/>
    <b v="1"/>
    <b v="0"/>
    <n v="5"/>
    <n v="0.83333333333333337"/>
    <s v="December"/>
    <s v="Online"/>
    <n v="14.4"/>
    <n v="15.6"/>
    <b v="0"/>
    <n v="20"/>
    <n v="3"/>
    <x v="3"/>
    <n v="28.844221105527641"/>
  </r>
  <r>
    <s v="ORD784"/>
    <x v="4"/>
    <x v="30"/>
    <d v="2025-12-06T00:00:00"/>
    <d v="1899-12-30T20:45:00"/>
    <d v="2025-12-06T00:00:00"/>
    <d v="1899-12-30T21:15:00"/>
    <x v="3"/>
    <x v="0"/>
    <x v="11"/>
    <x v="0"/>
    <x v="3"/>
    <x v="0"/>
    <s v="Cash"/>
    <b v="1"/>
    <b v="1"/>
    <n v="6.666666666666667"/>
    <n v="0.66666666666666663"/>
    <s v="December"/>
    <s v="Offline"/>
    <n v="10.8"/>
    <n v="19.2"/>
    <b v="0"/>
    <n v="6"/>
    <n v="2"/>
    <x v="1"/>
    <n v="30.286458333333329"/>
  </r>
  <r>
    <s v="ORD785"/>
    <x v="0"/>
    <x v="31"/>
    <d v="2025-12-07T00:00:00"/>
    <d v="1899-12-30T19:00:00"/>
    <d v="2025-12-07T00:00:00"/>
    <d v="1899-12-30T19:30:00"/>
    <x v="3"/>
    <x v="1"/>
    <x v="9"/>
    <x v="1"/>
    <x v="10"/>
    <x v="0"/>
    <s v="UPI"/>
    <b v="1"/>
    <b v="1"/>
    <n v="5.4545454545454541"/>
    <n v="0.72727272727272729"/>
    <s v="December"/>
    <s v="Online"/>
    <n v="13.2"/>
    <n v="16.8"/>
    <b v="0"/>
    <n v="12"/>
    <n v="2"/>
    <x v="3"/>
    <n v="30.259433962264151"/>
  </r>
  <r>
    <s v="ORD786"/>
    <x v="3"/>
    <x v="8"/>
    <d v="2025-12-08T00:00:00"/>
    <d v="1899-12-30T20:15:00"/>
    <d v="2025-12-08T00:00:00"/>
    <d v="1899-12-30T20:45:00"/>
    <x v="3"/>
    <x v="0"/>
    <x v="0"/>
    <x v="2"/>
    <x v="6"/>
    <x v="2"/>
    <s v="Wallet"/>
    <b v="1"/>
    <b v="0"/>
    <n v="7.5"/>
    <n v="0.5"/>
    <s v="December"/>
    <s v="Online"/>
    <n v="9.6"/>
    <n v="20.399999999999999"/>
    <b v="0"/>
    <n v="4"/>
    <n v="1"/>
    <x v="1"/>
    <n v="29.948453608247419"/>
  </r>
  <r>
    <s v="ORD787"/>
    <x v="1"/>
    <x v="38"/>
    <d v="2025-12-09T00:00:00"/>
    <d v="1899-12-30T18:30:00"/>
    <d v="2025-12-09T00:00:00"/>
    <d v="1899-12-30T19:00:00"/>
    <x v="3"/>
    <x v="0"/>
    <x v="10"/>
    <x v="0"/>
    <x v="1"/>
    <x v="0"/>
    <s v="Card"/>
    <b v="1"/>
    <b v="0"/>
    <n v="6"/>
    <n v="0.6"/>
    <s v="December"/>
    <s v="Online"/>
    <n v="12"/>
    <n v="18"/>
    <b v="0"/>
    <n v="6"/>
    <n v="2"/>
    <x v="0"/>
    <n v="28.186274509803919"/>
  </r>
  <r>
    <s v="ORD788"/>
    <x v="2"/>
    <x v="29"/>
    <d v="2025-12-10T00:00:00"/>
    <d v="1899-12-30T19:45:00"/>
    <d v="2025-12-10T00:00:00"/>
    <d v="1899-12-30T20:15:00"/>
    <x v="3"/>
    <x v="3"/>
    <x v="3"/>
    <x v="3"/>
    <x v="7"/>
    <x v="1"/>
    <s v="UPI"/>
    <b v="1"/>
    <b v="0"/>
    <n v="5"/>
    <n v="0.83333333333333337"/>
    <s v="December"/>
    <s v="Online"/>
    <n v="14.4"/>
    <n v="15.6"/>
    <b v="0"/>
    <n v="20"/>
    <n v="3"/>
    <x v="3"/>
    <n v="28.844221105527641"/>
  </r>
  <r>
    <s v="ORD789"/>
    <x v="4"/>
    <x v="30"/>
    <d v="2025-12-11T00:00:00"/>
    <d v="1899-12-30T20:00:00"/>
    <d v="2025-12-11T00:00:00"/>
    <d v="1899-12-30T20:30:00"/>
    <x v="3"/>
    <x v="0"/>
    <x v="11"/>
    <x v="0"/>
    <x v="3"/>
    <x v="0"/>
    <s v="Cash"/>
    <b v="1"/>
    <b v="0"/>
    <n v="6.666666666666667"/>
    <n v="0.66666666666666663"/>
    <s v="December"/>
    <s v="Offline"/>
    <n v="10.8"/>
    <n v="19.2"/>
    <b v="0"/>
    <n v="6"/>
    <n v="2"/>
    <x v="1"/>
    <n v="30.286458333333329"/>
  </r>
  <r>
    <s v="ORD790"/>
    <x v="0"/>
    <x v="31"/>
    <d v="2025-12-12T00:00:00"/>
    <d v="1899-12-30T19:15:00"/>
    <d v="2025-12-12T00:00:00"/>
    <d v="1899-12-30T19:45:00"/>
    <x v="3"/>
    <x v="1"/>
    <x v="9"/>
    <x v="1"/>
    <x v="10"/>
    <x v="0"/>
    <s v="UPI"/>
    <b v="1"/>
    <b v="0"/>
    <n v="5.4545454545454541"/>
    <n v="0.72727272727272729"/>
    <s v="December"/>
    <s v="Online"/>
    <n v="13.2"/>
    <n v="16.8"/>
    <b v="0"/>
    <n v="12"/>
    <n v="2"/>
    <x v="3"/>
    <n v="30.259433962264151"/>
  </r>
  <r>
    <s v="ORD791"/>
    <x v="3"/>
    <x v="8"/>
    <d v="2025-12-13T00:00:00"/>
    <d v="1899-12-30T20:30:00"/>
    <d v="2025-12-13T00:00:00"/>
    <d v="1899-12-30T21:00:00"/>
    <x v="3"/>
    <x v="0"/>
    <x v="0"/>
    <x v="2"/>
    <x v="6"/>
    <x v="2"/>
    <s v="Wallet"/>
    <b v="1"/>
    <b v="1"/>
    <n v="7.5"/>
    <n v="0.5"/>
    <s v="December"/>
    <s v="Online"/>
    <n v="9.6"/>
    <n v="20.399999999999999"/>
    <b v="0"/>
    <n v="4"/>
    <n v="1"/>
    <x v="1"/>
    <n v="29.948453608247419"/>
  </r>
  <r>
    <s v="ORD792"/>
    <x v="1"/>
    <x v="38"/>
    <d v="2025-12-14T00:00:00"/>
    <d v="1899-12-30T18:45:00"/>
    <d v="2025-12-14T00:00:00"/>
    <d v="1899-12-30T19:15:00"/>
    <x v="3"/>
    <x v="0"/>
    <x v="10"/>
    <x v="0"/>
    <x v="1"/>
    <x v="0"/>
    <s v="Card"/>
    <b v="1"/>
    <b v="1"/>
    <n v="6"/>
    <n v="0.6"/>
    <s v="December"/>
    <s v="Online"/>
    <n v="12"/>
    <n v="18"/>
    <b v="0"/>
    <n v="6"/>
    <n v="2"/>
    <x v="0"/>
    <n v="28.186274509803919"/>
  </r>
  <r>
    <s v="ORD793"/>
    <x v="2"/>
    <x v="29"/>
    <d v="2025-12-15T00:00:00"/>
    <d v="1899-12-30T19:00:00"/>
    <d v="2025-12-15T00:00:00"/>
    <d v="1899-12-30T19:30:00"/>
    <x v="3"/>
    <x v="3"/>
    <x v="3"/>
    <x v="3"/>
    <x v="7"/>
    <x v="1"/>
    <s v="UPI"/>
    <b v="1"/>
    <b v="0"/>
    <n v="5"/>
    <n v="0.83333333333333337"/>
    <s v="December"/>
    <s v="Online"/>
    <n v="14.4"/>
    <n v="15.6"/>
    <b v="0"/>
    <n v="20"/>
    <n v="3"/>
    <x v="3"/>
    <n v="28.844221105527641"/>
  </r>
  <r>
    <s v="ORD794"/>
    <x v="4"/>
    <x v="30"/>
    <d v="2025-12-16T00:00:00"/>
    <d v="1899-12-30T20:15:00"/>
    <d v="2025-12-16T00:00:00"/>
    <d v="1899-12-30T20:45:00"/>
    <x v="3"/>
    <x v="0"/>
    <x v="11"/>
    <x v="0"/>
    <x v="3"/>
    <x v="0"/>
    <s v="Cash"/>
    <b v="1"/>
    <b v="0"/>
    <n v="6.666666666666667"/>
    <n v="0.66666666666666663"/>
    <s v="December"/>
    <s v="Offline"/>
    <n v="10.8"/>
    <n v="19.2"/>
    <b v="0"/>
    <n v="6"/>
    <n v="2"/>
    <x v="1"/>
    <n v="30.286458333333329"/>
  </r>
  <r>
    <s v="ORD795"/>
    <x v="0"/>
    <x v="31"/>
    <d v="2025-12-17T00:00:00"/>
    <d v="1899-12-30T19:30:00"/>
    <d v="2025-12-17T00:00:00"/>
    <d v="1899-12-30T20:00:00"/>
    <x v="3"/>
    <x v="1"/>
    <x v="9"/>
    <x v="1"/>
    <x v="10"/>
    <x v="0"/>
    <s v="UPI"/>
    <b v="1"/>
    <b v="0"/>
    <n v="5.4545454545454541"/>
    <n v="0.72727272727272729"/>
    <s v="December"/>
    <s v="Online"/>
    <n v="13.2"/>
    <n v="16.8"/>
    <b v="0"/>
    <n v="12"/>
    <n v="2"/>
    <x v="3"/>
    <n v="30.259433962264151"/>
  </r>
  <r>
    <s v="ORD796"/>
    <x v="3"/>
    <x v="8"/>
    <d v="2025-12-18T00:00:00"/>
    <d v="1899-12-30T20:45:00"/>
    <d v="2025-12-18T00:00:00"/>
    <d v="1899-12-30T21:15:00"/>
    <x v="3"/>
    <x v="0"/>
    <x v="0"/>
    <x v="2"/>
    <x v="6"/>
    <x v="2"/>
    <s v="Wallet"/>
    <b v="1"/>
    <b v="0"/>
    <n v="7.5"/>
    <n v="0.5"/>
    <s v="December"/>
    <s v="Online"/>
    <n v="9.6"/>
    <n v="20.399999999999999"/>
    <b v="0"/>
    <n v="4"/>
    <n v="1"/>
    <x v="1"/>
    <n v="29.948453608247419"/>
  </r>
  <r>
    <s v="ORD797"/>
    <x v="1"/>
    <x v="38"/>
    <d v="2025-12-19T00:00:00"/>
    <d v="1899-12-30T18:00:00"/>
    <d v="2025-12-19T00:00:00"/>
    <d v="1899-12-30T18:30:00"/>
    <x v="3"/>
    <x v="0"/>
    <x v="10"/>
    <x v="0"/>
    <x v="1"/>
    <x v="0"/>
    <s v="Card"/>
    <b v="1"/>
    <b v="0"/>
    <n v="6"/>
    <n v="0.6"/>
    <s v="December"/>
    <s v="Online"/>
    <n v="12"/>
    <n v="18"/>
    <b v="0"/>
    <n v="6"/>
    <n v="2"/>
    <x v="0"/>
    <n v="28.186274509803919"/>
  </r>
  <r>
    <s v="ORD798"/>
    <x v="2"/>
    <x v="29"/>
    <d v="2025-12-20T00:00:00"/>
    <d v="1899-12-30T19:15:00"/>
    <d v="2025-12-20T00:00:00"/>
    <d v="1899-12-30T19:45:00"/>
    <x v="3"/>
    <x v="3"/>
    <x v="3"/>
    <x v="3"/>
    <x v="7"/>
    <x v="1"/>
    <s v="UPI"/>
    <b v="1"/>
    <b v="1"/>
    <n v="5"/>
    <n v="0.83333333333333337"/>
    <s v="December"/>
    <s v="Online"/>
    <n v="14.4"/>
    <n v="15.6"/>
    <b v="0"/>
    <n v="20"/>
    <n v="3"/>
    <x v="3"/>
    <n v="28.844221105527641"/>
  </r>
  <r>
    <s v="ORD799"/>
    <x v="4"/>
    <x v="30"/>
    <d v="2025-12-21T00:00:00"/>
    <d v="1899-12-30T20:30:00"/>
    <d v="2025-12-21T00:00:00"/>
    <d v="1899-12-30T21:00:00"/>
    <x v="3"/>
    <x v="0"/>
    <x v="11"/>
    <x v="0"/>
    <x v="3"/>
    <x v="0"/>
    <s v="Cash"/>
    <b v="1"/>
    <b v="1"/>
    <n v="6.666666666666667"/>
    <n v="0.66666666666666663"/>
    <s v="December"/>
    <s v="Offline"/>
    <n v="10.8"/>
    <n v="19.2"/>
    <b v="0"/>
    <n v="6"/>
    <n v="2"/>
    <x v="1"/>
    <n v="30.286458333333329"/>
  </r>
  <r>
    <s v="ORD800"/>
    <x v="0"/>
    <x v="31"/>
    <d v="2025-12-22T00:00:00"/>
    <d v="1899-12-30T19:00:00"/>
    <d v="2025-12-22T00:00:00"/>
    <d v="1899-12-30T19:30:00"/>
    <x v="3"/>
    <x v="1"/>
    <x v="9"/>
    <x v="1"/>
    <x v="10"/>
    <x v="0"/>
    <s v="UPI"/>
    <b v="1"/>
    <b v="0"/>
    <n v="5.4545454545454541"/>
    <n v="0.72727272727272729"/>
    <s v="December"/>
    <s v="Online"/>
    <n v="13.2"/>
    <n v="16.8"/>
    <b v="0"/>
    <n v="12"/>
    <n v="2"/>
    <x v="3"/>
    <n v="30.259433962264151"/>
  </r>
  <r>
    <s v="ORD801"/>
    <x v="3"/>
    <x v="8"/>
    <d v="2025-12-23T00:00:00"/>
    <d v="1899-12-30T20:15:00"/>
    <d v="2025-12-23T00:00:00"/>
    <d v="1899-12-30T20:45:00"/>
    <x v="3"/>
    <x v="0"/>
    <x v="0"/>
    <x v="2"/>
    <x v="6"/>
    <x v="2"/>
    <s v="Wallet"/>
    <b v="1"/>
    <b v="0"/>
    <n v="7.5"/>
    <n v="0.5"/>
    <s v="December"/>
    <s v="Online"/>
    <n v="9.6"/>
    <n v="20.399999999999999"/>
    <b v="0"/>
    <n v="4"/>
    <n v="1"/>
    <x v="1"/>
    <n v="29.948453608247419"/>
  </r>
  <r>
    <s v="ORD802"/>
    <x v="1"/>
    <x v="38"/>
    <d v="2025-12-24T00:00:00"/>
    <d v="1899-12-30T18:30:00"/>
    <d v="2025-12-24T00:00:00"/>
    <d v="1899-12-30T19:00:00"/>
    <x v="3"/>
    <x v="0"/>
    <x v="10"/>
    <x v="0"/>
    <x v="1"/>
    <x v="0"/>
    <s v="Card"/>
    <b v="1"/>
    <b v="0"/>
    <n v="6"/>
    <n v="0.6"/>
    <s v="December"/>
    <s v="Online"/>
    <n v="12"/>
    <n v="18"/>
    <b v="0"/>
    <n v="6"/>
    <n v="2"/>
    <x v="0"/>
    <n v="28.186274509803919"/>
  </r>
  <r>
    <s v="ORD803"/>
    <x v="2"/>
    <x v="29"/>
    <d v="2025-12-25T00:00:00"/>
    <d v="1899-12-30T19:45:00"/>
    <d v="2025-12-25T00:00:00"/>
    <d v="1899-12-30T20:15:00"/>
    <x v="3"/>
    <x v="3"/>
    <x v="3"/>
    <x v="3"/>
    <x v="7"/>
    <x v="1"/>
    <s v="UPI"/>
    <b v="1"/>
    <b v="0"/>
    <n v="5"/>
    <n v="0.83333333333333337"/>
    <s v="December"/>
    <s v="Online"/>
    <n v="14.4"/>
    <n v="15.6"/>
    <b v="0"/>
    <n v="20"/>
    <n v="3"/>
    <x v="3"/>
    <n v="28.844221105527641"/>
  </r>
  <r>
    <s v="ORD804"/>
    <x v="4"/>
    <x v="30"/>
    <d v="2025-12-26T00:00:00"/>
    <d v="1899-12-30T20:00:00"/>
    <d v="2025-12-26T00:00:00"/>
    <d v="1899-12-30T20:30:00"/>
    <x v="3"/>
    <x v="0"/>
    <x v="11"/>
    <x v="0"/>
    <x v="3"/>
    <x v="0"/>
    <s v="Cash"/>
    <b v="1"/>
    <b v="0"/>
    <n v="6.666666666666667"/>
    <n v="0.66666666666666663"/>
    <s v="December"/>
    <s v="Offline"/>
    <n v="10.8"/>
    <n v="19.2"/>
    <b v="0"/>
    <n v="6"/>
    <n v="2"/>
    <x v="1"/>
    <n v="30.286458333333329"/>
  </r>
  <r>
    <s v="ORD805"/>
    <x v="0"/>
    <x v="31"/>
    <d v="2025-12-27T00:00:00"/>
    <d v="1899-12-30T19:15:00"/>
    <d v="2025-12-27T00:00:00"/>
    <d v="1899-12-30T19:45:00"/>
    <x v="3"/>
    <x v="1"/>
    <x v="9"/>
    <x v="1"/>
    <x v="10"/>
    <x v="0"/>
    <s v="UPI"/>
    <b v="1"/>
    <b v="1"/>
    <n v="5.4545454545454541"/>
    <n v="0.72727272727272729"/>
    <s v="December"/>
    <s v="Online"/>
    <n v="13.2"/>
    <n v="16.8"/>
    <b v="0"/>
    <n v="12"/>
    <n v="2"/>
    <x v="3"/>
    <n v="30.259433962264151"/>
  </r>
  <r>
    <s v="ORD806"/>
    <x v="3"/>
    <x v="8"/>
    <d v="2025-12-28T00:00:00"/>
    <d v="1899-12-30T20:30:00"/>
    <d v="2025-12-28T00:00:00"/>
    <d v="1899-12-30T21:00:00"/>
    <x v="3"/>
    <x v="0"/>
    <x v="0"/>
    <x v="2"/>
    <x v="6"/>
    <x v="2"/>
    <s v="Wallet"/>
    <b v="1"/>
    <b v="1"/>
    <n v="7.5"/>
    <n v="0.5"/>
    <s v="December"/>
    <s v="Online"/>
    <n v="9.6"/>
    <n v="20.399999999999999"/>
    <b v="0"/>
    <n v="4"/>
    <n v="1"/>
    <x v="1"/>
    <n v="29.948453608247419"/>
  </r>
  <r>
    <s v="ORD807"/>
    <x v="1"/>
    <x v="38"/>
    <d v="2025-12-29T00:00:00"/>
    <d v="1899-12-30T18:45:00"/>
    <d v="2025-12-29T00:00:00"/>
    <d v="1899-12-30T19:15:00"/>
    <x v="3"/>
    <x v="0"/>
    <x v="10"/>
    <x v="0"/>
    <x v="1"/>
    <x v="0"/>
    <s v="Card"/>
    <b v="1"/>
    <b v="0"/>
    <n v="6"/>
    <n v="0.6"/>
    <s v="December"/>
    <s v="Online"/>
    <n v="12"/>
    <n v="18"/>
    <b v="0"/>
    <n v="6"/>
    <n v="2"/>
    <x v="0"/>
    <n v="28.186274509803919"/>
  </r>
  <r>
    <s v="ORD808"/>
    <x v="2"/>
    <x v="29"/>
    <d v="2025-12-30T00:00:00"/>
    <d v="1899-12-30T19:00:00"/>
    <d v="2025-12-30T00:00:00"/>
    <d v="1899-12-30T19:30:00"/>
    <x v="3"/>
    <x v="3"/>
    <x v="3"/>
    <x v="3"/>
    <x v="7"/>
    <x v="1"/>
    <s v="UPI"/>
    <b v="1"/>
    <b v="0"/>
    <n v="5"/>
    <n v="0.83333333333333337"/>
    <s v="December"/>
    <s v="Online"/>
    <n v="14.4"/>
    <n v="15.6"/>
    <b v="0"/>
    <n v="20"/>
    <n v="3"/>
    <x v="3"/>
    <n v="28.844221105527641"/>
  </r>
  <r>
    <s v="ORD809"/>
    <x v="4"/>
    <x v="30"/>
    <d v="2025-12-31T00:00:00"/>
    <d v="1899-12-30T20:15:00"/>
    <d v="2025-12-31T00:00:00"/>
    <d v="1899-12-30T20:45:00"/>
    <x v="3"/>
    <x v="0"/>
    <x v="11"/>
    <x v="0"/>
    <x v="3"/>
    <x v="0"/>
    <s v="Cash"/>
    <b v="1"/>
    <b v="0"/>
    <n v="6.666666666666667"/>
    <n v="0.66666666666666663"/>
    <s v="December"/>
    <s v="Offline"/>
    <n v="10.8"/>
    <n v="19.2"/>
    <b v="0"/>
    <n v="6"/>
    <n v="2"/>
    <x v="1"/>
    <n v="30.286458333333329"/>
  </r>
  <r>
    <s v="ORD810"/>
    <x v="1"/>
    <x v="38"/>
    <d v="2025-12-24T00:00:00"/>
    <d v="1899-12-30T18:30:00"/>
    <d v="2025-12-24T00:00:00"/>
    <d v="1899-12-30T19:00:00"/>
    <x v="3"/>
    <x v="0"/>
    <x v="10"/>
    <x v="0"/>
    <x v="1"/>
    <x v="0"/>
    <s v="UPI"/>
    <b v="1"/>
    <b v="0"/>
    <n v="6"/>
    <n v="0.6"/>
    <s v="December"/>
    <s v="Online"/>
    <n v="12"/>
    <n v="18"/>
    <b v="0"/>
    <n v="6"/>
    <n v="2"/>
    <x v="0"/>
    <n v="28.186274509803919"/>
  </r>
  <r>
    <s v="ORD811"/>
    <x v="2"/>
    <x v="29"/>
    <d v="2025-12-25T00:00:00"/>
    <d v="1899-12-30T19:45:00"/>
    <d v="2025-12-25T00:00:00"/>
    <d v="1899-12-30T20:15:00"/>
    <x v="3"/>
    <x v="3"/>
    <x v="3"/>
    <x v="3"/>
    <x v="7"/>
    <x v="1"/>
    <s v="Card"/>
    <b v="1"/>
    <b v="0"/>
    <n v="5"/>
    <n v="0.83333333333333337"/>
    <s v="December"/>
    <s v="Online"/>
    <n v="14.4"/>
    <n v="15.6"/>
    <b v="0"/>
    <n v="20"/>
    <n v="3"/>
    <x v="3"/>
    <n v="28.844221105527641"/>
  </r>
  <r>
    <s v="ORD812"/>
    <x v="4"/>
    <x v="30"/>
    <d v="2025-12-26T00:00:00"/>
    <d v="1899-12-30T20:00:00"/>
    <d v="2025-12-26T00:00:00"/>
    <d v="1899-12-30T20:30:00"/>
    <x v="3"/>
    <x v="0"/>
    <x v="11"/>
    <x v="0"/>
    <x v="3"/>
    <x v="0"/>
    <s v="Cash"/>
    <b v="1"/>
    <b v="0"/>
    <n v="6.666666666666667"/>
    <n v="0.66666666666666663"/>
    <s v="December"/>
    <s v="Offline"/>
    <n v="10.8"/>
    <n v="19.2"/>
    <b v="0"/>
    <n v="6"/>
    <n v="2"/>
    <x v="1"/>
    <n v="30.286458333333329"/>
  </r>
  <r>
    <s v="ORD813"/>
    <x v="0"/>
    <x v="31"/>
    <d v="2025-12-27T00:00:00"/>
    <d v="1899-12-30T19:15:00"/>
    <d v="2025-12-27T00:00:00"/>
    <d v="1899-12-30T19:45:00"/>
    <x v="3"/>
    <x v="1"/>
    <x v="9"/>
    <x v="1"/>
    <x v="10"/>
    <x v="0"/>
    <s v="UPI"/>
    <b v="1"/>
    <b v="1"/>
    <n v="5.4545454545454541"/>
    <n v="0.72727272727272729"/>
    <s v="December"/>
    <s v="Online"/>
    <n v="13.2"/>
    <n v="16.8"/>
    <b v="0"/>
    <n v="12"/>
    <n v="2"/>
    <x v="3"/>
    <n v="30.259433962264151"/>
  </r>
  <r>
    <s v="ORD814"/>
    <x v="3"/>
    <x v="8"/>
    <d v="2025-12-28T00:00:00"/>
    <d v="1899-12-30T20:30:00"/>
    <d v="2025-12-28T00:00:00"/>
    <d v="1899-12-30T21:00:00"/>
    <x v="3"/>
    <x v="0"/>
    <x v="0"/>
    <x v="2"/>
    <x v="6"/>
    <x v="2"/>
    <s v="Wallet"/>
    <b v="1"/>
    <b v="1"/>
    <n v="7.5"/>
    <n v="0.5"/>
    <s v="December"/>
    <s v="Online"/>
    <n v="9.6"/>
    <n v="20.399999999999999"/>
    <b v="0"/>
    <n v="4"/>
    <n v="1"/>
    <x v="1"/>
    <n v="29.948453608247419"/>
  </r>
  <r>
    <s v="ORD815"/>
    <x v="1"/>
    <x v="38"/>
    <d v="2025-12-29T00:00:00"/>
    <d v="1899-12-30T18:45:00"/>
    <d v="2025-12-29T00:00:00"/>
    <d v="1899-12-30T19:15:00"/>
    <x v="3"/>
    <x v="0"/>
    <x v="10"/>
    <x v="0"/>
    <x v="1"/>
    <x v="0"/>
    <s v="Card"/>
    <b v="1"/>
    <b v="0"/>
    <n v="6"/>
    <n v="0.6"/>
    <s v="December"/>
    <s v="Online"/>
    <n v="12"/>
    <n v="18"/>
    <b v="0"/>
    <n v="6"/>
    <n v="2"/>
    <x v="0"/>
    <n v="28.186274509803919"/>
  </r>
  <r>
    <s v="ORD816"/>
    <x v="2"/>
    <x v="29"/>
    <d v="2025-12-30T00:00:00"/>
    <d v="1899-12-30T19:00:00"/>
    <d v="2025-12-30T00:00:00"/>
    <d v="1899-12-30T19:30:00"/>
    <x v="3"/>
    <x v="3"/>
    <x v="3"/>
    <x v="3"/>
    <x v="7"/>
    <x v="1"/>
    <s v="UPI"/>
    <b v="1"/>
    <b v="0"/>
    <n v="5"/>
    <n v="0.83333333333333337"/>
    <s v="December"/>
    <s v="Online"/>
    <n v="14.4"/>
    <n v="15.6"/>
    <b v="0"/>
    <n v="20"/>
    <n v="3"/>
    <x v="3"/>
    <n v="28.844221105527641"/>
  </r>
  <r>
    <s v="ORD817"/>
    <x v="4"/>
    <x v="30"/>
    <d v="2025-12-31T00:00:00"/>
    <d v="1899-12-30T20:15:00"/>
    <d v="2025-12-31T00:00:00"/>
    <d v="1899-12-30T20:45:00"/>
    <x v="3"/>
    <x v="0"/>
    <x v="11"/>
    <x v="0"/>
    <x v="3"/>
    <x v="0"/>
    <s v="Cash"/>
    <b v="1"/>
    <b v="0"/>
    <n v="6.666666666666667"/>
    <n v="0.66666666666666663"/>
    <s v="December"/>
    <s v="Offline"/>
    <n v="10.8"/>
    <n v="19.2"/>
    <b v="0"/>
    <n v="6"/>
    <n v="2"/>
    <x v="1"/>
    <n v="30.286458333333329"/>
  </r>
  <r>
    <s v="ORD818"/>
    <x v="0"/>
    <x v="31"/>
    <d v="2025-01-01T00:00:00"/>
    <d v="1899-12-30T19:30:00"/>
    <d v="2025-01-01T00:00:00"/>
    <d v="1899-12-30T20:00:00"/>
    <x v="3"/>
    <x v="1"/>
    <x v="9"/>
    <x v="1"/>
    <x v="10"/>
    <x v="0"/>
    <s v="UPI"/>
    <b v="1"/>
    <b v="0"/>
    <n v="5.4545454545454541"/>
    <n v="0.72727272727272729"/>
    <s v="January"/>
    <s v="Online"/>
    <n v="13.2"/>
    <n v="16.8"/>
    <b v="0"/>
    <n v="12"/>
    <n v="2"/>
    <x v="3"/>
    <n v="30.259433962264151"/>
  </r>
  <r>
    <s v="ORD819"/>
    <x v="3"/>
    <x v="8"/>
    <d v="2025-01-02T00:00:00"/>
    <d v="1899-12-30T20:45:00"/>
    <d v="2025-01-02T00:00:00"/>
    <d v="1899-12-30T21:15:00"/>
    <x v="3"/>
    <x v="0"/>
    <x v="0"/>
    <x v="2"/>
    <x v="6"/>
    <x v="2"/>
    <s v="Wallet"/>
    <b v="1"/>
    <b v="0"/>
    <n v="7.5"/>
    <n v="0.5"/>
    <s v="January"/>
    <s v="Online"/>
    <n v="9.6"/>
    <n v="20.399999999999999"/>
    <b v="0"/>
    <n v="4"/>
    <n v="1"/>
    <x v="1"/>
    <n v="29.948453608247419"/>
  </r>
  <r>
    <s v="ORD820"/>
    <x v="1"/>
    <x v="38"/>
    <d v="2025-01-03T00:00:00"/>
    <d v="1899-12-30T18:00:00"/>
    <d v="2025-01-03T00:00:00"/>
    <d v="1899-12-30T18:30:00"/>
    <x v="3"/>
    <x v="0"/>
    <x v="10"/>
    <x v="0"/>
    <x v="1"/>
    <x v="0"/>
    <s v="Card"/>
    <b v="1"/>
    <b v="1"/>
    <n v="6"/>
    <n v="0.6"/>
    <s v="January"/>
    <s v="Online"/>
    <n v="12"/>
    <n v="18"/>
    <b v="0"/>
    <n v="6"/>
    <n v="2"/>
    <x v="0"/>
    <n v="28.186274509803919"/>
  </r>
  <r>
    <s v="ORD821"/>
    <x v="2"/>
    <x v="29"/>
    <d v="2025-01-04T00:00:00"/>
    <d v="1899-12-30T19:15:00"/>
    <d v="2025-01-04T00:00:00"/>
    <d v="1899-12-30T19:45:00"/>
    <x v="3"/>
    <x v="3"/>
    <x v="3"/>
    <x v="3"/>
    <x v="7"/>
    <x v="1"/>
    <s v="UPI"/>
    <b v="1"/>
    <b v="1"/>
    <n v="5"/>
    <n v="0.83333333333333337"/>
    <s v="January"/>
    <s v="Online"/>
    <n v="14.4"/>
    <n v="15.6"/>
    <b v="0"/>
    <n v="20"/>
    <n v="3"/>
    <x v="3"/>
    <n v="28.844221105527641"/>
  </r>
  <r>
    <s v="ORD822"/>
    <x v="4"/>
    <x v="30"/>
    <d v="2025-01-05T00:00:00"/>
    <d v="1899-12-30T20:30:00"/>
    <d v="2025-01-05T00:00:00"/>
    <d v="1899-12-30T21:00:00"/>
    <x v="3"/>
    <x v="0"/>
    <x v="11"/>
    <x v="0"/>
    <x v="3"/>
    <x v="0"/>
    <s v="Cash"/>
    <b v="1"/>
    <b v="0"/>
    <n v="6.666666666666667"/>
    <n v="0.66666666666666663"/>
    <s v="January"/>
    <s v="Offline"/>
    <n v="10.8"/>
    <n v="19.2"/>
    <b v="0"/>
    <n v="6"/>
    <n v="2"/>
    <x v="1"/>
    <n v="30.286458333333329"/>
  </r>
  <r>
    <s v="ORD823"/>
    <x v="0"/>
    <x v="31"/>
    <d v="2025-01-06T00:00:00"/>
    <d v="1899-12-30T19:00:00"/>
    <d v="2025-01-06T00:00:00"/>
    <d v="1899-12-30T19:30:00"/>
    <x v="3"/>
    <x v="1"/>
    <x v="9"/>
    <x v="1"/>
    <x v="10"/>
    <x v="0"/>
    <s v="UPI"/>
    <b v="1"/>
    <b v="0"/>
    <n v="5.4545454545454541"/>
    <n v="0.72727272727272729"/>
    <s v="January"/>
    <s v="Online"/>
    <n v="13.2"/>
    <n v="16.8"/>
    <b v="0"/>
    <n v="12"/>
    <n v="2"/>
    <x v="3"/>
    <n v="30.259433962264151"/>
  </r>
  <r>
    <s v="ORD824"/>
    <x v="3"/>
    <x v="8"/>
    <d v="2025-01-07T00:00:00"/>
    <d v="1899-12-30T20:15:00"/>
    <d v="2025-01-07T00:00:00"/>
    <d v="1899-12-30T20:45:00"/>
    <x v="3"/>
    <x v="0"/>
    <x v="0"/>
    <x v="2"/>
    <x v="6"/>
    <x v="2"/>
    <s v="Wallet"/>
    <b v="1"/>
    <b v="0"/>
    <n v="7.5"/>
    <n v="0.5"/>
    <s v="January"/>
    <s v="Online"/>
    <n v="9.6"/>
    <n v="20.399999999999999"/>
    <b v="0"/>
    <n v="4"/>
    <n v="1"/>
    <x v="1"/>
    <n v="29.948453608247419"/>
  </r>
  <r>
    <s v="ORD825"/>
    <x v="1"/>
    <x v="38"/>
    <d v="2025-01-08T00:00:00"/>
    <d v="1899-12-30T18:30:00"/>
    <d v="2025-01-08T00:00:00"/>
    <d v="1899-12-30T19:00:00"/>
    <x v="3"/>
    <x v="0"/>
    <x v="10"/>
    <x v="0"/>
    <x v="1"/>
    <x v="0"/>
    <s v="Card"/>
    <b v="1"/>
    <b v="0"/>
    <n v="6"/>
    <n v="0.6"/>
    <s v="January"/>
    <s v="Online"/>
    <n v="12"/>
    <n v="18"/>
    <b v="0"/>
    <n v="6"/>
    <n v="2"/>
    <x v="0"/>
    <n v="28.186274509803919"/>
  </r>
  <r>
    <s v="ORD826"/>
    <x v="2"/>
    <x v="29"/>
    <d v="2025-01-09T00:00:00"/>
    <d v="1899-12-30T19:45:00"/>
    <d v="2025-01-09T00:00:00"/>
    <d v="1899-12-30T20:15:00"/>
    <x v="3"/>
    <x v="3"/>
    <x v="3"/>
    <x v="3"/>
    <x v="7"/>
    <x v="1"/>
    <s v="UPI"/>
    <b v="1"/>
    <b v="0"/>
    <n v="5"/>
    <n v="0.83333333333333337"/>
    <s v="January"/>
    <s v="Online"/>
    <n v="14.4"/>
    <n v="15.6"/>
    <b v="0"/>
    <n v="20"/>
    <n v="3"/>
    <x v="3"/>
    <n v="28.844221105527641"/>
  </r>
  <r>
    <s v="ORD827"/>
    <x v="4"/>
    <x v="30"/>
    <d v="2025-01-10T00:00:00"/>
    <d v="1899-12-30T20:00:00"/>
    <d v="2025-01-10T00:00:00"/>
    <d v="1899-12-30T20:30:00"/>
    <x v="3"/>
    <x v="0"/>
    <x v="11"/>
    <x v="0"/>
    <x v="3"/>
    <x v="0"/>
    <s v="Cash"/>
    <b v="1"/>
    <b v="1"/>
    <n v="6.666666666666667"/>
    <n v="0.66666666666666663"/>
    <s v="January"/>
    <s v="Offline"/>
    <n v="10.8"/>
    <n v="19.2"/>
    <b v="0"/>
    <n v="6"/>
    <n v="2"/>
    <x v="1"/>
    <n v="30.286458333333329"/>
  </r>
  <r>
    <s v="ORD828"/>
    <x v="0"/>
    <x v="31"/>
    <d v="2025-01-11T00:00:00"/>
    <d v="1899-12-30T19:15:00"/>
    <d v="2025-01-11T00:00:00"/>
    <d v="1899-12-30T19:45:00"/>
    <x v="3"/>
    <x v="1"/>
    <x v="9"/>
    <x v="1"/>
    <x v="10"/>
    <x v="0"/>
    <s v="UPI"/>
    <b v="1"/>
    <b v="1"/>
    <n v="5.4545454545454541"/>
    <n v="0.72727272727272729"/>
    <s v="January"/>
    <s v="Online"/>
    <n v="13.2"/>
    <n v="16.8"/>
    <b v="0"/>
    <n v="12"/>
    <n v="2"/>
    <x v="3"/>
    <n v="30.259433962264151"/>
  </r>
  <r>
    <s v="ORD829"/>
    <x v="3"/>
    <x v="8"/>
    <d v="2025-01-12T00:00:00"/>
    <d v="1899-12-30T20:30:00"/>
    <d v="2025-01-12T00:00:00"/>
    <d v="1899-12-30T21:00:00"/>
    <x v="3"/>
    <x v="0"/>
    <x v="0"/>
    <x v="2"/>
    <x v="6"/>
    <x v="2"/>
    <s v="Wallet"/>
    <b v="1"/>
    <b v="0"/>
    <n v="7.5"/>
    <n v="0.5"/>
    <s v="January"/>
    <s v="Online"/>
    <n v="9.6"/>
    <n v="20.399999999999999"/>
    <b v="0"/>
    <n v="4"/>
    <n v="1"/>
    <x v="1"/>
    <n v="29.948453608247419"/>
  </r>
  <r>
    <s v="ORD830"/>
    <x v="1"/>
    <x v="38"/>
    <d v="2025-01-13T00:00:00"/>
    <d v="1899-12-30T18:45:00"/>
    <d v="2025-01-13T00:00:00"/>
    <d v="1899-12-30T19:15:00"/>
    <x v="3"/>
    <x v="0"/>
    <x v="10"/>
    <x v="0"/>
    <x v="1"/>
    <x v="0"/>
    <s v="Card"/>
    <b v="1"/>
    <b v="0"/>
    <n v="6"/>
    <n v="0.6"/>
    <s v="January"/>
    <s v="Online"/>
    <n v="12"/>
    <n v="18"/>
    <b v="0"/>
    <n v="6"/>
    <n v="2"/>
    <x v="0"/>
    <n v="28.186274509803919"/>
  </r>
  <r>
    <s v="ORD831"/>
    <x v="2"/>
    <x v="29"/>
    <d v="2025-01-14T00:00:00"/>
    <d v="1899-12-30T19:00:00"/>
    <d v="2025-01-14T00:00:00"/>
    <d v="1899-12-30T19:30:00"/>
    <x v="3"/>
    <x v="3"/>
    <x v="3"/>
    <x v="3"/>
    <x v="7"/>
    <x v="1"/>
    <s v="UPI"/>
    <b v="1"/>
    <b v="0"/>
    <n v="5"/>
    <n v="0.83333333333333337"/>
    <s v="January"/>
    <s v="Online"/>
    <n v="14.4"/>
    <n v="15.6"/>
    <b v="0"/>
    <n v="20"/>
    <n v="3"/>
    <x v="3"/>
    <n v="28.844221105527641"/>
  </r>
  <r>
    <s v="ORD832"/>
    <x v="4"/>
    <x v="30"/>
    <d v="2025-01-15T00:00:00"/>
    <d v="1899-12-30T20:15:00"/>
    <d v="2025-01-15T00:00:00"/>
    <d v="1899-12-30T20:45:00"/>
    <x v="3"/>
    <x v="0"/>
    <x v="11"/>
    <x v="0"/>
    <x v="3"/>
    <x v="0"/>
    <s v="Cash"/>
    <b v="1"/>
    <b v="0"/>
    <n v="6.666666666666667"/>
    <n v="0.66666666666666663"/>
    <s v="January"/>
    <s v="Offline"/>
    <n v="10.8"/>
    <n v="19.2"/>
    <b v="0"/>
    <n v="6"/>
    <n v="2"/>
    <x v="1"/>
    <n v="30.286458333333329"/>
  </r>
  <r>
    <s v="ORD833"/>
    <x v="0"/>
    <x v="31"/>
    <d v="2025-01-16T00:00:00"/>
    <d v="1899-12-30T19:30:00"/>
    <d v="2025-01-16T00:00:00"/>
    <d v="1899-12-30T20:00:00"/>
    <x v="3"/>
    <x v="1"/>
    <x v="9"/>
    <x v="1"/>
    <x v="10"/>
    <x v="0"/>
    <s v="UPI"/>
    <b v="1"/>
    <b v="0"/>
    <n v="5.4545454545454541"/>
    <n v="0.72727272727272729"/>
    <s v="January"/>
    <s v="Online"/>
    <n v="13.2"/>
    <n v="16.8"/>
    <b v="0"/>
    <n v="12"/>
    <n v="2"/>
    <x v="3"/>
    <n v="30.259433962264151"/>
  </r>
  <r>
    <s v="ORD834"/>
    <x v="3"/>
    <x v="8"/>
    <d v="2025-01-17T00:00:00"/>
    <d v="1899-12-30T20:45:00"/>
    <d v="2025-01-17T00:00:00"/>
    <d v="1899-12-30T21:15:00"/>
    <x v="3"/>
    <x v="0"/>
    <x v="0"/>
    <x v="2"/>
    <x v="6"/>
    <x v="2"/>
    <s v="Wallet"/>
    <b v="1"/>
    <b v="1"/>
    <n v="7.5"/>
    <n v="0.5"/>
    <s v="January"/>
    <s v="Online"/>
    <n v="9.6"/>
    <n v="20.399999999999999"/>
    <b v="0"/>
    <n v="4"/>
    <n v="1"/>
    <x v="1"/>
    <n v="29.948453608247419"/>
  </r>
  <r>
    <s v="ORD835"/>
    <x v="1"/>
    <x v="38"/>
    <d v="2025-01-18T00:00:00"/>
    <d v="1899-12-30T18:00:00"/>
    <d v="2025-01-18T00:00:00"/>
    <d v="1899-12-30T18:30:00"/>
    <x v="3"/>
    <x v="0"/>
    <x v="10"/>
    <x v="0"/>
    <x v="1"/>
    <x v="0"/>
    <s v="Card"/>
    <b v="1"/>
    <b v="1"/>
    <n v="6"/>
    <n v="0.6"/>
    <s v="January"/>
    <s v="Online"/>
    <n v="12"/>
    <n v="18"/>
    <b v="0"/>
    <n v="6"/>
    <n v="2"/>
    <x v="0"/>
    <n v="28.186274509803919"/>
  </r>
  <r>
    <s v="ORD836"/>
    <x v="2"/>
    <x v="29"/>
    <d v="2025-01-19T00:00:00"/>
    <d v="1899-12-30T19:15:00"/>
    <d v="2025-01-19T00:00:00"/>
    <d v="1899-12-30T19:45:00"/>
    <x v="3"/>
    <x v="3"/>
    <x v="3"/>
    <x v="3"/>
    <x v="7"/>
    <x v="1"/>
    <s v="UPI"/>
    <b v="1"/>
    <b v="0"/>
    <n v="5"/>
    <n v="0.83333333333333337"/>
    <s v="January"/>
    <s v="Online"/>
    <n v="14.4"/>
    <n v="15.6"/>
    <b v="0"/>
    <n v="20"/>
    <n v="3"/>
    <x v="3"/>
    <n v="28.844221105527641"/>
  </r>
  <r>
    <s v="ORD837"/>
    <x v="4"/>
    <x v="30"/>
    <d v="2025-01-20T00:00:00"/>
    <d v="1899-12-30T20:30:00"/>
    <d v="2025-01-20T00:00:00"/>
    <d v="1899-12-30T21:00:00"/>
    <x v="3"/>
    <x v="0"/>
    <x v="11"/>
    <x v="0"/>
    <x v="3"/>
    <x v="0"/>
    <s v="Cash"/>
    <b v="1"/>
    <b v="0"/>
    <n v="6.666666666666667"/>
    <n v="0.66666666666666663"/>
    <s v="January"/>
    <s v="Offline"/>
    <n v="10.8"/>
    <n v="19.2"/>
    <b v="0"/>
    <n v="6"/>
    <n v="2"/>
    <x v="1"/>
    <n v="30.286458333333329"/>
  </r>
  <r>
    <s v="ORD838"/>
    <x v="1"/>
    <x v="38"/>
    <d v="2025-01-21T00:00:00"/>
    <d v="1899-12-30T18:00:00"/>
    <d v="2025-01-21T00:00:00"/>
    <d v="1899-12-30T18:30:00"/>
    <x v="3"/>
    <x v="0"/>
    <x v="10"/>
    <x v="0"/>
    <x v="1"/>
    <x v="0"/>
    <s v="UPI"/>
    <b v="1"/>
    <b v="0"/>
    <n v="6"/>
    <n v="0.6"/>
    <s v="January"/>
    <s v="Online"/>
    <n v="12"/>
    <n v="18"/>
    <b v="0"/>
    <n v="6"/>
    <n v="2"/>
    <x v="0"/>
    <n v="28.186274509803919"/>
  </r>
  <r>
    <s v="ORD839"/>
    <x v="2"/>
    <x v="29"/>
    <d v="2025-01-22T00:00:00"/>
    <d v="1899-12-30T19:15:00"/>
    <d v="2025-01-22T00:00:00"/>
    <d v="1899-12-30T19:45:00"/>
    <x v="3"/>
    <x v="3"/>
    <x v="3"/>
    <x v="3"/>
    <x v="7"/>
    <x v="1"/>
    <s v="Card"/>
    <b v="1"/>
    <b v="0"/>
    <n v="5"/>
    <n v="0.83333333333333337"/>
    <s v="January"/>
    <s v="Online"/>
    <n v="14.4"/>
    <n v="15.6"/>
    <b v="0"/>
    <n v="20"/>
    <n v="3"/>
    <x v="3"/>
    <n v="28.844221105527641"/>
  </r>
  <r>
    <s v="ORD840"/>
    <x v="4"/>
    <x v="30"/>
    <d v="2025-01-23T00:00:00"/>
    <d v="1899-12-30T20:30:00"/>
    <d v="2025-01-23T00:00:00"/>
    <d v="1899-12-30T21:00:00"/>
    <x v="3"/>
    <x v="0"/>
    <x v="11"/>
    <x v="0"/>
    <x v="3"/>
    <x v="0"/>
    <s v="Cash"/>
    <b v="1"/>
    <b v="0"/>
    <n v="6.666666666666667"/>
    <n v="0.66666666666666663"/>
    <s v="January"/>
    <s v="Offline"/>
    <n v="10.8"/>
    <n v="19.2"/>
    <b v="0"/>
    <n v="6"/>
    <n v="2"/>
    <x v="1"/>
    <n v="30.286458333333329"/>
  </r>
  <r>
    <s v="ORD841"/>
    <x v="0"/>
    <x v="31"/>
    <d v="2025-01-24T00:00:00"/>
    <d v="1899-12-30T19:00:00"/>
    <d v="2025-01-24T00:00:00"/>
    <d v="1899-12-30T19:30:00"/>
    <x v="3"/>
    <x v="1"/>
    <x v="9"/>
    <x v="1"/>
    <x v="10"/>
    <x v="0"/>
    <s v="UPI"/>
    <b v="1"/>
    <b v="1"/>
    <n v="5.4545454545454541"/>
    <n v="0.72727272727272729"/>
    <s v="January"/>
    <s v="Online"/>
    <n v="13.2"/>
    <n v="16.8"/>
    <b v="0"/>
    <n v="12"/>
    <n v="2"/>
    <x v="3"/>
    <n v="30.259433962264151"/>
  </r>
  <r>
    <s v="ORD842"/>
    <x v="3"/>
    <x v="8"/>
    <d v="2025-01-25T00:00:00"/>
    <d v="1899-12-30T20:15:00"/>
    <d v="2025-01-25T00:00:00"/>
    <d v="1899-12-30T20:45:00"/>
    <x v="3"/>
    <x v="0"/>
    <x v="0"/>
    <x v="2"/>
    <x v="6"/>
    <x v="2"/>
    <s v="Wallet"/>
    <b v="1"/>
    <b v="1"/>
    <n v="7.5"/>
    <n v="0.5"/>
    <s v="January"/>
    <s v="Online"/>
    <n v="9.6"/>
    <n v="20.399999999999999"/>
    <b v="0"/>
    <n v="4"/>
    <n v="1"/>
    <x v="1"/>
    <n v="29.948453608247419"/>
  </r>
  <r>
    <s v="ORD843"/>
    <x v="1"/>
    <x v="38"/>
    <d v="2025-01-26T00:00:00"/>
    <d v="1899-12-30T18:30:00"/>
    <d v="2025-01-26T00:00:00"/>
    <d v="1899-12-30T19:00:00"/>
    <x v="3"/>
    <x v="0"/>
    <x v="10"/>
    <x v="0"/>
    <x v="1"/>
    <x v="0"/>
    <s v="Card"/>
    <b v="1"/>
    <b v="0"/>
    <n v="6"/>
    <n v="0.6"/>
    <s v="January"/>
    <s v="Online"/>
    <n v="12"/>
    <n v="18"/>
    <b v="0"/>
    <n v="6"/>
    <n v="2"/>
    <x v="0"/>
    <n v="28.186274509803919"/>
  </r>
  <r>
    <s v="ORD844"/>
    <x v="2"/>
    <x v="29"/>
    <d v="2025-01-27T00:00:00"/>
    <d v="1899-12-30T19:45:00"/>
    <d v="2025-01-27T00:00:00"/>
    <d v="1899-12-30T20:15:00"/>
    <x v="3"/>
    <x v="3"/>
    <x v="3"/>
    <x v="3"/>
    <x v="7"/>
    <x v="1"/>
    <s v="UPI"/>
    <b v="1"/>
    <b v="0"/>
    <n v="5"/>
    <n v="0.83333333333333337"/>
    <s v="January"/>
    <s v="Online"/>
    <n v="14.4"/>
    <n v="15.6"/>
    <b v="0"/>
    <n v="20"/>
    <n v="3"/>
    <x v="3"/>
    <n v="28.844221105527641"/>
  </r>
  <r>
    <s v="ORD845"/>
    <x v="4"/>
    <x v="30"/>
    <d v="2025-01-28T00:00:00"/>
    <d v="1899-12-30T20:00:00"/>
    <d v="2025-01-28T00:00:00"/>
    <d v="1899-12-30T20:30:00"/>
    <x v="3"/>
    <x v="0"/>
    <x v="11"/>
    <x v="0"/>
    <x v="3"/>
    <x v="0"/>
    <s v="Cash"/>
    <b v="1"/>
    <b v="0"/>
    <n v="6.666666666666667"/>
    <n v="0.66666666666666663"/>
    <s v="January"/>
    <s v="Offline"/>
    <n v="10.8"/>
    <n v="19.2"/>
    <b v="0"/>
    <n v="6"/>
    <n v="2"/>
    <x v="1"/>
    <n v="30.286458333333329"/>
  </r>
  <r>
    <s v="ORD846"/>
    <x v="0"/>
    <x v="31"/>
    <d v="2025-01-29T00:00:00"/>
    <d v="1899-12-30T19:15:00"/>
    <d v="2025-01-29T00:00:00"/>
    <d v="1899-12-30T19:45:00"/>
    <x v="3"/>
    <x v="1"/>
    <x v="9"/>
    <x v="1"/>
    <x v="10"/>
    <x v="0"/>
    <s v="UPI"/>
    <b v="1"/>
    <b v="0"/>
    <n v="5.4545454545454541"/>
    <n v="0.72727272727272729"/>
    <s v="January"/>
    <s v="Online"/>
    <n v="13.2"/>
    <n v="16.8"/>
    <b v="0"/>
    <n v="12"/>
    <n v="2"/>
    <x v="3"/>
    <n v="30.259433962264151"/>
  </r>
  <r>
    <s v="ORD847"/>
    <x v="3"/>
    <x v="8"/>
    <d v="2025-01-30T00:00:00"/>
    <d v="1899-12-30T20:30:00"/>
    <d v="2025-01-30T00:00:00"/>
    <d v="1899-12-30T21:00:00"/>
    <x v="3"/>
    <x v="0"/>
    <x v="0"/>
    <x v="2"/>
    <x v="6"/>
    <x v="2"/>
    <s v="Wallet"/>
    <b v="1"/>
    <b v="0"/>
    <n v="7.5"/>
    <n v="0.5"/>
    <s v="January"/>
    <s v="Online"/>
    <n v="9.6"/>
    <n v="20.399999999999999"/>
    <b v="0"/>
    <n v="4"/>
    <n v="1"/>
    <x v="1"/>
    <n v="29.948453608247419"/>
  </r>
  <r>
    <s v="ORD848"/>
    <x v="1"/>
    <x v="38"/>
    <d v="2025-01-31T00:00:00"/>
    <d v="1899-12-30T18:45:00"/>
    <d v="2025-01-31T00:00:00"/>
    <d v="1899-12-30T19:15:00"/>
    <x v="3"/>
    <x v="0"/>
    <x v="10"/>
    <x v="0"/>
    <x v="1"/>
    <x v="0"/>
    <s v="Card"/>
    <b v="1"/>
    <b v="1"/>
    <n v="6"/>
    <n v="0.6"/>
    <s v="January"/>
    <s v="Online"/>
    <n v="12"/>
    <n v="18"/>
    <b v="0"/>
    <n v="6"/>
    <n v="2"/>
    <x v="0"/>
    <n v="28.186274509803919"/>
  </r>
  <r>
    <s v="ORD849"/>
    <x v="2"/>
    <x v="29"/>
    <d v="2025-02-01T00:00:00"/>
    <d v="1899-12-30T19:00:00"/>
    <d v="2025-02-01T00:00:00"/>
    <d v="1899-12-30T19:30:00"/>
    <x v="3"/>
    <x v="3"/>
    <x v="3"/>
    <x v="3"/>
    <x v="7"/>
    <x v="1"/>
    <s v="UPI"/>
    <b v="1"/>
    <b v="1"/>
    <n v="5"/>
    <n v="0.83333333333333337"/>
    <s v="February"/>
    <s v="Online"/>
    <n v="14.4"/>
    <n v="15.6"/>
    <b v="0"/>
    <n v="20"/>
    <n v="3"/>
    <x v="3"/>
    <n v="28.844221105527641"/>
  </r>
  <r>
    <s v="ORD850"/>
    <x v="4"/>
    <x v="30"/>
    <d v="2025-02-02T00:00:00"/>
    <d v="1899-12-30T20:15:00"/>
    <d v="2025-02-02T00:00:00"/>
    <d v="1899-12-30T20:45:00"/>
    <x v="3"/>
    <x v="0"/>
    <x v="11"/>
    <x v="0"/>
    <x v="3"/>
    <x v="0"/>
    <s v="Cash"/>
    <b v="1"/>
    <b v="0"/>
    <n v="6.666666666666667"/>
    <n v="0.66666666666666663"/>
    <s v="February"/>
    <s v="Offline"/>
    <n v="10.8"/>
    <n v="19.2"/>
    <b v="0"/>
    <n v="6"/>
    <n v="2"/>
    <x v="1"/>
    <n v="30.286458333333329"/>
  </r>
  <r>
    <s v="ORD851"/>
    <x v="0"/>
    <x v="31"/>
    <d v="2025-02-03T00:00:00"/>
    <d v="1899-12-30T19:30:00"/>
    <d v="2025-02-03T00:00:00"/>
    <d v="1899-12-30T20:00:00"/>
    <x v="3"/>
    <x v="1"/>
    <x v="9"/>
    <x v="1"/>
    <x v="10"/>
    <x v="0"/>
    <s v="UPI"/>
    <b v="1"/>
    <b v="0"/>
    <n v="5.4545454545454541"/>
    <n v="0.72727272727272729"/>
    <s v="February"/>
    <s v="Online"/>
    <n v="13.2"/>
    <n v="16.8"/>
    <b v="0"/>
    <n v="12"/>
    <n v="2"/>
    <x v="3"/>
    <n v="30.259433962264151"/>
  </r>
  <r>
    <s v="ORD852"/>
    <x v="3"/>
    <x v="8"/>
    <d v="2025-02-04T00:00:00"/>
    <d v="1899-12-30T20:45:00"/>
    <d v="2025-02-04T00:00:00"/>
    <d v="1899-12-30T21:15:00"/>
    <x v="3"/>
    <x v="0"/>
    <x v="0"/>
    <x v="2"/>
    <x v="6"/>
    <x v="2"/>
    <s v="Wallet"/>
    <b v="1"/>
    <b v="0"/>
    <n v="7.5"/>
    <n v="0.5"/>
    <s v="February"/>
    <s v="Online"/>
    <n v="9.6"/>
    <n v="20.399999999999999"/>
    <b v="0"/>
    <n v="4"/>
    <n v="1"/>
    <x v="1"/>
    <n v="29.948453608247419"/>
  </r>
  <r>
    <s v="ORD853"/>
    <x v="1"/>
    <x v="38"/>
    <d v="2025-02-05T00:00:00"/>
    <d v="1899-12-30T18:00:00"/>
    <d v="2025-02-05T00:00:00"/>
    <d v="1899-12-30T18:30:00"/>
    <x v="3"/>
    <x v="0"/>
    <x v="10"/>
    <x v="0"/>
    <x v="1"/>
    <x v="0"/>
    <s v="Card"/>
    <b v="1"/>
    <b v="0"/>
    <n v="6"/>
    <n v="0.6"/>
    <s v="February"/>
    <s v="Online"/>
    <n v="12"/>
    <n v="18"/>
    <b v="0"/>
    <n v="6"/>
    <n v="2"/>
    <x v="0"/>
    <n v="28.186274509803919"/>
  </r>
  <r>
    <s v="ORD854"/>
    <x v="2"/>
    <x v="29"/>
    <d v="2025-02-06T00:00:00"/>
    <d v="1899-12-30T19:15:00"/>
    <d v="2025-02-06T00:00:00"/>
    <d v="1899-12-30T19:45:00"/>
    <x v="3"/>
    <x v="3"/>
    <x v="3"/>
    <x v="3"/>
    <x v="7"/>
    <x v="1"/>
    <s v="UPI"/>
    <b v="1"/>
    <b v="0"/>
    <n v="5"/>
    <n v="0.83333333333333337"/>
    <s v="February"/>
    <s v="Online"/>
    <n v="14.4"/>
    <n v="15.6"/>
    <b v="0"/>
    <n v="20"/>
    <n v="3"/>
    <x v="3"/>
    <n v="28.844221105527641"/>
  </r>
  <r>
    <s v="ORD855"/>
    <x v="4"/>
    <x v="30"/>
    <d v="2025-02-07T00:00:00"/>
    <d v="1899-12-30T20:30:00"/>
    <d v="2025-02-07T00:00:00"/>
    <d v="1899-12-30T21:00:00"/>
    <x v="3"/>
    <x v="0"/>
    <x v="11"/>
    <x v="0"/>
    <x v="3"/>
    <x v="0"/>
    <s v="Cash"/>
    <b v="1"/>
    <b v="1"/>
    <n v="6.666666666666667"/>
    <n v="0.66666666666666663"/>
    <s v="February"/>
    <s v="Offline"/>
    <n v="10.8"/>
    <n v="19.2"/>
    <b v="0"/>
    <n v="6"/>
    <n v="2"/>
    <x v="1"/>
    <n v="30.286458333333329"/>
  </r>
  <r>
    <s v="ORD856"/>
    <x v="0"/>
    <x v="31"/>
    <d v="2025-02-08T00:00:00"/>
    <d v="1899-12-30T19:00:00"/>
    <d v="2025-02-08T00:00:00"/>
    <d v="1899-12-30T19:30:00"/>
    <x v="3"/>
    <x v="1"/>
    <x v="9"/>
    <x v="1"/>
    <x v="10"/>
    <x v="0"/>
    <s v="UPI"/>
    <b v="1"/>
    <b v="1"/>
    <n v="5.4545454545454541"/>
    <n v="0.72727272727272729"/>
    <s v="February"/>
    <s v="Online"/>
    <n v="13.2"/>
    <n v="16.8"/>
    <b v="0"/>
    <n v="12"/>
    <n v="2"/>
    <x v="3"/>
    <n v="30.259433962264151"/>
  </r>
  <r>
    <s v="ORD857"/>
    <x v="3"/>
    <x v="8"/>
    <d v="2025-02-09T00:00:00"/>
    <d v="1899-12-30T20:15:00"/>
    <d v="2025-02-09T00:00:00"/>
    <d v="1899-12-30T20:45:00"/>
    <x v="3"/>
    <x v="0"/>
    <x v="0"/>
    <x v="2"/>
    <x v="6"/>
    <x v="2"/>
    <s v="Wallet"/>
    <b v="1"/>
    <b v="0"/>
    <n v="7.5"/>
    <n v="0.5"/>
    <s v="February"/>
    <s v="Online"/>
    <n v="9.6"/>
    <n v="20.399999999999999"/>
    <b v="0"/>
    <n v="4"/>
    <n v="1"/>
    <x v="1"/>
    <n v="29.948453608247419"/>
  </r>
  <r>
    <s v="ORD858"/>
    <x v="1"/>
    <x v="38"/>
    <d v="2025-02-10T00:00:00"/>
    <d v="1899-12-30T18:30:00"/>
    <d v="2025-02-10T00:00:00"/>
    <d v="1899-12-30T19:00:00"/>
    <x v="3"/>
    <x v="0"/>
    <x v="10"/>
    <x v="0"/>
    <x v="1"/>
    <x v="0"/>
    <s v="Card"/>
    <b v="1"/>
    <b v="0"/>
    <n v="6"/>
    <n v="0.6"/>
    <s v="February"/>
    <s v="Online"/>
    <n v="12"/>
    <n v="18"/>
    <b v="0"/>
    <n v="6"/>
    <n v="2"/>
    <x v="0"/>
    <n v="28.186274509803919"/>
  </r>
  <r>
    <s v="ORD859"/>
    <x v="2"/>
    <x v="29"/>
    <d v="2025-02-11T00:00:00"/>
    <d v="1899-12-30T19:45:00"/>
    <d v="2025-02-11T00:00:00"/>
    <d v="1899-12-30T20:15:00"/>
    <x v="3"/>
    <x v="3"/>
    <x v="3"/>
    <x v="3"/>
    <x v="7"/>
    <x v="1"/>
    <s v="UPI"/>
    <b v="1"/>
    <b v="0"/>
    <n v="5"/>
    <n v="0.83333333333333337"/>
    <s v="February"/>
    <s v="Online"/>
    <n v="14.4"/>
    <n v="15.6"/>
    <b v="0"/>
    <n v="20"/>
    <n v="3"/>
    <x v="3"/>
    <n v="28.844221105527641"/>
  </r>
  <r>
    <s v="ORD860"/>
    <x v="4"/>
    <x v="30"/>
    <d v="2025-02-12T00:00:00"/>
    <d v="1899-12-30T20:00:00"/>
    <d v="2025-02-12T00:00:00"/>
    <d v="1899-12-30T20:30:00"/>
    <x v="3"/>
    <x v="0"/>
    <x v="11"/>
    <x v="0"/>
    <x v="3"/>
    <x v="0"/>
    <s v="Cash"/>
    <b v="1"/>
    <b v="0"/>
    <n v="6.666666666666667"/>
    <n v="0.66666666666666663"/>
    <s v="February"/>
    <s v="Offline"/>
    <n v="10.8"/>
    <n v="19.2"/>
    <b v="0"/>
    <n v="6"/>
    <n v="2"/>
    <x v="1"/>
    <n v="30.286458333333329"/>
  </r>
  <r>
    <s v="ORD861"/>
    <x v="0"/>
    <x v="31"/>
    <d v="2025-02-13T00:00:00"/>
    <d v="1899-12-30T19:15:00"/>
    <d v="2025-02-13T00:00:00"/>
    <d v="1899-12-30T19:45:00"/>
    <x v="3"/>
    <x v="1"/>
    <x v="9"/>
    <x v="1"/>
    <x v="10"/>
    <x v="0"/>
    <s v="UPI"/>
    <b v="1"/>
    <b v="0"/>
    <n v="5.4545454545454541"/>
    <n v="0.72727272727272729"/>
    <s v="February"/>
    <s v="Online"/>
    <n v="13.2"/>
    <n v="16.8"/>
    <b v="0"/>
    <n v="12"/>
    <n v="2"/>
    <x v="3"/>
    <n v="30.259433962264151"/>
  </r>
  <r>
    <s v="ORD862"/>
    <x v="3"/>
    <x v="8"/>
    <d v="2025-02-14T00:00:00"/>
    <d v="1899-12-30T20:30:00"/>
    <d v="2025-02-14T00:00:00"/>
    <d v="1899-12-30T21:00:00"/>
    <x v="3"/>
    <x v="0"/>
    <x v="0"/>
    <x v="2"/>
    <x v="6"/>
    <x v="2"/>
    <s v="Wallet"/>
    <b v="1"/>
    <b v="1"/>
    <n v="7.5"/>
    <n v="0.5"/>
    <s v="February"/>
    <s v="Online"/>
    <n v="9.6"/>
    <n v="20.399999999999999"/>
    <b v="0"/>
    <n v="4"/>
    <n v="1"/>
    <x v="1"/>
    <n v="29.948453608247419"/>
  </r>
  <r>
    <s v="ORD863"/>
    <x v="1"/>
    <x v="38"/>
    <d v="2025-02-15T00:00:00"/>
    <d v="1899-12-30T18:45:00"/>
    <d v="2025-02-15T00:00:00"/>
    <d v="1899-12-30T19:15:00"/>
    <x v="3"/>
    <x v="0"/>
    <x v="10"/>
    <x v="0"/>
    <x v="1"/>
    <x v="0"/>
    <s v="Card"/>
    <b v="1"/>
    <b v="1"/>
    <n v="6"/>
    <n v="0.6"/>
    <s v="February"/>
    <s v="Online"/>
    <n v="12"/>
    <n v="18"/>
    <b v="0"/>
    <n v="6"/>
    <n v="2"/>
    <x v="0"/>
    <n v="28.186274509803919"/>
  </r>
  <r>
    <s v="ORD864"/>
    <x v="2"/>
    <x v="29"/>
    <d v="2025-02-16T00:00:00"/>
    <d v="1899-12-30T19:00:00"/>
    <d v="2025-02-16T00:00:00"/>
    <d v="1899-12-30T19:30:00"/>
    <x v="3"/>
    <x v="3"/>
    <x v="3"/>
    <x v="3"/>
    <x v="7"/>
    <x v="1"/>
    <s v="UPI"/>
    <b v="1"/>
    <b v="0"/>
    <n v="5"/>
    <n v="0.83333333333333337"/>
    <s v="February"/>
    <s v="Online"/>
    <n v="14.4"/>
    <n v="15.6"/>
    <b v="0"/>
    <n v="20"/>
    <n v="3"/>
    <x v="3"/>
    <n v="28.844221105527641"/>
  </r>
  <r>
    <s v="ORD865"/>
    <x v="4"/>
    <x v="30"/>
    <d v="2025-02-17T00:00:00"/>
    <d v="1899-12-30T20:15:00"/>
    <d v="2025-02-17T00:00:00"/>
    <d v="1899-12-30T20:45:00"/>
    <x v="3"/>
    <x v="0"/>
    <x v="11"/>
    <x v="0"/>
    <x v="3"/>
    <x v="0"/>
    <s v="Cash"/>
    <b v="1"/>
    <b v="0"/>
    <n v="6.666666666666667"/>
    <n v="0.66666666666666663"/>
    <s v="February"/>
    <s v="Offline"/>
    <n v="10.8"/>
    <n v="19.2"/>
    <b v="0"/>
    <n v="6"/>
    <n v="2"/>
    <x v="1"/>
    <n v="30.286458333333329"/>
  </r>
  <r>
    <s v="ORD866"/>
    <x v="1"/>
    <x v="38"/>
    <d v="2025-02-18T00:00:00"/>
    <d v="1899-12-30T18:30:00"/>
    <d v="2025-02-18T00:00:00"/>
    <d v="1899-12-30T19:00:00"/>
    <x v="3"/>
    <x v="0"/>
    <x v="10"/>
    <x v="0"/>
    <x v="1"/>
    <x v="0"/>
    <s v="UPI"/>
    <b v="1"/>
    <b v="0"/>
    <n v="6"/>
    <n v="0.6"/>
    <s v="February"/>
    <s v="Online"/>
    <n v="12"/>
    <n v="18"/>
    <b v="0"/>
    <n v="6"/>
    <n v="2"/>
    <x v="0"/>
    <n v="28.186274509803919"/>
  </r>
  <r>
    <s v="ORD867"/>
    <x v="2"/>
    <x v="29"/>
    <d v="2025-02-19T00:00:00"/>
    <d v="1899-12-30T19:45:00"/>
    <d v="2025-02-19T00:00:00"/>
    <d v="1899-12-30T20:15:00"/>
    <x v="3"/>
    <x v="3"/>
    <x v="3"/>
    <x v="3"/>
    <x v="7"/>
    <x v="1"/>
    <s v="Card"/>
    <b v="1"/>
    <b v="0"/>
    <n v="5"/>
    <n v="0.83333333333333337"/>
    <s v="February"/>
    <s v="Online"/>
    <n v="14.4"/>
    <n v="15.6"/>
    <b v="0"/>
    <n v="20"/>
    <n v="3"/>
    <x v="3"/>
    <n v="28.844221105527641"/>
  </r>
  <r>
    <s v="ORD868"/>
    <x v="4"/>
    <x v="30"/>
    <d v="2025-02-20T00:00:00"/>
    <d v="1899-12-30T20:00:00"/>
    <d v="2025-02-20T00:00:00"/>
    <d v="1899-12-30T20:30:00"/>
    <x v="3"/>
    <x v="0"/>
    <x v="11"/>
    <x v="0"/>
    <x v="3"/>
    <x v="0"/>
    <s v="Cash"/>
    <b v="1"/>
    <b v="0"/>
    <n v="6.666666666666667"/>
    <n v="0.66666666666666663"/>
    <s v="February"/>
    <s v="Offline"/>
    <n v="10.8"/>
    <n v="19.2"/>
    <b v="0"/>
    <n v="6"/>
    <n v="2"/>
    <x v="1"/>
    <n v="30.286458333333329"/>
  </r>
  <r>
    <s v="ORD869"/>
    <x v="0"/>
    <x v="31"/>
    <d v="2025-02-21T00:00:00"/>
    <d v="1899-12-30T19:15:00"/>
    <d v="2025-02-21T00:00:00"/>
    <d v="1899-12-30T19:45:00"/>
    <x v="3"/>
    <x v="1"/>
    <x v="9"/>
    <x v="1"/>
    <x v="10"/>
    <x v="0"/>
    <s v="UPI"/>
    <b v="1"/>
    <b v="1"/>
    <n v="5.4545454545454541"/>
    <n v="0.72727272727272729"/>
    <s v="February"/>
    <s v="Online"/>
    <n v="13.2"/>
    <n v="16.8"/>
    <b v="0"/>
    <n v="12"/>
    <n v="2"/>
    <x v="3"/>
    <n v="30.259433962264151"/>
  </r>
  <r>
    <s v="ORD870"/>
    <x v="3"/>
    <x v="8"/>
    <d v="2025-02-22T00:00:00"/>
    <d v="1899-12-30T20:30:00"/>
    <d v="2025-02-22T00:00:00"/>
    <d v="1899-12-30T21:00:00"/>
    <x v="3"/>
    <x v="0"/>
    <x v="0"/>
    <x v="2"/>
    <x v="6"/>
    <x v="2"/>
    <s v="Wallet"/>
    <b v="1"/>
    <b v="1"/>
    <n v="7.5"/>
    <n v="0.5"/>
    <s v="February"/>
    <s v="Online"/>
    <n v="9.6"/>
    <n v="20.399999999999999"/>
    <b v="0"/>
    <n v="4"/>
    <n v="1"/>
    <x v="1"/>
    <n v="29.948453608247419"/>
  </r>
  <r>
    <s v="ORD871"/>
    <x v="1"/>
    <x v="38"/>
    <d v="2025-02-23T00:00:00"/>
    <d v="1899-12-30T18:00:00"/>
    <d v="2025-02-23T00:00:00"/>
    <d v="1899-12-30T18:30:00"/>
    <x v="3"/>
    <x v="0"/>
    <x v="10"/>
    <x v="0"/>
    <x v="1"/>
    <x v="0"/>
    <s v="Card"/>
    <b v="1"/>
    <b v="0"/>
    <n v="6"/>
    <n v="0.6"/>
    <s v="February"/>
    <s v="Online"/>
    <n v="12"/>
    <n v="18"/>
    <b v="0"/>
    <n v="6"/>
    <n v="2"/>
    <x v="0"/>
    <n v="28.186274509803919"/>
  </r>
  <r>
    <s v="ORD872"/>
    <x v="2"/>
    <x v="29"/>
    <d v="2025-02-24T00:00:00"/>
    <d v="1899-12-30T19:15:00"/>
    <d v="2025-02-24T00:00:00"/>
    <d v="1899-12-30T19:45:00"/>
    <x v="3"/>
    <x v="3"/>
    <x v="3"/>
    <x v="3"/>
    <x v="7"/>
    <x v="1"/>
    <s v="UPI"/>
    <b v="1"/>
    <b v="0"/>
    <n v="5"/>
    <n v="0.83333333333333337"/>
    <s v="February"/>
    <s v="Online"/>
    <n v="14.4"/>
    <n v="15.6"/>
    <b v="0"/>
    <n v="20"/>
    <n v="3"/>
    <x v="3"/>
    <n v="28.844221105527641"/>
  </r>
  <r>
    <s v="ORD873"/>
    <x v="4"/>
    <x v="30"/>
    <d v="2025-02-25T00:00:00"/>
    <d v="1899-12-30T20:30:00"/>
    <d v="2025-02-25T00:00:00"/>
    <d v="1899-12-30T21:00:00"/>
    <x v="3"/>
    <x v="0"/>
    <x v="11"/>
    <x v="0"/>
    <x v="3"/>
    <x v="0"/>
    <s v="Cash"/>
    <b v="1"/>
    <b v="0"/>
    <n v="6.666666666666667"/>
    <n v="0.66666666666666663"/>
    <s v="February"/>
    <s v="Offline"/>
    <n v="10.8"/>
    <n v="19.2"/>
    <b v="0"/>
    <n v="6"/>
    <n v="2"/>
    <x v="1"/>
    <n v="30.286458333333329"/>
  </r>
  <r>
    <s v="ORD874"/>
    <x v="0"/>
    <x v="31"/>
    <d v="2025-02-26T00:00:00"/>
    <d v="1899-12-30T19:00:00"/>
    <d v="2025-02-26T00:00:00"/>
    <d v="1899-12-30T19:30:00"/>
    <x v="3"/>
    <x v="1"/>
    <x v="9"/>
    <x v="1"/>
    <x v="10"/>
    <x v="0"/>
    <s v="UPI"/>
    <b v="1"/>
    <b v="0"/>
    <n v="5.4545454545454541"/>
    <n v="0.72727272727272729"/>
    <s v="February"/>
    <s v="Online"/>
    <n v="13.2"/>
    <n v="16.8"/>
    <b v="0"/>
    <n v="12"/>
    <n v="2"/>
    <x v="3"/>
    <n v="30.259433962264151"/>
  </r>
  <r>
    <s v="ORD875"/>
    <x v="3"/>
    <x v="8"/>
    <d v="2025-02-27T00:00:00"/>
    <d v="1899-12-30T20:15:00"/>
    <d v="2025-02-27T00:00:00"/>
    <d v="1899-12-30T20:45:00"/>
    <x v="3"/>
    <x v="0"/>
    <x v="0"/>
    <x v="2"/>
    <x v="6"/>
    <x v="2"/>
    <s v="Wallet"/>
    <b v="1"/>
    <b v="0"/>
    <n v="7.5"/>
    <n v="0.5"/>
    <s v="February"/>
    <s v="Online"/>
    <n v="9.6"/>
    <n v="20.399999999999999"/>
    <b v="0"/>
    <n v="4"/>
    <n v="1"/>
    <x v="1"/>
    <n v="29.948453608247419"/>
  </r>
  <r>
    <s v="ORD876"/>
    <x v="1"/>
    <x v="38"/>
    <d v="2025-02-28T00:00:00"/>
    <d v="1899-12-30T18:30:00"/>
    <d v="2025-02-28T00:00:00"/>
    <d v="1899-12-30T19:00:00"/>
    <x v="3"/>
    <x v="0"/>
    <x v="10"/>
    <x v="0"/>
    <x v="1"/>
    <x v="0"/>
    <s v="Card"/>
    <b v="1"/>
    <b v="1"/>
    <n v="6"/>
    <n v="0.6"/>
    <s v="February"/>
    <s v="Online"/>
    <n v="12"/>
    <n v="18"/>
    <b v="0"/>
    <n v="6"/>
    <n v="2"/>
    <x v="0"/>
    <n v="28.186274509803919"/>
  </r>
  <r>
    <s v="ORD877"/>
    <x v="2"/>
    <x v="29"/>
    <d v="2025-03-01T00:00:00"/>
    <d v="1899-12-30T19:45:00"/>
    <d v="2025-03-01T00:00:00"/>
    <d v="1899-12-30T20:15:00"/>
    <x v="3"/>
    <x v="3"/>
    <x v="3"/>
    <x v="3"/>
    <x v="7"/>
    <x v="1"/>
    <s v="UPI"/>
    <b v="1"/>
    <b v="1"/>
    <n v="5"/>
    <n v="0.83333333333333337"/>
    <s v="March"/>
    <s v="Online"/>
    <n v="14.4"/>
    <n v="15.6"/>
    <b v="0"/>
    <n v="20"/>
    <n v="3"/>
    <x v="3"/>
    <n v="28.844221105527641"/>
  </r>
  <r>
    <s v="ORD878"/>
    <x v="4"/>
    <x v="30"/>
    <d v="2025-03-02T00:00:00"/>
    <d v="1899-12-30T20:00:00"/>
    <d v="2025-03-02T00:00:00"/>
    <d v="1899-12-30T20:30:00"/>
    <x v="3"/>
    <x v="0"/>
    <x v="11"/>
    <x v="0"/>
    <x v="3"/>
    <x v="0"/>
    <s v="Cash"/>
    <b v="1"/>
    <b v="0"/>
    <n v="6.666666666666667"/>
    <n v="0.66666666666666663"/>
    <s v="March"/>
    <s v="Offline"/>
    <n v="10.8"/>
    <n v="19.2"/>
    <b v="0"/>
    <n v="6"/>
    <n v="2"/>
    <x v="1"/>
    <n v="30.286458333333329"/>
  </r>
  <r>
    <s v="ORD879"/>
    <x v="0"/>
    <x v="31"/>
    <d v="2025-03-03T00:00:00"/>
    <d v="1899-12-30T19:15:00"/>
    <d v="2025-03-03T00:00:00"/>
    <d v="1899-12-30T19:45:00"/>
    <x v="3"/>
    <x v="1"/>
    <x v="9"/>
    <x v="1"/>
    <x v="10"/>
    <x v="0"/>
    <s v="UPI"/>
    <b v="1"/>
    <b v="0"/>
    <n v="5.4545454545454541"/>
    <n v="0.72727272727272729"/>
    <s v="March"/>
    <s v="Online"/>
    <n v="13.2"/>
    <n v="16.8"/>
    <b v="0"/>
    <n v="12"/>
    <n v="2"/>
    <x v="3"/>
    <n v="30.259433962264151"/>
  </r>
  <r>
    <s v="ORD880"/>
    <x v="3"/>
    <x v="8"/>
    <d v="2025-03-04T00:00:00"/>
    <d v="1899-12-30T20:30:00"/>
    <d v="2025-03-04T00:00:00"/>
    <d v="1899-12-30T21:00:00"/>
    <x v="3"/>
    <x v="0"/>
    <x v="0"/>
    <x v="2"/>
    <x v="6"/>
    <x v="2"/>
    <s v="Wallet"/>
    <b v="1"/>
    <b v="0"/>
    <n v="7.5"/>
    <n v="0.5"/>
    <s v="March"/>
    <s v="Online"/>
    <n v="9.6"/>
    <n v="20.399999999999999"/>
    <b v="0"/>
    <n v="4"/>
    <n v="1"/>
    <x v="1"/>
    <n v="29.948453608247419"/>
  </r>
  <r>
    <s v="ORD881"/>
    <x v="1"/>
    <x v="38"/>
    <d v="2025-03-05T00:00:00"/>
    <d v="1899-12-30T18:00:00"/>
    <d v="2025-03-05T00:00:00"/>
    <d v="1899-12-30T18:30:00"/>
    <x v="3"/>
    <x v="0"/>
    <x v="10"/>
    <x v="0"/>
    <x v="1"/>
    <x v="0"/>
    <s v="Card"/>
    <b v="1"/>
    <b v="0"/>
    <n v="6"/>
    <n v="0.6"/>
    <s v="March"/>
    <s v="Online"/>
    <n v="12"/>
    <n v="18"/>
    <b v="0"/>
    <n v="6"/>
    <n v="2"/>
    <x v="0"/>
    <n v="28.186274509803919"/>
  </r>
  <r>
    <s v="ORD882"/>
    <x v="2"/>
    <x v="29"/>
    <d v="2025-03-06T00:00:00"/>
    <d v="1899-12-30T19:15:00"/>
    <d v="2025-03-06T00:00:00"/>
    <d v="1899-12-30T19:45:00"/>
    <x v="3"/>
    <x v="3"/>
    <x v="3"/>
    <x v="3"/>
    <x v="7"/>
    <x v="1"/>
    <s v="UPI"/>
    <b v="1"/>
    <b v="0"/>
    <n v="5"/>
    <n v="0.83333333333333337"/>
    <s v="March"/>
    <s v="Online"/>
    <n v="14.4"/>
    <n v="15.6"/>
    <b v="0"/>
    <n v="20"/>
    <n v="3"/>
    <x v="3"/>
    <n v="28.844221105527641"/>
  </r>
  <r>
    <s v="ORD883"/>
    <x v="4"/>
    <x v="30"/>
    <d v="2025-03-07T00:00:00"/>
    <d v="1899-12-30T20:30:00"/>
    <d v="2025-03-07T00:00:00"/>
    <d v="1899-12-30T21:00:00"/>
    <x v="3"/>
    <x v="0"/>
    <x v="11"/>
    <x v="0"/>
    <x v="3"/>
    <x v="0"/>
    <s v="Cash"/>
    <b v="1"/>
    <b v="1"/>
    <n v="6.666666666666667"/>
    <n v="0.66666666666666663"/>
    <s v="March"/>
    <s v="Offline"/>
    <n v="10.8"/>
    <n v="19.2"/>
    <b v="0"/>
    <n v="6"/>
    <n v="2"/>
    <x v="1"/>
    <n v="30.286458333333329"/>
  </r>
  <r>
    <s v="ORD884"/>
    <x v="0"/>
    <x v="31"/>
    <d v="2025-03-08T00:00:00"/>
    <d v="1899-12-30T19:00:00"/>
    <d v="2025-03-08T00:00:00"/>
    <d v="1899-12-30T19:30:00"/>
    <x v="3"/>
    <x v="1"/>
    <x v="9"/>
    <x v="1"/>
    <x v="10"/>
    <x v="0"/>
    <s v="UPI"/>
    <b v="1"/>
    <b v="1"/>
    <n v="5.4545454545454541"/>
    <n v="0.72727272727272729"/>
    <s v="March"/>
    <s v="Online"/>
    <n v="13.2"/>
    <n v="16.8"/>
    <b v="0"/>
    <n v="12"/>
    <n v="2"/>
    <x v="3"/>
    <n v="30.259433962264151"/>
  </r>
  <r>
    <s v="ORD885"/>
    <x v="3"/>
    <x v="8"/>
    <d v="2025-03-09T00:00:00"/>
    <d v="1899-12-30T20:15:00"/>
    <d v="2025-03-09T00:00:00"/>
    <d v="1899-12-30T20:45:00"/>
    <x v="3"/>
    <x v="0"/>
    <x v="0"/>
    <x v="2"/>
    <x v="6"/>
    <x v="2"/>
    <s v="Wallet"/>
    <b v="1"/>
    <b v="0"/>
    <n v="7.5"/>
    <n v="0.5"/>
    <s v="March"/>
    <s v="Online"/>
    <n v="9.6"/>
    <n v="20.399999999999999"/>
    <b v="0"/>
    <n v="4"/>
    <n v="1"/>
    <x v="1"/>
    <n v="29.948453608247419"/>
  </r>
  <r>
    <s v="ORD886"/>
    <x v="1"/>
    <x v="38"/>
    <d v="2025-03-10T00:00:00"/>
    <d v="1899-12-30T18:30:00"/>
    <d v="2025-03-10T00:00:00"/>
    <d v="1899-12-30T19:00:00"/>
    <x v="3"/>
    <x v="0"/>
    <x v="10"/>
    <x v="0"/>
    <x v="1"/>
    <x v="0"/>
    <s v="Card"/>
    <b v="1"/>
    <b v="0"/>
    <n v="6"/>
    <n v="0.6"/>
    <s v="March"/>
    <s v="Online"/>
    <n v="12"/>
    <n v="18"/>
    <b v="0"/>
    <n v="6"/>
    <n v="2"/>
    <x v="0"/>
    <n v="28.186274509803919"/>
  </r>
  <r>
    <s v="ORD887"/>
    <x v="2"/>
    <x v="29"/>
    <d v="2025-03-11T00:00:00"/>
    <d v="1899-12-30T19:45:00"/>
    <d v="2025-03-11T00:00:00"/>
    <d v="1899-12-30T20:15:00"/>
    <x v="3"/>
    <x v="3"/>
    <x v="3"/>
    <x v="3"/>
    <x v="7"/>
    <x v="1"/>
    <s v="UPI"/>
    <b v="1"/>
    <b v="0"/>
    <n v="5"/>
    <n v="0.83333333333333337"/>
    <s v="March"/>
    <s v="Online"/>
    <n v="14.4"/>
    <n v="15.6"/>
    <b v="0"/>
    <n v="20"/>
    <n v="3"/>
    <x v="3"/>
    <n v="28.844221105527641"/>
  </r>
  <r>
    <s v="ORD888"/>
    <x v="4"/>
    <x v="30"/>
    <d v="2025-03-12T00:00:00"/>
    <d v="1899-12-30T20:00:00"/>
    <d v="2025-03-12T00:00:00"/>
    <d v="1899-12-30T20:30:00"/>
    <x v="3"/>
    <x v="0"/>
    <x v="11"/>
    <x v="0"/>
    <x v="3"/>
    <x v="0"/>
    <s v="Cash"/>
    <b v="1"/>
    <b v="0"/>
    <n v="6.666666666666667"/>
    <n v="0.66666666666666663"/>
    <s v="March"/>
    <s v="Offline"/>
    <n v="10.8"/>
    <n v="19.2"/>
    <b v="0"/>
    <n v="6"/>
    <n v="2"/>
    <x v="1"/>
    <n v="30.286458333333329"/>
  </r>
  <r>
    <s v="ORD889"/>
    <x v="0"/>
    <x v="31"/>
    <d v="2025-03-13T00:00:00"/>
    <d v="1899-12-30T19:15:00"/>
    <d v="2025-03-13T00:00:00"/>
    <d v="1899-12-30T19:45:00"/>
    <x v="3"/>
    <x v="1"/>
    <x v="9"/>
    <x v="1"/>
    <x v="10"/>
    <x v="0"/>
    <s v="UPI"/>
    <b v="1"/>
    <b v="0"/>
    <n v="5.4545454545454541"/>
    <n v="0.72727272727272729"/>
    <s v="March"/>
    <s v="Online"/>
    <n v="13.2"/>
    <n v="16.8"/>
    <b v="0"/>
    <n v="12"/>
    <n v="2"/>
    <x v="3"/>
    <n v="30.259433962264151"/>
  </r>
  <r>
    <s v="ORD890"/>
    <x v="3"/>
    <x v="8"/>
    <d v="2025-03-14T00:00:00"/>
    <d v="1899-12-30T20:30:00"/>
    <d v="2025-03-14T00:00:00"/>
    <d v="1899-12-30T21:00:00"/>
    <x v="3"/>
    <x v="0"/>
    <x v="0"/>
    <x v="2"/>
    <x v="6"/>
    <x v="2"/>
    <s v="Wallet"/>
    <b v="1"/>
    <b v="1"/>
    <n v="7.5"/>
    <n v="0.5"/>
    <s v="March"/>
    <s v="Online"/>
    <n v="9.6"/>
    <n v="20.399999999999999"/>
    <b v="0"/>
    <n v="4"/>
    <n v="1"/>
    <x v="1"/>
    <n v="29.948453608247419"/>
  </r>
  <r>
    <s v="ORD891"/>
    <x v="1"/>
    <x v="38"/>
    <d v="2025-03-15T00:00:00"/>
    <d v="1899-12-30T18:00:00"/>
    <d v="2025-03-15T00:00:00"/>
    <d v="1899-12-30T18:30:00"/>
    <x v="3"/>
    <x v="0"/>
    <x v="10"/>
    <x v="0"/>
    <x v="1"/>
    <x v="0"/>
    <s v="Card"/>
    <b v="1"/>
    <b v="1"/>
    <n v="6"/>
    <n v="0.6"/>
    <s v="March"/>
    <s v="Online"/>
    <n v="12"/>
    <n v="18"/>
    <b v="0"/>
    <n v="6"/>
    <n v="2"/>
    <x v="0"/>
    <n v="28.186274509803919"/>
  </r>
  <r>
    <s v="ORD892"/>
    <x v="2"/>
    <x v="29"/>
    <d v="2025-03-16T00:00:00"/>
    <d v="1899-12-30T19:15:00"/>
    <d v="2025-03-16T00:00:00"/>
    <d v="1899-12-30T19:45:00"/>
    <x v="3"/>
    <x v="3"/>
    <x v="3"/>
    <x v="3"/>
    <x v="7"/>
    <x v="1"/>
    <s v="UPI"/>
    <b v="1"/>
    <b v="0"/>
    <n v="5"/>
    <n v="0.83333333333333337"/>
    <s v="March"/>
    <s v="Online"/>
    <n v="14.4"/>
    <n v="15.6"/>
    <b v="0"/>
    <n v="20"/>
    <n v="3"/>
    <x v="3"/>
    <n v="28.844221105527641"/>
  </r>
  <r>
    <s v="ORD893"/>
    <x v="4"/>
    <x v="30"/>
    <d v="2025-03-17T00:00:00"/>
    <d v="1899-12-30T20:30:00"/>
    <d v="2025-03-17T00:00:00"/>
    <d v="1899-12-30T21:00:00"/>
    <x v="3"/>
    <x v="0"/>
    <x v="11"/>
    <x v="0"/>
    <x v="3"/>
    <x v="0"/>
    <s v="Cash"/>
    <b v="1"/>
    <b v="0"/>
    <n v="6.666666666666667"/>
    <n v="0.66666666666666663"/>
    <s v="March"/>
    <s v="Offline"/>
    <n v="10.8"/>
    <n v="19.2"/>
    <b v="0"/>
    <n v="6"/>
    <n v="2"/>
    <x v="1"/>
    <n v="30.286458333333329"/>
  </r>
  <r>
    <s v="ORD894"/>
    <x v="1"/>
    <x v="38"/>
    <d v="2025-03-18T00:00:00"/>
    <d v="1899-12-30T18:00:00"/>
    <d v="2025-03-18T00:00:00"/>
    <d v="1899-12-30T18:30:00"/>
    <x v="3"/>
    <x v="0"/>
    <x v="10"/>
    <x v="0"/>
    <x v="1"/>
    <x v="0"/>
    <s v="UPI"/>
    <b v="1"/>
    <b v="0"/>
    <n v="6"/>
    <n v="0.6"/>
    <s v="March"/>
    <s v="Online"/>
    <n v="12"/>
    <n v="18"/>
    <b v="0"/>
    <n v="6"/>
    <n v="2"/>
    <x v="0"/>
    <n v="28.186274509803919"/>
  </r>
  <r>
    <s v="ORD895"/>
    <x v="2"/>
    <x v="29"/>
    <d v="2025-03-19T00:00:00"/>
    <d v="1899-12-30T19:15:00"/>
    <d v="2025-03-19T00:00:00"/>
    <d v="1899-12-30T19:45:00"/>
    <x v="3"/>
    <x v="3"/>
    <x v="3"/>
    <x v="3"/>
    <x v="7"/>
    <x v="1"/>
    <s v="Card"/>
    <b v="1"/>
    <b v="0"/>
    <n v="5"/>
    <n v="0.83333333333333337"/>
    <s v="March"/>
    <s v="Online"/>
    <n v="14.4"/>
    <n v="15.6"/>
    <b v="0"/>
    <n v="20"/>
    <n v="3"/>
    <x v="3"/>
    <n v="28.844221105527641"/>
  </r>
  <r>
    <s v="ORD896"/>
    <x v="4"/>
    <x v="30"/>
    <d v="2025-03-20T00:00:00"/>
    <d v="1899-12-30T20:30:00"/>
    <d v="2025-03-20T00:00:00"/>
    <d v="1899-12-30T21:00:00"/>
    <x v="3"/>
    <x v="0"/>
    <x v="11"/>
    <x v="0"/>
    <x v="3"/>
    <x v="0"/>
    <s v="Cash"/>
    <b v="1"/>
    <b v="0"/>
    <n v="6.666666666666667"/>
    <n v="0.66666666666666663"/>
    <s v="March"/>
    <s v="Offline"/>
    <n v="10.8"/>
    <n v="19.2"/>
    <b v="0"/>
    <n v="6"/>
    <n v="2"/>
    <x v="1"/>
    <n v="30.286458333333329"/>
  </r>
  <r>
    <s v="ORD897"/>
    <x v="0"/>
    <x v="31"/>
    <d v="2025-03-21T00:00:00"/>
    <d v="1899-12-30T19:00:00"/>
    <d v="2025-03-21T00:00:00"/>
    <d v="1899-12-30T19:30:00"/>
    <x v="3"/>
    <x v="1"/>
    <x v="9"/>
    <x v="1"/>
    <x v="10"/>
    <x v="0"/>
    <s v="UPI"/>
    <b v="1"/>
    <b v="1"/>
    <n v="5.4545454545454541"/>
    <n v="0.72727272727272729"/>
    <s v="March"/>
    <s v="Online"/>
    <n v="13.2"/>
    <n v="16.8"/>
    <b v="0"/>
    <n v="12"/>
    <n v="2"/>
    <x v="3"/>
    <n v="30.259433962264151"/>
  </r>
  <r>
    <s v="ORD898"/>
    <x v="3"/>
    <x v="8"/>
    <d v="2025-03-22T00:00:00"/>
    <d v="1899-12-30T20:15:00"/>
    <d v="2025-03-22T00:00:00"/>
    <d v="1899-12-30T20:45:00"/>
    <x v="3"/>
    <x v="0"/>
    <x v="0"/>
    <x v="2"/>
    <x v="6"/>
    <x v="2"/>
    <s v="Wallet"/>
    <b v="1"/>
    <b v="1"/>
    <n v="7.5"/>
    <n v="0.5"/>
    <s v="March"/>
    <s v="Online"/>
    <n v="9.6"/>
    <n v="20.399999999999999"/>
    <b v="0"/>
    <n v="4"/>
    <n v="1"/>
    <x v="1"/>
    <n v="29.948453608247419"/>
  </r>
  <r>
    <s v="ORD899"/>
    <x v="1"/>
    <x v="38"/>
    <d v="2025-03-23T00:00:00"/>
    <d v="1899-12-30T18:30:00"/>
    <d v="2025-03-23T00:00:00"/>
    <d v="1899-12-30T19:00:00"/>
    <x v="3"/>
    <x v="0"/>
    <x v="10"/>
    <x v="0"/>
    <x v="1"/>
    <x v="0"/>
    <s v="Card"/>
    <b v="1"/>
    <b v="0"/>
    <n v="6"/>
    <n v="0.6"/>
    <s v="March"/>
    <s v="Online"/>
    <n v="12"/>
    <n v="18"/>
    <b v="0"/>
    <n v="6"/>
    <n v="2"/>
    <x v="0"/>
    <n v="28.186274509803919"/>
  </r>
  <r>
    <s v="ORD900"/>
    <x v="2"/>
    <x v="29"/>
    <d v="2025-03-24T00:00:00"/>
    <d v="1899-12-30T19:45:00"/>
    <d v="2025-03-24T00:00:00"/>
    <d v="1899-12-30T20:15:00"/>
    <x v="3"/>
    <x v="3"/>
    <x v="3"/>
    <x v="3"/>
    <x v="7"/>
    <x v="1"/>
    <s v="UPI"/>
    <b v="1"/>
    <b v="0"/>
    <n v="5"/>
    <n v="0.83333333333333337"/>
    <s v="March"/>
    <s v="Online"/>
    <n v="14.4"/>
    <n v="15.6"/>
    <b v="0"/>
    <n v="20"/>
    <n v="3"/>
    <x v="3"/>
    <n v="28.844221105527641"/>
  </r>
  <r>
    <s v="ORD901"/>
    <x v="4"/>
    <x v="30"/>
    <d v="2025-03-25T00:00:00"/>
    <d v="1899-12-30T20:00:00"/>
    <d v="2025-03-25T00:00:00"/>
    <d v="1899-12-30T20:30:00"/>
    <x v="3"/>
    <x v="0"/>
    <x v="11"/>
    <x v="0"/>
    <x v="3"/>
    <x v="0"/>
    <s v="Cash"/>
    <b v="1"/>
    <b v="0"/>
    <n v="6.666666666666667"/>
    <n v="0.66666666666666663"/>
    <s v="March"/>
    <s v="Offline"/>
    <n v="10.8"/>
    <n v="19.2"/>
    <b v="0"/>
    <n v="6"/>
    <n v="2"/>
    <x v="1"/>
    <n v="30.286458333333329"/>
  </r>
  <r>
    <s v="ORD902"/>
    <x v="0"/>
    <x v="31"/>
    <d v="2025-03-26T00:00:00"/>
    <d v="1899-12-30T19:15:00"/>
    <d v="2025-03-26T00:00:00"/>
    <d v="1899-12-30T19:45:00"/>
    <x v="3"/>
    <x v="1"/>
    <x v="9"/>
    <x v="1"/>
    <x v="10"/>
    <x v="0"/>
    <s v="UPI"/>
    <b v="1"/>
    <b v="0"/>
    <n v="5.4545454545454541"/>
    <n v="0.72727272727272729"/>
    <s v="March"/>
    <s v="Online"/>
    <n v="13.2"/>
    <n v="16.8"/>
    <b v="0"/>
    <n v="12"/>
    <n v="2"/>
    <x v="3"/>
    <n v="30.259433962264151"/>
  </r>
  <r>
    <s v="ORD903"/>
    <x v="3"/>
    <x v="8"/>
    <d v="2025-03-27T00:00:00"/>
    <d v="1899-12-30T20:30:00"/>
    <d v="2025-03-27T00:00:00"/>
    <d v="1899-12-30T21:00:00"/>
    <x v="3"/>
    <x v="0"/>
    <x v="0"/>
    <x v="2"/>
    <x v="6"/>
    <x v="2"/>
    <s v="Wallet"/>
    <b v="1"/>
    <b v="0"/>
    <n v="7.5"/>
    <n v="0.5"/>
    <s v="March"/>
    <s v="Online"/>
    <n v="9.6"/>
    <n v="20.399999999999999"/>
    <b v="0"/>
    <n v="4"/>
    <n v="1"/>
    <x v="1"/>
    <n v="29.948453608247419"/>
  </r>
  <r>
    <s v="ORD904"/>
    <x v="1"/>
    <x v="38"/>
    <d v="2025-03-28T00:00:00"/>
    <d v="1899-12-30T18:00:00"/>
    <d v="2025-03-28T00:00:00"/>
    <d v="1899-12-30T18:30:00"/>
    <x v="3"/>
    <x v="0"/>
    <x v="10"/>
    <x v="0"/>
    <x v="1"/>
    <x v="0"/>
    <s v="Card"/>
    <b v="1"/>
    <b v="1"/>
    <n v="6"/>
    <n v="0.6"/>
    <s v="March"/>
    <s v="Online"/>
    <n v="12"/>
    <n v="18"/>
    <b v="0"/>
    <n v="6"/>
    <n v="2"/>
    <x v="0"/>
    <n v="28.186274509803919"/>
  </r>
  <r>
    <s v="ORD905"/>
    <x v="2"/>
    <x v="29"/>
    <d v="2025-03-29T00:00:00"/>
    <d v="1899-12-30T19:15:00"/>
    <d v="2025-03-29T00:00:00"/>
    <d v="1899-12-30T19:45:00"/>
    <x v="3"/>
    <x v="3"/>
    <x v="3"/>
    <x v="3"/>
    <x v="7"/>
    <x v="1"/>
    <s v="UPI"/>
    <b v="1"/>
    <b v="1"/>
    <n v="5"/>
    <n v="0.83333333333333337"/>
    <s v="March"/>
    <s v="Online"/>
    <n v="14.4"/>
    <n v="15.6"/>
    <b v="0"/>
    <n v="20"/>
    <n v="3"/>
    <x v="3"/>
    <n v="28.844221105527641"/>
  </r>
  <r>
    <s v="ORD906"/>
    <x v="4"/>
    <x v="30"/>
    <d v="2025-03-30T00:00:00"/>
    <d v="1899-12-30T20:30:00"/>
    <d v="2025-03-30T00:00:00"/>
    <d v="1899-12-30T21:00:00"/>
    <x v="3"/>
    <x v="0"/>
    <x v="11"/>
    <x v="0"/>
    <x v="3"/>
    <x v="0"/>
    <s v="Cash"/>
    <b v="1"/>
    <b v="0"/>
    <n v="6.666666666666667"/>
    <n v="0.66666666666666663"/>
    <s v="March"/>
    <s v="Offline"/>
    <n v="10.8"/>
    <n v="19.2"/>
    <b v="0"/>
    <n v="6"/>
    <n v="2"/>
    <x v="1"/>
    <n v="30.286458333333329"/>
  </r>
  <r>
    <s v="ORD907"/>
    <x v="0"/>
    <x v="31"/>
    <d v="2025-03-31T00:00:00"/>
    <d v="1899-12-30T19:00:00"/>
    <d v="2025-03-31T00:00:00"/>
    <d v="1899-12-30T19:30:00"/>
    <x v="3"/>
    <x v="1"/>
    <x v="9"/>
    <x v="1"/>
    <x v="10"/>
    <x v="0"/>
    <s v="UPI"/>
    <b v="1"/>
    <b v="0"/>
    <n v="5.4545454545454541"/>
    <n v="0.72727272727272729"/>
    <s v="March"/>
    <s v="Online"/>
    <n v="13.2"/>
    <n v="16.8"/>
    <b v="0"/>
    <n v="12"/>
    <n v="2"/>
    <x v="3"/>
    <n v="30.259433962264151"/>
  </r>
  <r>
    <s v="ORD908"/>
    <x v="3"/>
    <x v="8"/>
    <d v="2025-04-01T00:00:00"/>
    <d v="1899-12-30T20:15:00"/>
    <d v="2025-04-01T00:00:00"/>
    <d v="1899-12-30T20:45:00"/>
    <x v="3"/>
    <x v="0"/>
    <x v="0"/>
    <x v="2"/>
    <x v="6"/>
    <x v="2"/>
    <s v="Wallet"/>
    <b v="1"/>
    <b v="0"/>
    <n v="7.5"/>
    <n v="0.5"/>
    <s v="April"/>
    <s v="Online"/>
    <n v="9.6"/>
    <n v="20.399999999999999"/>
    <b v="0"/>
    <n v="4"/>
    <n v="1"/>
    <x v="1"/>
    <n v="29.948453608247419"/>
  </r>
  <r>
    <s v="ORD909"/>
    <x v="1"/>
    <x v="38"/>
    <d v="2025-04-02T00:00:00"/>
    <d v="1899-12-30T18:30:00"/>
    <d v="2025-04-02T00:00:00"/>
    <d v="1899-12-30T19:00:00"/>
    <x v="3"/>
    <x v="0"/>
    <x v="10"/>
    <x v="0"/>
    <x v="1"/>
    <x v="0"/>
    <s v="Card"/>
    <b v="1"/>
    <b v="0"/>
    <n v="6"/>
    <n v="0.6"/>
    <s v="April"/>
    <s v="Online"/>
    <n v="12"/>
    <n v="18"/>
    <b v="0"/>
    <n v="6"/>
    <n v="2"/>
    <x v="0"/>
    <n v="28.186274509803919"/>
  </r>
  <r>
    <s v="ORD910"/>
    <x v="2"/>
    <x v="29"/>
    <d v="2025-04-03T00:00:00"/>
    <d v="1899-12-30T19:45:00"/>
    <d v="2025-04-03T00:00:00"/>
    <d v="1899-12-30T20:15:00"/>
    <x v="3"/>
    <x v="3"/>
    <x v="3"/>
    <x v="3"/>
    <x v="7"/>
    <x v="1"/>
    <s v="UPI"/>
    <b v="1"/>
    <b v="0"/>
    <n v="5"/>
    <n v="0.83333333333333337"/>
    <s v="April"/>
    <s v="Online"/>
    <n v="14.4"/>
    <n v="15.6"/>
    <b v="0"/>
    <n v="20"/>
    <n v="3"/>
    <x v="3"/>
    <n v="28.844221105527641"/>
  </r>
  <r>
    <s v="ORD911"/>
    <x v="4"/>
    <x v="30"/>
    <d v="2025-04-04T00:00:00"/>
    <d v="1899-12-30T20:00:00"/>
    <d v="2025-04-04T00:00:00"/>
    <d v="1899-12-30T20:30:00"/>
    <x v="3"/>
    <x v="0"/>
    <x v="11"/>
    <x v="0"/>
    <x v="3"/>
    <x v="0"/>
    <s v="Cash"/>
    <b v="1"/>
    <b v="1"/>
    <n v="6.666666666666667"/>
    <n v="0.66666666666666663"/>
    <s v="April"/>
    <s v="Offline"/>
    <n v="10.8"/>
    <n v="19.2"/>
    <b v="0"/>
    <n v="6"/>
    <n v="2"/>
    <x v="1"/>
    <n v="30.286458333333329"/>
  </r>
  <r>
    <s v="ORD912"/>
    <x v="0"/>
    <x v="31"/>
    <d v="2025-04-05T00:00:00"/>
    <d v="1899-12-30T19:15:00"/>
    <d v="2025-04-05T00:00:00"/>
    <d v="1899-12-30T19:45:00"/>
    <x v="3"/>
    <x v="1"/>
    <x v="9"/>
    <x v="1"/>
    <x v="10"/>
    <x v="0"/>
    <s v="UPI"/>
    <b v="1"/>
    <b v="1"/>
    <n v="5.4545454545454541"/>
    <n v="0.72727272727272729"/>
    <s v="April"/>
    <s v="Online"/>
    <n v="13.2"/>
    <n v="16.8"/>
    <b v="0"/>
    <n v="12"/>
    <n v="2"/>
    <x v="3"/>
    <n v="30.259433962264151"/>
  </r>
  <r>
    <s v="ORD913"/>
    <x v="3"/>
    <x v="8"/>
    <d v="2025-04-06T00:00:00"/>
    <d v="1899-12-30T20:30:00"/>
    <d v="2025-04-06T00:00:00"/>
    <d v="1899-12-30T21:00:00"/>
    <x v="3"/>
    <x v="0"/>
    <x v="0"/>
    <x v="2"/>
    <x v="6"/>
    <x v="2"/>
    <s v="Wallet"/>
    <b v="1"/>
    <b v="0"/>
    <n v="7.5"/>
    <n v="0.5"/>
    <s v="April"/>
    <s v="Online"/>
    <n v="9.6"/>
    <n v="20.399999999999999"/>
    <b v="0"/>
    <n v="4"/>
    <n v="1"/>
    <x v="1"/>
    <n v="29.948453608247419"/>
  </r>
  <r>
    <s v="ORD914"/>
    <x v="1"/>
    <x v="38"/>
    <d v="2025-04-07T00:00:00"/>
    <d v="1899-12-30T18:00:00"/>
    <d v="2025-04-07T00:00:00"/>
    <d v="1899-12-30T18:30:00"/>
    <x v="3"/>
    <x v="0"/>
    <x v="10"/>
    <x v="0"/>
    <x v="1"/>
    <x v="0"/>
    <s v="Card"/>
    <b v="1"/>
    <b v="0"/>
    <n v="6"/>
    <n v="0.6"/>
    <s v="April"/>
    <s v="Online"/>
    <n v="12"/>
    <n v="18"/>
    <b v="0"/>
    <n v="6"/>
    <n v="2"/>
    <x v="0"/>
    <n v="28.186274509803919"/>
  </r>
  <r>
    <s v="ORD915"/>
    <x v="2"/>
    <x v="29"/>
    <d v="2025-04-08T00:00:00"/>
    <d v="1899-12-30T19:15:00"/>
    <d v="2025-04-08T00:00:00"/>
    <d v="1899-12-30T19:45:00"/>
    <x v="3"/>
    <x v="3"/>
    <x v="3"/>
    <x v="3"/>
    <x v="7"/>
    <x v="1"/>
    <s v="UPI"/>
    <b v="1"/>
    <b v="0"/>
    <n v="5"/>
    <n v="0.83333333333333337"/>
    <s v="April"/>
    <s v="Online"/>
    <n v="14.4"/>
    <n v="15.6"/>
    <b v="0"/>
    <n v="20"/>
    <n v="3"/>
    <x v="3"/>
    <n v="28.844221105527641"/>
  </r>
  <r>
    <s v="ORD916"/>
    <x v="4"/>
    <x v="30"/>
    <d v="2025-04-09T00:00:00"/>
    <d v="1899-12-30T20:30:00"/>
    <d v="2025-04-09T00:00:00"/>
    <d v="1899-12-30T21:00:00"/>
    <x v="3"/>
    <x v="0"/>
    <x v="11"/>
    <x v="0"/>
    <x v="3"/>
    <x v="0"/>
    <s v="Cash"/>
    <b v="1"/>
    <b v="0"/>
    <n v="6.666666666666667"/>
    <n v="0.66666666666666663"/>
    <s v="April"/>
    <s v="Offline"/>
    <n v="10.8"/>
    <n v="19.2"/>
    <b v="0"/>
    <n v="6"/>
    <n v="2"/>
    <x v="1"/>
    <n v="30.286458333333329"/>
  </r>
  <r>
    <s v="ORD917"/>
    <x v="0"/>
    <x v="31"/>
    <d v="2025-04-10T00:00:00"/>
    <d v="1899-12-30T19:00:00"/>
    <d v="2025-04-10T00:00:00"/>
    <d v="1899-12-30T19:30:00"/>
    <x v="3"/>
    <x v="1"/>
    <x v="9"/>
    <x v="1"/>
    <x v="10"/>
    <x v="0"/>
    <s v="UPI"/>
    <b v="1"/>
    <b v="0"/>
    <n v="5.4545454545454541"/>
    <n v="0.72727272727272729"/>
    <s v="April"/>
    <s v="Online"/>
    <n v="13.2"/>
    <n v="16.8"/>
    <b v="0"/>
    <n v="12"/>
    <n v="2"/>
    <x v="3"/>
    <n v="30.259433962264151"/>
  </r>
  <r>
    <s v="ORD918"/>
    <x v="3"/>
    <x v="8"/>
    <d v="2025-04-11T00:00:00"/>
    <d v="1899-12-30T20:15:00"/>
    <d v="2025-04-11T00:00:00"/>
    <d v="1899-12-30T20:45:00"/>
    <x v="3"/>
    <x v="0"/>
    <x v="0"/>
    <x v="2"/>
    <x v="6"/>
    <x v="2"/>
    <s v="Wallet"/>
    <b v="1"/>
    <b v="1"/>
    <n v="7.5"/>
    <n v="0.5"/>
    <s v="April"/>
    <s v="Online"/>
    <n v="9.6"/>
    <n v="20.399999999999999"/>
    <b v="0"/>
    <n v="4"/>
    <n v="1"/>
    <x v="1"/>
    <n v="29.948453608247419"/>
  </r>
  <r>
    <s v="ORD919"/>
    <x v="1"/>
    <x v="38"/>
    <d v="2025-04-12T00:00:00"/>
    <d v="1899-12-30T18:30:00"/>
    <d v="2025-04-12T00:00:00"/>
    <d v="1899-12-30T19:00:00"/>
    <x v="3"/>
    <x v="0"/>
    <x v="10"/>
    <x v="0"/>
    <x v="1"/>
    <x v="0"/>
    <s v="Card"/>
    <b v="1"/>
    <b v="1"/>
    <n v="6"/>
    <n v="0.6"/>
    <s v="April"/>
    <s v="Online"/>
    <n v="12"/>
    <n v="18"/>
    <b v="0"/>
    <n v="6"/>
    <n v="2"/>
    <x v="0"/>
    <n v="28.186274509803919"/>
  </r>
  <r>
    <s v="ORD920"/>
    <x v="2"/>
    <x v="29"/>
    <d v="2025-04-13T00:00:00"/>
    <d v="1899-12-30T19:45:00"/>
    <d v="2025-04-13T00:00:00"/>
    <d v="1899-12-30T20:15:00"/>
    <x v="3"/>
    <x v="3"/>
    <x v="3"/>
    <x v="3"/>
    <x v="7"/>
    <x v="1"/>
    <s v="UPI"/>
    <b v="1"/>
    <b v="0"/>
    <n v="5"/>
    <n v="0.83333333333333337"/>
    <s v="April"/>
    <s v="Online"/>
    <n v="14.4"/>
    <n v="15.6"/>
    <b v="0"/>
    <n v="20"/>
    <n v="3"/>
    <x v="3"/>
    <n v="28.844221105527641"/>
  </r>
  <r>
    <s v="ORD921"/>
    <x v="4"/>
    <x v="30"/>
    <d v="2025-04-14T00:00:00"/>
    <d v="1899-12-30T20:00:00"/>
    <d v="2025-04-14T00:00:00"/>
    <d v="1899-12-30T20:30:00"/>
    <x v="3"/>
    <x v="0"/>
    <x v="11"/>
    <x v="0"/>
    <x v="3"/>
    <x v="0"/>
    <s v="Cash"/>
    <b v="1"/>
    <b v="0"/>
    <n v="6.666666666666667"/>
    <n v="0.66666666666666663"/>
    <s v="April"/>
    <s v="Offline"/>
    <n v="10.8"/>
    <n v="19.2"/>
    <b v="0"/>
    <n v="6"/>
    <n v="2"/>
    <x v="1"/>
    <n v="30.286458333333329"/>
  </r>
  <r>
    <s v="ORD922"/>
    <x v="1"/>
    <x v="38"/>
    <d v="2025-04-15T00:00:00"/>
    <d v="1899-12-30T18:00:00"/>
    <d v="2025-04-15T00:00:00"/>
    <d v="1899-12-30T18:30:00"/>
    <x v="3"/>
    <x v="0"/>
    <x v="10"/>
    <x v="0"/>
    <x v="1"/>
    <x v="0"/>
    <s v="UPI"/>
    <b v="1"/>
    <b v="0"/>
    <n v="6"/>
    <n v="0.6"/>
    <s v="April"/>
    <s v="Online"/>
    <n v="12"/>
    <n v="18"/>
    <b v="0"/>
    <n v="6"/>
    <n v="2"/>
    <x v="0"/>
    <n v="28.186274509803919"/>
  </r>
  <r>
    <s v="ORD923"/>
    <x v="2"/>
    <x v="29"/>
    <d v="2025-04-16T00:00:00"/>
    <d v="1899-12-30T19:15:00"/>
    <d v="2025-04-16T00:00:00"/>
    <d v="1899-12-30T19:45:00"/>
    <x v="3"/>
    <x v="3"/>
    <x v="3"/>
    <x v="3"/>
    <x v="7"/>
    <x v="1"/>
    <s v="Card"/>
    <b v="1"/>
    <b v="0"/>
    <n v="5"/>
    <n v="0.83333333333333337"/>
    <s v="April"/>
    <s v="Online"/>
    <n v="14.4"/>
    <n v="15.6"/>
    <b v="0"/>
    <n v="20"/>
    <n v="3"/>
    <x v="3"/>
    <n v="28.844221105527641"/>
  </r>
  <r>
    <s v="ORD924"/>
    <x v="4"/>
    <x v="30"/>
    <d v="2025-04-17T00:00:00"/>
    <d v="1899-12-30T20:30:00"/>
    <d v="2025-04-17T00:00:00"/>
    <d v="1899-12-30T21:00:00"/>
    <x v="3"/>
    <x v="0"/>
    <x v="11"/>
    <x v="0"/>
    <x v="3"/>
    <x v="0"/>
    <s v="Cash"/>
    <b v="1"/>
    <b v="0"/>
    <n v="6.666666666666667"/>
    <n v="0.66666666666666663"/>
    <s v="April"/>
    <s v="Offline"/>
    <n v="10.8"/>
    <n v="19.2"/>
    <b v="0"/>
    <n v="6"/>
    <n v="2"/>
    <x v="1"/>
    <n v="30.286458333333329"/>
  </r>
  <r>
    <s v="ORD925"/>
    <x v="0"/>
    <x v="31"/>
    <d v="2025-04-18T00:00:00"/>
    <d v="1899-12-30T19:00:00"/>
    <d v="2025-04-18T00:00:00"/>
    <d v="1899-12-30T19:30:00"/>
    <x v="3"/>
    <x v="1"/>
    <x v="9"/>
    <x v="1"/>
    <x v="10"/>
    <x v="0"/>
    <s v="UPI"/>
    <b v="1"/>
    <b v="1"/>
    <n v="5.4545454545454541"/>
    <n v="0.72727272727272729"/>
    <s v="April"/>
    <s v="Online"/>
    <n v="13.2"/>
    <n v="16.8"/>
    <b v="0"/>
    <n v="12"/>
    <n v="2"/>
    <x v="3"/>
    <n v="30.259433962264151"/>
  </r>
  <r>
    <s v="ORD926"/>
    <x v="3"/>
    <x v="8"/>
    <d v="2025-04-19T00:00:00"/>
    <d v="1899-12-30T20:15:00"/>
    <d v="2025-04-19T00:00:00"/>
    <d v="1899-12-30T20:45:00"/>
    <x v="3"/>
    <x v="0"/>
    <x v="0"/>
    <x v="2"/>
    <x v="6"/>
    <x v="2"/>
    <s v="Wallet"/>
    <b v="1"/>
    <b v="1"/>
    <n v="7.5"/>
    <n v="0.5"/>
    <s v="April"/>
    <s v="Online"/>
    <n v="9.6"/>
    <n v="20.399999999999999"/>
    <b v="0"/>
    <n v="4"/>
    <n v="1"/>
    <x v="1"/>
    <n v="29.948453608247419"/>
  </r>
  <r>
    <s v="ORD927"/>
    <x v="1"/>
    <x v="38"/>
    <d v="2025-04-20T00:00:00"/>
    <d v="1899-12-30T18:30:00"/>
    <d v="2025-04-20T00:00:00"/>
    <d v="1899-12-30T19:00:00"/>
    <x v="3"/>
    <x v="0"/>
    <x v="10"/>
    <x v="0"/>
    <x v="1"/>
    <x v="0"/>
    <s v="Card"/>
    <b v="1"/>
    <b v="0"/>
    <n v="6"/>
    <n v="0.6"/>
    <s v="April"/>
    <s v="Online"/>
    <n v="12"/>
    <n v="18"/>
    <b v="0"/>
    <n v="6"/>
    <n v="2"/>
    <x v="0"/>
    <n v="28.186274509803919"/>
  </r>
  <r>
    <s v="ORD928"/>
    <x v="2"/>
    <x v="29"/>
    <d v="2025-04-21T00:00:00"/>
    <d v="1899-12-30T19:45:00"/>
    <d v="2025-04-21T00:00:00"/>
    <d v="1899-12-30T20:15:00"/>
    <x v="3"/>
    <x v="3"/>
    <x v="3"/>
    <x v="3"/>
    <x v="7"/>
    <x v="1"/>
    <s v="UPI"/>
    <b v="1"/>
    <b v="0"/>
    <n v="5"/>
    <n v="0.83333333333333337"/>
    <s v="April"/>
    <s v="Online"/>
    <n v="14.4"/>
    <n v="15.6"/>
    <b v="0"/>
    <n v="20"/>
    <n v="3"/>
    <x v="3"/>
    <n v="28.844221105527641"/>
  </r>
  <r>
    <s v="ORD929"/>
    <x v="4"/>
    <x v="30"/>
    <d v="2025-04-22T00:00:00"/>
    <d v="1899-12-30T20:00:00"/>
    <d v="2025-04-22T00:00:00"/>
    <d v="1899-12-30T20:30:00"/>
    <x v="3"/>
    <x v="0"/>
    <x v="11"/>
    <x v="0"/>
    <x v="3"/>
    <x v="0"/>
    <s v="Cash"/>
    <b v="1"/>
    <b v="0"/>
    <n v="6.666666666666667"/>
    <n v="0.66666666666666663"/>
    <s v="April"/>
    <s v="Offline"/>
    <n v="10.8"/>
    <n v="19.2"/>
    <b v="0"/>
    <n v="6"/>
    <n v="2"/>
    <x v="1"/>
    <n v="30.286458333333329"/>
  </r>
  <r>
    <s v="ORD930"/>
    <x v="0"/>
    <x v="31"/>
    <d v="2025-04-23T00:00:00"/>
    <d v="1899-12-30T19:15:00"/>
    <d v="2025-04-23T00:00:00"/>
    <d v="1899-12-30T19:45:00"/>
    <x v="3"/>
    <x v="1"/>
    <x v="9"/>
    <x v="1"/>
    <x v="10"/>
    <x v="0"/>
    <s v="UPI"/>
    <b v="1"/>
    <b v="0"/>
    <n v="5.4545454545454541"/>
    <n v="0.72727272727272729"/>
    <s v="April"/>
    <s v="Online"/>
    <n v="13.2"/>
    <n v="16.8"/>
    <b v="0"/>
    <n v="12"/>
    <n v="2"/>
    <x v="3"/>
    <n v="30.259433962264151"/>
  </r>
  <r>
    <s v="ORD931"/>
    <x v="3"/>
    <x v="8"/>
    <d v="2025-04-24T00:00:00"/>
    <d v="1899-12-30T20:30:00"/>
    <d v="2025-04-24T00:00:00"/>
    <d v="1899-12-30T21:00:00"/>
    <x v="3"/>
    <x v="0"/>
    <x v="0"/>
    <x v="2"/>
    <x v="6"/>
    <x v="2"/>
    <s v="Wallet"/>
    <b v="1"/>
    <b v="0"/>
    <n v="7.5"/>
    <n v="0.5"/>
    <s v="April"/>
    <s v="Online"/>
    <n v="9.6"/>
    <n v="20.399999999999999"/>
    <b v="0"/>
    <n v="4"/>
    <n v="1"/>
    <x v="1"/>
    <n v="29.948453608247419"/>
  </r>
  <r>
    <s v="ORD932"/>
    <x v="1"/>
    <x v="38"/>
    <d v="2025-04-25T00:00:00"/>
    <d v="1899-12-30T18:00:00"/>
    <d v="2025-04-25T00:00:00"/>
    <d v="1899-12-30T18:30:00"/>
    <x v="3"/>
    <x v="0"/>
    <x v="10"/>
    <x v="0"/>
    <x v="1"/>
    <x v="0"/>
    <s v="Card"/>
    <b v="1"/>
    <b v="1"/>
    <n v="6"/>
    <n v="0.6"/>
    <s v="April"/>
    <s v="Online"/>
    <n v="12"/>
    <n v="18"/>
    <b v="0"/>
    <n v="6"/>
    <n v="2"/>
    <x v="0"/>
    <n v="28.186274509803919"/>
  </r>
  <r>
    <s v="ORD933"/>
    <x v="2"/>
    <x v="29"/>
    <d v="2025-04-26T00:00:00"/>
    <d v="1899-12-30T19:15:00"/>
    <d v="2025-04-26T00:00:00"/>
    <d v="1899-12-30T19:45:00"/>
    <x v="3"/>
    <x v="3"/>
    <x v="3"/>
    <x v="3"/>
    <x v="7"/>
    <x v="1"/>
    <s v="UPI"/>
    <b v="1"/>
    <b v="1"/>
    <n v="5"/>
    <n v="0.83333333333333337"/>
    <s v="April"/>
    <s v="Online"/>
    <n v="14.4"/>
    <n v="15.6"/>
    <b v="0"/>
    <n v="20"/>
    <n v="3"/>
    <x v="3"/>
    <n v="28.844221105527641"/>
  </r>
  <r>
    <s v="ORD934"/>
    <x v="4"/>
    <x v="30"/>
    <d v="2025-04-27T00:00:00"/>
    <d v="1899-12-30T20:30:00"/>
    <d v="2025-04-27T00:00:00"/>
    <d v="1899-12-30T21:00:00"/>
    <x v="3"/>
    <x v="0"/>
    <x v="11"/>
    <x v="0"/>
    <x v="3"/>
    <x v="0"/>
    <s v="Cash"/>
    <b v="1"/>
    <b v="0"/>
    <n v="6.666666666666667"/>
    <n v="0.66666666666666663"/>
    <s v="April"/>
    <s v="Offline"/>
    <n v="10.8"/>
    <n v="19.2"/>
    <b v="0"/>
    <n v="6"/>
    <n v="2"/>
    <x v="1"/>
    <n v="30.286458333333329"/>
  </r>
  <r>
    <s v="ORD935"/>
    <x v="0"/>
    <x v="31"/>
    <d v="2025-04-28T00:00:00"/>
    <d v="1899-12-30T19:00:00"/>
    <d v="2025-04-28T00:00:00"/>
    <d v="1899-12-30T19:30:00"/>
    <x v="3"/>
    <x v="1"/>
    <x v="9"/>
    <x v="1"/>
    <x v="10"/>
    <x v="0"/>
    <s v="UPI"/>
    <b v="1"/>
    <b v="0"/>
    <n v="5.4545454545454541"/>
    <n v="0.72727272727272729"/>
    <s v="April"/>
    <s v="Online"/>
    <n v="13.2"/>
    <n v="16.8"/>
    <b v="0"/>
    <n v="12"/>
    <n v="2"/>
    <x v="3"/>
    <n v="30.259433962264151"/>
  </r>
  <r>
    <s v="ORD936"/>
    <x v="3"/>
    <x v="8"/>
    <d v="2025-04-29T00:00:00"/>
    <d v="1899-12-30T20:15:00"/>
    <d v="2025-04-29T00:00:00"/>
    <d v="1899-12-30T20:45:00"/>
    <x v="3"/>
    <x v="0"/>
    <x v="0"/>
    <x v="2"/>
    <x v="6"/>
    <x v="2"/>
    <s v="Wallet"/>
    <b v="1"/>
    <b v="0"/>
    <n v="7.5"/>
    <n v="0.5"/>
    <s v="April"/>
    <s v="Online"/>
    <n v="9.6"/>
    <n v="20.399999999999999"/>
    <b v="0"/>
    <n v="4"/>
    <n v="1"/>
    <x v="1"/>
    <n v="29.948453608247419"/>
  </r>
  <r>
    <s v="ORD937"/>
    <x v="1"/>
    <x v="38"/>
    <d v="2025-04-30T00:00:00"/>
    <d v="1899-12-30T18:30:00"/>
    <d v="2025-04-30T00:00:00"/>
    <d v="1899-12-30T19:00:00"/>
    <x v="3"/>
    <x v="0"/>
    <x v="10"/>
    <x v="0"/>
    <x v="1"/>
    <x v="0"/>
    <s v="Card"/>
    <b v="1"/>
    <b v="0"/>
    <n v="6"/>
    <n v="0.6"/>
    <s v="April"/>
    <s v="Online"/>
    <n v="12"/>
    <n v="18"/>
    <b v="0"/>
    <n v="6"/>
    <n v="2"/>
    <x v="0"/>
    <n v="28.186274509803919"/>
  </r>
  <r>
    <s v="ORD938"/>
    <x v="2"/>
    <x v="29"/>
    <d v="2025-05-01T00:00:00"/>
    <d v="1899-12-30T19:45:00"/>
    <d v="2025-05-01T00:00:00"/>
    <d v="1899-12-30T20:15:00"/>
    <x v="3"/>
    <x v="3"/>
    <x v="3"/>
    <x v="3"/>
    <x v="7"/>
    <x v="1"/>
    <s v="UPI"/>
    <b v="1"/>
    <b v="0"/>
    <n v="5"/>
    <n v="0.83333333333333337"/>
    <s v="May"/>
    <s v="Online"/>
    <n v="14.4"/>
    <n v="15.6"/>
    <b v="0"/>
    <n v="20"/>
    <n v="3"/>
    <x v="3"/>
    <n v="28.844221105527641"/>
  </r>
  <r>
    <s v="ORD939"/>
    <x v="4"/>
    <x v="30"/>
    <d v="2025-05-02T00:00:00"/>
    <d v="1899-12-30T20:00:00"/>
    <d v="2025-05-02T00:00:00"/>
    <d v="1899-12-30T20:30:00"/>
    <x v="3"/>
    <x v="0"/>
    <x v="11"/>
    <x v="0"/>
    <x v="3"/>
    <x v="0"/>
    <s v="Cash"/>
    <b v="1"/>
    <b v="1"/>
    <n v="6.666666666666667"/>
    <n v="0.66666666666666663"/>
    <s v="May"/>
    <s v="Offline"/>
    <n v="10.8"/>
    <n v="19.2"/>
    <b v="0"/>
    <n v="6"/>
    <n v="2"/>
    <x v="1"/>
    <n v="30.286458333333329"/>
  </r>
  <r>
    <s v="ORD940"/>
    <x v="0"/>
    <x v="31"/>
    <d v="2025-05-03T00:00:00"/>
    <d v="1899-12-30T19:15:00"/>
    <d v="2025-05-03T00:00:00"/>
    <d v="1899-12-30T19:45:00"/>
    <x v="3"/>
    <x v="1"/>
    <x v="9"/>
    <x v="1"/>
    <x v="10"/>
    <x v="0"/>
    <s v="UPI"/>
    <b v="1"/>
    <b v="1"/>
    <n v="5.4545454545454541"/>
    <n v="0.72727272727272729"/>
    <s v="May"/>
    <s v="Online"/>
    <n v="13.2"/>
    <n v="16.8"/>
    <b v="0"/>
    <n v="12"/>
    <n v="2"/>
    <x v="3"/>
    <n v="30.259433962264151"/>
  </r>
  <r>
    <s v="ORD941"/>
    <x v="3"/>
    <x v="8"/>
    <d v="2025-05-04T00:00:00"/>
    <d v="1899-12-30T20:30:00"/>
    <d v="2025-05-04T00:00:00"/>
    <d v="1899-12-30T21:00:00"/>
    <x v="3"/>
    <x v="0"/>
    <x v="0"/>
    <x v="2"/>
    <x v="6"/>
    <x v="2"/>
    <s v="Wallet"/>
    <b v="1"/>
    <b v="0"/>
    <n v="7.5"/>
    <n v="0.5"/>
    <s v="May"/>
    <s v="Online"/>
    <n v="9.6"/>
    <n v="20.399999999999999"/>
    <b v="0"/>
    <n v="4"/>
    <n v="1"/>
    <x v="1"/>
    <n v="29.948453608247419"/>
  </r>
  <r>
    <s v="ORD942"/>
    <x v="1"/>
    <x v="38"/>
    <d v="2025-05-05T00:00:00"/>
    <d v="1899-12-30T18:00:00"/>
    <d v="2025-05-05T00:00:00"/>
    <d v="1899-12-30T18:30:00"/>
    <x v="3"/>
    <x v="0"/>
    <x v="10"/>
    <x v="0"/>
    <x v="1"/>
    <x v="0"/>
    <s v="Card"/>
    <b v="1"/>
    <b v="0"/>
    <n v="6"/>
    <n v="0.6"/>
    <s v="May"/>
    <s v="Online"/>
    <n v="12"/>
    <n v="18"/>
    <b v="0"/>
    <n v="6"/>
    <n v="2"/>
    <x v="0"/>
    <n v="28.186274509803919"/>
  </r>
  <r>
    <s v="ORD943"/>
    <x v="2"/>
    <x v="29"/>
    <d v="2025-05-06T00:00:00"/>
    <d v="1899-12-30T19:15:00"/>
    <d v="2025-05-06T00:00:00"/>
    <d v="1899-12-30T19:45:00"/>
    <x v="3"/>
    <x v="3"/>
    <x v="3"/>
    <x v="3"/>
    <x v="7"/>
    <x v="1"/>
    <s v="UPI"/>
    <b v="1"/>
    <b v="0"/>
    <n v="5"/>
    <n v="0.83333333333333337"/>
    <s v="May"/>
    <s v="Online"/>
    <n v="14.4"/>
    <n v="15.6"/>
    <b v="0"/>
    <n v="20"/>
    <n v="3"/>
    <x v="3"/>
    <n v="28.844221105527641"/>
  </r>
  <r>
    <s v="ORD944"/>
    <x v="4"/>
    <x v="30"/>
    <d v="2025-05-07T00:00:00"/>
    <d v="1899-12-30T20:30:00"/>
    <d v="2025-05-07T00:00:00"/>
    <d v="1899-12-30T21:00:00"/>
    <x v="3"/>
    <x v="0"/>
    <x v="11"/>
    <x v="0"/>
    <x v="3"/>
    <x v="0"/>
    <s v="Cash"/>
    <b v="1"/>
    <b v="0"/>
    <n v="6.666666666666667"/>
    <n v="0.66666666666666663"/>
    <s v="May"/>
    <s v="Offline"/>
    <n v="10.8"/>
    <n v="19.2"/>
    <b v="0"/>
    <n v="6"/>
    <n v="2"/>
    <x v="1"/>
    <n v="30.286458333333329"/>
  </r>
  <r>
    <s v="ORD945"/>
    <x v="0"/>
    <x v="31"/>
    <d v="2025-05-08T00:00:00"/>
    <d v="1899-12-30T19:00:00"/>
    <d v="2025-05-08T00:00:00"/>
    <d v="1899-12-30T19:30:00"/>
    <x v="3"/>
    <x v="1"/>
    <x v="9"/>
    <x v="1"/>
    <x v="10"/>
    <x v="0"/>
    <s v="UPI"/>
    <b v="1"/>
    <b v="0"/>
    <n v="5.4545454545454541"/>
    <n v="0.72727272727272729"/>
    <s v="May"/>
    <s v="Online"/>
    <n v="13.2"/>
    <n v="16.8"/>
    <b v="0"/>
    <n v="12"/>
    <n v="2"/>
    <x v="3"/>
    <n v="30.259433962264151"/>
  </r>
  <r>
    <s v="ORD946"/>
    <x v="3"/>
    <x v="8"/>
    <d v="2025-05-09T00:00:00"/>
    <d v="1899-12-30T20:15:00"/>
    <d v="2025-05-09T00:00:00"/>
    <d v="1899-12-30T20:45:00"/>
    <x v="3"/>
    <x v="0"/>
    <x v="0"/>
    <x v="2"/>
    <x v="6"/>
    <x v="2"/>
    <s v="Wallet"/>
    <b v="1"/>
    <b v="1"/>
    <n v="7.5"/>
    <n v="0.5"/>
    <s v="May"/>
    <s v="Online"/>
    <n v="9.6"/>
    <n v="20.399999999999999"/>
    <b v="0"/>
    <n v="4"/>
    <n v="1"/>
    <x v="1"/>
    <n v="29.948453608247419"/>
  </r>
  <r>
    <s v="ORD947"/>
    <x v="1"/>
    <x v="38"/>
    <d v="2025-05-10T00:00:00"/>
    <d v="1899-12-30T18:30:00"/>
    <d v="2025-05-10T00:00:00"/>
    <d v="1899-12-30T19:00:00"/>
    <x v="3"/>
    <x v="0"/>
    <x v="10"/>
    <x v="0"/>
    <x v="1"/>
    <x v="0"/>
    <s v="Card"/>
    <b v="1"/>
    <b v="1"/>
    <n v="6"/>
    <n v="0.6"/>
    <s v="May"/>
    <s v="Online"/>
    <n v="12"/>
    <n v="18"/>
    <b v="0"/>
    <n v="6"/>
    <n v="2"/>
    <x v="0"/>
    <n v="28.186274509803919"/>
  </r>
  <r>
    <s v="ORD948"/>
    <x v="2"/>
    <x v="29"/>
    <d v="2025-05-11T00:00:00"/>
    <d v="1899-12-30T19:45:00"/>
    <d v="2025-05-11T00:00:00"/>
    <d v="1899-12-30T20:15:00"/>
    <x v="3"/>
    <x v="3"/>
    <x v="3"/>
    <x v="3"/>
    <x v="7"/>
    <x v="1"/>
    <s v="UPI"/>
    <b v="1"/>
    <b v="0"/>
    <n v="5"/>
    <n v="0.83333333333333337"/>
    <s v="May"/>
    <s v="Online"/>
    <n v="14.4"/>
    <n v="15.6"/>
    <b v="0"/>
    <n v="20"/>
    <n v="3"/>
    <x v="3"/>
    <n v="28.844221105527641"/>
  </r>
  <r>
    <s v="ORD949"/>
    <x v="4"/>
    <x v="30"/>
    <d v="2025-05-12T00:00:00"/>
    <d v="1899-12-30T20:00:00"/>
    <d v="2025-05-12T00:00:00"/>
    <d v="1899-12-30T20:30:00"/>
    <x v="3"/>
    <x v="0"/>
    <x v="11"/>
    <x v="0"/>
    <x v="3"/>
    <x v="0"/>
    <s v="Cash"/>
    <b v="1"/>
    <b v="0"/>
    <n v="6.666666666666667"/>
    <n v="0.66666666666666663"/>
    <s v="May"/>
    <s v="Offline"/>
    <n v="10.8"/>
    <n v="19.2"/>
    <b v="0"/>
    <n v="6"/>
    <n v="2"/>
    <x v="1"/>
    <n v="30.286458333333329"/>
  </r>
  <r>
    <s v="ORD950"/>
    <x v="1"/>
    <x v="38"/>
    <d v="2025-05-13T00:00:00"/>
    <d v="1899-12-30T18:00:00"/>
    <d v="2025-05-13T00:00:00"/>
    <d v="1899-12-30T18:30:00"/>
    <x v="3"/>
    <x v="0"/>
    <x v="10"/>
    <x v="0"/>
    <x v="1"/>
    <x v="0"/>
    <s v="UPI"/>
    <b v="1"/>
    <b v="0"/>
    <n v="6"/>
    <n v="0.6"/>
    <s v="May"/>
    <s v="Online"/>
    <n v="12"/>
    <n v="18"/>
    <b v="0"/>
    <n v="6"/>
    <n v="2"/>
    <x v="0"/>
    <n v="28.186274509803919"/>
  </r>
  <r>
    <s v="ORD951"/>
    <x v="2"/>
    <x v="29"/>
    <d v="2025-05-14T00:00:00"/>
    <d v="1899-12-30T19:15:00"/>
    <d v="2025-05-14T00:00:00"/>
    <d v="1899-12-30T19:45:00"/>
    <x v="3"/>
    <x v="3"/>
    <x v="3"/>
    <x v="3"/>
    <x v="7"/>
    <x v="1"/>
    <s v="Card"/>
    <b v="1"/>
    <b v="0"/>
    <n v="5"/>
    <n v="0.83333333333333337"/>
    <s v="May"/>
    <s v="Online"/>
    <n v="14.4"/>
    <n v="15.6"/>
    <b v="0"/>
    <n v="20"/>
    <n v="3"/>
    <x v="3"/>
    <n v="28.844221105527641"/>
  </r>
  <r>
    <s v="ORD952"/>
    <x v="4"/>
    <x v="30"/>
    <d v="2025-05-15T00:00:00"/>
    <d v="1899-12-30T20:30:00"/>
    <d v="2025-05-15T00:00:00"/>
    <d v="1899-12-30T21:00:00"/>
    <x v="3"/>
    <x v="0"/>
    <x v="11"/>
    <x v="0"/>
    <x v="3"/>
    <x v="0"/>
    <s v="Cash"/>
    <b v="1"/>
    <b v="0"/>
    <n v="6.666666666666667"/>
    <n v="0.66666666666666663"/>
    <s v="May"/>
    <s v="Offline"/>
    <n v="10.8"/>
    <n v="19.2"/>
    <b v="0"/>
    <n v="6"/>
    <n v="2"/>
    <x v="1"/>
    <n v="30.286458333333329"/>
  </r>
  <r>
    <s v="ORD953"/>
    <x v="0"/>
    <x v="31"/>
    <d v="2025-05-16T00:00:00"/>
    <d v="1899-12-30T19:00:00"/>
    <d v="2025-05-16T00:00:00"/>
    <d v="1899-12-30T19:30:00"/>
    <x v="3"/>
    <x v="1"/>
    <x v="9"/>
    <x v="1"/>
    <x v="10"/>
    <x v="0"/>
    <s v="UPI"/>
    <b v="1"/>
    <b v="1"/>
    <n v="5.4545454545454541"/>
    <n v="0.72727272727272729"/>
    <s v="May"/>
    <s v="Online"/>
    <n v="13.2"/>
    <n v="16.8"/>
    <b v="0"/>
    <n v="12"/>
    <n v="2"/>
    <x v="3"/>
    <n v="30.259433962264151"/>
  </r>
  <r>
    <s v="ORD954"/>
    <x v="3"/>
    <x v="8"/>
    <d v="2025-05-17T00:00:00"/>
    <d v="1899-12-30T20:15:00"/>
    <d v="2025-05-17T00:00:00"/>
    <d v="1899-12-30T20:45:00"/>
    <x v="3"/>
    <x v="0"/>
    <x v="0"/>
    <x v="2"/>
    <x v="6"/>
    <x v="2"/>
    <s v="Wallet"/>
    <b v="1"/>
    <b v="1"/>
    <n v="7.5"/>
    <n v="0.5"/>
    <s v="May"/>
    <s v="Online"/>
    <n v="9.6"/>
    <n v="20.399999999999999"/>
    <b v="0"/>
    <n v="4"/>
    <n v="1"/>
    <x v="1"/>
    <n v="29.948453608247419"/>
  </r>
  <r>
    <s v="ORD955"/>
    <x v="1"/>
    <x v="38"/>
    <d v="2025-05-18T00:00:00"/>
    <d v="1899-12-30T18:30:00"/>
    <d v="2025-05-18T00:00:00"/>
    <d v="1899-12-30T19:00:00"/>
    <x v="3"/>
    <x v="0"/>
    <x v="10"/>
    <x v="0"/>
    <x v="1"/>
    <x v="0"/>
    <s v="Card"/>
    <b v="1"/>
    <b v="0"/>
    <n v="6"/>
    <n v="0.6"/>
    <s v="May"/>
    <s v="Online"/>
    <n v="12"/>
    <n v="18"/>
    <b v="0"/>
    <n v="6"/>
    <n v="2"/>
    <x v="0"/>
    <n v="28.186274509803919"/>
  </r>
  <r>
    <s v="ORD956"/>
    <x v="2"/>
    <x v="29"/>
    <d v="2025-05-19T00:00:00"/>
    <d v="1899-12-30T19:45:00"/>
    <d v="2025-05-19T00:00:00"/>
    <d v="1899-12-30T20:15:00"/>
    <x v="3"/>
    <x v="3"/>
    <x v="3"/>
    <x v="3"/>
    <x v="7"/>
    <x v="1"/>
    <s v="UPI"/>
    <b v="1"/>
    <b v="0"/>
    <n v="5"/>
    <n v="0.83333333333333337"/>
    <s v="May"/>
    <s v="Online"/>
    <n v="14.4"/>
    <n v="15.6"/>
    <b v="0"/>
    <n v="20"/>
    <n v="3"/>
    <x v="3"/>
    <n v="28.844221105527641"/>
  </r>
  <r>
    <s v="ORD957"/>
    <x v="4"/>
    <x v="30"/>
    <d v="2025-05-20T00:00:00"/>
    <d v="1899-12-30T20:00:00"/>
    <d v="2025-05-20T00:00:00"/>
    <d v="1899-12-30T20:30:00"/>
    <x v="3"/>
    <x v="0"/>
    <x v="11"/>
    <x v="0"/>
    <x v="3"/>
    <x v="0"/>
    <s v="Cash"/>
    <b v="1"/>
    <b v="0"/>
    <n v="6.666666666666667"/>
    <n v="0.66666666666666663"/>
    <s v="May"/>
    <s v="Offline"/>
    <n v="10.8"/>
    <n v="19.2"/>
    <b v="0"/>
    <n v="6"/>
    <n v="2"/>
    <x v="1"/>
    <n v="30.286458333333329"/>
  </r>
  <r>
    <s v="ORD958"/>
    <x v="0"/>
    <x v="31"/>
    <d v="2025-05-21T00:00:00"/>
    <d v="1899-12-30T19:15:00"/>
    <d v="2025-05-21T00:00:00"/>
    <d v="1899-12-30T19:45:00"/>
    <x v="3"/>
    <x v="1"/>
    <x v="9"/>
    <x v="1"/>
    <x v="10"/>
    <x v="0"/>
    <s v="UPI"/>
    <b v="1"/>
    <b v="0"/>
    <n v="5.4545454545454541"/>
    <n v="0.72727272727272729"/>
    <s v="May"/>
    <s v="Online"/>
    <n v="13.2"/>
    <n v="16.8"/>
    <b v="0"/>
    <n v="12"/>
    <n v="2"/>
    <x v="3"/>
    <n v="30.259433962264151"/>
  </r>
  <r>
    <s v="ORD959"/>
    <x v="3"/>
    <x v="8"/>
    <d v="2025-05-22T00:00:00"/>
    <d v="1899-12-30T20:30:00"/>
    <d v="2025-05-22T00:00:00"/>
    <d v="1899-12-30T21:00:00"/>
    <x v="3"/>
    <x v="0"/>
    <x v="0"/>
    <x v="2"/>
    <x v="6"/>
    <x v="2"/>
    <s v="Wallet"/>
    <b v="1"/>
    <b v="0"/>
    <n v="7.5"/>
    <n v="0.5"/>
    <s v="May"/>
    <s v="Online"/>
    <n v="9.6"/>
    <n v="20.399999999999999"/>
    <b v="0"/>
    <n v="4"/>
    <n v="1"/>
    <x v="1"/>
    <n v="29.948453608247419"/>
  </r>
  <r>
    <s v="ORD960"/>
    <x v="1"/>
    <x v="38"/>
    <d v="2025-05-23T00:00:00"/>
    <d v="1899-12-30T18:00:00"/>
    <d v="2025-05-23T00:00:00"/>
    <d v="1899-12-30T18:30:00"/>
    <x v="3"/>
    <x v="0"/>
    <x v="10"/>
    <x v="0"/>
    <x v="1"/>
    <x v="0"/>
    <s v="UPI"/>
    <b v="1"/>
    <b v="1"/>
    <n v="6"/>
    <n v="0.6"/>
    <s v="May"/>
    <s v="Online"/>
    <n v="12"/>
    <n v="18"/>
    <b v="0"/>
    <n v="6"/>
    <n v="2"/>
    <x v="0"/>
    <n v="28.186274509803919"/>
  </r>
  <r>
    <s v="ORD961"/>
    <x v="2"/>
    <x v="29"/>
    <d v="2025-05-24T00:00:00"/>
    <d v="1899-12-30T19:15:00"/>
    <d v="2025-05-24T00:00:00"/>
    <d v="1899-12-30T19:45:00"/>
    <x v="3"/>
    <x v="3"/>
    <x v="3"/>
    <x v="3"/>
    <x v="7"/>
    <x v="1"/>
    <s v="Card"/>
    <b v="1"/>
    <b v="1"/>
    <n v="5"/>
    <n v="0.83333333333333337"/>
    <s v="May"/>
    <s v="Online"/>
    <n v="14.4"/>
    <n v="15.6"/>
    <b v="0"/>
    <n v="20"/>
    <n v="3"/>
    <x v="3"/>
    <n v="28.844221105527641"/>
  </r>
  <r>
    <s v="ORD962"/>
    <x v="4"/>
    <x v="30"/>
    <d v="2025-05-25T00:00:00"/>
    <d v="1899-12-30T20:30:00"/>
    <d v="2025-05-25T00:00:00"/>
    <d v="1899-12-30T21:00:00"/>
    <x v="3"/>
    <x v="0"/>
    <x v="11"/>
    <x v="0"/>
    <x v="3"/>
    <x v="0"/>
    <s v="Cash"/>
    <b v="1"/>
    <b v="0"/>
    <n v="6.666666666666667"/>
    <n v="0.66666666666666663"/>
    <s v="May"/>
    <s v="Offline"/>
    <n v="10.8"/>
    <n v="19.2"/>
    <b v="0"/>
    <n v="6"/>
    <n v="2"/>
    <x v="1"/>
    <n v="30.286458333333329"/>
  </r>
  <r>
    <s v="ORD963"/>
    <x v="0"/>
    <x v="31"/>
    <d v="2025-05-26T00:00:00"/>
    <d v="1899-12-30T19:00:00"/>
    <d v="2025-05-26T00:00:00"/>
    <d v="1899-12-30T19:30:00"/>
    <x v="3"/>
    <x v="1"/>
    <x v="9"/>
    <x v="1"/>
    <x v="10"/>
    <x v="0"/>
    <s v="UPI"/>
    <b v="1"/>
    <b v="0"/>
    <n v="5.4545454545454541"/>
    <n v="0.72727272727272729"/>
    <s v="May"/>
    <s v="Online"/>
    <n v="13.2"/>
    <n v="16.8"/>
    <b v="0"/>
    <n v="12"/>
    <n v="2"/>
    <x v="3"/>
    <n v="30.259433962264151"/>
  </r>
  <r>
    <s v="ORD964"/>
    <x v="3"/>
    <x v="8"/>
    <d v="2025-05-27T00:00:00"/>
    <d v="1899-12-30T20:15:00"/>
    <d v="2025-05-27T00:00:00"/>
    <d v="1899-12-30T20:45:00"/>
    <x v="3"/>
    <x v="0"/>
    <x v="0"/>
    <x v="2"/>
    <x v="6"/>
    <x v="2"/>
    <s v="Wallet"/>
    <b v="1"/>
    <b v="0"/>
    <n v="7.5"/>
    <n v="0.5"/>
    <s v="May"/>
    <s v="Online"/>
    <n v="9.6"/>
    <n v="20.399999999999999"/>
    <b v="0"/>
    <n v="4"/>
    <n v="1"/>
    <x v="1"/>
    <n v="29.948453608247419"/>
  </r>
  <r>
    <s v="ORD965"/>
    <x v="1"/>
    <x v="38"/>
    <d v="2025-05-28T00:00:00"/>
    <d v="1899-12-30T18:30:00"/>
    <d v="2025-05-28T00:00:00"/>
    <d v="1899-12-30T19:00:00"/>
    <x v="3"/>
    <x v="0"/>
    <x v="10"/>
    <x v="0"/>
    <x v="1"/>
    <x v="0"/>
    <s v="Card"/>
    <b v="1"/>
    <b v="0"/>
    <n v="6"/>
    <n v="0.6"/>
    <s v="May"/>
    <s v="Online"/>
    <n v="12"/>
    <n v="18"/>
    <b v="0"/>
    <n v="6"/>
    <n v="2"/>
    <x v="0"/>
    <n v="28.186274509803919"/>
  </r>
  <r>
    <s v="ORD966"/>
    <x v="2"/>
    <x v="29"/>
    <d v="2025-05-29T00:00:00"/>
    <d v="1899-12-30T19:45:00"/>
    <d v="2025-05-29T00:00:00"/>
    <d v="1899-12-30T20:15:00"/>
    <x v="3"/>
    <x v="3"/>
    <x v="3"/>
    <x v="3"/>
    <x v="7"/>
    <x v="1"/>
    <s v="UPI"/>
    <b v="1"/>
    <b v="0"/>
    <n v="5"/>
    <n v="0.83333333333333337"/>
    <s v="May"/>
    <s v="Online"/>
    <n v="14.4"/>
    <n v="15.6"/>
    <b v="0"/>
    <n v="20"/>
    <n v="3"/>
    <x v="3"/>
    <n v="28.844221105527641"/>
  </r>
  <r>
    <s v="ORD967"/>
    <x v="4"/>
    <x v="30"/>
    <d v="2025-05-30T00:00:00"/>
    <d v="1899-12-30T20:00:00"/>
    <d v="2025-05-30T00:00:00"/>
    <d v="1899-12-30T20:30:00"/>
    <x v="3"/>
    <x v="0"/>
    <x v="11"/>
    <x v="0"/>
    <x v="3"/>
    <x v="0"/>
    <s v="Cash"/>
    <b v="1"/>
    <b v="1"/>
    <n v="6.666666666666667"/>
    <n v="0.66666666666666663"/>
    <s v="May"/>
    <s v="Offline"/>
    <n v="10.8"/>
    <n v="19.2"/>
    <b v="0"/>
    <n v="6"/>
    <n v="2"/>
    <x v="1"/>
    <n v="30.286458333333329"/>
  </r>
  <r>
    <s v="ORD968"/>
    <x v="0"/>
    <x v="31"/>
    <d v="2025-05-31T00:00:00"/>
    <d v="1899-12-30T19:15:00"/>
    <d v="2025-05-31T00:00:00"/>
    <d v="1899-12-30T19:45:00"/>
    <x v="3"/>
    <x v="1"/>
    <x v="9"/>
    <x v="1"/>
    <x v="10"/>
    <x v="0"/>
    <s v="UPI"/>
    <b v="1"/>
    <b v="1"/>
    <n v="5.4545454545454541"/>
    <n v="0.72727272727272729"/>
    <s v="May"/>
    <s v="Online"/>
    <n v="13.2"/>
    <n v="16.8"/>
    <b v="0"/>
    <n v="12"/>
    <n v="2"/>
    <x v="3"/>
    <n v="30.259433962264151"/>
  </r>
  <r>
    <s v="ORD969"/>
    <x v="3"/>
    <x v="8"/>
    <d v="2025-06-01T00:00:00"/>
    <d v="1899-12-30T20:30:00"/>
    <d v="2025-06-01T00:00:00"/>
    <d v="1899-12-30T21:00:00"/>
    <x v="3"/>
    <x v="0"/>
    <x v="0"/>
    <x v="2"/>
    <x v="6"/>
    <x v="2"/>
    <s v="Wallet"/>
    <b v="1"/>
    <b v="0"/>
    <n v="7.5"/>
    <n v="0.5"/>
    <s v="June"/>
    <s v="Online"/>
    <n v="9.6"/>
    <n v="20.399999999999999"/>
    <b v="0"/>
    <n v="4"/>
    <n v="1"/>
    <x v="1"/>
    <n v="29.948453608247419"/>
  </r>
  <r>
    <s v="ORD970"/>
    <x v="1"/>
    <x v="38"/>
    <d v="2025-06-02T00:00:00"/>
    <d v="1899-12-30T18:00:00"/>
    <d v="2025-06-02T00:00:00"/>
    <d v="1899-12-30T18:30:00"/>
    <x v="3"/>
    <x v="0"/>
    <x v="10"/>
    <x v="0"/>
    <x v="1"/>
    <x v="0"/>
    <s v="UPI"/>
    <b v="1"/>
    <b v="0"/>
    <n v="6"/>
    <n v="0.6"/>
    <s v="June"/>
    <s v="Online"/>
    <n v="12"/>
    <n v="18"/>
    <b v="0"/>
    <n v="6"/>
    <n v="2"/>
    <x v="0"/>
    <n v="28.186274509803919"/>
  </r>
  <r>
    <s v="ORD971"/>
    <x v="2"/>
    <x v="29"/>
    <d v="2025-06-03T00:00:00"/>
    <d v="1899-12-30T19:15:00"/>
    <d v="2025-06-03T00:00:00"/>
    <d v="1899-12-30T19:45:00"/>
    <x v="3"/>
    <x v="3"/>
    <x v="3"/>
    <x v="3"/>
    <x v="7"/>
    <x v="1"/>
    <s v="Card"/>
    <b v="1"/>
    <b v="0"/>
    <n v="5"/>
    <n v="0.83333333333333337"/>
    <s v="June"/>
    <s v="Online"/>
    <n v="14.4"/>
    <n v="15.6"/>
    <b v="0"/>
    <n v="20"/>
    <n v="3"/>
    <x v="3"/>
    <n v="28.844221105527641"/>
  </r>
  <r>
    <s v="ORD972"/>
    <x v="4"/>
    <x v="30"/>
    <d v="2025-06-04T00:00:00"/>
    <d v="1899-12-30T20:30:00"/>
    <d v="2025-06-04T00:00:00"/>
    <d v="1899-12-30T21:00:00"/>
    <x v="3"/>
    <x v="0"/>
    <x v="11"/>
    <x v="0"/>
    <x v="3"/>
    <x v="0"/>
    <s v="Cash"/>
    <b v="1"/>
    <b v="0"/>
    <n v="6.666666666666667"/>
    <n v="0.66666666666666663"/>
    <s v="June"/>
    <s v="Offline"/>
    <n v="10.8"/>
    <n v="19.2"/>
    <b v="0"/>
    <n v="6"/>
    <n v="2"/>
    <x v="1"/>
    <n v="30.286458333333329"/>
  </r>
  <r>
    <s v="ORD973"/>
    <x v="0"/>
    <x v="31"/>
    <d v="2025-06-05T00:00:00"/>
    <d v="1899-12-30T19:00:00"/>
    <d v="2025-06-05T00:00:00"/>
    <d v="1899-12-30T19:30:00"/>
    <x v="3"/>
    <x v="1"/>
    <x v="9"/>
    <x v="1"/>
    <x v="10"/>
    <x v="0"/>
    <s v="UPI"/>
    <b v="1"/>
    <b v="0"/>
    <n v="5.4545454545454541"/>
    <n v="0.72727272727272729"/>
    <s v="June"/>
    <s v="Online"/>
    <n v="13.2"/>
    <n v="16.8"/>
    <b v="0"/>
    <n v="12"/>
    <n v="2"/>
    <x v="3"/>
    <n v="30.259433962264151"/>
  </r>
  <r>
    <s v="ORD974"/>
    <x v="3"/>
    <x v="8"/>
    <d v="2025-06-06T00:00:00"/>
    <d v="1899-12-30T20:15:00"/>
    <d v="2025-06-06T00:00:00"/>
    <d v="1899-12-30T20:45:00"/>
    <x v="3"/>
    <x v="0"/>
    <x v="0"/>
    <x v="2"/>
    <x v="6"/>
    <x v="2"/>
    <s v="Wallet"/>
    <b v="1"/>
    <b v="1"/>
    <n v="7.5"/>
    <n v="0.5"/>
    <s v="June"/>
    <s v="Online"/>
    <n v="9.6"/>
    <n v="20.399999999999999"/>
    <b v="0"/>
    <n v="4"/>
    <n v="1"/>
    <x v="1"/>
    <n v="29.948453608247419"/>
  </r>
  <r>
    <s v="ORD975"/>
    <x v="1"/>
    <x v="38"/>
    <d v="2025-06-07T00:00:00"/>
    <d v="1899-12-30T18:30:00"/>
    <d v="2025-06-07T00:00:00"/>
    <d v="1899-12-30T19:00:00"/>
    <x v="3"/>
    <x v="0"/>
    <x v="10"/>
    <x v="0"/>
    <x v="1"/>
    <x v="0"/>
    <s v="Card"/>
    <b v="1"/>
    <b v="1"/>
    <n v="6"/>
    <n v="0.6"/>
    <s v="June"/>
    <s v="Online"/>
    <n v="12"/>
    <n v="18"/>
    <b v="0"/>
    <n v="6"/>
    <n v="2"/>
    <x v="0"/>
    <n v="28.186274509803919"/>
  </r>
  <r>
    <s v="ORD976"/>
    <x v="2"/>
    <x v="29"/>
    <d v="2025-06-08T00:00:00"/>
    <d v="1899-12-30T19:45:00"/>
    <d v="2025-06-08T00:00:00"/>
    <d v="1899-12-30T20:15:00"/>
    <x v="3"/>
    <x v="3"/>
    <x v="3"/>
    <x v="3"/>
    <x v="7"/>
    <x v="1"/>
    <s v="UPI"/>
    <b v="1"/>
    <b v="0"/>
    <n v="5"/>
    <n v="0.83333333333333337"/>
    <s v="June"/>
    <s v="Online"/>
    <n v="14.4"/>
    <n v="15.6"/>
    <b v="0"/>
    <n v="20"/>
    <n v="3"/>
    <x v="3"/>
    <n v="28.844221105527641"/>
  </r>
  <r>
    <s v="ORD977"/>
    <x v="4"/>
    <x v="30"/>
    <d v="2025-06-09T00:00:00"/>
    <d v="1899-12-30T20:00:00"/>
    <d v="2025-06-09T00:00:00"/>
    <d v="1899-12-30T20:30:00"/>
    <x v="3"/>
    <x v="0"/>
    <x v="11"/>
    <x v="0"/>
    <x v="3"/>
    <x v="0"/>
    <s v="Cash"/>
    <b v="1"/>
    <b v="0"/>
    <n v="6.666666666666667"/>
    <n v="0.66666666666666663"/>
    <s v="June"/>
    <s v="Offline"/>
    <n v="10.8"/>
    <n v="19.2"/>
    <b v="0"/>
    <n v="6"/>
    <n v="2"/>
    <x v="1"/>
    <n v="30.286458333333329"/>
  </r>
  <r>
    <s v="ORD978"/>
    <x v="1"/>
    <x v="38"/>
    <d v="2025-06-10T00:00:00"/>
    <d v="1899-12-30T18:00:00"/>
    <d v="2025-06-10T00:00:00"/>
    <d v="1899-12-30T18:30:00"/>
    <x v="3"/>
    <x v="0"/>
    <x v="10"/>
    <x v="0"/>
    <x v="1"/>
    <x v="0"/>
    <s v="UPI"/>
    <b v="1"/>
    <b v="0"/>
    <n v="6"/>
    <n v="0.6"/>
    <s v="June"/>
    <s v="Online"/>
    <n v="12"/>
    <n v="18"/>
    <b v="0"/>
    <n v="6"/>
    <n v="2"/>
    <x v="0"/>
    <n v="28.186274509803919"/>
  </r>
  <r>
    <s v="ORD979"/>
    <x v="2"/>
    <x v="29"/>
    <d v="2025-06-11T00:00:00"/>
    <d v="1899-12-30T19:15:00"/>
    <d v="2025-06-11T00:00:00"/>
    <d v="1899-12-30T19:45:00"/>
    <x v="3"/>
    <x v="3"/>
    <x v="3"/>
    <x v="3"/>
    <x v="7"/>
    <x v="1"/>
    <s v="Card"/>
    <b v="1"/>
    <b v="0"/>
    <n v="5"/>
    <n v="0.83333333333333337"/>
    <s v="June"/>
    <s v="Online"/>
    <n v="14.4"/>
    <n v="15.6"/>
    <b v="0"/>
    <n v="20"/>
    <n v="3"/>
    <x v="3"/>
    <n v="28.844221105527641"/>
  </r>
  <r>
    <s v="ORD980"/>
    <x v="4"/>
    <x v="30"/>
    <d v="2025-06-12T00:00:00"/>
    <d v="1899-12-30T20:30:00"/>
    <d v="2025-06-12T00:00:00"/>
    <d v="1899-12-30T21:00:00"/>
    <x v="3"/>
    <x v="0"/>
    <x v="11"/>
    <x v="0"/>
    <x v="3"/>
    <x v="0"/>
    <s v="Cash"/>
    <b v="1"/>
    <b v="0"/>
    <n v="6.666666666666667"/>
    <n v="0.66666666666666663"/>
    <s v="June"/>
    <s v="Offline"/>
    <n v="10.8"/>
    <n v="19.2"/>
    <b v="0"/>
    <n v="6"/>
    <n v="2"/>
    <x v="1"/>
    <n v="30.286458333333329"/>
  </r>
  <r>
    <s v="ORD981"/>
    <x v="0"/>
    <x v="31"/>
    <d v="2025-06-13T00:00:00"/>
    <d v="1899-12-30T19:00:00"/>
    <d v="2025-06-13T00:00:00"/>
    <d v="1899-12-30T19:30:00"/>
    <x v="3"/>
    <x v="1"/>
    <x v="9"/>
    <x v="1"/>
    <x v="10"/>
    <x v="0"/>
    <s v="UPI"/>
    <b v="1"/>
    <b v="1"/>
    <n v="5.4545454545454541"/>
    <n v="0.72727272727272729"/>
    <s v="June"/>
    <s v="Online"/>
    <n v="13.2"/>
    <n v="16.8"/>
    <b v="0"/>
    <n v="12"/>
    <n v="2"/>
    <x v="3"/>
    <n v="30.259433962264151"/>
  </r>
  <r>
    <s v="ORD982"/>
    <x v="3"/>
    <x v="8"/>
    <d v="2025-06-14T00:00:00"/>
    <d v="1899-12-30T20:15:00"/>
    <d v="2025-06-14T00:00:00"/>
    <d v="1899-12-30T20:45:00"/>
    <x v="3"/>
    <x v="0"/>
    <x v="0"/>
    <x v="2"/>
    <x v="6"/>
    <x v="2"/>
    <s v="Wallet"/>
    <b v="1"/>
    <b v="1"/>
    <n v="7.5"/>
    <n v="0.5"/>
    <s v="June"/>
    <s v="Online"/>
    <n v="9.6"/>
    <n v="20.399999999999999"/>
    <b v="0"/>
    <n v="4"/>
    <n v="1"/>
    <x v="1"/>
    <n v="29.948453608247419"/>
  </r>
  <r>
    <s v="ORD983"/>
    <x v="1"/>
    <x v="38"/>
    <d v="2025-06-15T00:00:00"/>
    <d v="1899-12-30T18:30:00"/>
    <d v="2025-06-15T00:00:00"/>
    <d v="1899-12-30T19:00:00"/>
    <x v="3"/>
    <x v="0"/>
    <x v="10"/>
    <x v="0"/>
    <x v="1"/>
    <x v="0"/>
    <s v="Card"/>
    <b v="1"/>
    <b v="0"/>
    <n v="6"/>
    <n v="0.6"/>
    <s v="June"/>
    <s v="Online"/>
    <n v="12"/>
    <n v="18"/>
    <b v="0"/>
    <n v="6"/>
    <n v="2"/>
    <x v="0"/>
    <n v="28.186274509803919"/>
  </r>
  <r>
    <s v="ORD984"/>
    <x v="2"/>
    <x v="29"/>
    <d v="2025-06-16T00:00:00"/>
    <d v="1899-12-30T19:45:00"/>
    <d v="2025-06-16T00:00:00"/>
    <d v="1899-12-30T20:15:00"/>
    <x v="3"/>
    <x v="3"/>
    <x v="3"/>
    <x v="3"/>
    <x v="7"/>
    <x v="1"/>
    <s v="UPI"/>
    <b v="1"/>
    <b v="0"/>
    <n v="5"/>
    <n v="0.83333333333333337"/>
    <s v="June"/>
    <s v="Online"/>
    <n v="14.4"/>
    <n v="15.6"/>
    <b v="0"/>
    <n v="20"/>
    <n v="3"/>
    <x v="3"/>
    <n v="28.844221105527641"/>
  </r>
  <r>
    <s v="ORD985"/>
    <x v="4"/>
    <x v="30"/>
    <d v="2025-06-17T00:00:00"/>
    <d v="1899-12-30T20:00:00"/>
    <d v="2025-06-17T00:00:00"/>
    <d v="1899-12-30T20:30:00"/>
    <x v="3"/>
    <x v="0"/>
    <x v="11"/>
    <x v="0"/>
    <x v="3"/>
    <x v="0"/>
    <s v="Cash"/>
    <b v="1"/>
    <b v="0"/>
    <n v="6.666666666666667"/>
    <n v="0.66666666666666663"/>
    <s v="June"/>
    <s v="Offline"/>
    <n v="10.8"/>
    <n v="19.2"/>
    <b v="0"/>
    <n v="6"/>
    <n v="2"/>
    <x v="1"/>
    <n v="30.286458333333329"/>
  </r>
  <r>
    <s v="ORD986"/>
    <x v="0"/>
    <x v="31"/>
    <d v="2025-06-18T00:00:00"/>
    <d v="1899-12-30T19:15:00"/>
    <d v="2025-06-18T00:00:00"/>
    <d v="1899-12-30T19:45:00"/>
    <x v="3"/>
    <x v="1"/>
    <x v="9"/>
    <x v="1"/>
    <x v="10"/>
    <x v="0"/>
    <s v="UPI"/>
    <b v="1"/>
    <b v="0"/>
    <n v="5.4545454545454541"/>
    <n v="0.72727272727272729"/>
    <s v="June"/>
    <s v="Online"/>
    <n v="13.2"/>
    <n v="16.8"/>
    <b v="0"/>
    <n v="12"/>
    <n v="2"/>
    <x v="3"/>
    <n v="30.259433962264151"/>
  </r>
  <r>
    <s v="ORD987"/>
    <x v="3"/>
    <x v="8"/>
    <d v="2025-06-19T00:00:00"/>
    <d v="1899-12-30T20:30:00"/>
    <d v="2025-06-19T00:00:00"/>
    <d v="1899-12-30T21:00:00"/>
    <x v="3"/>
    <x v="0"/>
    <x v="0"/>
    <x v="2"/>
    <x v="6"/>
    <x v="2"/>
    <s v="Wallet"/>
    <b v="1"/>
    <b v="0"/>
    <n v="7.5"/>
    <n v="0.5"/>
    <s v="June"/>
    <s v="Online"/>
    <n v="9.6"/>
    <n v="20.399999999999999"/>
    <b v="0"/>
    <n v="4"/>
    <n v="1"/>
    <x v="1"/>
    <n v="29.948453608247419"/>
  </r>
  <r>
    <s v="ORD988"/>
    <x v="1"/>
    <x v="38"/>
    <d v="2025-06-20T00:00:00"/>
    <d v="1899-12-30T18:00:00"/>
    <d v="2025-06-20T00:00:00"/>
    <d v="1899-12-30T18:30:00"/>
    <x v="3"/>
    <x v="0"/>
    <x v="10"/>
    <x v="0"/>
    <x v="1"/>
    <x v="0"/>
    <s v="UPI"/>
    <b v="1"/>
    <b v="1"/>
    <n v="6"/>
    <n v="0.6"/>
    <s v="June"/>
    <s v="Online"/>
    <n v="12"/>
    <n v="18"/>
    <b v="0"/>
    <n v="6"/>
    <n v="2"/>
    <x v="0"/>
    <n v="28.186274509803919"/>
  </r>
  <r>
    <s v="ORD989"/>
    <x v="2"/>
    <x v="29"/>
    <d v="2025-06-21T00:00:00"/>
    <d v="1899-12-30T19:15:00"/>
    <d v="2025-06-21T00:00:00"/>
    <d v="1899-12-30T19:45:00"/>
    <x v="3"/>
    <x v="3"/>
    <x v="3"/>
    <x v="3"/>
    <x v="7"/>
    <x v="1"/>
    <s v="Card"/>
    <b v="1"/>
    <b v="1"/>
    <n v="5"/>
    <n v="0.83333333333333337"/>
    <s v="June"/>
    <s v="Online"/>
    <n v="14.4"/>
    <n v="15.6"/>
    <b v="0"/>
    <n v="20"/>
    <n v="3"/>
    <x v="3"/>
    <n v="28.844221105527641"/>
  </r>
  <r>
    <s v="ORD990"/>
    <x v="4"/>
    <x v="30"/>
    <d v="2025-06-22T00:00:00"/>
    <d v="1899-12-30T20:30:00"/>
    <d v="2025-06-22T00:00:00"/>
    <d v="1899-12-30T21:00:00"/>
    <x v="3"/>
    <x v="0"/>
    <x v="11"/>
    <x v="0"/>
    <x v="3"/>
    <x v="0"/>
    <s v="Cash"/>
    <b v="1"/>
    <b v="0"/>
    <n v="6.666666666666667"/>
    <n v="0.66666666666666663"/>
    <s v="June"/>
    <s v="Offline"/>
    <n v="10.8"/>
    <n v="19.2"/>
    <b v="0"/>
    <n v="6"/>
    <n v="2"/>
    <x v="1"/>
    <n v="30.286458333333329"/>
  </r>
  <r>
    <s v="ORD991"/>
    <x v="0"/>
    <x v="31"/>
    <d v="2025-06-23T00:00:00"/>
    <d v="1899-12-30T19:00:00"/>
    <d v="2025-06-23T00:00:00"/>
    <d v="1899-12-30T19:30:00"/>
    <x v="3"/>
    <x v="1"/>
    <x v="9"/>
    <x v="1"/>
    <x v="10"/>
    <x v="0"/>
    <s v="UPI"/>
    <b v="1"/>
    <b v="0"/>
    <n v="5.4545454545454541"/>
    <n v="0.72727272727272729"/>
    <s v="June"/>
    <s v="Online"/>
    <n v="13.2"/>
    <n v="16.8"/>
    <b v="0"/>
    <n v="12"/>
    <n v="2"/>
    <x v="3"/>
    <n v="30.259433962264151"/>
  </r>
  <r>
    <s v="ORD992"/>
    <x v="3"/>
    <x v="8"/>
    <d v="2025-06-24T00:00:00"/>
    <d v="1899-12-30T20:15:00"/>
    <d v="2025-06-24T00:00:00"/>
    <d v="1899-12-30T20:45:00"/>
    <x v="3"/>
    <x v="0"/>
    <x v="0"/>
    <x v="2"/>
    <x v="6"/>
    <x v="2"/>
    <s v="Wallet"/>
    <b v="1"/>
    <b v="0"/>
    <n v="7.5"/>
    <n v="0.5"/>
    <s v="June"/>
    <s v="Online"/>
    <n v="9.6"/>
    <n v="20.399999999999999"/>
    <b v="0"/>
    <n v="4"/>
    <n v="1"/>
    <x v="1"/>
    <n v="29.948453608247419"/>
  </r>
  <r>
    <s v="ORD993"/>
    <x v="1"/>
    <x v="38"/>
    <d v="2025-06-25T00:00:00"/>
    <d v="1899-12-30T18:30:00"/>
    <d v="2025-06-25T00:00:00"/>
    <d v="1899-12-30T19:00:00"/>
    <x v="3"/>
    <x v="0"/>
    <x v="10"/>
    <x v="0"/>
    <x v="1"/>
    <x v="0"/>
    <s v="Card"/>
    <b v="1"/>
    <b v="0"/>
    <n v="6"/>
    <n v="0.6"/>
    <s v="June"/>
    <s v="Online"/>
    <n v="12"/>
    <n v="18"/>
    <b v="0"/>
    <n v="6"/>
    <n v="2"/>
    <x v="0"/>
    <n v="28.186274509803919"/>
  </r>
  <r>
    <s v="ORD994"/>
    <x v="2"/>
    <x v="29"/>
    <d v="2025-06-26T00:00:00"/>
    <d v="1899-12-30T19:45:00"/>
    <d v="2025-06-26T00:00:00"/>
    <d v="1899-12-30T20:15:00"/>
    <x v="3"/>
    <x v="3"/>
    <x v="3"/>
    <x v="3"/>
    <x v="7"/>
    <x v="1"/>
    <s v="UPI"/>
    <b v="1"/>
    <b v="0"/>
    <n v="5"/>
    <n v="0.83333333333333337"/>
    <s v="June"/>
    <s v="Online"/>
    <n v="14.4"/>
    <n v="15.6"/>
    <b v="0"/>
    <n v="20"/>
    <n v="3"/>
    <x v="3"/>
    <n v="28.844221105527641"/>
  </r>
  <r>
    <s v="ORD995"/>
    <x v="4"/>
    <x v="30"/>
    <d v="2025-06-27T00:00:00"/>
    <d v="1899-12-30T20:00:00"/>
    <d v="2025-06-27T00:00:00"/>
    <d v="1899-12-30T20:30:00"/>
    <x v="3"/>
    <x v="0"/>
    <x v="11"/>
    <x v="0"/>
    <x v="3"/>
    <x v="0"/>
    <s v="Cash"/>
    <b v="1"/>
    <b v="1"/>
    <n v="6.666666666666667"/>
    <n v="0.66666666666666663"/>
    <s v="June"/>
    <s v="Offline"/>
    <n v="10.8"/>
    <n v="19.2"/>
    <b v="0"/>
    <n v="6"/>
    <n v="2"/>
    <x v="1"/>
    <n v="30.286458333333329"/>
  </r>
  <r>
    <s v="ORD996"/>
    <x v="0"/>
    <x v="31"/>
    <d v="2025-06-28T00:00:00"/>
    <d v="1899-12-30T19:15:00"/>
    <d v="2025-06-28T00:00:00"/>
    <d v="1899-12-30T19:45:00"/>
    <x v="3"/>
    <x v="1"/>
    <x v="9"/>
    <x v="1"/>
    <x v="10"/>
    <x v="0"/>
    <s v="UPI"/>
    <b v="1"/>
    <b v="1"/>
    <n v="5.4545454545454541"/>
    <n v="0.72727272727272729"/>
    <s v="June"/>
    <s v="Online"/>
    <n v="13.2"/>
    <n v="16.8"/>
    <b v="0"/>
    <n v="12"/>
    <n v="2"/>
    <x v="3"/>
    <n v="30.259433962264151"/>
  </r>
  <r>
    <s v="ORD997"/>
    <x v="3"/>
    <x v="8"/>
    <d v="2025-06-29T00:00:00"/>
    <d v="1899-12-30T20:30:00"/>
    <d v="2025-06-29T00:00:00"/>
    <d v="1899-12-30T21:00:00"/>
    <x v="3"/>
    <x v="0"/>
    <x v="0"/>
    <x v="2"/>
    <x v="6"/>
    <x v="2"/>
    <s v="Wallet"/>
    <b v="1"/>
    <b v="0"/>
    <n v="7.5"/>
    <n v="0.5"/>
    <s v="June"/>
    <s v="Online"/>
    <n v="9.6"/>
    <n v="20.399999999999999"/>
    <b v="0"/>
    <n v="4"/>
    <n v="1"/>
    <x v="1"/>
    <n v="29.948453608247419"/>
  </r>
  <r>
    <s v="ORD998"/>
    <x v="1"/>
    <x v="38"/>
    <d v="2025-06-30T00:00:00"/>
    <d v="1899-12-30T18:00:00"/>
    <d v="2025-06-30T00:00:00"/>
    <d v="1899-12-30T18:30:00"/>
    <x v="3"/>
    <x v="0"/>
    <x v="10"/>
    <x v="0"/>
    <x v="1"/>
    <x v="0"/>
    <s v="UPI"/>
    <b v="1"/>
    <b v="0"/>
    <n v="6"/>
    <n v="0.6"/>
    <s v="June"/>
    <s v="Online"/>
    <n v="12"/>
    <n v="18"/>
    <b v="0"/>
    <n v="6"/>
    <n v="2"/>
    <x v="0"/>
    <n v="28.186274509803919"/>
  </r>
  <r>
    <s v="ORD999"/>
    <x v="2"/>
    <x v="29"/>
    <d v="2025-07-01T00:00:00"/>
    <d v="1899-12-30T19:15:00"/>
    <d v="2025-07-01T00:00:00"/>
    <d v="1899-12-30T19:45:00"/>
    <x v="3"/>
    <x v="3"/>
    <x v="3"/>
    <x v="3"/>
    <x v="7"/>
    <x v="1"/>
    <s v="Card"/>
    <b v="1"/>
    <b v="0"/>
    <n v="5"/>
    <n v="0.83333333333333337"/>
    <s v="July"/>
    <s v="Online"/>
    <n v="14.4"/>
    <n v="15.6"/>
    <b v="0"/>
    <n v="20"/>
    <n v="3"/>
    <x v="3"/>
    <n v="28.844221105527641"/>
  </r>
  <r>
    <s v="ORD1000"/>
    <x v="4"/>
    <x v="30"/>
    <d v="2025-07-02T00:00:00"/>
    <d v="1899-12-30T20:30:00"/>
    <d v="2025-07-02T00:00:00"/>
    <d v="1899-12-30T21:00:00"/>
    <x v="3"/>
    <x v="0"/>
    <x v="11"/>
    <x v="0"/>
    <x v="3"/>
    <x v="0"/>
    <s v="Cash"/>
    <b v="1"/>
    <b v="0"/>
    <n v="6.666666666666667"/>
    <n v="0.66666666666666663"/>
    <s v="July"/>
    <s v="Offline"/>
    <n v="10.8"/>
    <n v="19.2"/>
    <b v="0"/>
    <n v="6"/>
    <n v="2"/>
    <x v="1"/>
    <n v="30.286458333333329"/>
  </r>
  <r>
    <s v="ORD1001"/>
    <x v="0"/>
    <x v="31"/>
    <d v="2025-07-03T00:00:00"/>
    <d v="1899-12-30T19:00:00"/>
    <d v="2025-07-03T00:00:00"/>
    <d v="1899-12-30T19:30:00"/>
    <x v="3"/>
    <x v="1"/>
    <x v="9"/>
    <x v="1"/>
    <x v="10"/>
    <x v="0"/>
    <s v="UPI"/>
    <b v="1"/>
    <b v="0"/>
    <n v="5.4545454545454541"/>
    <n v="0.72727272727272729"/>
    <s v="July"/>
    <s v="Online"/>
    <n v="13.2"/>
    <n v="16.8"/>
    <b v="0"/>
    <n v="12"/>
    <n v="2"/>
    <x v="3"/>
    <n v="30.259433962264151"/>
  </r>
  <r>
    <s v="ORD1002"/>
    <x v="3"/>
    <x v="8"/>
    <d v="2025-07-04T00:00:00"/>
    <d v="1899-12-30T20:15:00"/>
    <d v="2025-07-04T00:00:00"/>
    <d v="1899-12-30T20:45:00"/>
    <x v="3"/>
    <x v="0"/>
    <x v="0"/>
    <x v="2"/>
    <x v="6"/>
    <x v="2"/>
    <s v="Wallet"/>
    <b v="1"/>
    <b v="1"/>
    <n v="7.5"/>
    <n v="0.5"/>
    <s v="July"/>
    <s v="Online"/>
    <n v="9.6"/>
    <n v="20.399999999999999"/>
    <b v="0"/>
    <n v="4"/>
    <n v="1"/>
    <x v="1"/>
    <n v="29.948453608247419"/>
  </r>
  <r>
    <s v="ORD1003"/>
    <x v="1"/>
    <x v="38"/>
    <d v="2025-07-05T00:00:00"/>
    <d v="1899-12-30T18:30:00"/>
    <d v="2025-07-05T00:00:00"/>
    <d v="1899-12-30T19:00:00"/>
    <x v="3"/>
    <x v="0"/>
    <x v="10"/>
    <x v="0"/>
    <x v="1"/>
    <x v="0"/>
    <s v="Card"/>
    <b v="1"/>
    <b v="1"/>
    <n v="6"/>
    <n v="0.6"/>
    <s v="July"/>
    <s v="Online"/>
    <n v="12"/>
    <n v="18"/>
    <b v="0"/>
    <n v="6"/>
    <n v="2"/>
    <x v="0"/>
    <n v="28.186274509803919"/>
  </r>
  <r>
    <s v="ORD1004"/>
    <x v="2"/>
    <x v="29"/>
    <d v="2025-07-06T00:00:00"/>
    <d v="1899-12-30T19:45:00"/>
    <d v="2025-07-06T00:00:00"/>
    <d v="1899-12-30T20:15:00"/>
    <x v="3"/>
    <x v="3"/>
    <x v="3"/>
    <x v="3"/>
    <x v="7"/>
    <x v="1"/>
    <s v="UPI"/>
    <b v="1"/>
    <b v="0"/>
    <n v="5"/>
    <n v="0.83333333333333337"/>
    <s v="July"/>
    <s v="Online"/>
    <n v="14.4"/>
    <n v="15.6"/>
    <b v="0"/>
    <n v="20"/>
    <n v="3"/>
    <x v="3"/>
    <n v="28.844221105527641"/>
  </r>
  <r>
    <s v="ORD1005"/>
    <x v="4"/>
    <x v="30"/>
    <d v="2025-07-07T00:00:00"/>
    <d v="1899-12-30T20:00:00"/>
    <d v="2025-07-07T00:00:00"/>
    <d v="1899-12-30T20:30:00"/>
    <x v="3"/>
    <x v="0"/>
    <x v="11"/>
    <x v="0"/>
    <x v="3"/>
    <x v="0"/>
    <s v="UPI"/>
    <b v="1"/>
    <b v="0"/>
    <n v="6.666666666666667"/>
    <n v="0.66666666666666663"/>
    <s v="July"/>
    <s v="Online"/>
    <n v="10.8"/>
    <n v="19.2"/>
    <b v="0"/>
    <n v="6"/>
    <n v="2"/>
    <x v="1"/>
    <n v="30.2864583333333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5">
  <r>
    <x v="0"/>
    <x v="0"/>
    <s v="New York, NY"/>
    <d v="2024-01-05T00:00:00"/>
    <d v="1899-12-30T18:30:00"/>
    <d v="2024-01-05T00:00:00"/>
    <d v="1899-12-30T18:45:00"/>
    <x v="0"/>
    <s v="Medium"/>
    <s v="Veg"/>
    <n v="3"/>
    <n v="2.5"/>
    <s v="Medium"/>
    <s v="Card"/>
    <x v="0"/>
    <x v="0"/>
    <n v="6"/>
    <n v="1.2"/>
    <x v="0"/>
    <s v="Online"/>
    <n v="6"/>
    <n v="9"/>
    <x v="0"/>
    <n v="6"/>
    <n v="2"/>
    <x v="0"/>
    <n v="30.259433962264151"/>
  </r>
  <r>
    <x v="1"/>
    <x v="1"/>
    <s v="Los Angeles, CA"/>
    <d v="2024-02-14T00:00:00"/>
    <d v="1899-12-30T20:00:00"/>
    <d v="2024-02-14T00:00:00"/>
    <d v="1899-12-30T20:25:00"/>
    <x v="1"/>
    <s v="Large"/>
    <s v="Non-Veg"/>
    <n v="4"/>
    <n v="5"/>
    <s v="High"/>
    <s v="Wallet"/>
    <x v="0"/>
    <x v="0"/>
    <n v="5"/>
    <n v="0.8"/>
    <x v="1"/>
    <s v="Online"/>
    <n v="12"/>
    <n v="13"/>
    <x v="0"/>
    <n v="12"/>
    <n v="3"/>
    <x v="1"/>
    <n v="28.186274509803919"/>
  </r>
  <r>
    <x v="2"/>
    <x v="2"/>
    <s v="Chicago, IL"/>
    <d v="2024-03-21T00:00:00"/>
    <d v="1899-12-30T12:15:00"/>
    <d v="2024-03-21T00:00:00"/>
    <d v="1899-12-30T12:35:00"/>
    <x v="2"/>
    <s v="Small"/>
    <s v="Vegan"/>
    <n v="2"/>
    <n v="3"/>
    <s v="Low"/>
    <s v="UPI"/>
    <x v="1"/>
    <x v="0"/>
    <n v="6.666666666666667"/>
    <n v="0.66666666666666663"/>
    <x v="2"/>
    <s v="Online"/>
    <n v="7.1999999999999993"/>
    <n v="12.8"/>
    <x v="0"/>
    <n v="2"/>
    <n v="1"/>
    <x v="2"/>
    <n v="28.844221105527641"/>
  </r>
  <r>
    <x v="3"/>
    <x v="3"/>
    <s v="Miami, FL"/>
    <d v="2024-04-10T00:00:00"/>
    <d v="1899-12-30T19:45:00"/>
    <d v="2024-04-10T00:00:00"/>
    <d v="1899-12-30T20:10:00"/>
    <x v="1"/>
    <s v="XL"/>
    <s v="Cheese Burst"/>
    <n v="5"/>
    <n v="4.5"/>
    <s v="Medium"/>
    <s v="Cash"/>
    <x v="0"/>
    <x v="0"/>
    <n v="5.5555555555555554"/>
    <n v="1.1111111111111109"/>
    <x v="3"/>
    <s v="Offline"/>
    <n v="10.8"/>
    <n v="14.2"/>
    <x v="0"/>
    <n v="20"/>
    <n v="2"/>
    <x v="3"/>
    <n v="29.948453608247419"/>
  </r>
  <r>
    <x v="4"/>
    <x v="4"/>
    <s v="Dallas, TX"/>
    <d v="2024-05-05T00:00:00"/>
    <d v="1899-12-30T13:00:00"/>
    <d v="2024-05-05T00:00:00"/>
    <d v="1899-12-30T13:20:00"/>
    <x v="2"/>
    <s v="Medium"/>
    <s v="Non-Veg"/>
    <n v="3"/>
    <n v="2"/>
    <s v="High"/>
    <s v="Card"/>
    <x v="1"/>
    <x v="1"/>
    <n v="10"/>
    <n v="1.5"/>
    <x v="4"/>
    <s v="Online"/>
    <n v="4.8"/>
    <n v="15.2"/>
    <x v="0"/>
    <n v="6"/>
    <n v="3"/>
    <x v="4"/>
    <n v="30.286458333333329"/>
  </r>
  <r>
    <x v="5"/>
    <x v="0"/>
    <s v="New York, NY"/>
    <d v="2024-01-06T00:00:00"/>
    <d v="1899-12-30T19:00:00"/>
    <d v="2024-01-06T00:00:00"/>
    <d v="1899-12-30T19:20:00"/>
    <x v="2"/>
    <s v="Medium"/>
    <s v="Non-Veg"/>
    <n v="3"/>
    <n v="3"/>
    <s v="High"/>
    <s v="Card"/>
    <x v="0"/>
    <x v="1"/>
    <n v="6.666666666666667"/>
    <n v="1"/>
    <x v="0"/>
    <s v="Online"/>
    <n v="7.1999999999999993"/>
    <n v="12.8"/>
    <x v="0"/>
    <n v="6"/>
    <n v="3"/>
    <x v="3"/>
    <n v="30.259433962264151"/>
  </r>
  <r>
    <x v="6"/>
    <x v="1"/>
    <s v="Los Angeles, CA"/>
    <d v="2024-01-07T00:00:00"/>
    <d v="1899-12-30T20:15:00"/>
    <d v="2024-01-07T00:00:00"/>
    <d v="1899-12-30T20:40:00"/>
    <x v="1"/>
    <s v="Large"/>
    <s v="Veg"/>
    <n v="4"/>
    <n v="4.5"/>
    <s v="Medium"/>
    <s v="UPI"/>
    <x v="0"/>
    <x v="1"/>
    <n v="5.5555555555555554"/>
    <n v="0.88888888888888884"/>
    <x v="0"/>
    <s v="Online"/>
    <n v="10.8"/>
    <n v="14.2"/>
    <x v="0"/>
    <n v="12"/>
    <n v="2"/>
    <x v="1"/>
    <n v="28.186274509803919"/>
  </r>
  <r>
    <x v="7"/>
    <x v="2"/>
    <s v="Chicago, IL"/>
    <d v="2024-01-08T00:00:00"/>
    <d v="1899-12-30T18:30:00"/>
    <d v="2024-01-08T00:00:00"/>
    <d v="1899-12-30T18:50:00"/>
    <x v="2"/>
    <s v="Small"/>
    <s v="Vegan"/>
    <n v="2"/>
    <n v="2"/>
    <s v="Low"/>
    <s v="Cash"/>
    <x v="0"/>
    <x v="0"/>
    <n v="10"/>
    <n v="1"/>
    <x v="0"/>
    <s v="Offline"/>
    <n v="4.8"/>
    <n v="15.2"/>
    <x v="0"/>
    <n v="2"/>
    <n v="1"/>
    <x v="0"/>
    <n v="28.844221105527641"/>
  </r>
  <r>
    <x v="8"/>
    <x v="3"/>
    <s v="Miami, FL"/>
    <d v="2024-01-09T00:00:00"/>
    <d v="1899-12-30T19:45:00"/>
    <d v="2024-01-09T00:00:00"/>
    <d v="1899-12-30T20:10:00"/>
    <x v="1"/>
    <s v="XL"/>
    <s v="Cheese Burst"/>
    <n v="5"/>
    <n v="5"/>
    <s v="High"/>
    <s v="Wallet"/>
    <x v="0"/>
    <x v="0"/>
    <n v="5"/>
    <n v="1"/>
    <x v="0"/>
    <s v="Online"/>
    <n v="12"/>
    <n v="13"/>
    <x v="0"/>
    <n v="20"/>
    <n v="3"/>
    <x v="3"/>
    <n v="29.948453608247419"/>
  </r>
  <r>
    <x v="9"/>
    <x v="4"/>
    <s v="Dallas, TX"/>
    <d v="2024-01-10T00:00:00"/>
    <d v="1899-12-30T13:00:00"/>
    <d v="2024-01-10T00:00:00"/>
    <d v="1899-12-30T13:20:00"/>
    <x v="2"/>
    <s v="Medium"/>
    <s v="Non-Veg"/>
    <n v="3"/>
    <n v="3.5"/>
    <s v="Medium"/>
    <s v="Card"/>
    <x v="1"/>
    <x v="0"/>
    <n v="5.7142857142857144"/>
    <n v="0.8571428571428571"/>
    <x v="0"/>
    <s v="Online"/>
    <n v="8.4"/>
    <n v="11.6"/>
    <x v="0"/>
    <n v="6"/>
    <n v="2"/>
    <x v="4"/>
    <n v="30.286458333333329"/>
  </r>
  <r>
    <x v="10"/>
    <x v="0"/>
    <s v="San Francisco, CA"/>
    <d v="2024-01-11T00:00:00"/>
    <d v="1899-12-30T17:30:00"/>
    <d v="2024-01-11T00:00:00"/>
    <d v="1899-12-30T17:50:00"/>
    <x v="2"/>
    <s v="Large"/>
    <s v="Veg"/>
    <n v="4"/>
    <n v="4"/>
    <s v="Low"/>
    <s v="UPI"/>
    <x v="1"/>
    <x v="0"/>
    <n v="5"/>
    <n v="1"/>
    <x v="0"/>
    <s v="Online"/>
    <n v="9.6"/>
    <n v="10.4"/>
    <x v="0"/>
    <n v="12"/>
    <n v="1"/>
    <x v="5"/>
    <n v="30.259433962264151"/>
  </r>
  <r>
    <x v="11"/>
    <x v="1"/>
    <s v="Houston, TX"/>
    <d v="2024-01-12T00:00:00"/>
    <d v="1899-12-30T19:00:00"/>
    <d v="2024-01-12T00:00:00"/>
    <d v="1899-12-30T19:25:00"/>
    <x v="1"/>
    <s v="Medium"/>
    <s v="Non-Veg"/>
    <n v="3"/>
    <n v="3"/>
    <s v="Medium"/>
    <s v="Cash"/>
    <x v="0"/>
    <x v="0"/>
    <n v="8.3333333333333339"/>
    <n v="1"/>
    <x v="0"/>
    <s v="Offline"/>
    <n v="7.1999999999999993"/>
    <n v="17.8"/>
    <x v="0"/>
    <n v="6"/>
    <n v="2"/>
    <x v="3"/>
    <n v="28.186274509803919"/>
  </r>
  <r>
    <x v="12"/>
    <x v="2"/>
    <s v="Phoenix, AZ"/>
    <d v="2024-01-13T00:00:00"/>
    <d v="1899-12-30T18:15:00"/>
    <d v="2024-01-13T00:00:00"/>
    <d v="1899-12-30T18:35:00"/>
    <x v="2"/>
    <s v="Small"/>
    <s v="Vegan"/>
    <n v="2"/>
    <n v="2.5"/>
    <s v="High"/>
    <s v="Wallet"/>
    <x v="0"/>
    <x v="1"/>
    <n v="8"/>
    <n v="0.8"/>
    <x v="0"/>
    <s v="Online"/>
    <n v="6"/>
    <n v="14"/>
    <x v="0"/>
    <n v="2"/>
    <n v="3"/>
    <x v="0"/>
    <n v="28.844221105527641"/>
  </r>
  <r>
    <x v="13"/>
    <x v="3"/>
    <s v="Atlanta, GA"/>
    <d v="2024-01-14T00:00:00"/>
    <d v="1899-12-30T20:30:00"/>
    <d v="2024-01-14T00:00:00"/>
    <d v="1899-12-30T20:55:00"/>
    <x v="1"/>
    <s v="XL"/>
    <s v="Cheese Burst"/>
    <n v="5"/>
    <n v="4"/>
    <s v="Low"/>
    <s v="Card"/>
    <x v="0"/>
    <x v="1"/>
    <n v="6.25"/>
    <n v="1.25"/>
    <x v="0"/>
    <s v="Online"/>
    <n v="9.6"/>
    <n v="15.4"/>
    <x v="0"/>
    <n v="20"/>
    <n v="1"/>
    <x v="1"/>
    <n v="29.948453608247419"/>
  </r>
  <r>
    <x v="14"/>
    <x v="4"/>
    <s v="Seattle, WA"/>
    <d v="2024-01-15T00:00:00"/>
    <d v="1899-12-30T14:00:00"/>
    <d v="2024-01-15T00:00:00"/>
    <d v="1899-12-30T14:20:00"/>
    <x v="2"/>
    <s v="Medium"/>
    <s v="Non-Veg"/>
    <n v="3"/>
    <n v="3"/>
    <s v="Medium"/>
    <s v="UPI"/>
    <x v="1"/>
    <x v="0"/>
    <n v="6.666666666666667"/>
    <n v="1"/>
    <x v="0"/>
    <s v="Online"/>
    <n v="7.1999999999999993"/>
    <n v="12.8"/>
    <x v="0"/>
    <n v="6"/>
    <n v="2"/>
    <x v="6"/>
    <n v="30.286458333333329"/>
  </r>
  <r>
    <x v="15"/>
    <x v="0"/>
    <s v="Denver, CO"/>
    <d v="2024-01-16T00:00:00"/>
    <d v="1899-12-30T19:45:00"/>
    <d v="2024-01-16T00:00:00"/>
    <d v="1899-12-30T20:10:00"/>
    <x v="1"/>
    <s v="Large"/>
    <s v="Veg"/>
    <n v="4"/>
    <n v="4.5"/>
    <s v="High"/>
    <s v="Cash"/>
    <x v="0"/>
    <x v="0"/>
    <n v="5.5555555555555554"/>
    <n v="0.88888888888888884"/>
    <x v="0"/>
    <s v="Offline"/>
    <n v="10.8"/>
    <n v="14.2"/>
    <x v="0"/>
    <n v="12"/>
    <n v="3"/>
    <x v="3"/>
    <n v="30.259433962264151"/>
  </r>
  <r>
    <x v="16"/>
    <x v="1"/>
    <s v="Boston, MA"/>
    <d v="2024-01-17T00:00:00"/>
    <d v="1899-12-30T18:30:00"/>
    <d v="2024-01-17T00:00:00"/>
    <d v="1899-12-30T18:55:00"/>
    <x v="1"/>
    <s v="Small"/>
    <s v="Vegan"/>
    <n v="2"/>
    <n v="2"/>
    <s v="Low"/>
    <s v="Wallet"/>
    <x v="0"/>
    <x v="0"/>
    <n v="12.5"/>
    <n v="1"/>
    <x v="0"/>
    <s v="Online"/>
    <n v="4.8"/>
    <n v="20.2"/>
    <x v="0"/>
    <n v="2"/>
    <n v="1"/>
    <x v="0"/>
    <n v="28.186274509803919"/>
  </r>
  <r>
    <x v="17"/>
    <x v="2"/>
    <s v="Dallas, TX"/>
    <d v="2024-01-18T00:00:00"/>
    <d v="1899-12-30T20:00:00"/>
    <d v="2024-01-18T00:00:00"/>
    <d v="1899-12-30T20:20:00"/>
    <x v="2"/>
    <s v="Medium"/>
    <s v="Non-Veg"/>
    <n v="3"/>
    <n v="3.5"/>
    <s v="Medium"/>
    <s v="Card"/>
    <x v="0"/>
    <x v="0"/>
    <n v="5.7142857142857144"/>
    <n v="0.8571428571428571"/>
    <x v="0"/>
    <s v="Online"/>
    <n v="8.4"/>
    <n v="11.6"/>
    <x v="0"/>
    <n v="6"/>
    <n v="2"/>
    <x v="1"/>
    <n v="28.844221105527641"/>
  </r>
  <r>
    <x v="18"/>
    <x v="3"/>
    <s v="Los Angeles, CA"/>
    <d v="2024-01-19T00:00:00"/>
    <d v="1899-12-30T19:15:00"/>
    <d v="2024-01-19T00:00:00"/>
    <d v="1899-12-30T19:40:00"/>
    <x v="1"/>
    <s v="XL"/>
    <s v="Cheese Burst"/>
    <n v="5"/>
    <n v="4"/>
    <s v="High"/>
    <s v="UPI"/>
    <x v="0"/>
    <x v="0"/>
    <n v="6.25"/>
    <n v="1.25"/>
    <x v="0"/>
    <s v="Online"/>
    <n v="9.6"/>
    <n v="15.4"/>
    <x v="0"/>
    <n v="20"/>
    <n v="3"/>
    <x v="3"/>
    <n v="29.948453608247419"/>
  </r>
  <r>
    <x v="19"/>
    <x v="4"/>
    <s v="Chicago, IL"/>
    <d v="2024-01-20T00:00:00"/>
    <d v="1899-12-30T13:30:00"/>
    <d v="2024-01-20T00:00:00"/>
    <d v="1899-12-30T13:50:00"/>
    <x v="2"/>
    <s v="Medium"/>
    <s v="Non-Veg"/>
    <n v="3"/>
    <n v="3"/>
    <s v="Low"/>
    <s v="Cash"/>
    <x v="1"/>
    <x v="1"/>
    <n v="6.666666666666667"/>
    <n v="1"/>
    <x v="0"/>
    <s v="Offline"/>
    <n v="7.1999999999999993"/>
    <n v="12.8"/>
    <x v="0"/>
    <n v="6"/>
    <n v="1"/>
    <x v="4"/>
    <n v="30.286458333333329"/>
  </r>
  <r>
    <x v="20"/>
    <x v="0"/>
    <s v="Miami, FL"/>
    <d v="2024-01-21T00:00:00"/>
    <d v="1899-12-30T18:45:00"/>
    <d v="2024-01-21T00:00:00"/>
    <d v="1899-12-30T19:10:00"/>
    <x v="1"/>
    <s v="Large"/>
    <s v="Veg"/>
    <n v="4"/>
    <n v="4.5"/>
    <s v="Medium"/>
    <s v="Wallet"/>
    <x v="0"/>
    <x v="1"/>
    <n v="5.5555555555555554"/>
    <n v="0.88888888888888884"/>
    <x v="0"/>
    <s v="Online"/>
    <n v="10.8"/>
    <n v="14.2"/>
    <x v="0"/>
    <n v="12"/>
    <n v="2"/>
    <x v="0"/>
    <n v="30.259433962264151"/>
  </r>
  <r>
    <x v="21"/>
    <x v="1"/>
    <s v="Dallas, TX"/>
    <d v="2024-01-22T00:00:00"/>
    <d v="1899-12-30T20:00:00"/>
    <d v="2024-01-22T00:00:00"/>
    <d v="1899-12-30T20:25:00"/>
    <x v="1"/>
    <s v="Small"/>
    <s v="Vegan"/>
    <n v="2"/>
    <n v="2"/>
    <s v="High"/>
    <s v="Card"/>
    <x v="0"/>
    <x v="0"/>
    <n v="12.5"/>
    <n v="1"/>
    <x v="0"/>
    <s v="Online"/>
    <n v="4.8"/>
    <n v="20.2"/>
    <x v="0"/>
    <n v="2"/>
    <n v="3"/>
    <x v="1"/>
    <n v="28.186274509803919"/>
  </r>
  <r>
    <x v="22"/>
    <x v="2"/>
    <s v="Houston, TX"/>
    <d v="2024-01-23T00:00:00"/>
    <d v="1899-12-30T19:30:00"/>
    <d v="2024-01-23T00:00:00"/>
    <d v="1899-12-30T19:50:00"/>
    <x v="2"/>
    <s v="Medium"/>
    <s v="Non-Veg"/>
    <n v="3"/>
    <n v="3.5"/>
    <s v="Low"/>
    <s v="UPI"/>
    <x v="0"/>
    <x v="0"/>
    <n v="5.7142857142857144"/>
    <n v="0.8571428571428571"/>
    <x v="0"/>
    <s v="Online"/>
    <n v="8.4"/>
    <n v="11.6"/>
    <x v="0"/>
    <n v="6"/>
    <n v="1"/>
    <x v="3"/>
    <n v="28.844221105527641"/>
  </r>
  <r>
    <x v="23"/>
    <x v="3"/>
    <s v="Phoenix, AZ"/>
    <d v="2024-01-24T00:00:00"/>
    <d v="1899-12-30T18:15:00"/>
    <d v="2024-01-24T00:00:00"/>
    <d v="1899-12-30T18:40:00"/>
    <x v="1"/>
    <s v="XL"/>
    <s v="Cheese Burst"/>
    <n v="5"/>
    <n v="4"/>
    <s v="Medium"/>
    <s v="Cash"/>
    <x v="0"/>
    <x v="0"/>
    <n v="6.25"/>
    <n v="1.25"/>
    <x v="0"/>
    <s v="Offline"/>
    <n v="9.6"/>
    <n v="15.4"/>
    <x v="0"/>
    <n v="20"/>
    <n v="2"/>
    <x v="0"/>
    <n v="29.948453608247419"/>
  </r>
  <r>
    <x v="24"/>
    <x v="4"/>
    <s v="Atlanta, GA"/>
    <d v="2024-01-25T00:00:00"/>
    <d v="1899-12-30T14:30:00"/>
    <d v="2024-01-25T00:00:00"/>
    <d v="1899-12-30T14:50:00"/>
    <x v="2"/>
    <s v="Medium"/>
    <s v="Non-Veg"/>
    <n v="3"/>
    <n v="3"/>
    <s v="High"/>
    <s v="Wallet"/>
    <x v="1"/>
    <x v="0"/>
    <n v="6.666666666666667"/>
    <n v="1"/>
    <x v="0"/>
    <s v="Online"/>
    <n v="7.1999999999999993"/>
    <n v="12.8"/>
    <x v="0"/>
    <n v="6"/>
    <n v="3"/>
    <x v="6"/>
    <n v="30.286458333333329"/>
  </r>
  <r>
    <x v="25"/>
    <x v="0"/>
    <s v="Seattle, WA"/>
    <d v="2024-01-26T00:00:00"/>
    <d v="1899-12-30T20:00:00"/>
    <d v="2024-01-26T00:00:00"/>
    <d v="1899-12-30T20:25:00"/>
    <x v="1"/>
    <s v="Large"/>
    <s v="Veg"/>
    <n v="4"/>
    <n v="4.5"/>
    <s v="Low"/>
    <s v="Card"/>
    <x v="0"/>
    <x v="0"/>
    <n v="5.5555555555555554"/>
    <n v="0.88888888888888884"/>
    <x v="0"/>
    <s v="Online"/>
    <n v="10.8"/>
    <n v="14.2"/>
    <x v="0"/>
    <n v="12"/>
    <n v="1"/>
    <x v="1"/>
    <n v="30.259433962264151"/>
  </r>
  <r>
    <x v="26"/>
    <x v="1"/>
    <s v="Denver, CO"/>
    <d v="2024-01-27T00:00:00"/>
    <d v="1899-12-30T19:15:00"/>
    <d v="2024-01-27T00:00:00"/>
    <d v="1899-12-30T19:40:00"/>
    <x v="1"/>
    <s v="Small"/>
    <s v="Vegan"/>
    <n v="2"/>
    <n v="2"/>
    <s v="Medium"/>
    <s v="UPI"/>
    <x v="0"/>
    <x v="1"/>
    <n v="12.5"/>
    <n v="1"/>
    <x v="0"/>
    <s v="Online"/>
    <n v="4.8"/>
    <n v="20.2"/>
    <x v="0"/>
    <n v="2"/>
    <n v="2"/>
    <x v="3"/>
    <n v="28.186274509803919"/>
  </r>
  <r>
    <x v="27"/>
    <x v="2"/>
    <s v="Boston, MA"/>
    <d v="2024-01-28T00:00:00"/>
    <d v="1899-12-30T18:30:00"/>
    <d v="2024-01-28T00:00:00"/>
    <d v="1899-12-30T18:50:00"/>
    <x v="2"/>
    <s v="Medium"/>
    <s v="Non-Veg"/>
    <n v="3"/>
    <n v="3.5"/>
    <s v="High"/>
    <s v="Cash"/>
    <x v="0"/>
    <x v="1"/>
    <n v="5.7142857142857144"/>
    <n v="0.8571428571428571"/>
    <x v="0"/>
    <s v="Offline"/>
    <n v="8.4"/>
    <n v="11.6"/>
    <x v="0"/>
    <n v="6"/>
    <n v="3"/>
    <x v="0"/>
    <n v="28.844221105527641"/>
  </r>
  <r>
    <x v="28"/>
    <x v="3"/>
    <s v="Chicago, IL"/>
    <d v="2024-01-29T00:00:00"/>
    <d v="1899-12-30T20:00:00"/>
    <d v="2024-01-29T00:00:00"/>
    <d v="1899-12-30T20:25:00"/>
    <x v="1"/>
    <s v="XL"/>
    <s v="Cheese Burst"/>
    <n v="5"/>
    <n v="4"/>
    <s v="Low"/>
    <s v="Wallet"/>
    <x v="0"/>
    <x v="0"/>
    <n v="6.25"/>
    <n v="1.25"/>
    <x v="0"/>
    <s v="Online"/>
    <n v="9.6"/>
    <n v="15.4"/>
    <x v="0"/>
    <n v="20"/>
    <n v="1"/>
    <x v="1"/>
    <n v="29.948453608247419"/>
  </r>
  <r>
    <x v="29"/>
    <x v="4"/>
    <s v="Miami, FL"/>
    <d v="2024-01-30T00:00:00"/>
    <d v="1899-12-30T13:15:00"/>
    <d v="2024-01-30T00:00:00"/>
    <d v="1899-12-30T13:35:00"/>
    <x v="2"/>
    <s v="Medium"/>
    <s v="Non-Veg"/>
    <n v="3"/>
    <n v="3"/>
    <s v="Medium"/>
    <s v="Card"/>
    <x v="1"/>
    <x v="0"/>
    <n v="6.666666666666667"/>
    <n v="1"/>
    <x v="0"/>
    <s v="Online"/>
    <n v="7.1999999999999993"/>
    <n v="12.8"/>
    <x v="0"/>
    <n v="6"/>
    <n v="2"/>
    <x v="4"/>
    <n v="30.286458333333329"/>
  </r>
  <r>
    <x v="30"/>
    <x v="0"/>
    <s v="Los Angeles, CA"/>
    <d v="2024-02-01T00:00:00"/>
    <d v="1899-12-30T19:45:00"/>
    <d v="2024-02-01T00:00:00"/>
    <d v="1899-12-30T20:10:00"/>
    <x v="1"/>
    <s v="Large"/>
    <s v="Veg"/>
    <n v="4"/>
    <n v="4.5"/>
    <s v="High"/>
    <s v="UPI"/>
    <x v="0"/>
    <x v="0"/>
    <n v="5.5555555555555554"/>
    <n v="0.88888888888888884"/>
    <x v="1"/>
    <s v="Online"/>
    <n v="10.8"/>
    <n v="14.2"/>
    <x v="0"/>
    <n v="12"/>
    <n v="3"/>
    <x v="3"/>
    <n v="30.259433962264151"/>
  </r>
  <r>
    <x v="31"/>
    <x v="1"/>
    <s v="Phoenix, AZ"/>
    <d v="2024-02-02T00:00:00"/>
    <d v="1899-12-30T18:00:00"/>
    <d v="2024-02-02T00:00:00"/>
    <d v="1899-12-30T18:25:00"/>
    <x v="1"/>
    <s v="Small"/>
    <s v="Vegan"/>
    <n v="2"/>
    <n v="2"/>
    <s v="Low"/>
    <s v="Cash"/>
    <x v="0"/>
    <x v="0"/>
    <n v="12.5"/>
    <n v="1"/>
    <x v="1"/>
    <s v="Offline"/>
    <n v="4.8"/>
    <n v="20.2"/>
    <x v="0"/>
    <n v="2"/>
    <n v="1"/>
    <x v="0"/>
    <n v="28.186274509803919"/>
  </r>
  <r>
    <x v="32"/>
    <x v="2"/>
    <s v="Atlanta, GA"/>
    <d v="2024-02-03T00:00:00"/>
    <d v="1899-12-30T20:30:00"/>
    <d v="2024-02-03T00:00:00"/>
    <d v="1899-12-30T20:55:00"/>
    <x v="1"/>
    <s v="Medium"/>
    <s v="Non-Veg"/>
    <n v="3"/>
    <n v="3.5"/>
    <s v="Medium"/>
    <s v="Wallet"/>
    <x v="0"/>
    <x v="1"/>
    <n v="7.1428571428571432"/>
    <n v="0.8571428571428571"/>
    <x v="1"/>
    <s v="Online"/>
    <n v="8.4"/>
    <n v="16.600000000000001"/>
    <x v="0"/>
    <n v="6"/>
    <n v="2"/>
    <x v="1"/>
    <n v="28.844221105527641"/>
  </r>
  <r>
    <x v="33"/>
    <x v="3"/>
    <s v="Dallas, TX"/>
    <d v="2024-02-04T00:00:00"/>
    <d v="1899-12-30T14:15:00"/>
    <d v="2024-02-04T00:00:00"/>
    <d v="1899-12-30T14:35:00"/>
    <x v="2"/>
    <s v="XL"/>
    <s v="Cheese Burst"/>
    <n v="5"/>
    <n v="4"/>
    <s v="High"/>
    <s v="Card"/>
    <x v="1"/>
    <x v="1"/>
    <n v="5"/>
    <n v="1.25"/>
    <x v="1"/>
    <s v="Online"/>
    <n v="9.6"/>
    <n v="10.4"/>
    <x v="0"/>
    <n v="20"/>
    <n v="3"/>
    <x v="6"/>
    <n v="29.948453608247419"/>
  </r>
  <r>
    <x v="34"/>
    <x v="4"/>
    <s v="Seattle, WA"/>
    <d v="2024-02-05T00:00:00"/>
    <d v="1899-12-30T19:00:00"/>
    <d v="2024-02-05T00:00:00"/>
    <d v="1899-12-30T19:25:00"/>
    <x v="1"/>
    <s v="Medium"/>
    <s v="Non-Veg"/>
    <n v="3"/>
    <n v="3"/>
    <s v="Low"/>
    <s v="UPI"/>
    <x v="0"/>
    <x v="0"/>
    <n v="8.3333333333333339"/>
    <n v="1"/>
    <x v="1"/>
    <s v="Online"/>
    <n v="7.1999999999999993"/>
    <n v="17.8"/>
    <x v="0"/>
    <n v="6"/>
    <n v="1"/>
    <x v="3"/>
    <n v="30.286458333333329"/>
  </r>
  <r>
    <x v="35"/>
    <x v="0"/>
    <s v="Houston, TX"/>
    <d v="2024-02-06T00:00:00"/>
    <d v="1899-12-30T18:45:00"/>
    <d v="2024-02-06T00:00:00"/>
    <d v="1899-12-30T19:10:00"/>
    <x v="1"/>
    <s v="Large"/>
    <s v="Veg"/>
    <n v="4"/>
    <n v="4.5"/>
    <s v="Medium"/>
    <s v="Card"/>
    <x v="0"/>
    <x v="0"/>
    <n v="5.5555555555555554"/>
    <n v="0.88888888888888884"/>
    <x v="1"/>
    <s v="Online"/>
    <n v="10.8"/>
    <n v="14.2"/>
    <x v="0"/>
    <n v="12"/>
    <n v="2"/>
    <x v="0"/>
    <n v="30.259433962264151"/>
  </r>
  <r>
    <x v="36"/>
    <x v="1"/>
    <s v="Phoenix, AZ"/>
    <d v="2024-02-07T00:00:00"/>
    <d v="1899-12-30T20:00:00"/>
    <d v="2024-02-07T00:00:00"/>
    <d v="1899-12-30T20:25:00"/>
    <x v="1"/>
    <s v="Medium"/>
    <s v="Non-Veg"/>
    <n v="3"/>
    <n v="3"/>
    <s v="High"/>
    <s v="UPI"/>
    <x v="0"/>
    <x v="0"/>
    <n v="8.3333333333333339"/>
    <n v="1"/>
    <x v="1"/>
    <s v="Online"/>
    <n v="7.1999999999999993"/>
    <n v="17.8"/>
    <x v="0"/>
    <n v="6"/>
    <n v="3"/>
    <x v="1"/>
    <n v="28.186274509803919"/>
  </r>
  <r>
    <x v="37"/>
    <x v="2"/>
    <s v="Atlanta, GA"/>
    <d v="2024-02-08T00:00:00"/>
    <d v="1899-12-30T19:30:00"/>
    <d v="2024-02-08T00:00:00"/>
    <d v="1899-12-30T19:50:00"/>
    <x v="2"/>
    <s v="Small"/>
    <s v="Vegan"/>
    <n v="2"/>
    <n v="2.5"/>
    <s v="Low"/>
    <s v="Cash"/>
    <x v="0"/>
    <x v="0"/>
    <n v="8"/>
    <n v="0.8"/>
    <x v="1"/>
    <s v="Offline"/>
    <n v="6"/>
    <n v="14"/>
    <x v="0"/>
    <n v="2"/>
    <n v="1"/>
    <x v="3"/>
    <n v="28.844221105527641"/>
  </r>
  <r>
    <x v="38"/>
    <x v="3"/>
    <s v="Dallas, TX"/>
    <d v="2024-02-09T00:00:00"/>
    <d v="1899-12-30T18:15:00"/>
    <d v="2024-02-09T00:00:00"/>
    <d v="1899-12-30T18:40:00"/>
    <x v="1"/>
    <s v="XL"/>
    <s v="Cheese Burst"/>
    <n v="5"/>
    <n v="4"/>
    <s v="Medium"/>
    <s v="Wallet"/>
    <x v="0"/>
    <x v="0"/>
    <n v="6.25"/>
    <n v="1.25"/>
    <x v="1"/>
    <s v="Online"/>
    <n v="9.6"/>
    <n v="15.4"/>
    <x v="0"/>
    <n v="20"/>
    <n v="2"/>
    <x v="0"/>
    <n v="29.948453608247419"/>
  </r>
  <r>
    <x v="39"/>
    <x v="4"/>
    <s v="Seattle, WA"/>
    <d v="2024-02-10T00:00:00"/>
    <d v="1899-12-30T14:30:00"/>
    <d v="2024-02-10T00:00:00"/>
    <d v="1899-12-30T14:50:00"/>
    <x v="2"/>
    <s v="Medium"/>
    <s v="Non-Veg"/>
    <n v="3"/>
    <n v="3.5"/>
    <s v="High"/>
    <s v="Card"/>
    <x v="1"/>
    <x v="1"/>
    <n v="5.7142857142857144"/>
    <n v="0.8571428571428571"/>
    <x v="1"/>
    <s v="Online"/>
    <n v="8.4"/>
    <n v="11.6"/>
    <x v="0"/>
    <n v="6"/>
    <n v="3"/>
    <x v="6"/>
    <n v="30.286458333333329"/>
  </r>
  <r>
    <x v="40"/>
    <x v="0"/>
    <s v="Denver, CO"/>
    <d v="2024-02-11T00:00:00"/>
    <d v="1899-12-30T19:00:00"/>
    <d v="2024-02-11T00:00:00"/>
    <d v="1899-12-30T19:20:00"/>
    <x v="2"/>
    <s v="Large"/>
    <s v="Veg"/>
    <n v="4"/>
    <n v="4"/>
    <s v="Low"/>
    <s v="UPI"/>
    <x v="0"/>
    <x v="1"/>
    <n v="5"/>
    <n v="1"/>
    <x v="1"/>
    <s v="Online"/>
    <n v="9.6"/>
    <n v="10.4"/>
    <x v="0"/>
    <n v="12"/>
    <n v="1"/>
    <x v="3"/>
    <n v="30.259433962264151"/>
  </r>
  <r>
    <x v="41"/>
    <x v="1"/>
    <s v="Boston, MA"/>
    <d v="2024-02-12T00:00:00"/>
    <d v="1899-12-30T20:15:00"/>
    <d v="2024-02-12T00:00:00"/>
    <d v="1899-12-30T20:40:00"/>
    <x v="1"/>
    <s v="Small"/>
    <s v="Vegan"/>
    <n v="2"/>
    <n v="2"/>
    <s v="Medium"/>
    <s v="Cash"/>
    <x v="0"/>
    <x v="0"/>
    <n v="12.5"/>
    <n v="1"/>
    <x v="1"/>
    <s v="Offline"/>
    <n v="4.8"/>
    <n v="20.2"/>
    <x v="0"/>
    <n v="2"/>
    <n v="2"/>
    <x v="1"/>
    <n v="28.186274509803919"/>
  </r>
  <r>
    <x v="42"/>
    <x v="2"/>
    <s v="Dallas, TX"/>
    <d v="2024-02-13T00:00:00"/>
    <d v="1899-12-30T18:30:00"/>
    <d v="2024-02-13T00:00:00"/>
    <d v="1899-12-30T18:50:00"/>
    <x v="2"/>
    <s v="Medium"/>
    <s v="Non-Veg"/>
    <n v="3"/>
    <n v="3"/>
    <s v="High"/>
    <s v="Wallet"/>
    <x v="0"/>
    <x v="0"/>
    <n v="6.666666666666667"/>
    <n v="1"/>
    <x v="1"/>
    <s v="Online"/>
    <n v="7.1999999999999993"/>
    <n v="12.8"/>
    <x v="0"/>
    <n v="6"/>
    <n v="3"/>
    <x v="0"/>
    <n v="28.844221105527641"/>
  </r>
  <r>
    <x v="43"/>
    <x v="3"/>
    <s v="Los Angeles, CA"/>
    <d v="2024-02-14T00:00:00"/>
    <d v="1899-12-30T19:45:00"/>
    <d v="2024-02-14T00:00:00"/>
    <d v="1899-12-30T20:10:00"/>
    <x v="1"/>
    <s v="XL"/>
    <s v="Cheese Burst"/>
    <n v="5"/>
    <n v="5"/>
    <s v="Low"/>
    <s v="Card"/>
    <x v="0"/>
    <x v="0"/>
    <n v="5"/>
    <n v="1"/>
    <x v="1"/>
    <s v="Online"/>
    <n v="12"/>
    <n v="13"/>
    <x v="0"/>
    <n v="20"/>
    <n v="1"/>
    <x v="3"/>
    <n v="29.948453608247419"/>
  </r>
  <r>
    <x v="44"/>
    <x v="4"/>
    <s v="Chicago, IL"/>
    <d v="2024-02-15T00:00:00"/>
    <d v="1899-12-30T13:00:00"/>
    <d v="2024-02-15T00:00:00"/>
    <d v="1899-12-30T13:20:00"/>
    <x v="2"/>
    <s v="Medium"/>
    <s v="Non-Veg"/>
    <n v="3"/>
    <n v="3.5"/>
    <s v="Medium"/>
    <s v="UPI"/>
    <x v="1"/>
    <x v="0"/>
    <n v="5.7142857142857144"/>
    <n v="0.8571428571428571"/>
    <x v="1"/>
    <s v="Online"/>
    <n v="8.4"/>
    <n v="11.6"/>
    <x v="0"/>
    <n v="6"/>
    <n v="2"/>
    <x v="4"/>
    <n v="30.286458333333329"/>
  </r>
  <r>
    <x v="45"/>
    <x v="0"/>
    <s v="Miami, FL"/>
    <d v="2024-02-16T00:00:00"/>
    <d v="1899-12-30T18:30:00"/>
    <d v="2024-02-16T00:00:00"/>
    <d v="1899-12-30T18:50:00"/>
    <x v="2"/>
    <s v="Large"/>
    <s v="Veg"/>
    <n v="4"/>
    <n v="4"/>
    <s v="High"/>
    <s v="Cash"/>
    <x v="0"/>
    <x v="0"/>
    <n v="5"/>
    <n v="1"/>
    <x v="1"/>
    <s v="Offline"/>
    <n v="9.6"/>
    <n v="10.4"/>
    <x v="0"/>
    <n v="12"/>
    <n v="3"/>
    <x v="0"/>
    <n v="30.259433962264151"/>
  </r>
  <r>
    <x v="46"/>
    <x v="1"/>
    <s v="Dallas, TX"/>
    <d v="2024-02-17T00:00:00"/>
    <d v="1899-12-30T20:00:00"/>
    <d v="2024-02-17T00:00:00"/>
    <d v="1899-12-30T20:25:00"/>
    <x v="1"/>
    <s v="Medium"/>
    <s v="Non-Veg"/>
    <n v="3"/>
    <n v="3"/>
    <s v="Low"/>
    <s v="Wallet"/>
    <x v="0"/>
    <x v="1"/>
    <n v="8.3333333333333339"/>
    <n v="1"/>
    <x v="1"/>
    <s v="Online"/>
    <n v="7.1999999999999993"/>
    <n v="17.8"/>
    <x v="0"/>
    <n v="6"/>
    <n v="1"/>
    <x v="1"/>
    <n v="28.186274509803919"/>
  </r>
  <r>
    <x v="47"/>
    <x v="2"/>
    <s v="Houston, TX"/>
    <d v="2024-02-18T00:00:00"/>
    <d v="1899-12-30T19:15:00"/>
    <d v="2024-02-18T00:00:00"/>
    <d v="1899-12-30T19:35:00"/>
    <x v="2"/>
    <s v="Small"/>
    <s v="Vegan"/>
    <n v="2"/>
    <n v="2.5"/>
    <s v="Medium"/>
    <s v="Card"/>
    <x v="0"/>
    <x v="1"/>
    <n v="8"/>
    <n v="0.8"/>
    <x v="1"/>
    <s v="Online"/>
    <n v="6"/>
    <n v="14"/>
    <x v="0"/>
    <n v="2"/>
    <n v="2"/>
    <x v="3"/>
    <n v="28.844221105527641"/>
  </r>
  <r>
    <x v="48"/>
    <x v="3"/>
    <s v="Phoenix, AZ"/>
    <d v="2024-02-19T00:00:00"/>
    <d v="1899-12-30T20:30:00"/>
    <d v="2024-02-19T00:00:00"/>
    <d v="1899-12-30T20:55:00"/>
    <x v="1"/>
    <s v="XL"/>
    <s v="Cheese Burst"/>
    <n v="5"/>
    <n v="4.5"/>
    <s v="High"/>
    <s v="UPI"/>
    <x v="0"/>
    <x v="0"/>
    <n v="5.5555555555555554"/>
    <n v="1.1111111111111109"/>
    <x v="1"/>
    <s v="Online"/>
    <n v="10.8"/>
    <n v="14.2"/>
    <x v="0"/>
    <n v="20"/>
    <n v="3"/>
    <x v="1"/>
    <n v="29.948453608247419"/>
  </r>
  <r>
    <x v="49"/>
    <x v="4"/>
    <s v="Atlanta, GA"/>
    <d v="2024-02-20T00:00:00"/>
    <d v="1899-12-30T14:45:00"/>
    <d v="2024-02-20T00:00:00"/>
    <d v="1899-12-30T15:05:00"/>
    <x v="2"/>
    <s v="Medium"/>
    <s v="Non-Veg"/>
    <n v="3"/>
    <n v="3"/>
    <s v="Low"/>
    <s v="Cash"/>
    <x v="1"/>
    <x v="0"/>
    <n v="6.666666666666667"/>
    <n v="1"/>
    <x v="1"/>
    <s v="Offline"/>
    <n v="7.1999999999999993"/>
    <n v="12.8"/>
    <x v="0"/>
    <n v="6"/>
    <n v="1"/>
    <x v="6"/>
    <n v="30.286458333333329"/>
  </r>
  <r>
    <x v="50"/>
    <x v="0"/>
    <s v="Seattle, WA"/>
    <d v="2024-02-21T00:00:00"/>
    <d v="1899-12-30T19:00:00"/>
    <d v="2024-02-21T00:00:00"/>
    <d v="1899-12-30T19:20:00"/>
    <x v="2"/>
    <s v="Large"/>
    <s v="Veg"/>
    <n v="4"/>
    <n v="4"/>
    <s v="Medium"/>
    <s v="Wallet"/>
    <x v="0"/>
    <x v="0"/>
    <n v="5"/>
    <n v="1"/>
    <x v="1"/>
    <s v="Online"/>
    <n v="9.6"/>
    <n v="10.4"/>
    <x v="0"/>
    <n v="12"/>
    <n v="2"/>
    <x v="3"/>
    <n v="30.259433962264151"/>
  </r>
  <r>
    <x v="51"/>
    <x v="1"/>
    <s v="Denver, CO"/>
    <d v="2024-02-22T00:00:00"/>
    <d v="1899-12-30T20:15:00"/>
    <d v="2024-02-22T00:00:00"/>
    <d v="1899-12-30T20:40:00"/>
    <x v="1"/>
    <s v="Small"/>
    <s v="Vegan"/>
    <n v="2"/>
    <n v="2"/>
    <s v="High"/>
    <s v="Card"/>
    <x v="0"/>
    <x v="0"/>
    <n v="12.5"/>
    <n v="1"/>
    <x v="1"/>
    <s v="Online"/>
    <n v="4.8"/>
    <n v="20.2"/>
    <x v="0"/>
    <n v="2"/>
    <n v="3"/>
    <x v="1"/>
    <n v="28.186274509803919"/>
  </r>
  <r>
    <x v="52"/>
    <x v="2"/>
    <s v="Boston, MA"/>
    <d v="2024-02-23T00:00:00"/>
    <d v="1899-12-30T18:30:00"/>
    <d v="2024-02-23T00:00:00"/>
    <d v="1899-12-30T18:50:00"/>
    <x v="2"/>
    <s v="Medium"/>
    <s v="Non-Veg"/>
    <n v="3"/>
    <n v="3.5"/>
    <s v="Low"/>
    <s v="UPI"/>
    <x v="0"/>
    <x v="0"/>
    <n v="5.7142857142857144"/>
    <n v="0.8571428571428571"/>
    <x v="1"/>
    <s v="Online"/>
    <n v="8.4"/>
    <n v="11.6"/>
    <x v="0"/>
    <n v="6"/>
    <n v="1"/>
    <x v="0"/>
    <n v="28.844221105527641"/>
  </r>
  <r>
    <x v="53"/>
    <x v="3"/>
    <s v="Chicago, IL"/>
    <d v="2024-02-24T00:00:00"/>
    <d v="1899-12-30T19:45:00"/>
    <d v="2024-02-24T00:00:00"/>
    <d v="1899-12-30T20:10:00"/>
    <x v="1"/>
    <s v="XL"/>
    <s v="Cheese Burst"/>
    <n v="5"/>
    <n v="4"/>
    <s v="Medium"/>
    <s v="Cash"/>
    <x v="0"/>
    <x v="1"/>
    <n v="6.25"/>
    <n v="1.25"/>
    <x v="1"/>
    <s v="Offline"/>
    <n v="9.6"/>
    <n v="15.4"/>
    <x v="0"/>
    <n v="20"/>
    <n v="2"/>
    <x v="3"/>
    <n v="29.948453608247419"/>
  </r>
  <r>
    <x v="54"/>
    <x v="4"/>
    <s v="Miami, FL"/>
    <d v="2024-02-25T00:00:00"/>
    <d v="1899-12-30T13:00:00"/>
    <d v="2024-02-25T00:00:00"/>
    <d v="1899-12-30T13:20:00"/>
    <x v="2"/>
    <s v="Medium"/>
    <s v="Non-Veg"/>
    <n v="3"/>
    <n v="3"/>
    <s v="High"/>
    <s v="Wallet"/>
    <x v="1"/>
    <x v="1"/>
    <n v="6.666666666666667"/>
    <n v="1"/>
    <x v="1"/>
    <s v="Online"/>
    <n v="7.1999999999999993"/>
    <n v="12.8"/>
    <x v="0"/>
    <n v="6"/>
    <n v="3"/>
    <x v="4"/>
    <n v="30.286458333333329"/>
  </r>
  <r>
    <x v="55"/>
    <x v="0"/>
    <s v="Los Angeles, CA"/>
    <d v="2024-02-26T00:00:00"/>
    <d v="1899-12-30T18:30:00"/>
    <d v="2024-02-26T00:00:00"/>
    <d v="1899-12-30T18:50:00"/>
    <x v="2"/>
    <s v="Large"/>
    <s v="Veg"/>
    <n v="4"/>
    <n v="4.5"/>
    <s v="Low"/>
    <s v="Card"/>
    <x v="0"/>
    <x v="0"/>
    <n v="4.4444444444444446"/>
    <n v="0.88888888888888884"/>
    <x v="1"/>
    <s v="Online"/>
    <n v="10.8"/>
    <n v="9.2000000000000011"/>
    <x v="0"/>
    <n v="12"/>
    <n v="1"/>
    <x v="0"/>
    <n v="30.259433962264151"/>
  </r>
  <r>
    <x v="56"/>
    <x v="1"/>
    <s v="Phoenix, AZ"/>
    <d v="2024-02-27T00:00:00"/>
    <d v="1899-12-30T20:00:00"/>
    <d v="2024-02-27T00:00:00"/>
    <d v="1899-12-30T20:25:00"/>
    <x v="1"/>
    <s v="Medium"/>
    <s v="Non-Veg"/>
    <n v="3"/>
    <n v="3"/>
    <s v="High"/>
    <s v="UPI"/>
    <x v="0"/>
    <x v="0"/>
    <n v="8.3333333333333339"/>
    <n v="1"/>
    <x v="1"/>
    <s v="Online"/>
    <n v="7.1999999999999993"/>
    <n v="17.8"/>
    <x v="0"/>
    <n v="6"/>
    <n v="3"/>
    <x v="1"/>
    <n v="28.186274509803919"/>
  </r>
  <r>
    <x v="57"/>
    <x v="2"/>
    <s v="Atlanta, GA"/>
    <d v="2024-02-28T00:00:00"/>
    <d v="1899-12-30T19:15:00"/>
    <d v="2024-02-28T00:00:00"/>
    <d v="1899-12-30T19:35:00"/>
    <x v="2"/>
    <s v="Small"/>
    <s v="Vegan"/>
    <n v="2"/>
    <n v="2.5"/>
    <s v="Low"/>
    <s v="Cash"/>
    <x v="0"/>
    <x v="0"/>
    <n v="8"/>
    <n v="0.8"/>
    <x v="1"/>
    <s v="Offline"/>
    <n v="6"/>
    <n v="14"/>
    <x v="0"/>
    <n v="2"/>
    <n v="1"/>
    <x v="3"/>
    <n v="28.844221105527641"/>
  </r>
  <r>
    <x v="58"/>
    <x v="3"/>
    <s v="Dallas, TX"/>
    <d v="2024-02-29T00:00:00"/>
    <d v="1899-12-30T20:30:00"/>
    <d v="2024-02-29T00:00:00"/>
    <d v="1899-12-30T20:55:00"/>
    <x v="1"/>
    <s v="XL"/>
    <s v="Cheese Burst"/>
    <n v="5"/>
    <n v="4"/>
    <s v="Medium"/>
    <s v="Wallet"/>
    <x v="0"/>
    <x v="0"/>
    <n v="6.25"/>
    <n v="1.25"/>
    <x v="1"/>
    <s v="Online"/>
    <n v="9.6"/>
    <n v="15.4"/>
    <x v="0"/>
    <n v="20"/>
    <n v="2"/>
    <x v="1"/>
    <n v="29.948453608247419"/>
  </r>
  <r>
    <x v="59"/>
    <x v="4"/>
    <s v="Seattle, WA"/>
    <d v="2024-03-01T00:00:00"/>
    <d v="1899-12-30T14:45:00"/>
    <d v="2024-03-01T00:00:00"/>
    <d v="1899-12-30T15:05:00"/>
    <x v="2"/>
    <s v="Medium"/>
    <s v="Non-Veg"/>
    <n v="3"/>
    <n v="3.5"/>
    <s v="High"/>
    <s v="Card"/>
    <x v="1"/>
    <x v="0"/>
    <n v="5.7142857142857144"/>
    <n v="0.8571428571428571"/>
    <x v="2"/>
    <s v="Online"/>
    <n v="8.4"/>
    <n v="11.6"/>
    <x v="0"/>
    <n v="6"/>
    <n v="3"/>
    <x v="6"/>
    <n v="30.286458333333329"/>
  </r>
  <r>
    <x v="60"/>
    <x v="0"/>
    <s v="Denver, CO"/>
    <d v="2024-03-02T00:00:00"/>
    <d v="1899-12-30T19:00:00"/>
    <d v="2024-03-02T00:00:00"/>
    <d v="1899-12-30T19:20:00"/>
    <x v="2"/>
    <s v="Large"/>
    <s v="Veg"/>
    <n v="4"/>
    <n v="4"/>
    <s v="Low"/>
    <s v="UPI"/>
    <x v="0"/>
    <x v="1"/>
    <n v="5"/>
    <n v="1"/>
    <x v="2"/>
    <s v="Online"/>
    <n v="9.6"/>
    <n v="10.4"/>
    <x v="0"/>
    <n v="12"/>
    <n v="1"/>
    <x v="3"/>
    <n v="30.259433962264151"/>
  </r>
  <r>
    <x v="61"/>
    <x v="1"/>
    <s v="Boston, MA"/>
    <d v="2024-03-03T00:00:00"/>
    <d v="1899-12-30T20:15:00"/>
    <d v="2024-03-03T00:00:00"/>
    <d v="1899-12-30T20:40:00"/>
    <x v="1"/>
    <s v="Small"/>
    <s v="Vegan"/>
    <n v="2"/>
    <n v="2"/>
    <s v="Medium"/>
    <s v="Cash"/>
    <x v="0"/>
    <x v="1"/>
    <n v="12.5"/>
    <n v="1"/>
    <x v="2"/>
    <s v="Offline"/>
    <n v="4.8"/>
    <n v="20.2"/>
    <x v="0"/>
    <n v="2"/>
    <n v="2"/>
    <x v="1"/>
    <n v="28.186274509803919"/>
  </r>
  <r>
    <x v="62"/>
    <x v="2"/>
    <s v="Dallas, TX"/>
    <d v="2024-03-04T00:00:00"/>
    <d v="1899-12-30T18:30:00"/>
    <d v="2024-03-04T00:00:00"/>
    <d v="1899-12-30T18:50:00"/>
    <x v="2"/>
    <s v="Medium"/>
    <s v="Non-Veg"/>
    <n v="3"/>
    <n v="3"/>
    <s v="High"/>
    <s v="Wallet"/>
    <x v="0"/>
    <x v="0"/>
    <n v="6.666666666666667"/>
    <n v="1"/>
    <x v="2"/>
    <s v="Online"/>
    <n v="7.1999999999999993"/>
    <n v="12.8"/>
    <x v="0"/>
    <n v="6"/>
    <n v="3"/>
    <x v="0"/>
    <n v="28.844221105527641"/>
  </r>
  <r>
    <x v="63"/>
    <x v="3"/>
    <s v="Los Angeles, CA"/>
    <d v="2024-03-05T00:00:00"/>
    <d v="1899-12-30T19:45:00"/>
    <d v="2024-03-05T00:00:00"/>
    <d v="1899-12-30T20:10:00"/>
    <x v="1"/>
    <s v="XL"/>
    <s v="Cheese Burst"/>
    <n v="5"/>
    <n v="4.5"/>
    <s v="Low"/>
    <s v="Card"/>
    <x v="0"/>
    <x v="0"/>
    <n v="5.5555555555555554"/>
    <n v="1.1111111111111109"/>
    <x v="2"/>
    <s v="Online"/>
    <n v="10.8"/>
    <n v="14.2"/>
    <x v="0"/>
    <n v="20"/>
    <n v="1"/>
    <x v="3"/>
    <n v="29.948453608247419"/>
  </r>
  <r>
    <x v="64"/>
    <x v="4"/>
    <s v="Chicago, IL"/>
    <d v="2024-03-06T00:00:00"/>
    <d v="1899-12-30T13:00:00"/>
    <d v="2024-03-06T00:00:00"/>
    <d v="1899-12-30T13:20:00"/>
    <x v="2"/>
    <s v="Medium"/>
    <s v="Non-Veg"/>
    <n v="3"/>
    <n v="3.5"/>
    <s v="Low"/>
    <s v="Card"/>
    <x v="1"/>
    <x v="0"/>
    <n v="5.7142857142857144"/>
    <n v="0.8571428571428571"/>
    <x v="2"/>
    <s v="Online"/>
    <n v="8.4"/>
    <n v="11.6"/>
    <x v="0"/>
    <n v="6"/>
    <n v="1"/>
    <x v="4"/>
    <n v="30.286458333333329"/>
  </r>
  <r>
    <x v="65"/>
    <x v="0"/>
    <s v="Miami, FL"/>
    <d v="2024-03-07T00:00:00"/>
    <d v="1899-12-30T18:30:00"/>
    <d v="2024-03-07T00:00:00"/>
    <d v="1899-12-30T18:50:00"/>
    <x v="2"/>
    <s v="Large"/>
    <s v="Veg"/>
    <n v="4"/>
    <n v="4"/>
    <s v="High"/>
    <s v="Card"/>
    <x v="0"/>
    <x v="0"/>
    <n v="5"/>
    <n v="1"/>
    <x v="2"/>
    <s v="Online"/>
    <n v="9.6"/>
    <n v="10.4"/>
    <x v="0"/>
    <n v="12"/>
    <n v="3"/>
    <x v="0"/>
    <n v="30.259433962264151"/>
  </r>
  <r>
    <x v="66"/>
    <x v="1"/>
    <s v="Dallas, TX"/>
    <d v="2024-03-08T00:00:00"/>
    <d v="1899-12-30T20:00:00"/>
    <d v="2024-03-08T00:00:00"/>
    <d v="1899-12-30T20:25:00"/>
    <x v="1"/>
    <s v="Medium"/>
    <s v="Non-Veg"/>
    <n v="3"/>
    <n v="3.5"/>
    <s v="Medium"/>
    <s v="UPI"/>
    <x v="0"/>
    <x v="0"/>
    <n v="7.1428571428571432"/>
    <n v="0.8571428571428571"/>
    <x v="2"/>
    <s v="Online"/>
    <n v="8.4"/>
    <n v="16.600000000000001"/>
    <x v="0"/>
    <n v="6"/>
    <n v="2"/>
    <x v="1"/>
    <n v="28.186274509803919"/>
  </r>
  <r>
    <x v="67"/>
    <x v="2"/>
    <s v="Chicago, IL"/>
    <d v="2024-03-09T00:00:00"/>
    <d v="1899-12-30T19:15:00"/>
    <d v="2024-03-09T00:00:00"/>
    <d v="1899-12-30T19:35:00"/>
    <x v="2"/>
    <s v="Small"/>
    <s v="Vegan"/>
    <n v="2"/>
    <n v="2.5"/>
    <s v="Low"/>
    <s v="Cash"/>
    <x v="0"/>
    <x v="1"/>
    <n v="8"/>
    <n v="0.8"/>
    <x v="2"/>
    <s v="Offline"/>
    <n v="6"/>
    <n v="14"/>
    <x v="0"/>
    <n v="2"/>
    <n v="1"/>
    <x v="3"/>
    <n v="28.844221105527641"/>
  </r>
  <r>
    <x v="68"/>
    <x v="3"/>
    <s v="Phoenix, AZ"/>
    <d v="2024-03-10T00:00:00"/>
    <d v="1899-12-30T19:45:00"/>
    <d v="2024-03-10T00:00:00"/>
    <d v="1899-12-30T20:10:00"/>
    <x v="1"/>
    <s v="XL"/>
    <s v="Cheese Burst"/>
    <n v="5"/>
    <n v="4.5"/>
    <s v="High"/>
    <s v="Wallet"/>
    <x v="0"/>
    <x v="1"/>
    <n v="5.5555555555555554"/>
    <n v="1.1111111111111109"/>
    <x v="2"/>
    <s v="Online"/>
    <n v="10.8"/>
    <n v="14.2"/>
    <x v="0"/>
    <n v="20"/>
    <n v="3"/>
    <x v="3"/>
    <n v="29.948453608247419"/>
  </r>
  <r>
    <x v="69"/>
    <x v="4"/>
    <s v="Atlanta, GA"/>
    <d v="2024-03-11T00:00:00"/>
    <d v="1899-12-30T13:00:00"/>
    <d v="2024-03-11T00:00:00"/>
    <d v="1899-12-30T13:20:00"/>
    <x v="2"/>
    <s v="Medium"/>
    <s v="Non-Veg"/>
    <n v="3"/>
    <n v="3"/>
    <s v="Low"/>
    <s v="Card"/>
    <x v="1"/>
    <x v="0"/>
    <n v="6.666666666666667"/>
    <n v="1"/>
    <x v="2"/>
    <s v="Online"/>
    <n v="7.1999999999999993"/>
    <n v="12.8"/>
    <x v="0"/>
    <n v="6"/>
    <n v="1"/>
    <x v="4"/>
    <n v="30.286458333333329"/>
  </r>
  <r>
    <x v="70"/>
    <x v="0"/>
    <s v="Seattle, WA"/>
    <d v="2024-03-12T00:00:00"/>
    <d v="1899-12-30T18:30:00"/>
    <d v="2024-03-12T00:00:00"/>
    <d v="1899-12-30T18:50:00"/>
    <x v="2"/>
    <s v="Large"/>
    <s v="Veg"/>
    <n v="4"/>
    <n v="4"/>
    <s v="Medium"/>
    <s v="UPI"/>
    <x v="0"/>
    <x v="0"/>
    <n v="5"/>
    <n v="1"/>
    <x v="2"/>
    <s v="Online"/>
    <n v="9.6"/>
    <n v="10.4"/>
    <x v="0"/>
    <n v="12"/>
    <n v="2"/>
    <x v="0"/>
    <n v="30.259433962264151"/>
  </r>
  <r>
    <x v="71"/>
    <x v="1"/>
    <s v="Denver, CO"/>
    <d v="2024-03-13T00:00:00"/>
    <d v="1899-12-30T20:15:00"/>
    <d v="2024-03-13T00:00:00"/>
    <d v="1899-12-30T20:40:00"/>
    <x v="1"/>
    <s v="Small"/>
    <s v="Vegan"/>
    <n v="2"/>
    <n v="2"/>
    <s v="High"/>
    <s v="Cash"/>
    <x v="0"/>
    <x v="0"/>
    <n v="12.5"/>
    <n v="1"/>
    <x v="2"/>
    <s v="Offline"/>
    <n v="4.8"/>
    <n v="20.2"/>
    <x v="0"/>
    <n v="2"/>
    <n v="3"/>
    <x v="1"/>
    <n v="28.186274509803919"/>
  </r>
  <r>
    <x v="72"/>
    <x v="2"/>
    <s v="Boston, MA"/>
    <d v="2024-03-14T00:00:00"/>
    <d v="1899-12-30T18:30:00"/>
    <d v="2024-03-14T00:00:00"/>
    <d v="1899-12-30T18:50:00"/>
    <x v="2"/>
    <s v="Medium"/>
    <s v="Non-Veg"/>
    <n v="3"/>
    <n v="3.5"/>
    <s v="Low"/>
    <s v="Wallet"/>
    <x v="0"/>
    <x v="0"/>
    <n v="5.7142857142857144"/>
    <n v="0.8571428571428571"/>
    <x v="2"/>
    <s v="Online"/>
    <n v="8.4"/>
    <n v="11.6"/>
    <x v="0"/>
    <n v="6"/>
    <n v="1"/>
    <x v="0"/>
    <n v="28.844221105527641"/>
  </r>
  <r>
    <x v="73"/>
    <x v="3"/>
    <s v="Chicago, IL"/>
    <d v="2024-03-15T00:00:00"/>
    <d v="1899-12-30T19:45:00"/>
    <d v="2024-03-15T00:00:00"/>
    <d v="1899-12-30T20:10:00"/>
    <x v="1"/>
    <s v="XL"/>
    <s v="Cheese Burst"/>
    <n v="5"/>
    <n v="4"/>
    <s v="Medium"/>
    <s v="Card"/>
    <x v="0"/>
    <x v="0"/>
    <n v="6.25"/>
    <n v="1.25"/>
    <x v="2"/>
    <s v="Online"/>
    <n v="9.6"/>
    <n v="15.4"/>
    <x v="0"/>
    <n v="20"/>
    <n v="2"/>
    <x v="3"/>
    <n v="29.948453608247419"/>
  </r>
  <r>
    <x v="74"/>
    <x v="4"/>
    <s v="Miami, FL"/>
    <d v="2024-03-16T00:00:00"/>
    <d v="1899-12-30T13:00:00"/>
    <d v="2024-03-16T00:00:00"/>
    <d v="1899-12-30T13:20:00"/>
    <x v="2"/>
    <s v="Medium"/>
    <s v="Non-Veg"/>
    <n v="3"/>
    <n v="3"/>
    <s v="High"/>
    <s v="UPI"/>
    <x v="1"/>
    <x v="1"/>
    <n v="6.666666666666667"/>
    <n v="1"/>
    <x v="2"/>
    <s v="Online"/>
    <n v="7.1999999999999993"/>
    <n v="12.8"/>
    <x v="0"/>
    <n v="6"/>
    <n v="3"/>
    <x v="4"/>
    <n v="30.286458333333329"/>
  </r>
  <r>
    <x v="75"/>
    <x v="0"/>
    <s v="Los Angeles, CA"/>
    <d v="2024-03-17T00:00:00"/>
    <d v="1899-12-30T18:30:00"/>
    <d v="2024-03-17T00:00:00"/>
    <d v="1899-12-30T18:50:00"/>
    <x v="2"/>
    <s v="Large"/>
    <s v="Veg"/>
    <n v="4"/>
    <n v="4.5"/>
    <s v="Low"/>
    <s v="Cash"/>
    <x v="0"/>
    <x v="1"/>
    <n v="4.4444444444444446"/>
    <n v="0.88888888888888884"/>
    <x v="2"/>
    <s v="Offline"/>
    <n v="10.8"/>
    <n v="9.2000000000000011"/>
    <x v="0"/>
    <n v="12"/>
    <n v="1"/>
    <x v="0"/>
    <n v="30.259433962264151"/>
  </r>
  <r>
    <x v="76"/>
    <x v="1"/>
    <s v="Phoenix, AZ"/>
    <d v="2024-03-18T00:00:00"/>
    <d v="1899-12-30T20:00:00"/>
    <d v="2024-03-18T00:00:00"/>
    <d v="1899-12-30T20:25:00"/>
    <x v="1"/>
    <s v="Medium"/>
    <s v="Non-Veg"/>
    <n v="3"/>
    <n v="3"/>
    <s v="High"/>
    <s v="Wallet"/>
    <x v="0"/>
    <x v="0"/>
    <n v="8.3333333333333339"/>
    <n v="1"/>
    <x v="2"/>
    <s v="Online"/>
    <n v="7.1999999999999993"/>
    <n v="17.8"/>
    <x v="0"/>
    <n v="6"/>
    <n v="3"/>
    <x v="1"/>
    <n v="28.186274509803919"/>
  </r>
  <r>
    <x v="77"/>
    <x v="2"/>
    <s v="Atlanta, GA"/>
    <d v="2024-03-19T00:00:00"/>
    <d v="1899-12-30T19:15:00"/>
    <d v="2024-03-19T00:00:00"/>
    <d v="1899-12-30T19:35:00"/>
    <x v="2"/>
    <s v="Small"/>
    <s v="Vegan"/>
    <n v="2"/>
    <n v="2.5"/>
    <s v="Low"/>
    <s v="Card"/>
    <x v="0"/>
    <x v="0"/>
    <n v="8"/>
    <n v="0.8"/>
    <x v="2"/>
    <s v="Online"/>
    <n v="6"/>
    <n v="14"/>
    <x v="0"/>
    <n v="2"/>
    <n v="1"/>
    <x v="3"/>
    <n v="28.844221105527641"/>
  </r>
  <r>
    <x v="78"/>
    <x v="3"/>
    <s v="Dallas, TX"/>
    <d v="2024-03-20T00:00:00"/>
    <d v="1899-12-30T19:45:00"/>
    <d v="2024-03-20T00:00:00"/>
    <d v="1899-12-30T20:10:00"/>
    <x v="1"/>
    <s v="XL"/>
    <s v="Cheese Burst"/>
    <n v="5"/>
    <n v="4"/>
    <s v="Medium"/>
    <s v="UPI"/>
    <x v="0"/>
    <x v="0"/>
    <n v="6.25"/>
    <n v="1.25"/>
    <x v="2"/>
    <s v="Online"/>
    <n v="9.6"/>
    <n v="15.4"/>
    <x v="0"/>
    <n v="20"/>
    <n v="2"/>
    <x v="3"/>
    <n v="29.948453608247419"/>
  </r>
  <r>
    <x v="79"/>
    <x v="4"/>
    <s v="Seattle, WA"/>
    <d v="2024-03-21T00:00:00"/>
    <d v="1899-12-30T13:00:00"/>
    <d v="2024-03-21T00:00:00"/>
    <d v="1899-12-30T13:20:00"/>
    <x v="2"/>
    <s v="Medium"/>
    <s v="Non-Veg"/>
    <n v="3"/>
    <n v="3.5"/>
    <s v="High"/>
    <s v="Cash"/>
    <x v="1"/>
    <x v="0"/>
    <n v="5.7142857142857144"/>
    <n v="0.8571428571428571"/>
    <x v="2"/>
    <s v="Offline"/>
    <n v="8.4"/>
    <n v="11.6"/>
    <x v="0"/>
    <n v="6"/>
    <n v="3"/>
    <x v="4"/>
    <n v="30.286458333333329"/>
  </r>
  <r>
    <x v="80"/>
    <x v="0"/>
    <s v="Denver, CO"/>
    <d v="2024-03-22T00:00:00"/>
    <d v="1899-12-30T18:30:00"/>
    <d v="2024-03-22T00:00:00"/>
    <d v="1899-12-30T18:50:00"/>
    <x v="2"/>
    <s v="Large"/>
    <s v="Veg"/>
    <n v="4"/>
    <n v="4"/>
    <s v="Low"/>
    <s v="Wallet"/>
    <x v="0"/>
    <x v="0"/>
    <n v="5"/>
    <n v="1"/>
    <x v="2"/>
    <s v="Online"/>
    <n v="9.6"/>
    <n v="10.4"/>
    <x v="0"/>
    <n v="12"/>
    <n v="1"/>
    <x v="0"/>
    <n v="30.259433962264151"/>
  </r>
  <r>
    <x v="81"/>
    <x v="1"/>
    <s v="Boston, MA"/>
    <d v="2024-03-23T00:00:00"/>
    <d v="1899-12-30T20:15:00"/>
    <d v="2024-03-23T00:00:00"/>
    <d v="1899-12-30T20:40:00"/>
    <x v="1"/>
    <s v="Small"/>
    <s v="Vegan"/>
    <n v="2"/>
    <n v="2"/>
    <s v="High"/>
    <s v="Card"/>
    <x v="0"/>
    <x v="1"/>
    <n v="12.5"/>
    <n v="1"/>
    <x v="2"/>
    <s v="Online"/>
    <n v="4.8"/>
    <n v="20.2"/>
    <x v="0"/>
    <n v="2"/>
    <n v="3"/>
    <x v="1"/>
    <n v="28.186274509803919"/>
  </r>
  <r>
    <x v="82"/>
    <x v="2"/>
    <s v="Dallas, TX"/>
    <d v="2024-03-24T00:00:00"/>
    <d v="1899-12-30T18:30:00"/>
    <d v="2024-03-24T00:00:00"/>
    <d v="1899-12-30T18:50:00"/>
    <x v="2"/>
    <s v="Medium"/>
    <s v="Non-Veg"/>
    <n v="3"/>
    <n v="3"/>
    <s v="High"/>
    <s v="UPI"/>
    <x v="0"/>
    <x v="1"/>
    <n v="6.666666666666667"/>
    <n v="1"/>
    <x v="2"/>
    <s v="Online"/>
    <n v="7.1999999999999993"/>
    <n v="12.8"/>
    <x v="0"/>
    <n v="6"/>
    <n v="3"/>
    <x v="0"/>
    <n v="28.844221105527641"/>
  </r>
  <r>
    <x v="83"/>
    <x v="3"/>
    <s v="Los Angeles, CA"/>
    <d v="2024-03-25T00:00:00"/>
    <d v="1899-12-30T19:45:00"/>
    <d v="2024-03-25T00:00:00"/>
    <d v="1899-12-30T20:10:00"/>
    <x v="1"/>
    <s v="XL"/>
    <s v="Cheese Burst"/>
    <n v="5"/>
    <n v="4.5"/>
    <s v="Low"/>
    <s v="Cash"/>
    <x v="0"/>
    <x v="0"/>
    <n v="5.5555555555555554"/>
    <n v="1.1111111111111109"/>
    <x v="2"/>
    <s v="Offline"/>
    <n v="10.8"/>
    <n v="14.2"/>
    <x v="0"/>
    <n v="20"/>
    <n v="1"/>
    <x v="3"/>
    <n v="29.948453608247419"/>
  </r>
  <r>
    <x v="84"/>
    <x v="4"/>
    <s v="Chicago, IL"/>
    <d v="2024-03-26T00:00:00"/>
    <d v="1899-12-30T13:00:00"/>
    <d v="2024-03-26T00:00:00"/>
    <d v="1899-12-30T13:20:00"/>
    <x v="2"/>
    <s v="Medium"/>
    <s v="Non-Veg"/>
    <n v="3"/>
    <n v="3.5"/>
    <s v="Medium"/>
    <s v="Wallet"/>
    <x v="1"/>
    <x v="0"/>
    <n v="5.7142857142857144"/>
    <n v="0.8571428571428571"/>
    <x v="2"/>
    <s v="Online"/>
    <n v="8.4"/>
    <n v="11.6"/>
    <x v="0"/>
    <n v="6"/>
    <n v="2"/>
    <x v="4"/>
    <n v="30.286458333333329"/>
  </r>
  <r>
    <x v="85"/>
    <x v="0"/>
    <s v="Miami, FL"/>
    <d v="2024-03-27T00:00:00"/>
    <d v="1899-12-30T18:30:00"/>
    <d v="2024-03-27T00:00:00"/>
    <d v="1899-12-30T18:50:00"/>
    <x v="2"/>
    <s v="Large"/>
    <s v="Veg"/>
    <n v="4"/>
    <n v="4"/>
    <s v="High"/>
    <s v="Card"/>
    <x v="0"/>
    <x v="0"/>
    <n v="5"/>
    <n v="1"/>
    <x v="2"/>
    <s v="Online"/>
    <n v="9.6"/>
    <n v="10.4"/>
    <x v="0"/>
    <n v="12"/>
    <n v="3"/>
    <x v="0"/>
    <n v="30.259433962264151"/>
  </r>
  <r>
    <x v="86"/>
    <x v="1"/>
    <s v="Dallas, TX"/>
    <d v="2024-03-28T00:00:00"/>
    <d v="1899-12-30T20:00:00"/>
    <d v="2024-03-28T00:00:00"/>
    <d v="1899-12-30T20:25:00"/>
    <x v="1"/>
    <s v="Medium"/>
    <s v="Non-Veg"/>
    <n v="3"/>
    <n v="3"/>
    <s v="Low"/>
    <s v="UPI"/>
    <x v="0"/>
    <x v="0"/>
    <n v="8.3333333333333339"/>
    <n v="1"/>
    <x v="2"/>
    <s v="Online"/>
    <n v="7.1999999999999993"/>
    <n v="17.8"/>
    <x v="0"/>
    <n v="6"/>
    <n v="1"/>
    <x v="1"/>
    <n v="28.186274509803919"/>
  </r>
  <r>
    <x v="87"/>
    <x v="2"/>
    <s v="Houston, TX"/>
    <d v="2024-03-29T00:00:00"/>
    <d v="1899-12-30T19:15:00"/>
    <d v="2024-03-29T00:00:00"/>
    <d v="1899-12-30T19:35:00"/>
    <x v="2"/>
    <s v="Small"/>
    <s v="Vegan"/>
    <n v="2"/>
    <n v="2.5"/>
    <s v="Low"/>
    <s v="Cash"/>
    <x v="0"/>
    <x v="0"/>
    <n v="8"/>
    <n v="0.8"/>
    <x v="2"/>
    <s v="Offline"/>
    <n v="6"/>
    <n v="14"/>
    <x v="0"/>
    <n v="2"/>
    <n v="1"/>
    <x v="3"/>
    <n v="28.844221105527641"/>
  </r>
  <r>
    <x v="88"/>
    <x v="3"/>
    <s v="Phoenix, AZ"/>
    <d v="2024-03-30T00:00:00"/>
    <d v="1899-12-30T19:45:00"/>
    <d v="2024-03-30T00:00:00"/>
    <d v="1899-12-30T20:10:00"/>
    <x v="1"/>
    <s v="XL"/>
    <s v="Cheese Burst"/>
    <n v="5"/>
    <n v="4.5"/>
    <s v="High"/>
    <s v="Wallet"/>
    <x v="0"/>
    <x v="1"/>
    <n v="5.5555555555555554"/>
    <n v="1.1111111111111109"/>
    <x v="2"/>
    <s v="Online"/>
    <n v="10.8"/>
    <n v="14.2"/>
    <x v="0"/>
    <n v="20"/>
    <n v="3"/>
    <x v="3"/>
    <n v="29.948453608247419"/>
  </r>
  <r>
    <x v="89"/>
    <x v="4"/>
    <s v="Atlanta, GA"/>
    <d v="2024-03-31T00:00:00"/>
    <d v="1899-12-30T13:00:00"/>
    <d v="2024-03-31T00:00:00"/>
    <d v="1899-12-30T13:20:00"/>
    <x v="2"/>
    <s v="Medium"/>
    <s v="Non-Veg"/>
    <n v="3"/>
    <n v="3"/>
    <s v="Medium"/>
    <s v="Card"/>
    <x v="1"/>
    <x v="1"/>
    <n v="6.666666666666667"/>
    <n v="1"/>
    <x v="2"/>
    <s v="Online"/>
    <n v="7.1999999999999993"/>
    <n v="12.8"/>
    <x v="0"/>
    <n v="6"/>
    <n v="2"/>
    <x v="4"/>
    <n v="30.286458333333329"/>
  </r>
  <r>
    <x v="90"/>
    <x v="0"/>
    <s v="Seattle, WA"/>
    <d v="2024-04-01T00:00:00"/>
    <d v="1899-12-30T18:30:00"/>
    <d v="2024-04-01T00:00:00"/>
    <d v="1899-12-30T18:50:00"/>
    <x v="2"/>
    <s v="Large"/>
    <s v="Veg"/>
    <n v="4"/>
    <n v="4"/>
    <s v="Low"/>
    <s v="UPI"/>
    <x v="0"/>
    <x v="0"/>
    <n v="5"/>
    <n v="1"/>
    <x v="3"/>
    <s v="Online"/>
    <n v="9.6"/>
    <n v="10.4"/>
    <x v="0"/>
    <n v="12"/>
    <n v="1"/>
    <x v="0"/>
    <n v="30.259433962264151"/>
  </r>
  <r>
    <x v="91"/>
    <x v="1"/>
    <s v="Denver, CO"/>
    <d v="2024-04-02T00:00:00"/>
    <d v="1899-12-30T20:15:00"/>
    <d v="2024-04-02T00:00:00"/>
    <d v="1899-12-30T20:40:00"/>
    <x v="1"/>
    <s v="Small"/>
    <s v="Vegan"/>
    <n v="2"/>
    <n v="2"/>
    <s v="High"/>
    <s v="Cash"/>
    <x v="0"/>
    <x v="0"/>
    <n v="12.5"/>
    <n v="1"/>
    <x v="3"/>
    <s v="Offline"/>
    <n v="4.8"/>
    <n v="20.2"/>
    <x v="0"/>
    <n v="2"/>
    <n v="3"/>
    <x v="1"/>
    <n v="28.186274509803919"/>
  </r>
  <r>
    <x v="92"/>
    <x v="2"/>
    <s v="Boston, MA"/>
    <d v="2024-04-03T00:00:00"/>
    <d v="1899-12-30T18:30:00"/>
    <d v="2024-04-03T00:00:00"/>
    <d v="1899-12-30T18:50:00"/>
    <x v="2"/>
    <s v="Medium"/>
    <s v="Non-Veg"/>
    <n v="3"/>
    <n v="3.5"/>
    <s v="Low"/>
    <s v="Wallet"/>
    <x v="0"/>
    <x v="0"/>
    <n v="5.7142857142857144"/>
    <n v="0.8571428571428571"/>
    <x v="3"/>
    <s v="Online"/>
    <n v="8.4"/>
    <n v="11.6"/>
    <x v="0"/>
    <n v="6"/>
    <n v="1"/>
    <x v="0"/>
    <n v="28.844221105527641"/>
  </r>
  <r>
    <x v="93"/>
    <x v="3"/>
    <s v="Chicago, IL"/>
    <d v="2024-04-04T00:00:00"/>
    <d v="1899-12-30T19:45:00"/>
    <d v="2024-04-04T00:00:00"/>
    <d v="1899-12-30T20:10:00"/>
    <x v="1"/>
    <s v="XL"/>
    <s v="Cheese Burst"/>
    <n v="5"/>
    <n v="4"/>
    <s v="Medium"/>
    <s v="Card"/>
    <x v="0"/>
    <x v="0"/>
    <n v="6.25"/>
    <n v="1.25"/>
    <x v="3"/>
    <s v="Online"/>
    <n v="9.6"/>
    <n v="15.4"/>
    <x v="0"/>
    <n v="20"/>
    <n v="2"/>
    <x v="3"/>
    <n v="29.948453608247419"/>
  </r>
  <r>
    <x v="94"/>
    <x v="4"/>
    <s v="Miami, FL"/>
    <d v="2024-04-05T00:00:00"/>
    <d v="1899-12-30T13:00:00"/>
    <d v="2024-04-05T00:00:00"/>
    <d v="1899-12-30T13:20:00"/>
    <x v="2"/>
    <s v="Medium"/>
    <s v="Non-Veg"/>
    <n v="3"/>
    <n v="3"/>
    <s v="High"/>
    <s v="UPI"/>
    <x v="1"/>
    <x v="0"/>
    <n v="6.666666666666667"/>
    <n v="1"/>
    <x v="3"/>
    <s v="Online"/>
    <n v="7.1999999999999993"/>
    <n v="12.8"/>
    <x v="0"/>
    <n v="6"/>
    <n v="3"/>
    <x v="4"/>
    <n v="30.286458333333329"/>
  </r>
  <r>
    <x v="95"/>
    <x v="0"/>
    <s v="Los Angeles, CA"/>
    <d v="2024-04-06T00:00:00"/>
    <d v="1899-12-30T18:30:00"/>
    <d v="2024-04-06T00:00:00"/>
    <d v="1899-12-30T18:50:00"/>
    <x v="2"/>
    <s v="Large"/>
    <s v="Veg"/>
    <n v="4"/>
    <n v="4.5"/>
    <s v="High"/>
    <s v="Card"/>
    <x v="0"/>
    <x v="1"/>
    <n v="4.4444444444444446"/>
    <n v="0.88888888888888884"/>
    <x v="3"/>
    <s v="Online"/>
    <n v="10.8"/>
    <n v="9.2000000000000011"/>
    <x v="0"/>
    <n v="12"/>
    <n v="3"/>
    <x v="0"/>
    <n v="30.259433962264151"/>
  </r>
  <r>
    <x v="96"/>
    <x v="1"/>
    <s v="Dallas, TX"/>
    <d v="2024-04-07T00:00:00"/>
    <d v="1899-12-30T20:00:00"/>
    <d v="2024-04-07T00:00:00"/>
    <d v="1899-12-30T20:25:00"/>
    <x v="1"/>
    <s v="Medium"/>
    <s v="Non-Veg"/>
    <n v="3"/>
    <n v="3"/>
    <s v="Medium"/>
    <s v="UPI"/>
    <x v="0"/>
    <x v="1"/>
    <n v="8.3333333333333339"/>
    <n v="1"/>
    <x v="3"/>
    <s v="Online"/>
    <n v="7.1999999999999993"/>
    <n v="17.8"/>
    <x v="0"/>
    <n v="6"/>
    <n v="2"/>
    <x v="1"/>
    <n v="28.186274509803919"/>
  </r>
  <r>
    <x v="97"/>
    <x v="2"/>
    <s v="Chicago, IL"/>
    <d v="2024-04-08T00:00:00"/>
    <d v="1899-12-30T19:15:00"/>
    <d v="2024-04-08T00:00:00"/>
    <d v="1899-12-30T19:35:00"/>
    <x v="2"/>
    <s v="Small"/>
    <s v="Vegan"/>
    <n v="2"/>
    <n v="2.5"/>
    <s v="Low"/>
    <s v="Cash"/>
    <x v="0"/>
    <x v="0"/>
    <n v="8"/>
    <n v="0.8"/>
    <x v="3"/>
    <s v="Offline"/>
    <n v="6"/>
    <n v="14"/>
    <x v="0"/>
    <n v="2"/>
    <n v="1"/>
    <x v="3"/>
    <n v="28.844221105527641"/>
  </r>
  <r>
    <x v="98"/>
    <x v="3"/>
    <s v="Phoenix, AZ"/>
    <d v="2024-04-09T00:00:00"/>
    <d v="1899-12-30T19:45:00"/>
    <d v="2024-04-09T00:00:00"/>
    <d v="1899-12-30T20:10:00"/>
    <x v="1"/>
    <s v="XL"/>
    <s v="Cheese Burst"/>
    <n v="5"/>
    <n v="4"/>
    <s v="High"/>
    <s v="Wallet"/>
    <x v="0"/>
    <x v="0"/>
    <n v="6.25"/>
    <n v="1.25"/>
    <x v="3"/>
    <s v="Online"/>
    <n v="9.6"/>
    <n v="15.4"/>
    <x v="0"/>
    <n v="20"/>
    <n v="3"/>
    <x v="3"/>
    <n v="29.948453608247419"/>
  </r>
  <r>
    <x v="99"/>
    <x v="4"/>
    <s v="Atlanta, GA"/>
    <d v="2024-04-10T00:00:00"/>
    <d v="1899-12-30T13:00:00"/>
    <d v="2024-04-10T00:00:00"/>
    <d v="1899-12-30T13:20:00"/>
    <x v="2"/>
    <s v="Medium"/>
    <s v="Non-Veg"/>
    <n v="3"/>
    <n v="3.5"/>
    <s v="Low"/>
    <s v="Card"/>
    <x v="1"/>
    <x v="0"/>
    <n v="5.7142857142857144"/>
    <n v="0.8571428571428571"/>
    <x v="3"/>
    <s v="Online"/>
    <n v="8.4"/>
    <n v="11.6"/>
    <x v="0"/>
    <n v="6"/>
    <n v="1"/>
    <x v="4"/>
    <n v="30.286458333333329"/>
  </r>
  <r>
    <x v="100"/>
    <x v="0"/>
    <s v="Seattle, WA"/>
    <d v="2024-04-11T00:00:00"/>
    <d v="1899-12-30T18:30:00"/>
    <d v="2024-04-11T00:00:00"/>
    <d v="1899-12-30T18:50:00"/>
    <x v="2"/>
    <s v="Large"/>
    <s v="Veg"/>
    <n v="4"/>
    <n v="4.5"/>
    <s v="Medium"/>
    <s v="UPI"/>
    <x v="0"/>
    <x v="0"/>
    <n v="4.4444444444444446"/>
    <n v="0.88888888888888884"/>
    <x v="3"/>
    <s v="Online"/>
    <n v="10.8"/>
    <n v="9.2000000000000011"/>
    <x v="0"/>
    <n v="12"/>
    <n v="2"/>
    <x v="0"/>
    <n v="30.259433962264151"/>
  </r>
  <r>
    <x v="101"/>
    <x v="1"/>
    <s v="Denver, CO"/>
    <d v="2024-04-12T00:00:00"/>
    <d v="1899-12-30T20:15:00"/>
    <d v="2024-04-12T00:00:00"/>
    <d v="1899-12-30T20:40:00"/>
    <x v="1"/>
    <s v="Small"/>
    <s v="Vegan"/>
    <n v="2"/>
    <n v="2"/>
    <s v="High"/>
    <s v="Cash"/>
    <x v="0"/>
    <x v="0"/>
    <n v="12.5"/>
    <n v="1"/>
    <x v="3"/>
    <s v="Offline"/>
    <n v="4.8"/>
    <n v="20.2"/>
    <x v="0"/>
    <n v="2"/>
    <n v="3"/>
    <x v="1"/>
    <n v="28.186274509803919"/>
  </r>
  <r>
    <x v="102"/>
    <x v="2"/>
    <s v="Boston, MA"/>
    <d v="2024-04-13T00:00:00"/>
    <d v="1899-12-30T18:30:00"/>
    <d v="2024-04-13T00:00:00"/>
    <d v="1899-12-30T18:50:00"/>
    <x v="2"/>
    <s v="Medium"/>
    <s v="Non-Veg"/>
    <n v="3"/>
    <n v="3.5"/>
    <s v="Low"/>
    <s v="Wallet"/>
    <x v="0"/>
    <x v="1"/>
    <n v="5.7142857142857144"/>
    <n v="0.8571428571428571"/>
    <x v="3"/>
    <s v="Online"/>
    <n v="8.4"/>
    <n v="11.6"/>
    <x v="0"/>
    <n v="6"/>
    <n v="1"/>
    <x v="0"/>
    <n v="28.844221105527641"/>
  </r>
  <r>
    <x v="103"/>
    <x v="3"/>
    <s v="Chicago, IL"/>
    <d v="2024-04-14T00:00:00"/>
    <d v="1899-12-30T19:45:00"/>
    <d v="2024-04-14T00:00:00"/>
    <d v="1899-12-30T20:10:00"/>
    <x v="1"/>
    <s v="XL"/>
    <s v="Cheese Burst"/>
    <n v="5"/>
    <n v="4"/>
    <s v="Medium"/>
    <s v="Card"/>
    <x v="0"/>
    <x v="1"/>
    <n v="6.25"/>
    <n v="1.25"/>
    <x v="3"/>
    <s v="Online"/>
    <n v="9.6"/>
    <n v="15.4"/>
    <x v="0"/>
    <n v="20"/>
    <n v="2"/>
    <x v="3"/>
    <n v="29.948453608247419"/>
  </r>
  <r>
    <x v="104"/>
    <x v="4"/>
    <s v="Miami, FL"/>
    <d v="2024-04-15T00:00:00"/>
    <d v="1899-12-30T13:00:00"/>
    <d v="2024-04-15T00:00:00"/>
    <d v="1899-12-30T13:20:00"/>
    <x v="2"/>
    <s v="Medium"/>
    <s v="Non-Veg"/>
    <n v="3"/>
    <n v="3"/>
    <s v="High"/>
    <s v="UPI"/>
    <x v="1"/>
    <x v="0"/>
    <n v="6.666666666666667"/>
    <n v="1"/>
    <x v="3"/>
    <s v="Online"/>
    <n v="7.1999999999999993"/>
    <n v="12.8"/>
    <x v="0"/>
    <n v="6"/>
    <n v="3"/>
    <x v="4"/>
    <n v="30.286458333333329"/>
  </r>
  <r>
    <x v="105"/>
    <x v="0"/>
    <s v="Los Angeles, CA"/>
    <d v="2024-04-16T00:00:00"/>
    <d v="1899-12-30T18:30:00"/>
    <d v="2024-04-16T00:00:00"/>
    <d v="1899-12-30T18:50:00"/>
    <x v="2"/>
    <s v="Large"/>
    <s v="Veg"/>
    <n v="4"/>
    <n v="4.5"/>
    <s v="Low"/>
    <s v="Cash"/>
    <x v="0"/>
    <x v="0"/>
    <n v="4.4444444444444446"/>
    <n v="0.88888888888888884"/>
    <x v="3"/>
    <s v="Offline"/>
    <n v="10.8"/>
    <n v="9.2000000000000011"/>
    <x v="0"/>
    <n v="12"/>
    <n v="1"/>
    <x v="0"/>
    <n v="30.259433962264151"/>
  </r>
  <r>
    <x v="106"/>
    <x v="1"/>
    <s v="Phoenix, AZ"/>
    <d v="2024-04-17T00:00:00"/>
    <d v="1899-12-30T20:00:00"/>
    <d v="2024-04-17T00:00:00"/>
    <d v="1899-12-30T20:25:00"/>
    <x v="1"/>
    <s v="Medium"/>
    <s v="Non-Veg"/>
    <n v="3"/>
    <n v="3"/>
    <s v="High"/>
    <s v="Wallet"/>
    <x v="0"/>
    <x v="0"/>
    <n v="8.3333333333333339"/>
    <n v="1"/>
    <x v="3"/>
    <s v="Online"/>
    <n v="7.1999999999999993"/>
    <n v="17.8"/>
    <x v="0"/>
    <n v="6"/>
    <n v="3"/>
    <x v="1"/>
    <n v="28.186274509803919"/>
  </r>
  <r>
    <x v="107"/>
    <x v="2"/>
    <s v="Atlanta, GA"/>
    <d v="2024-04-18T00:00:00"/>
    <d v="1899-12-30T19:15:00"/>
    <d v="2024-04-18T00:00:00"/>
    <d v="1899-12-30T19:35:00"/>
    <x v="2"/>
    <s v="Small"/>
    <s v="Vegan"/>
    <n v="2"/>
    <n v="2.5"/>
    <s v="Low"/>
    <s v="Card"/>
    <x v="0"/>
    <x v="0"/>
    <n v="8"/>
    <n v="0.8"/>
    <x v="3"/>
    <s v="Online"/>
    <n v="6"/>
    <n v="14"/>
    <x v="0"/>
    <n v="2"/>
    <n v="1"/>
    <x v="3"/>
    <n v="28.844221105527641"/>
  </r>
  <r>
    <x v="108"/>
    <x v="3"/>
    <s v="Dallas, TX"/>
    <d v="2024-04-19T00:00:00"/>
    <d v="1899-12-30T19:45:00"/>
    <d v="2024-04-19T00:00:00"/>
    <d v="1899-12-30T20:10:00"/>
    <x v="1"/>
    <s v="XL"/>
    <s v="Cheese Burst"/>
    <n v="5"/>
    <n v="4"/>
    <s v="Medium"/>
    <s v="UPI"/>
    <x v="0"/>
    <x v="0"/>
    <n v="6.25"/>
    <n v="1.25"/>
    <x v="3"/>
    <s v="Online"/>
    <n v="9.6"/>
    <n v="15.4"/>
    <x v="0"/>
    <n v="20"/>
    <n v="2"/>
    <x v="3"/>
    <n v="29.948453608247419"/>
  </r>
  <r>
    <x v="109"/>
    <x v="4"/>
    <s v="Seattle, WA"/>
    <d v="2024-04-20T00:00:00"/>
    <d v="1899-12-30T13:00:00"/>
    <d v="2024-04-20T00:00:00"/>
    <d v="1899-12-30T13:20:00"/>
    <x v="2"/>
    <s v="Medium"/>
    <s v="Non-Veg"/>
    <n v="3"/>
    <n v="3.5"/>
    <s v="High"/>
    <s v="Cash"/>
    <x v="1"/>
    <x v="1"/>
    <n v="5.7142857142857144"/>
    <n v="0.8571428571428571"/>
    <x v="3"/>
    <s v="Offline"/>
    <n v="8.4"/>
    <n v="11.6"/>
    <x v="0"/>
    <n v="6"/>
    <n v="3"/>
    <x v="4"/>
    <n v="30.286458333333329"/>
  </r>
  <r>
    <x v="110"/>
    <x v="0"/>
    <s v="Denver, CO"/>
    <d v="2024-04-21T00:00:00"/>
    <d v="1899-12-30T18:30:00"/>
    <d v="2024-04-21T00:00:00"/>
    <d v="1899-12-30T18:50:00"/>
    <x v="2"/>
    <s v="Large"/>
    <s v="Veg"/>
    <n v="4"/>
    <n v="4.5"/>
    <s v="Low"/>
    <s v="Wallet"/>
    <x v="0"/>
    <x v="1"/>
    <n v="4.4444444444444446"/>
    <n v="0.88888888888888884"/>
    <x v="3"/>
    <s v="Online"/>
    <n v="10.8"/>
    <n v="9.2000000000000011"/>
    <x v="0"/>
    <n v="12"/>
    <n v="1"/>
    <x v="0"/>
    <n v="30.259433962264151"/>
  </r>
  <r>
    <x v="111"/>
    <x v="1"/>
    <s v="Boston, MA"/>
    <d v="2024-04-22T00:00:00"/>
    <d v="1899-12-30T20:15:00"/>
    <d v="2024-04-22T00:00:00"/>
    <d v="1899-12-30T20:40:00"/>
    <x v="1"/>
    <s v="Small"/>
    <s v="Vegan"/>
    <n v="2"/>
    <n v="2"/>
    <s v="High"/>
    <s v="Card"/>
    <x v="0"/>
    <x v="0"/>
    <n v="12.5"/>
    <n v="1"/>
    <x v="3"/>
    <s v="Online"/>
    <n v="4.8"/>
    <n v="20.2"/>
    <x v="0"/>
    <n v="2"/>
    <n v="3"/>
    <x v="1"/>
    <n v="28.186274509803919"/>
  </r>
  <r>
    <x v="112"/>
    <x v="2"/>
    <s v="Dallas, TX"/>
    <d v="2024-04-23T00:00:00"/>
    <d v="1899-12-30T18:30:00"/>
    <d v="2024-04-23T00:00:00"/>
    <d v="1899-12-30T18:50:00"/>
    <x v="2"/>
    <s v="Medium"/>
    <s v="Non-Veg"/>
    <n v="3"/>
    <n v="3"/>
    <s v="High"/>
    <s v="UPI"/>
    <x v="0"/>
    <x v="0"/>
    <n v="6.666666666666667"/>
    <n v="1"/>
    <x v="3"/>
    <s v="Online"/>
    <n v="7.1999999999999993"/>
    <n v="12.8"/>
    <x v="0"/>
    <n v="6"/>
    <n v="3"/>
    <x v="0"/>
    <n v="28.844221105527641"/>
  </r>
  <r>
    <x v="113"/>
    <x v="3"/>
    <s v="Los Angeles, CA"/>
    <d v="2024-04-24T00:00:00"/>
    <d v="1899-12-30T19:45:00"/>
    <d v="2024-04-24T00:00:00"/>
    <d v="1899-12-30T20:10:00"/>
    <x v="1"/>
    <s v="XL"/>
    <s v="Cheese Burst"/>
    <n v="5"/>
    <n v="4.5"/>
    <s v="Low"/>
    <s v="Cash"/>
    <x v="0"/>
    <x v="0"/>
    <n v="5.5555555555555554"/>
    <n v="1.1111111111111109"/>
    <x v="3"/>
    <s v="Offline"/>
    <n v="10.8"/>
    <n v="14.2"/>
    <x v="0"/>
    <n v="20"/>
    <n v="1"/>
    <x v="3"/>
    <n v="29.948453608247419"/>
  </r>
  <r>
    <x v="114"/>
    <x v="4"/>
    <s v="Chicago, IL"/>
    <d v="2024-04-25T00:00:00"/>
    <d v="1899-12-30T13:00:00"/>
    <d v="2024-04-25T00:00:00"/>
    <d v="1899-12-30T13:20:00"/>
    <x v="2"/>
    <s v="Medium"/>
    <s v="Non-Veg"/>
    <n v="3"/>
    <n v="3.5"/>
    <s v="Medium"/>
    <s v="Wallet"/>
    <x v="1"/>
    <x v="0"/>
    <n v="5.7142857142857144"/>
    <n v="0.8571428571428571"/>
    <x v="3"/>
    <s v="Online"/>
    <n v="8.4"/>
    <n v="11.6"/>
    <x v="0"/>
    <n v="6"/>
    <n v="2"/>
    <x v="4"/>
    <n v="30.286458333333329"/>
  </r>
  <r>
    <x v="115"/>
    <x v="0"/>
    <s v="Miami, FL"/>
    <d v="2024-04-26T00:00:00"/>
    <d v="1899-12-30T18:30:00"/>
    <d v="2024-04-26T00:00:00"/>
    <d v="1899-12-30T18:50:00"/>
    <x v="2"/>
    <s v="Large"/>
    <s v="Veg"/>
    <n v="4"/>
    <n v="4"/>
    <s v="High"/>
    <s v="Card"/>
    <x v="0"/>
    <x v="0"/>
    <n v="5"/>
    <n v="1"/>
    <x v="3"/>
    <s v="Online"/>
    <n v="9.6"/>
    <n v="10.4"/>
    <x v="0"/>
    <n v="12"/>
    <n v="3"/>
    <x v="0"/>
    <n v="30.259433962264151"/>
  </r>
  <r>
    <x v="116"/>
    <x v="1"/>
    <s v="Dallas, TX"/>
    <d v="2024-04-27T00:00:00"/>
    <d v="1899-12-30T20:00:00"/>
    <d v="2024-04-27T00:00:00"/>
    <d v="1899-12-30T20:25:00"/>
    <x v="1"/>
    <s v="Medium"/>
    <s v="Non-Veg"/>
    <n v="3"/>
    <n v="3"/>
    <s v="Low"/>
    <s v="UPI"/>
    <x v="0"/>
    <x v="1"/>
    <n v="8.3333333333333339"/>
    <n v="1"/>
    <x v="3"/>
    <s v="Online"/>
    <n v="7.1999999999999993"/>
    <n v="17.8"/>
    <x v="0"/>
    <n v="6"/>
    <n v="1"/>
    <x v="1"/>
    <n v="28.186274509803919"/>
  </r>
  <r>
    <x v="117"/>
    <x v="2"/>
    <s v="Houston, TX"/>
    <d v="2024-04-28T00:00:00"/>
    <d v="1899-12-30T19:15:00"/>
    <d v="2024-04-28T00:00:00"/>
    <d v="1899-12-30T19:35:00"/>
    <x v="2"/>
    <s v="Small"/>
    <s v="Vegan"/>
    <n v="2"/>
    <n v="2.5"/>
    <s v="Low"/>
    <s v="Cash"/>
    <x v="0"/>
    <x v="1"/>
    <n v="8"/>
    <n v="0.8"/>
    <x v="3"/>
    <s v="Offline"/>
    <n v="6"/>
    <n v="14"/>
    <x v="0"/>
    <n v="2"/>
    <n v="1"/>
    <x v="3"/>
    <n v="28.844221105527641"/>
  </r>
  <r>
    <x v="118"/>
    <x v="3"/>
    <s v="Phoenix, AZ"/>
    <d v="2024-04-29T00:00:00"/>
    <d v="1899-12-30T19:45:00"/>
    <d v="2024-04-29T00:00:00"/>
    <d v="1899-12-30T20:10:00"/>
    <x v="1"/>
    <s v="XL"/>
    <s v="Cheese Burst"/>
    <n v="5"/>
    <n v="4.5"/>
    <s v="High"/>
    <s v="Wallet"/>
    <x v="0"/>
    <x v="0"/>
    <n v="5.5555555555555554"/>
    <n v="1.1111111111111109"/>
    <x v="3"/>
    <s v="Online"/>
    <n v="10.8"/>
    <n v="14.2"/>
    <x v="0"/>
    <n v="20"/>
    <n v="3"/>
    <x v="3"/>
    <n v="29.948453608247419"/>
  </r>
  <r>
    <x v="119"/>
    <x v="4"/>
    <s v="Atlanta, GA"/>
    <d v="2024-04-30T00:00:00"/>
    <d v="1899-12-30T13:00:00"/>
    <d v="2024-04-30T00:00:00"/>
    <d v="1899-12-30T13:20:00"/>
    <x v="2"/>
    <s v="Medium"/>
    <s v="Non-Veg"/>
    <n v="3"/>
    <n v="3"/>
    <s v="Medium"/>
    <s v="Card"/>
    <x v="1"/>
    <x v="0"/>
    <n v="6.666666666666667"/>
    <n v="1"/>
    <x v="3"/>
    <s v="Online"/>
    <n v="7.1999999999999993"/>
    <n v="12.8"/>
    <x v="0"/>
    <n v="6"/>
    <n v="2"/>
    <x v="4"/>
    <n v="30.286458333333329"/>
  </r>
  <r>
    <x v="120"/>
    <x v="0"/>
    <s v="Seattle, WA"/>
    <d v="2024-05-01T00:00:00"/>
    <d v="1899-12-30T18:30:00"/>
    <d v="2024-05-01T00:00:00"/>
    <d v="1899-12-30T18:50:00"/>
    <x v="2"/>
    <s v="Large"/>
    <s v="Veg"/>
    <n v="4"/>
    <n v="4.5"/>
    <s v="Low"/>
    <s v="UPI"/>
    <x v="0"/>
    <x v="0"/>
    <n v="4.4444444444444446"/>
    <n v="0.88888888888888884"/>
    <x v="4"/>
    <s v="Online"/>
    <n v="10.8"/>
    <n v="9.2000000000000011"/>
    <x v="0"/>
    <n v="12"/>
    <n v="1"/>
    <x v="0"/>
    <n v="30.259433962264151"/>
  </r>
  <r>
    <x v="121"/>
    <x v="1"/>
    <s v="Denver, CO"/>
    <d v="2024-05-02T00:00:00"/>
    <d v="1899-12-30T20:15:00"/>
    <d v="2024-05-02T00:00:00"/>
    <d v="1899-12-30T20:40:00"/>
    <x v="1"/>
    <s v="Small"/>
    <s v="Vegan"/>
    <n v="2"/>
    <n v="2"/>
    <s v="High"/>
    <s v="Cash"/>
    <x v="0"/>
    <x v="0"/>
    <n v="12.5"/>
    <n v="1"/>
    <x v="4"/>
    <s v="Offline"/>
    <n v="4.8"/>
    <n v="20.2"/>
    <x v="0"/>
    <n v="2"/>
    <n v="3"/>
    <x v="1"/>
    <n v="28.186274509803919"/>
  </r>
  <r>
    <x v="122"/>
    <x v="2"/>
    <s v="Boston, MA"/>
    <d v="2024-05-03T00:00:00"/>
    <d v="1899-12-30T18:30:00"/>
    <d v="2024-05-03T00:00:00"/>
    <d v="1899-12-30T18:50:00"/>
    <x v="2"/>
    <s v="Medium"/>
    <s v="Non-Veg"/>
    <n v="3"/>
    <n v="3.5"/>
    <s v="Low"/>
    <s v="Wallet"/>
    <x v="0"/>
    <x v="0"/>
    <n v="5.7142857142857144"/>
    <n v="0.8571428571428571"/>
    <x v="4"/>
    <s v="Online"/>
    <n v="8.4"/>
    <n v="11.6"/>
    <x v="0"/>
    <n v="6"/>
    <n v="1"/>
    <x v="0"/>
    <n v="28.844221105527641"/>
  </r>
  <r>
    <x v="123"/>
    <x v="3"/>
    <s v="Chicago, IL"/>
    <d v="2024-05-04T00:00:00"/>
    <d v="1899-12-30T19:45:00"/>
    <d v="2024-05-04T00:00:00"/>
    <d v="1899-12-30T20:10:00"/>
    <x v="1"/>
    <s v="XL"/>
    <s v="Cheese Burst"/>
    <n v="5"/>
    <n v="4"/>
    <s v="Medium"/>
    <s v="Card"/>
    <x v="0"/>
    <x v="1"/>
    <n v="6.25"/>
    <n v="1.25"/>
    <x v="4"/>
    <s v="Online"/>
    <n v="9.6"/>
    <n v="15.4"/>
    <x v="0"/>
    <n v="20"/>
    <n v="2"/>
    <x v="3"/>
    <n v="29.948453608247419"/>
  </r>
  <r>
    <x v="124"/>
    <x v="4"/>
    <s v="Miami, FL"/>
    <d v="2024-05-05T00:00:00"/>
    <d v="1899-12-30T13:00:00"/>
    <d v="2024-05-05T00:00:00"/>
    <d v="1899-12-30T13:20:00"/>
    <x v="2"/>
    <s v="Medium"/>
    <s v="Non-Veg"/>
    <n v="3"/>
    <n v="3"/>
    <s v="High"/>
    <s v="UPI"/>
    <x v="1"/>
    <x v="1"/>
    <n v="6.666666666666667"/>
    <n v="1"/>
    <x v="4"/>
    <s v="Online"/>
    <n v="7.1999999999999993"/>
    <n v="12.8"/>
    <x v="0"/>
    <n v="6"/>
    <n v="3"/>
    <x v="4"/>
    <n v="30.286458333333329"/>
  </r>
  <r>
    <x v="125"/>
    <x v="0"/>
    <s v="New York, NY"/>
    <d v="2024-08-01T00:00:00"/>
    <d v="1899-12-30T18:00:00"/>
    <d v="2024-08-01T00:00:00"/>
    <d v="1899-12-30T18:20:00"/>
    <x v="2"/>
    <s v="Medium"/>
    <s v="Veg"/>
    <n v="2"/>
    <n v="3"/>
    <s v="Low"/>
    <s v="Card"/>
    <x v="0"/>
    <x v="0"/>
    <n v="6.666666666666667"/>
    <n v="0.66666666666666663"/>
    <x v="5"/>
    <s v="Online"/>
    <n v="7.1999999999999993"/>
    <n v="12.8"/>
    <x v="0"/>
    <n v="4"/>
    <n v="1"/>
    <x v="0"/>
    <n v="30.259433962264151"/>
  </r>
  <r>
    <x v="126"/>
    <x v="1"/>
    <s v="Chicago, IL"/>
    <d v="2024-08-02T00:00:00"/>
    <d v="1899-12-30T19:15:00"/>
    <d v="2024-08-02T00:00:00"/>
    <d v="1899-12-30T19:45:00"/>
    <x v="3"/>
    <s v="Large"/>
    <s v="Non-Veg"/>
    <n v="4"/>
    <n v="6"/>
    <s v="Medium"/>
    <s v="UPI"/>
    <x v="0"/>
    <x v="0"/>
    <n v="5"/>
    <n v="0.66666666666666663"/>
    <x v="5"/>
    <s v="Online"/>
    <n v="14.4"/>
    <n v="15.6"/>
    <x v="0"/>
    <n v="12"/>
    <n v="2"/>
    <x v="3"/>
    <n v="28.186274509803919"/>
  </r>
  <r>
    <x v="127"/>
    <x v="3"/>
    <s v="Los Angeles, CA"/>
    <d v="2024-08-03T00:00:00"/>
    <d v="1899-12-30T20:30:00"/>
    <d v="2024-08-03T00:00:00"/>
    <d v="1899-12-30T21:10:00"/>
    <x v="4"/>
    <s v="XL"/>
    <s v="Cheese Burst"/>
    <n v="5"/>
    <n v="8"/>
    <s v="High"/>
    <s v="Wallet"/>
    <x v="0"/>
    <x v="1"/>
    <n v="5"/>
    <n v="0.625"/>
    <x v="5"/>
    <s v="Online"/>
    <n v="19.2"/>
    <n v="20.8"/>
    <x v="1"/>
    <n v="20"/>
    <n v="3"/>
    <x v="1"/>
    <n v="29.948453608247419"/>
  </r>
  <r>
    <x v="128"/>
    <x v="2"/>
    <s v="Houston, TX"/>
    <d v="2024-08-04T00:00:00"/>
    <d v="1899-12-30T18:45:00"/>
    <d v="2024-08-04T00:00:00"/>
    <d v="1899-12-30T19:05:00"/>
    <x v="2"/>
    <s v="Small"/>
    <s v="Vegan"/>
    <n v="1"/>
    <n v="2.5"/>
    <s v="Low"/>
    <s v="Cash"/>
    <x v="0"/>
    <x v="1"/>
    <n v="8"/>
    <n v="0.4"/>
    <x v="5"/>
    <s v="Offline"/>
    <n v="6"/>
    <n v="14"/>
    <x v="0"/>
    <n v="1"/>
    <n v="1"/>
    <x v="0"/>
    <n v="28.844221105527641"/>
  </r>
  <r>
    <x v="129"/>
    <x v="4"/>
    <s v="Phoenix, AZ"/>
    <d v="2024-08-05T00:00:00"/>
    <d v="1899-12-30T19:00:00"/>
    <d v="2024-08-05T00:00:00"/>
    <d v="1899-12-30T19:50:00"/>
    <x v="5"/>
    <s v="Large"/>
    <s v="Non-Veg"/>
    <n v="4"/>
    <n v="10"/>
    <s v="High"/>
    <s v="Card"/>
    <x v="0"/>
    <x v="0"/>
    <n v="5"/>
    <n v="0.4"/>
    <x v="5"/>
    <s v="Online"/>
    <n v="24"/>
    <n v="26"/>
    <x v="1"/>
    <n v="12"/>
    <n v="3"/>
    <x v="3"/>
    <n v="30.286458333333329"/>
  </r>
  <r>
    <x v="130"/>
    <x v="0"/>
    <s v="Miami, FL"/>
    <d v="2024-08-06T00:00:00"/>
    <d v="1899-12-30T20:00:00"/>
    <d v="2024-08-06T00:00:00"/>
    <d v="1899-12-30T20:35:00"/>
    <x v="6"/>
    <s v="Medium"/>
    <s v="Veg"/>
    <n v="3"/>
    <n v="5.5"/>
    <s v="Medium"/>
    <s v="Wallet"/>
    <x v="0"/>
    <x v="0"/>
    <n v="6.3636363636363633"/>
    <n v="0.54545454545454541"/>
    <x v="5"/>
    <s v="Online"/>
    <n v="13.2"/>
    <n v="21.8"/>
    <x v="1"/>
    <n v="6"/>
    <n v="2"/>
    <x v="1"/>
    <n v="30.259433962264151"/>
  </r>
  <r>
    <x v="131"/>
    <x v="1"/>
    <s v="Denver, CO"/>
    <d v="2024-08-07T00:00:00"/>
    <d v="1899-12-30T18:30:00"/>
    <d v="2024-08-07T00:00:00"/>
    <d v="1899-12-30T18:50:00"/>
    <x v="2"/>
    <s v="Small"/>
    <s v="Vegan"/>
    <n v="2"/>
    <n v="2"/>
    <s v="Low"/>
    <s v="UPI"/>
    <x v="0"/>
    <x v="0"/>
    <n v="10"/>
    <n v="1"/>
    <x v="5"/>
    <s v="Online"/>
    <n v="4.8"/>
    <n v="15.2"/>
    <x v="0"/>
    <n v="2"/>
    <n v="1"/>
    <x v="0"/>
    <n v="28.186274509803919"/>
  </r>
  <r>
    <x v="132"/>
    <x v="3"/>
    <s v="Boston, MA"/>
    <d v="2024-08-08T00:00:00"/>
    <d v="1899-12-30T19:45:00"/>
    <d v="2024-08-08T00:00:00"/>
    <d v="1899-12-30T20:25:00"/>
    <x v="4"/>
    <s v="XL"/>
    <s v="Cheese Burst"/>
    <n v="5"/>
    <n v="7.5"/>
    <s v="High"/>
    <s v="Cash"/>
    <x v="0"/>
    <x v="0"/>
    <n v="5.333333333333333"/>
    <n v="0.66666666666666663"/>
    <x v="5"/>
    <s v="Offline"/>
    <n v="18"/>
    <n v="22"/>
    <x v="1"/>
    <n v="20"/>
    <n v="3"/>
    <x v="3"/>
    <n v="29.948453608247419"/>
  </r>
  <r>
    <x v="133"/>
    <x v="2"/>
    <s v="Dallas, TX"/>
    <d v="2024-08-09T00:00:00"/>
    <d v="1899-12-30T18:00:00"/>
    <d v="2024-08-09T00:00:00"/>
    <d v="1899-12-30T18:30:00"/>
    <x v="3"/>
    <s v="Medium"/>
    <s v="Non-Veg"/>
    <n v="3"/>
    <n v="4"/>
    <s v="Medium"/>
    <s v="Card"/>
    <x v="0"/>
    <x v="0"/>
    <n v="7.5"/>
    <n v="0.75"/>
    <x v="5"/>
    <s v="Online"/>
    <n v="9.6"/>
    <n v="20.399999999999999"/>
    <x v="0"/>
    <n v="6"/>
    <n v="2"/>
    <x v="0"/>
    <n v="28.844221105527641"/>
  </r>
  <r>
    <x v="134"/>
    <x v="4"/>
    <s v="Seattle, WA"/>
    <d v="2024-08-10T00:00:00"/>
    <d v="1899-12-30T20:15:00"/>
    <d v="2024-08-10T00:00:00"/>
    <d v="1899-12-30T21:00:00"/>
    <x v="7"/>
    <s v="Large"/>
    <s v="Veg"/>
    <n v="4"/>
    <n v="9"/>
    <s v="High"/>
    <s v="Wallet"/>
    <x v="0"/>
    <x v="1"/>
    <n v="5"/>
    <n v="0.44444444444444442"/>
    <x v="5"/>
    <s v="Online"/>
    <n v="21.6"/>
    <n v="23.4"/>
    <x v="1"/>
    <n v="12"/>
    <n v="3"/>
    <x v="1"/>
    <n v="30.286458333333329"/>
  </r>
  <r>
    <x v="135"/>
    <x v="0"/>
    <s v="San Jose, CA"/>
    <d v="2024-08-11T00:00:00"/>
    <d v="1899-12-30T18:00:00"/>
    <d v="2024-08-11T00:00:00"/>
    <d v="1899-12-30T18:20:00"/>
    <x v="2"/>
    <s v="Medium"/>
    <s v="Veg"/>
    <n v="2"/>
    <n v="3"/>
    <s v="Low"/>
    <s v="UPI"/>
    <x v="0"/>
    <x v="1"/>
    <n v="6.666666666666667"/>
    <n v="0.66666666666666663"/>
    <x v="5"/>
    <s v="Online"/>
    <n v="7.1999999999999993"/>
    <n v="12.8"/>
    <x v="0"/>
    <n v="4"/>
    <n v="1"/>
    <x v="0"/>
    <n v="30.259433962264151"/>
  </r>
  <r>
    <x v="136"/>
    <x v="1"/>
    <s v="Austin, TX"/>
    <d v="2024-08-12T00:00:00"/>
    <d v="1899-12-30T19:15:00"/>
    <d v="2024-08-12T00:00:00"/>
    <d v="1899-12-30T19:45:00"/>
    <x v="3"/>
    <s v="Large"/>
    <s v="Non-Veg"/>
    <n v="4"/>
    <n v="6"/>
    <s v="Medium"/>
    <s v="Cash"/>
    <x v="0"/>
    <x v="0"/>
    <n v="5"/>
    <n v="0.66666666666666663"/>
    <x v="5"/>
    <s v="Offline"/>
    <n v="14.4"/>
    <n v="15.6"/>
    <x v="0"/>
    <n v="12"/>
    <n v="2"/>
    <x v="3"/>
    <n v="28.186274509803919"/>
  </r>
  <r>
    <x v="137"/>
    <x v="3"/>
    <s v="San Diego, CA"/>
    <d v="2024-08-13T00:00:00"/>
    <d v="1899-12-30T20:30:00"/>
    <d v="2024-08-13T00:00:00"/>
    <d v="1899-12-30T21:10:00"/>
    <x v="4"/>
    <s v="XL"/>
    <s v="Cheese Burst"/>
    <n v="5"/>
    <n v="8"/>
    <s v="High"/>
    <s v="Card"/>
    <x v="0"/>
    <x v="0"/>
    <n v="5"/>
    <n v="0.625"/>
    <x v="5"/>
    <s v="Online"/>
    <n v="19.2"/>
    <n v="20.8"/>
    <x v="1"/>
    <n v="20"/>
    <n v="3"/>
    <x v="1"/>
    <n v="29.948453608247419"/>
  </r>
  <r>
    <x v="138"/>
    <x v="2"/>
    <s v="Jacksonville, FL"/>
    <d v="2024-08-14T00:00:00"/>
    <d v="1899-12-30T18:45:00"/>
    <d v="2024-08-14T00:00:00"/>
    <d v="1899-12-30T19:05:00"/>
    <x v="2"/>
    <s v="Small"/>
    <s v="Vegan"/>
    <n v="1"/>
    <n v="2.5"/>
    <s v="Low"/>
    <s v="Wallet"/>
    <x v="0"/>
    <x v="0"/>
    <n v="8"/>
    <n v="0.4"/>
    <x v="5"/>
    <s v="Online"/>
    <n v="6"/>
    <n v="14"/>
    <x v="0"/>
    <n v="1"/>
    <n v="1"/>
    <x v="0"/>
    <n v="28.844221105527641"/>
  </r>
  <r>
    <x v="139"/>
    <x v="4"/>
    <s v="Fort Worth, TX"/>
    <d v="2024-08-15T00:00:00"/>
    <d v="1899-12-30T19:00:00"/>
    <d v="2024-08-15T00:00:00"/>
    <d v="1899-12-30T19:50:00"/>
    <x v="5"/>
    <s v="Large"/>
    <s v="Non-Veg"/>
    <n v="4"/>
    <n v="10"/>
    <s v="High"/>
    <s v="UPI"/>
    <x v="0"/>
    <x v="0"/>
    <n v="5"/>
    <n v="0.4"/>
    <x v="5"/>
    <s v="Online"/>
    <n v="24"/>
    <n v="26"/>
    <x v="1"/>
    <n v="12"/>
    <n v="3"/>
    <x v="3"/>
    <n v="30.286458333333329"/>
  </r>
  <r>
    <x v="140"/>
    <x v="0"/>
    <s v="Columbus, OH"/>
    <d v="2024-08-16T00:00:00"/>
    <d v="1899-12-30T20:00:00"/>
    <d v="2024-08-16T00:00:00"/>
    <d v="1899-12-30T20:35:00"/>
    <x v="6"/>
    <s v="Medium"/>
    <s v="Veg"/>
    <n v="3"/>
    <n v="5.5"/>
    <s v="Medium"/>
    <s v="Cash"/>
    <x v="0"/>
    <x v="0"/>
    <n v="6.3636363636363633"/>
    <n v="0.54545454545454541"/>
    <x v="5"/>
    <s v="Offline"/>
    <n v="13.2"/>
    <n v="21.8"/>
    <x v="1"/>
    <n v="6"/>
    <n v="2"/>
    <x v="1"/>
    <n v="30.259433962264151"/>
  </r>
  <r>
    <x v="141"/>
    <x v="1"/>
    <s v="Charlotte, NC"/>
    <d v="2024-08-17T00:00:00"/>
    <d v="1899-12-30T18:30:00"/>
    <d v="2024-08-17T00:00:00"/>
    <d v="1899-12-30T18:50:00"/>
    <x v="2"/>
    <s v="Small"/>
    <s v="Vegan"/>
    <n v="2"/>
    <n v="2"/>
    <s v="Low"/>
    <s v="Card"/>
    <x v="0"/>
    <x v="1"/>
    <n v="10"/>
    <n v="1"/>
    <x v="5"/>
    <s v="Online"/>
    <n v="4.8"/>
    <n v="15.2"/>
    <x v="0"/>
    <n v="2"/>
    <n v="1"/>
    <x v="0"/>
    <n v="28.186274509803919"/>
  </r>
  <r>
    <x v="142"/>
    <x v="3"/>
    <s v="Indianapolis, IN"/>
    <d v="2024-08-18T00:00:00"/>
    <d v="1899-12-30T19:45:00"/>
    <d v="2024-08-18T00:00:00"/>
    <d v="1899-12-30T20:25:00"/>
    <x v="4"/>
    <s v="XL"/>
    <s v="Cheese Burst"/>
    <n v="5"/>
    <n v="7.5"/>
    <s v="High"/>
    <s v="Wallet"/>
    <x v="0"/>
    <x v="1"/>
    <n v="5.333333333333333"/>
    <n v="0.66666666666666663"/>
    <x v="5"/>
    <s v="Online"/>
    <n v="18"/>
    <n v="22"/>
    <x v="1"/>
    <n v="20"/>
    <n v="3"/>
    <x v="3"/>
    <n v="29.948453608247419"/>
  </r>
  <r>
    <x v="143"/>
    <x v="2"/>
    <s v="San Francisco, CA"/>
    <d v="2024-08-19T00:00:00"/>
    <d v="1899-12-30T18:00:00"/>
    <d v="2024-08-19T00:00:00"/>
    <d v="1899-12-30T18:30:00"/>
    <x v="3"/>
    <s v="Medium"/>
    <s v="Non-Veg"/>
    <n v="3"/>
    <n v="4"/>
    <s v="Medium"/>
    <s v="UPI"/>
    <x v="0"/>
    <x v="0"/>
    <n v="7.5"/>
    <n v="0.75"/>
    <x v="5"/>
    <s v="Online"/>
    <n v="9.6"/>
    <n v="20.399999999999999"/>
    <x v="0"/>
    <n v="6"/>
    <n v="2"/>
    <x v="0"/>
    <n v="28.844221105527641"/>
  </r>
  <r>
    <x v="144"/>
    <x v="4"/>
    <s v="Charlotte, NC"/>
    <d v="2024-08-20T00:00:00"/>
    <d v="1899-12-30T20:15:00"/>
    <d v="2024-08-20T00:00:00"/>
    <d v="1899-12-30T21:00:00"/>
    <x v="7"/>
    <s v="Large"/>
    <s v="Veg"/>
    <n v="4"/>
    <n v="9"/>
    <s v="High"/>
    <s v="Cash"/>
    <x v="0"/>
    <x v="0"/>
    <n v="5"/>
    <n v="0.44444444444444442"/>
    <x v="5"/>
    <s v="Offline"/>
    <n v="21.6"/>
    <n v="23.4"/>
    <x v="1"/>
    <n v="12"/>
    <n v="3"/>
    <x v="1"/>
    <n v="30.286458333333329"/>
  </r>
  <r>
    <x v="145"/>
    <x v="0"/>
    <s v="Detroit, MI"/>
    <d v="2024-08-21T00:00:00"/>
    <d v="1899-12-30T18:00:00"/>
    <d v="2024-08-21T00:00:00"/>
    <d v="1899-12-30T18:20:00"/>
    <x v="2"/>
    <s v="Medium"/>
    <s v="Veg"/>
    <n v="2"/>
    <n v="3"/>
    <s v="Low"/>
    <s v="Card"/>
    <x v="0"/>
    <x v="0"/>
    <n v="6.666666666666667"/>
    <n v="0.66666666666666663"/>
    <x v="5"/>
    <s v="Online"/>
    <n v="7.1999999999999993"/>
    <n v="12.8"/>
    <x v="0"/>
    <n v="4"/>
    <n v="1"/>
    <x v="0"/>
    <n v="30.259433962264151"/>
  </r>
  <r>
    <x v="146"/>
    <x v="1"/>
    <s v="El Paso, TX"/>
    <d v="2024-08-22T00:00:00"/>
    <d v="1899-12-30T19:15:00"/>
    <d v="2024-08-22T00:00:00"/>
    <d v="1899-12-30T19:45:00"/>
    <x v="3"/>
    <s v="Large"/>
    <s v="Non-Veg"/>
    <n v="4"/>
    <n v="6"/>
    <s v="Medium"/>
    <s v="Wallet"/>
    <x v="0"/>
    <x v="0"/>
    <n v="5"/>
    <n v="0.66666666666666663"/>
    <x v="5"/>
    <s v="Online"/>
    <n v="14.4"/>
    <n v="15.6"/>
    <x v="0"/>
    <n v="12"/>
    <n v="2"/>
    <x v="3"/>
    <n v="28.186274509803919"/>
  </r>
  <r>
    <x v="147"/>
    <x v="3"/>
    <s v="Memphis, TN"/>
    <d v="2024-08-23T00:00:00"/>
    <d v="1899-12-30T20:30:00"/>
    <d v="2024-08-23T00:00:00"/>
    <d v="1899-12-30T21:10:00"/>
    <x v="4"/>
    <s v="XL"/>
    <s v="Cheese Burst"/>
    <n v="5"/>
    <n v="8"/>
    <s v="High"/>
    <s v="UPI"/>
    <x v="0"/>
    <x v="0"/>
    <n v="5"/>
    <n v="0.625"/>
    <x v="5"/>
    <s v="Online"/>
    <n v="19.2"/>
    <n v="20.8"/>
    <x v="1"/>
    <n v="20"/>
    <n v="3"/>
    <x v="1"/>
    <n v="29.948453608247419"/>
  </r>
  <r>
    <x v="148"/>
    <x v="2"/>
    <s v="Baltimore, MD"/>
    <d v="2024-08-24T00:00:00"/>
    <d v="1899-12-30T18:45:00"/>
    <d v="2024-08-24T00:00:00"/>
    <d v="1899-12-30T19:05:00"/>
    <x v="2"/>
    <s v="Small"/>
    <s v="Vegan"/>
    <n v="1"/>
    <n v="2.5"/>
    <s v="Low"/>
    <s v="Cash"/>
    <x v="0"/>
    <x v="1"/>
    <n v="8"/>
    <n v="0.4"/>
    <x v="5"/>
    <s v="Offline"/>
    <n v="6"/>
    <n v="14"/>
    <x v="0"/>
    <n v="1"/>
    <n v="1"/>
    <x v="0"/>
    <n v="28.844221105527641"/>
  </r>
  <r>
    <x v="149"/>
    <x v="4"/>
    <s v="Boston, MA"/>
    <d v="2024-08-25T00:00:00"/>
    <d v="1899-12-30T19:00:00"/>
    <d v="2024-08-25T00:00:00"/>
    <d v="1899-12-30T19:50:00"/>
    <x v="5"/>
    <s v="Large"/>
    <s v="Non-Veg"/>
    <n v="4"/>
    <n v="10"/>
    <s v="High"/>
    <s v="Card"/>
    <x v="0"/>
    <x v="1"/>
    <n v="5"/>
    <n v="0.4"/>
    <x v="5"/>
    <s v="Online"/>
    <n v="24"/>
    <n v="26"/>
    <x v="1"/>
    <n v="12"/>
    <n v="3"/>
    <x v="3"/>
    <n v="30.286458333333329"/>
  </r>
  <r>
    <x v="150"/>
    <x v="0"/>
    <s v="New York, NY"/>
    <d v="2024-08-01T00:00:00"/>
    <d v="1899-12-30T18:00:00"/>
    <d v="2024-08-01T00:00:00"/>
    <d v="1899-12-30T18:30:00"/>
    <x v="3"/>
    <s v="Large"/>
    <s v="Veg"/>
    <n v="4"/>
    <n v="5.5"/>
    <s v="High"/>
    <s v="Domino's Cash"/>
    <x v="0"/>
    <x v="0"/>
    <n v="5.4545454545454541"/>
    <n v="0.72727272727272729"/>
    <x v="5"/>
    <s v="Offline"/>
    <n v="13.2"/>
    <n v="16.8"/>
    <x v="0"/>
    <n v="12"/>
    <n v="3"/>
    <x v="0"/>
    <n v="30.259433962264151"/>
  </r>
  <r>
    <x v="151"/>
    <x v="3"/>
    <s v="Los Angeles, CA"/>
    <d v="2024-08-02T00:00:00"/>
    <d v="1899-12-30T19:15:00"/>
    <d v="2024-08-02T00:00:00"/>
    <d v="1899-12-30T19:45:00"/>
    <x v="3"/>
    <s v="XL"/>
    <s v="Cheese Burst"/>
    <n v="5"/>
    <n v="6"/>
    <s v="Medium"/>
    <s v="Card"/>
    <x v="0"/>
    <x v="0"/>
    <n v="5"/>
    <n v="0.83333333333333337"/>
    <x v="5"/>
    <s v="Online"/>
    <n v="14.4"/>
    <n v="15.6"/>
    <x v="0"/>
    <n v="20"/>
    <n v="2"/>
    <x v="3"/>
    <n v="29.948453608247419"/>
  </r>
  <r>
    <x v="152"/>
    <x v="1"/>
    <s v="Chicago, IL"/>
    <d v="2024-08-03T00:00:00"/>
    <d v="1899-12-30T20:00:00"/>
    <d v="2024-08-03T00:00:00"/>
    <d v="1899-12-30T20:35:00"/>
    <x v="6"/>
    <s v="Medium"/>
    <s v="Non-Veg"/>
    <n v="3"/>
    <n v="7.2"/>
    <s v="Low"/>
    <s v="UPI"/>
    <x v="0"/>
    <x v="1"/>
    <n v="4.8611111111111107"/>
    <n v="0.41666666666666657"/>
    <x v="5"/>
    <s v="Online"/>
    <n v="17.28"/>
    <n v="17.72"/>
    <x v="1"/>
    <n v="6"/>
    <n v="1"/>
    <x v="1"/>
    <n v="28.186274509803919"/>
  </r>
  <r>
    <x v="153"/>
    <x v="2"/>
    <s v="Houston, TX"/>
    <d v="2024-08-04T00:00:00"/>
    <d v="1899-12-30T17:45:00"/>
    <d v="2024-08-04T00:00:00"/>
    <d v="1899-12-30T18:05:00"/>
    <x v="2"/>
    <s v="Small"/>
    <s v="Vegan"/>
    <n v="2"/>
    <n v="3"/>
    <s v="Low"/>
    <s v="Wallet"/>
    <x v="1"/>
    <x v="1"/>
    <n v="6.666666666666667"/>
    <n v="0.66666666666666663"/>
    <x v="5"/>
    <s v="Online"/>
    <n v="7.1999999999999993"/>
    <n v="12.8"/>
    <x v="0"/>
    <n v="2"/>
    <n v="1"/>
    <x v="5"/>
    <n v="28.844221105527641"/>
  </r>
  <r>
    <x v="154"/>
    <x v="4"/>
    <s v="Phoenix, AZ"/>
    <d v="2024-08-05T00:00:00"/>
    <d v="1899-12-30T13:30:00"/>
    <d v="2024-08-05T00:00:00"/>
    <d v="1899-12-30T14:00:00"/>
    <x v="3"/>
    <s v="Medium"/>
    <s v="Non-Veg"/>
    <n v="4"/>
    <n v="5"/>
    <s v="High"/>
    <s v="Cash"/>
    <x v="1"/>
    <x v="0"/>
    <n v="6"/>
    <n v="0.8"/>
    <x v="5"/>
    <s v="Offline"/>
    <n v="12"/>
    <n v="18"/>
    <x v="0"/>
    <n v="8"/>
    <n v="3"/>
    <x v="4"/>
    <n v="30.286458333333329"/>
  </r>
  <r>
    <x v="155"/>
    <x v="0"/>
    <s v="Miami, FL"/>
    <d v="2024-08-06T00:00:00"/>
    <d v="1899-12-30T18:20:00"/>
    <d v="2024-08-06T00:00:00"/>
    <d v="1899-12-30T18:50:00"/>
    <x v="3"/>
    <s v="Large"/>
    <s v="Veg"/>
    <n v="3"/>
    <n v="6.5"/>
    <s v="Medium"/>
    <s v="Domino's Cash"/>
    <x v="0"/>
    <x v="0"/>
    <n v="4.615384615384615"/>
    <n v="0.46153846153846162"/>
    <x v="5"/>
    <s v="Offline"/>
    <n v="15.6"/>
    <n v="14.4"/>
    <x v="0"/>
    <n v="9"/>
    <n v="2"/>
    <x v="0"/>
    <n v="30.259433962264151"/>
  </r>
  <r>
    <x v="156"/>
    <x v="1"/>
    <s v="Denver, CO"/>
    <d v="2024-08-07T00:00:00"/>
    <d v="1899-12-30T20:10:00"/>
    <d v="2024-08-07T00:00:00"/>
    <d v="1899-12-30T20:45:00"/>
    <x v="6"/>
    <s v="Small"/>
    <s v="Vegan"/>
    <n v="2"/>
    <n v="4"/>
    <s v="High"/>
    <s v="Card"/>
    <x v="0"/>
    <x v="0"/>
    <n v="8.75"/>
    <n v="0.5"/>
    <x v="5"/>
    <s v="Online"/>
    <n v="9.6"/>
    <n v="25.4"/>
    <x v="1"/>
    <n v="2"/>
    <n v="3"/>
    <x v="1"/>
    <n v="28.186274509803919"/>
  </r>
  <r>
    <x v="157"/>
    <x v="2"/>
    <s v="Boston, MA"/>
    <d v="2024-08-08T00:00:00"/>
    <d v="1899-12-30T18:00:00"/>
    <d v="2024-08-08T00:00:00"/>
    <d v="1899-12-30T18:25:00"/>
    <x v="1"/>
    <s v="Medium"/>
    <s v="Non-Veg"/>
    <n v="3"/>
    <n v="3.5"/>
    <s v="Low"/>
    <s v="UPI"/>
    <x v="0"/>
    <x v="0"/>
    <n v="7.1428571428571432"/>
    <n v="0.8571428571428571"/>
    <x v="5"/>
    <s v="Online"/>
    <n v="8.4"/>
    <n v="16.600000000000001"/>
    <x v="0"/>
    <n v="6"/>
    <n v="1"/>
    <x v="0"/>
    <n v="28.844221105527641"/>
  </r>
  <r>
    <x v="158"/>
    <x v="3"/>
    <s v="Dallas, TX"/>
    <d v="2024-08-09T00:00:00"/>
    <d v="1899-12-30T19:30:00"/>
    <d v="2024-08-09T00:00:00"/>
    <d v="1899-12-30T20:00:00"/>
    <x v="3"/>
    <s v="XL"/>
    <s v="Cheese Burst"/>
    <n v="5"/>
    <n v="6"/>
    <s v="Medium"/>
    <s v="Wallet"/>
    <x v="0"/>
    <x v="0"/>
    <n v="5"/>
    <n v="0.83333333333333337"/>
    <x v="5"/>
    <s v="Online"/>
    <n v="14.4"/>
    <n v="15.6"/>
    <x v="0"/>
    <n v="20"/>
    <n v="2"/>
    <x v="3"/>
    <n v="29.948453608247419"/>
  </r>
  <r>
    <x v="159"/>
    <x v="4"/>
    <s v="Seattle, WA"/>
    <d v="2024-08-10T00:00:00"/>
    <d v="1899-12-30T12:45:00"/>
    <d v="2024-08-10T00:00:00"/>
    <d v="1899-12-30T13:15:00"/>
    <x v="3"/>
    <s v="Medium"/>
    <s v="Non-Veg"/>
    <n v="4"/>
    <n v="5.5"/>
    <s v="High"/>
    <s v="Cash"/>
    <x v="1"/>
    <x v="1"/>
    <n v="5.4545454545454541"/>
    <n v="0.72727272727272729"/>
    <x v="5"/>
    <s v="Offline"/>
    <n v="13.2"/>
    <n v="16.8"/>
    <x v="0"/>
    <n v="8"/>
    <n v="3"/>
    <x v="2"/>
    <n v="30.286458333333329"/>
  </r>
  <r>
    <x v="160"/>
    <x v="0"/>
    <s v="Denver, CO"/>
    <d v="2024-08-11T00:00:00"/>
    <d v="1899-12-30T18:15:00"/>
    <d v="2024-08-11T00:00:00"/>
    <d v="1899-12-30T18:45:00"/>
    <x v="3"/>
    <s v="Large"/>
    <s v="Veg"/>
    <n v="3"/>
    <n v="6"/>
    <s v="Medium"/>
    <s v="Domino's Cash"/>
    <x v="0"/>
    <x v="1"/>
    <n v="5"/>
    <n v="0.5"/>
    <x v="5"/>
    <s v="Offline"/>
    <n v="14.4"/>
    <n v="15.6"/>
    <x v="0"/>
    <n v="9"/>
    <n v="2"/>
    <x v="0"/>
    <n v="30.259433962264151"/>
  </r>
  <r>
    <x v="161"/>
    <x v="1"/>
    <s v="Boston, MA"/>
    <d v="2024-08-12T00:00:00"/>
    <d v="1899-12-30T20:00:00"/>
    <d v="2024-08-12T00:00:00"/>
    <d v="1899-12-30T20:30:00"/>
    <x v="3"/>
    <s v="Small"/>
    <s v="Vegan"/>
    <n v="2"/>
    <n v="4.5"/>
    <s v="Low"/>
    <s v="Card"/>
    <x v="0"/>
    <x v="0"/>
    <n v="6.666666666666667"/>
    <n v="0.44444444444444442"/>
    <x v="5"/>
    <s v="Online"/>
    <n v="10.8"/>
    <n v="19.2"/>
    <x v="0"/>
    <n v="2"/>
    <n v="1"/>
    <x v="1"/>
    <n v="28.186274509803919"/>
  </r>
  <r>
    <x v="162"/>
    <x v="2"/>
    <s v="Dallas, TX"/>
    <d v="2024-08-13T00:00:00"/>
    <d v="1899-12-30T18:10:00"/>
    <d v="2024-08-13T00:00:00"/>
    <d v="1899-12-30T18:35:00"/>
    <x v="1"/>
    <s v="Medium"/>
    <s v="Non-Veg"/>
    <n v="3"/>
    <n v="3"/>
    <s v="High"/>
    <s v="UPI"/>
    <x v="0"/>
    <x v="0"/>
    <n v="8.3333333333333339"/>
    <n v="1"/>
    <x v="5"/>
    <s v="Online"/>
    <n v="7.1999999999999993"/>
    <n v="17.8"/>
    <x v="0"/>
    <n v="6"/>
    <n v="3"/>
    <x v="0"/>
    <n v="28.844221105527641"/>
  </r>
  <r>
    <x v="163"/>
    <x v="3"/>
    <s v="Los Angeles, CA"/>
    <d v="2024-08-14T00:00:00"/>
    <d v="1899-12-30T19:20:00"/>
    <d v="2024-08-14T00:00:00"/>
    <d v="1899-12-30T19:50:00"/>
    <x v="3"/>
    <s v="XL"/>
    <s v="Cheese Burst"/>
    <n v="5"/>
    <n v="6.5"/>
    <s v="Medium"/>
    <s v="Wallet"/>
    <x v="0"/>
    <x v="0"/>
    <n v="4.615384615384615"/>
    <n v="0.76923076923076927"/>
    <x v="5"/>
    <s v="Online"/>
    <n v="15.6"/>
    <n v="14.4"/>
    <x v="0"/>
    <n v="20"/>
    <n v="2"/>
    <x v="3"/>
    <n v="29.948453608247419"/>
  </r>
  <r>
    <x v="164"/>
    <x v="4"/>
    <s v="Chicago, IL"/>
    <d v="2024-08-15T00:00:00"/>
    <d v="1899-12-30T13:15:00"/>
    <d v="2024-08-15T00:00:00"/>
    <d v="1899-12-30T13:45:00"/>
    <x v="3"/>
    <s v="Medium"/>
    <s v="Non-Veg"/>
    <n v="4"/>
    <n v="5"/>
    <s v="High"/>
    <s v="Cash"/>
    <x v="1"/>
    <x v="0"/>
    <n v="6"/>
    <n v="0.8"/>
    <x v="5"/>
    <s v="Offline"/>
    <n v="12"/>
    <n v="18"/>
    <x v="0"/>
    <n v="8"/>
    <n v="3"/>
    <x v="4"/>
    <n v="30.286458333333329"/>
  </r>
  <r>
    <x v="165"/>
    <x v="0"/>
    <s v="Miami, FL"/>
    <d v="2024-08-16T00:00:00"/>
    <d v="1899-12-30T18:25:00"/>
    <d v="2024-08-16T00:00:00"/>
    <d v="1899-12-30T18:55:00"/>
    <x v="3"/>
    <s v="Large"/>
    <s v="Veg"/>
    <n v="3"/>
    <n v="6"/>
    <s v="Medium"/>
    <s v="Domino's Cash"/>
    <x v="0"/>
    <x v="0"/>
    <n v="5"/>
    <n v="0.5"/>
    <x v="5"/>
    <s v="Offline"/>
    <n v="14.4"/>
    <n v="15.6"/>
    <x v="0"/>
    <n v="9"/>
    <n v="2"/>
    <x v="0"/>
    <n v="30.259433962264151"/>
  </r>
  <r>
    <x v="166"/>
    <x v="1"/>
    <s v="Denver, CO"/>
    <d v="2024-08-17T00:00:00"/>
    <d v="1899-12-30T20:05:00"/>
    <d v="2024-08-17T00:00:00"/>
    <d v="1899-12-30T20:35:00"/>
    <x v="3"/>
    <s v="Small"/>
    <s v="Vegan"/>
    <n v="2"/>
    <n v="4"/>
    <s v="Low"/>
    <s v="Card"/>
    <x v="0"/>
    <x v="1"/>
    <n v="7.5"/>
    <n v="0.5"/>
    <x v="5"/>
    <s v="Online"/>
    <n v="9.6"/>
    <n v="20.399999999999999"/>
    <x v="0"/>
    <n v="2"/>
    <n v="1"/>
    <x v="1"/>
    <n v="28.186274509803919"/>
  </r>
  <r>
    <x v="167"/>
    <x v="2"/>
    <s v="Boston, MA"/>
    <d v="2024-08-18T00:00:00"/>
    <d v="1899-12-30T18:00:00"/>
    <d v="2024-08-18T00:00:00"/>
    <d v="1899-12-30T18:25:00"/>
    <x v="1"/>
    <s v="Medium"/>
    <s v="Non-Veg"/>
    <n v="3"/>
    <n v="3.5"/>
    <s v="High"/>
    <s v="UPI"/>
    <x v="0"/>
    <x v="1"/>
    <n v="7.1428571428571432"/>
    <n v="0.8571428571428571"/>
    <x v="5"/>
    <s v="Online"/>
    <n v="8.4"/>
    <n v="16.600000000000001"/>
    <x v="0"/>
    <n v="6"/>
    <n v="3"/>
    <x v="0"/>
    <n v="28.844221105527641"/>
  </r>
  <r>
    <x v="168"/>
    <x v="3"/>
    <s v="Dallas, TX"/>
    <d v="2024-08-19T00:00:00"/>
    <d v="1899-12-30T19:30:00"/>
    <d v="2024-08-19T00:00:00"/>
    <d v="1899-12-30T20:00:00"/>
    <x v="3"/>
    <s v="XL"/>
    <s v="Cheese Burst"/>
    <n v="5"/>
    <n v="6"/>
    <s v="Medium"/>
    <s v="Wallet"/>
    <x v="0"/>
    <x v="0"/>
    <n v="5"/>
    <n v="0.83333333333333337"/>
    <x v="5"/>
    <s v="Online"/>
    <n v="14.4"/>
    <n v="15.6"/>
    <x v="0"/>
    <n v="20"/>
    <n v="2"/>
    <x v="3"/>
    <n v="29.948453608247419"/>
  </r>
  <r>
    <x v="169"/>
    <x v="4"/>
    <s v="Seattle, WA"/>
    <d v="2024-08-20T00:00:00"/>
    <d v="1899-12-30T13:00:00"/>
    <d v="2024-08-20T00:00:00"/>
    <d v="1899-12-30T13:30:00"/>
    <x v="3"/>
    <s v="Medium"/>
    <s v="Non-Veg"/>
    <n v="4"/>
    <n v="5.5"/>
    <s v="Low"/>
    <s v="Cash"/>
    <x v="1"/>
    <x v="0"/>
    <n v="5.4545454545454541"/>
    <n v="0.72727272727272729"/>
    <x v="5"/>
    <s v="Offline"/>
    <n v="13.2"/>
    <n v="16.8"/>
    <x v="0"/>
    <n v="8"/>
    <n v="1"/>
    <x v="4"/>
    <n v="30.286458333333329"/>
  </r>
  <r>
    <x v="170"/>
    <x v="0"/>
    <s v="Denver, CO"/>
    <d v="2024-08-21T00:00:00"/>
    <d v="1899-12-30T18:15:00"/>
    <d v="2024-08-21T00:00:00"/>
    <d v="1899-12-30T18:45:00"/>
    <x v="3"/>
    <s v="Large"/>
    <s v="Veg"/>
    <n v="3"/>
    <n v="6"/>
    <s v="High"/>
    <s v="Domino's Cash"/>
    <x v="0"/>
    <x v="0"/>
    <n v="5"/>
    <n v="0.5"/>
    <x v="5"/>
    <s v="Offline"/>
    <n v="14.4"/>
    <n v="15.6"/>
    <x v="0"/>
    <n v="9"/>
    <n v="3"/>
    <x v="0"/>
    <n v="30.259433962264151"/>
  </r>
  <r>
    <x v="171"/>
    <x v="1"/>
    <s v="Boston, MA"/>
    <d v="2024-08-22T00:00:00"/>
    <d v="1899-12-30T20:00:00"/>
    <d v="2024-08-22T00:00:00"/>
    <d v="1899-12-30T20:30:00"/>
    <x v="3"/>
    <s v="Small"/>
    <s v="Vegan"/>
    <n v="2"/>
    <n v="4.5"/>
    <s v="Medium"/>
    <s v="Card"/>
    <x v="0"/>
    <x v="0"/>
    <n v="6.666666666666667"/>
    <n v="0.44444444444444442"/>
    <x v="5"/>
    <s v="Online"/>
    <n v="10.8"/>
    <n v="19.2"/>
    <x v="0"/>
    <n v="2"/>
    <n v="2"/>
    <x v="1"/>
    <n v="28.186274509803919"/>
  </r>
  <r>
    <x v="172"/>
    <x v="2"/>
    <s v="Dallas, TX"/>
    <d v="2024-08-23T00:00:00"/>
    <d v="1899-12-30T18:10:00"/>
    <d v="2024-08-23T00:00:00"/>
    <d v="1899-12-30T18:35:00"/>
    <x v="1"/>
    <s v="Medium"/>
    <s v="Non-Veg"/>
    <n v="3"/>
    <n v="3"/>
    <s v="Low"/>
    <s v="UPI"/>
    <x v="0"/>
    <x v="0"/>
    <n v="8.3333333333333339"/>
    <n v="1"/>
    <x v="5"/>
    <s v="Online"/>
    <n v="7.1999999999999993"/>
    <n v="17.8"/>
    <x v="0"/>
    <n v="6"/>
    <n v="1"/>
    <x v="0"/>
    <n v="28.844221105527641"/>
  </r>
  <r>
    <x v="173"/>
    <x v="3"/>
    <s v="Los Angeles, CA"/>
    <d v="2024-08-24T00:00:00"/>
    <d v="1899-12-30T19:20:00"/>
    <d v="2024-08-24T00:00:00"/>
    <d v="1899-12-30T19:50:00"/>
    <x v="3"/>
    <s v="XL"/>
    <s v="Cheese Burst"/>
    <n v="5"/>
    <n v="6.5"/>
    <s v="High"/>
    <s v="Wallet"/>
    <x v="0"/>
    <x v="1"/>
    <n v="4.615384615384615"/>
    <n v="0.76923076923076927"/>
    <x v="5"/>
    <s v="Online"/>
    <n v="15.6"/>
    <n v="14.4"/>
    <x v="0"/>
    <n v="20"/>
    <n v="3"/>
    <x v="3"/>
    <n v="29.948453608247419"/>
  </r>
  <r>
    <x v="174"/>
    <x v="4"/>
    <s v="Atlanta, GA"/>
    <d v="2024-06-20T00:00:00"/>
    <d v="1899-12-30T13:00:00"/>
    <d v="2024-06-20T00:00:00"/>
    <d v="1899-12-30T13:20:00"/>
    <x v="2"/>
    <s v="Medium"/>
    <s v="Non-Veg"/>
    <n v="3"/>
    <n v="3"/>
    <s v="Medium"/>
    <s v="Card"/>
    <x v="1"/>
    <x v="0"/>
    <n v="6.666666666666667"/>
    <n v="1"/>
    <x v="6"/>
    <s v="Online"/>
    <n v="7.1999999999999993"/>
    <n v="12.8"/>
    <x v="0"/>
    <n v="6"/>
    <n v="2"/>
    <x v="4"/>
    <n v="30.286458333333329"/>
  </r>
  <r>
    <x v="175"/>
    <x v="0"/>
    <s v="Denver, CO"/>
    <d v="2024-06-21T00:00:00"/>
    <d v="1899-12-30T18:30:00"/>
    <d v="2024-06-21T00:00:00"/>
    <d v="1899-12-30T18:50:00"/>
    <x v="2"/>
    <s v="Large"/>
    <s v="Veg"/>
    <n v="4"/>
    <n v="4.5"/>
    <s v="Low"/>
    <s v="UPI"/>
    <x v="0"/>
    <x v="0"/>
    <n v="4.4444444444444446"/>
    <n v="0.88888888888888884"/>
    <x v="6"/>
    <s v="Online"/>
    <n v="10.8"/>
    <n v="9.2000000000000011"/>
    <x v="0"/>
    <n v="12"/>
    <n v="1"/>
    <x v="0"/>
    <n v="30.259433962264151"/>
  </r>
  <r>
    <x v="176"/>
    <x v="1"/>
    <s v="Boston, MA"/>
    <d v="2024-06-22T00:00:00"/>
    <d v="1899-12-30T20:15:00"/>
    <d v="2024-06-22T00:00:00"/>
    <d v="1899-12-30T20:40:00"/>
    <x v="1"/>
    <s v="Small"/>
    <s v="Vegan"/>
    <n v="2"/>
    <n v="2"/>
    <s v="High"/>
    <s v="Cash"/>
    <x v="0"/>
    <x v="1"/>
    <n v="12.5"/>
    <n v="1"/>
    <x v="6"/>
    <s v="Offline"/>
    <n v="4.8"/>
    <n v="20.2"/>
    <x v="0"/>
    <n v="2"/>
    <n v="3"/>
    <x v="1"/>
    <n v="28.186274509803919"/>
  </r>
  <r>
    <x v="177"/>
    <x v="2"/>
    <s v="Dallas, TX"/>
    <d v="2024-06-23T00:00:00"/>
    <d v="1899-12-30T18:30:00"/>
    <d v="2024-06-23T00:00:00"/>
    <d v="1899-12-30T18:50:00"/>
    <x v="2"/>
    <s v="Medium"/>
    <s v="Non-Veg"/>
    <n v="3"/>
    <n v="3"/>
    <s v="High"/>
    <s v="UPI"/>
    <x v="0"/>
    <x v="1"/>
    <n v="6.666666666666667"/>
    <n v="1"/>
    <x v="6"/>
    <s v="Online"/>
    <n v="7.1999999999999993"/>
    <n v="12.8"/>
    <x v="0"/>
    <n v="6"/>
    <n v="3"/>
    <x v="0"/>
    <n v="28.844221105527641"/>
  </r>
  <r>
    <x v="178"/>
    <x v="3"/>
    <s v="Los Angeles, CA"/>
    <d v="2024-06-24T00:00:00"/>
    <d v="1899-12-30T19:45:00"/>
    <d v="2024-06-24T00:00:00"/>
    <d v="1899-12-30T20:10:00"/>
    <x v="1"/>
    <s v="XL"/>
    <s v="Cheese Burst"/>
    <n v="5"/>
    <n v="4.5"/>
    <s v="Low"/>
    <s v="Cash"/>
    <x v="0"/>
    <x v="0"/>
    <n v="5.5555555555555554"/>
    <n v="1.1111111111111109"/>
    <x v="6"/>
    <s v="Offline"/>
    <n v="10.8"/>
    <n v="14.2"/>
    <x v="0"/>
    <n v="20"/>
    <n v="1"/>
    <x v="3"/>
    <n v="29.948453608247419"/>
  </r>
  <r>
    <x v="179"/>
    <x v="4"/>
    <s v="Chicago, IL"/>
    <d v="2024-06-25T00:00:00"/>
    <d v="1899-12-30T13:00:00"/>
    <d v="2024-06-25T00:00:00"/>
    <d v="1899-12-30T13:20:00"/>
    <x v="2"/>
    <s v="Medium"/>
    <s v="Non-Veg"/>
    <n v="3"/>
    <n v="3.5"/>
    <s v="Medium"/>
    <s v="Wallet"/>
    <x v="1"/>
    <x v="0"/>
    <n v="5.7142857142857144"/>
    <n v="0.8571428571428571"/>
    <x v="6"/>
    <s v="Online"/>
    <n v="8.4"/>
    <n v="11.6"/>
    <x v="0"/>
    <n v="6"/>
    <n v="2"/>
    <x v="4"/>
    <n v="30.286458333333329"/>
  </r>
  <r>
    <x v="180"/>
    <x v="0"/>
    <s v="Miami, FL"/>
    <d v="2024-06-26T00:00:00"/>
    <d v="1899-12-30T18:30:00"/>
    <d v="2024-06-26T00:00:00"/>
    <d v="1899-12-30T18:55:00"/>
    <x v="1"/>
    <s v="Large"/>
    <s v="Veg"/>
    <n v="4"/>
    <n v="4.5"/>
    <s v="High"/>
    <s v="Card"/>
    <x v="0"/>
    <x v="0"/>
    <n v="5.5555555555555554"/>
    <n v="0.88888888888888884"/>
    <x v="6"/>
    <s v="Online"/>
    <n v="10.8"/>
    <n v="14.2"/>
    <x v="0"/>
    <n v="12"/>
    <n v="3"/>
    <x v="0"/>
    <n v="30.259433962264151"/>
  </r>
  <r>
    <x v="181"/>
    <x v="1"/>
    <s v="Phoenix, AZ"/>
    <d v="2024-06-27T00:00:00"/>
    <d v="1899-12-30T20:00:00"/>
    <d v="2024-06-27T00:00:00"/>
    <d v="1899-12-30T20:25:00"/>
    <x v="1"/>
    <s v="Medium"/>
    <s v="Non-Veg"/>
    <n v="3"/>
    <n v="3"/>
    <s v="Medium"/>
    <s v="UPI"/>
    <x v="0"/>
    <x v="0"/>
    <n v="8.3333333333333339"/>
    <n v="1"/>
    <x v="6"/>
    <s v="Online"/>
    <n v="7.1999999999999993"/>
    <n v="17.8"/>
    <x v="0"/>
    <n v="6"/>
    <n v="2"/>
    <x v="1"/>
    <n v="28.186274509803919"/>
  </r>
  <r>
    <x v="182"/>
    <x v="2"/>
    <s v="Atlanta, GA"/>
    <d v="2024-06-28T00:00:00"/>
    <d v="1899-12-30T19:15:00"/>
    <d v="2024-06-28T00:00:00"/>
    <d v="1899-12-30T19:35:00"/>
    <x v="2"/>
    <s v="Small"/>
    <s v="Vegan"/>
    <n v="2"/>
    <n v="2.5"/>
    <s v="Low"/>
    <s v="Cash"/>
    <x v="0"/>
    <x v="0"/>
    <n v="8"/>
    <n v="0.8"/>
    <x v="6"/>
    <s v="Offline"/>
    <n v="6"/>
    <n v="14"/>
    <x v="0"/>
    <n v="2"/>
    <n v="1"/>
    <x v="3"/>
    <n v="28.844221105527641"/>
  </r>
  <r>
    <x v="183"/>
    <x v="3"/>
    <s v="Chicago, IL"/>
    <d v="2024-06-29T00:00:00"/>
    <d v="1899-12-30T19:45:00"/>
    <d v="2024-06-29T00:00:00"/>
    <d v="1899-12-30T20:10:00"/>
    <x v="1"/>
    <s v="XL"/>
    <s v="Cheese Burst"/>
    <n v="5"/>
    <n v="4"/>
    <s v="High"/>
    <s v="Wallet"/>
    <x v="0"/>
    <x v="1"/>
    <n v="6.25"/>
    <n v="1.25"/>
    <x v="6"/>
    <s v="Online"/>
    <n v="9.6"/>
    <n v="15.4"/>
    <x v="0"/>
    <n v="20"/>
    <n v="3"/>
    <x v="3"/>
    <n v="29.948453608247419"/>
  </r>
  <r>
    <x v="184"/>
    <x v="4"/>
    <s v="Miami, FL"/>
    <d v="2024-06-30T00:00:00"/>
    <d v="1899-12-30T13:00:00"/>
    <d v="2024-06-30T00:00:00"/>
    <d v="1899-12-30T13:20:00"/>
    <x v="2"/>
    <s v="Medium"/>
    <s v="Non-Veg"/>
    <n v="3"/>
    <n v="3.5"/>
    <s v="Low"/>
    <s v="Card"/>
    <x v="1"/>
    <x v="1"/>
    <n v="5.7142857142857144"/>
    <n v="0.8571428571428571"/>
    <x v="6"/>
    <s v="Online"/>
    <n v="8.4"/>
    <n v="11.6"/>
    <x v="0"/>
    <n v="6"/>
    <n v="1"/>
    <x v="4"/>
    <n v="30.286458333333329"/>
  </r>
  <r>
    <x v="185"/>
    <x v="0"/>
    <s v="Los Angeles, CA"/>
    <d v="2024-07-01T00:00:00"/>
    <d v="1899-12-30T18:30:00"/>
    <d v="2024-07-01T00:00:00"/>
    <d v="1899-12-30T18:50:00"/>
    <x v="2"/>
    <s v="Large"/>
    <s v="Veg"/>
    <n v="4"/>
    <n v="4.5"/>
    <s v="Medium"/>
    <s v="UPI"/>
    <x v="0"/>
    <x v="0"/>
    <n v="4.4444444444444446"/>
    <n v="0.88888888888888884"/>
    <x v="7"/>
    <s v="Online"/>
    <n v="10.8"/>
    <n v="9.2000000000000011"/>
    <x v="0"/>
    <n v="12"/>
    <n v="2"/>
    <x v="0"/>
    <n v="30.259433962264151"/>
  </r>
  <r>
    <x v="186"/>
    <x v="1"/>
    <s v="Denver, CO"/>
    <d v="2024-07-02T00:00:00"/>
    <d v="1899-12-30T20:15:00"/>
    <d v="2024-07-02T00:00:00"/>
    <d v="1899-12-30T20:40:00"/>
    <x v="1"/>
    <s v="Small"/>
    <s v="Vegan"/>
    <n v="2"/>
    <n v="2"/>
    <s v="High"/>
    <s v="Cash"/>
    <x v="0"/>
    <x v="0"/>
    <n v="12.5"/>
    <n v="1"/>
    <x v="7"/>
    <s v="Offline"/>
    <n v="4.8"/>
    <n v="20.2"/>
    <x v="0"/>
    <n v="2"/>
    <n v="3"/>
    <x v="1"/>
    <n v="28.186274509803919"/>
  </r>
  <r>
    <x v="187"/>
    <x v="2"/>
    <s v="Boston, MA"/>
    <d v="2024-07-03T00:00:00"/>
    <d v="1899-12-30T18:30:00"/>
    <d v="2024-07-03T00:00:00"/>
    <d v="1899-12-30T18:50:00"/>
    <x v="2"/>
    <s v="Medium"/>
    <s v="Non-Veg"/>
    <n v="3"/>
    <n v="3.5"/>
    <s v="Low"/>
    <s v="Wallet"/>
    <x v="0"/>
    <x v="0"/>
    <n v="5.7142857142857144"/>
    <n v="0.8571428571428571"/>
    <x v="7"/>
    <s v="Online"/>
    <n v="8.4"/>
    <n v="11.6"/>
    <x v="0"/>
    <n v="6"/>
    <n v="1"/>
    <x v="0"/>
    <n v="28.844221105527641"/>
  </r>
  <r>
    <x v="188"/>
    <x v="3"/>
    <s v="Dallas, TX"/>
    <d v="2024-07-04T00:00:00"/>
    <d v="1899-12-30T19:45:00"/>
    <d v="2024-07-04T00:00:00"/>
    <d v="1899-12-30T20:10:00"/>
    <x v="1"/>
    <s v="XL"/>
    <s v="Cheese Burst"/>
    <n v="5"/>
    <n v="4"/>
    <s v="Medium"/>
    <s v="Card"/>
    <x v="0"/>
    <x v="0"/>
    <n v="6.25"/>
    <n v="1.25"/>
    <x v="7"/>
    <s v="Online"/>
    <n v="9.6"/>
    <n v="15.4"/>
    <x v="0"/>
    <n v="20"/>
    <n v="2"/>
    <x v="3"/>
    <n v="29.948453608247419"/>
  </r>
  <r>
    <x v="189"/>
    <x v="4"/>
    <s v="Seattle, WA"/>
    <d v="2024-07-05T00:00:00"/>
    <d v="1899-12-30T13:00:00"/>
    <d v="2024-07-05T00:00:00"/>
    <d v="1899-12-30T13:20:00"/>
    <x v="2"/>
    <s v="Medium"/>
    <s v="Non-Veg"/>
    <n v="3"/>
    <n v="3.5"/>
    <s v="High"/>
    <s v="UPI"/>
    <x v="1"/>
    <x v="0"/>
    <n v="5.7142857142857144"/>
    <n v="0.8571428571428571"/>
    <x v="7"/>
    <s v="Online"/>
    <n v="8.4"/>
    <n v="11.6"/>
    <x v="0"/>
    <n v="6"/>
    <n v="3"/>
    <x v="4"/>
    <n v="30.286458333333329"/>
  </r>
  <r>
    <x v="190"/>
    <x v="0"/>
    <s v="Denver, CO"/>
    <d v="2024-07-06T00:00:00"/>
    <d v="1899-12-30T18:30:00"/>
    <d v="2024-07-06T00:00:00"/>
    <d v="1899-12-30T18:50:00"/>
    <x v="2"/>
    <s v="Large"/>
    <s v="Veg"/>
    <n v="4"/>
    <n v="4.5"/>
    <s v="Low"/>
    <s v="Cash"/>
    <x v="0"/>
    <x v="1"/>
    <n v="4.4444444444444446"/>
    <n v="0.88888888888888884"/>
    <x v="7"/>
    <s v="Offline"/>
    <n v="10.8"/>
    <n v="9.2000000000000011"/>
    <x v="0"/>
    <n v="12"/>
    <n v="1"/>
    <x v="0"/>
    <n v="30.259433962264151"/>
  </r>
  <r>
    <x v="191"/>
    <x v="1"/>
    <s v="Boston, MA"/>
    <d v="2024-07-07T00:00:00"/>
    <d v="1899-12-30T20:15:00"/>
    <d v="2024-07-07T00:00:00"/>
    <d v="1899-12-30T20:40:00"/>
    <x v="1"/>
    <s v="Small"/>
    <s v="Vegan"/>
    <n v="2"/>
    <n v="2"/>
    <s v="High"/>
    <s v="Wallet"/>
    <x v="0"/>
    <x v="1"/>
    <n v="12.5"/>
    <n v="1"/>
    <x v="7"/>
    <s v="Online"/>
    <n v="4.8"/>
    <n v="20.2"/>
    <x v="0"/>
    <n v="2"/>
    <n v="3"/>
    <x v="1"/>
    <n v="28.186274509803919"/>
  </r>
  <r>
    <x v="192"/>
    <x v="2"/>
    <s v="Dallas, TX"/>
    <d v="2024-07-08T00:00:00"/>
    <d v="1899-12-30T18:30:00"/>
    <d v="2024-07-08T00:00:00"/>
    <d v="1899-12-30T18:50:00"/>
    <x v="2"/>
    <s v="Medium"/>
    <s v="Non-Veg"/>
    <n v="3"/>
    <n v="3"/>
    <s v="High"/>
    <s v="UPI"/>
    <x v="0"/>
    <x v="0"/>
    <n v="6.666666666666667"/>
    <n v="1"/>
    <x v="7"/>
    <s v="Online"/>
    <n v="7.1999999999999993"/>
    <n v="12.8"/>
    <x v="0"/>
    <n v="6"/>
    <n v="3"/>
    <x v="0"/>
    <n v="28.844221105527641"/>
  </r>
  <r>
    <x v="193"/>
    <x v="3"/>
    <s v="Los Angeles, CA"/>
    <d v="2024-07-09T00:00:00"/>
    <d v="1899-12-30T19:45:00"/>
    <d v="2024-07-09T00:00:00"/>
    <d v="1899-12-30T20:10:00"/>
    <x v="1"/>
    <s v="XL"/>
    <s v="Cheese Burst"/>
    <n v="5"/>
    <n v="4.5"/>
    <s v="Low"/>
    <s v="Cash"/>
    <x v="0"/>
    <x v="0"/>
    <n v="5.5555555555555554"/>
    <n v="1.1111111111111109"/>
    <x v="7"/>
    <s v="Offline"/>
    <n v="10.8"/>
    <n v="14.2"/>
    <x v="0"/>
    <n v="20"/>
    <n v="1"/>
    <x v="3"/>
    <n v="29.948453608247419"/>
  </r>
  <r>
    <x v="194"/>
    <x v="4"/>
    <s v="Chicago, IL"/>
    <d v="2024-07-10T00:00:00"/>
    <d v="1899-12-30T13:00:00"/>
    <d v="2024-07-10T00:00:00"/>
    <d v="1899-12-30T13:20:00"/>
    <x v="2"/>
    <s v="Medium"/>
    <s v="Non-Veg"/>
    <n v="3"/>
    <n v="3.5"/>
    <s v="Medium"/>
    <s v="Wallet"/>
    <x v="1"/>
    <x v="0"/>
    <n v="5.7142857142857144"/>
    <n v="0.8571428571428571"/>
    <x v="7"/>
    <s v="Online"/>
    <n v="8.4"/>
    <n v="11.6"/>
    <x v="0"/>
    <n v="6"/>
    <n v="2"/>
    <x v="4"/>
    <n v="30.286458333333329"/>
  </r>
  <r>
    <x v="195"/>
    <x v="0"/>
    <s v="Miami, FL"/>
    <d v="2024-07-11T00:00:00"/>
    <d v="1899-12-30T18:30:00"/>
    <d v="2024-07-11T00:00:00"/>
    <d v="1899-12-30T18:50:00"/>
    <x v="2"/>
    <s v="Large"/>
    <s v="Veg"/>
    <n v="4"/>
    <n v="4"/>
    <s v="High"/>
    <s v="Card"/>
    <x v="0"/>
    <x v="0"/>
    <n v="5"/>
    <n v="1"/>
    <x v="7"/>
    <s v="Online"/>
    <n v="9.6"/>
    <n v="10.4"/>
    <x v="0"/>
    <n v="12"/>
    <n v="3"/>
    <x v="0"/>
    <n v="30.259433962264151"/>
  </r>
  <r>
    <x v="196"/>
    <x v="1"/>
    <s v="Dallas, TX"/>
    <d v="2024-07-12T00:00:00"/>
    <d v="1899-12-30T20:00:00"/>
    <d v="2024-07-12T00:00:00"/>
    <d v="1899-12-30T20:25:00"/>
    <x v="1"/>
    <s v="Medium"/>
    <s v="Non-Veg"/>
    <n v="3"/>
    <n v="3"/>
    <s v="Low"/>
    <s v="UPI"/>
    <x v="0"/>
    <x v="0"/>
    <n v="8.3333333333333339"/>
    <n v="1"/>
    <x v="7"/>
    <s v="Online"/>
    <n v="7.1999999999999993"/>
    <n v="17.8"/>
    <x v="0"/>
    <n v="6"/>
    <n v="1"/>
    <x v="1"/>
    <n v="28.186274509803919"/>
  </r>
  <r>
    <x v="197"/>
    <x v="2"/>
    <s v="Houston, TX"/>
    <d v="2024-07-13T00:00:00"/>
    <d v="1899-12-30T19:15:00"/>
    <d v="2024-07-13T00:00:00"/>
    <d v="1899-12-30T19:35:00"/>
    <x v="2"/>
    <s v="Small"/>
    <s v="Vegan"/>
    <n v="2"/>
    <n v="2.5"/>
    <s v="Low"/>
    <s v="Cash"/>
    <x v="0"/>
    <x v="1"/>
    <n v="8"/>
    <n v="0.8"/>
    <x v="7"/>
    <s v="Offline"/>
    <n v="6"/>
    <n v="14"/>
    <x v="0"/>
    <n v="2"/>
    <n v="1"/>
    <x v="3"/>
    <n v="28.844221105527641"/>
  </r>
  <r>
    <x v="198"/>
    <x v="3"/>
    <s v="Phoenix, AZ"/>
    <d v="2024-07-14T00:00:00"/>
    <d v="1899-12-30T19:45:00"/>
    <d v="2024-07-14T00:00:00"/>
    <d v="1899-12-30T20:10:00"/>
    <x v="1"/>
    <s v="XL"/>
    <s v="Cheese Burst"/>
    <n v="5"/>
    <n v="4.5"/>
    <s v="High"/>
    <s v="Wallet"/>
    <x v="0"/>
    <x v="1"/>
    <n v="5.5555555555555554"/>
    <n v="1.1111111111111109"/>
    <x v="7"/>
    <s v="Online"/>
    <n v="10.8"/>
    <n v="14.2"/>
    <x v="0"/>
    <n v="20"/>
    <n v="3"/>
    <x v="3"/>
    <n v="29.948453608247419"/>
  </r>
  <r>
    <x v="199"/>
    <x v="4"/>
    <s v="Atlanta, GA"/>
    <d v="2024-07-15T00:00:00"/>
    <d v="1899-12-30T13:00:00"/>
    <d v="2024-07-15T00:00:00"/>
    <d v="1899-12-30T13:20:00"/>
    <x v="2"/>
    <s v="Medium"/>
    <s v="Non-Veg"/>
    <n v="3"/>
    <n v="3"/>
    <s v="Medium"/>
    <s v="Card"/>
    <x v="1"/>
    <x v="0"/>
    <n v="6.666666666666667"/>
    <n v="1"/>
    <x v="7"/>
    <s v="Online"/>
    <n v="7.1999999999999993"/>
    <n v="12.8"/>
    <x v="0"/>
    <n v="6"/>
    <n v="2"/>
    <x v="4"/>
    <n v="30.286458333333329"/>
  </r>
  <r>
    <x v="200"/>
    <x v="0"/>
    <s v="New York, NY"/>
    <d v="2024-07-16T00:00:00"/>
    <d v="1899-12-30T18:30:00"/>
    <d v="2024-07-16T00:00:00"/>
    <d v="1899-12-30T18:55:00"/>
    <x v="1"/>
    <s v="Large"/>
    <s v="Veg"/>
    <n v="3"/>
    <n v="5"/>
    <s v="High"/>
    <s v="Card"/>
    <x v="0"/>
    <x v="0"/>
    <n v="5"/>
    <n v="0.6"/>
    <x v="7"/>
    <s v="Online"/>
    <n v="12"/>
    <n v="13"/>
    <x v="0"/>
    <n v="9"/>
    <n v="3"/>
    <x v="0"/>
    <n v="30.259433962264151"/>
  </r>
  <r>
    <x v="201"/>
    <x v="1"/>
    <s v="Los Angeles, CA"/>
    <d v="2024-07-17T00:00:00"/>
    <d v="1899-12-30T19:00:00"/>
    <d v="2024-07-17T00:00:00"/>
    <d v="1899-12-30T19:30:00"/>
    <x v="3"/>
    <s v="Medium"/>
    <s v="Non-Veg"/>
    <n v="4"/>
    <n v="3.5"/>
    <s v="Medium"/>
    <s v="UPI"/>
    <x v="0"/>
    <x v="0"/>
    <n v="8.5714285714285712"/>
    <n v="1.142857142857143"/>
    <x v="7"/>
    <s v="Online"/>
    <n v="8.4"/>
    <n v="21.6"/>
    <x v="0"/>
    <n v="8"/>
    <n v="2"/>
    <x v="3"/>
    <n v="28.186274509803919"/>
  </r>
  <r>
    <x v="202"/>
    <x v="2"/>
    <s v="Chicago, IL"/>
    <d v="2024-07-18T00:00:00"/>
    <d v="1899-12-30T20:15:00"/>
    <d v="2024-07-18T00:00:00"/>
    <d v="1899-12-30T20:40:00"/>
    <x v="1"/>
    <s v="Small"/>
    <s v="Vegan"/>
    <n v="2"/>
    <n v="4"/>
    <s v="Low"/>
    <s v="Cash"/>
    <x v="0"/>
    <x v="0"/>
    <n v="6.25"/>
    <n v="0.5"/>
    <x v="7"/>
    <s v="Offline"/>
    <n v="9.6"/>
    <n v="15.4"/>
    <x v="0"/>
    <n v="2"/>
    <n v="1"/>
    <x v="1"/>
    <n v="28.844221105527641"/>
  </r>
  <r>
    <x v="203"/>
    <x v="3"/>
    <s v="Houston, TX"/>
    <d v="2024-07-19T00:00:00"/>
    <d v="1899-12-30T19:45:00"/>
    <d v="2024-07-19T00:00:00"/>
    <d v="1899-12-30T20:10:00"/>
    <x v="1"/>
    <s v="XL"/>
    <s v="Cheese Burst"/>
    <n v="5"/>
    <n v="6"/>
    <s v="High"/>
    <s v="Wallet"/>
    <x v="0"/>
    <x v="0"/>
    <n v="4.166666666666667"/>
    <n v="0.83333333333333337"/>
    <x v="7"/>
    <s v="Online"/>
    <n v="14.4"/>
    <n v="10.6"/>
    <x v="0"/>
    <n v="20"/>
    <n v="3"/>
    <x v="3"/>
    <n v="29.948453608247419"/>
  </r>
  <r>
    <x v="204"/>
    <x v="4"/>
    <s v="Phoenix, AZ"/>
    <d v="2024-07-20T00:00:00"/>
    <d v="1899-12-30T13:00:00"/>
    <d v="2024-07-20T00:00:00"/>
    <d v="1899-12-30T13:25:00"/>
    <x v="1"/>
    <s v="Medium"/>
    <s v="Non-Veg"/>
    <n v="3"/>
    <n v="3"/>
    <s v="Low"/>
    <s v="Card"/>
    <x v="1"/>
    <x v="1"/>
    <n v="8.3333333333333339"/>
    <n v="1"/>
    <x v="7"/>
    <s v="Online"/>
    <n v="7.1999999999999993"/>
    <n v="17.8"/>
    <x v="0"/>
    <n v="6"/>
    <n v="1"/>
    <x v="4"/>
    <n v="30.286458333333329"/>
  </r>
  <r>
    <x v="205"/>
    <x v="0"/>
    <s v="Miami, FL"/>
    <d v="2024-07-21T00:00:00"/>
    <d v="1899-12-30T18:30:00"/>
    <d v="2024-07-21T00:00:00"/>
    <d v="1899-12-30T18:55:00"/>
    <x v="1"/>
    <s v="Large"/>
    <s v="Veg"/>
    <n v="4"/>
    <n v="5"/>
    <s v="High"/>
    <s v="UPI"/>
    <x v="0"/>
    <x v="1"/>
    <n v="5"/>
    <n v="0.8"/>
    <x v="7"/>
    <s v="Online"/>
    <n v="12"/>
    <n v="13"/>
    <x v="0"/>
    <n v="12"/>
    <n v="3"/>
    <x v="0"/>
    <n v="30.259433962264151"/>
  </r>
  <r>
    <x v="206"/>
    <x v="1"/>
    <s v="Denver, CO"/>
    <d v="2024-07-22T00:00:00"/>
    <d v="1899-12-30T20:15:00"/>
    <d v="2024-07-22T00:00:00"/>
    <d v="1899-12-30T20:40:00"/>
    <x v="1"/>
    <s v="Small"/>
    <s v="Vegan"/>
    <n v="2"/>
    <n v="2.5"/>
    <s v="Medium"/>
    <s v="Cash"/>
    <x v="0"/>
    <x v="0"/>
    <n v="10"/>
    <n v="0.8"/>
    <x v="7"/>
    <s v="Offline"/>
    <n v="6"/>
    <n v="19"/>
    <x v="0"/>
    <n v="2"/>
    <n v="2"/>
    <x v="1"/>
    <n v="28.186274509803919"/>
  </r>
  <r>
    <x v="207"/>
    <x v="2"/>
    <s v="Boston, MA"/>
    <d v="2024-07-23T00:00:00"/>
    <d v="1899-12-30T18:30:00"/>
    <d v="2024-07-23T00:00:00"/>
    <d v="1899-12-30T18:50:00"/>
    <x v="2"/>
    <s v="Medium"/>
    <s v="Non-Veg"/>
    <n v="3"/>
    <n v="3.5"/>
    <s v="Low"/>
    <s v="Wallet"/>
    <x v="0"/>
    <x v="0"/>
    <n v="5.7142857142857144"/>
    <n v="0.8571428571428571"/>
    <x v="7"/>
    <s v="Online"/>
    <n v="8.4"/>
    <n v="11.6"/>
    <x v="0"/>
    <n v="6"/>
    <n v="1"/>
    <x v="0"/>
    <n v="28.844221105527641"/>
  </r>
  <r>
    <x v="208"/>
    <x v="3"/>
    <s v="Dallas, TX"/>
    <d v="2024-07-24T00:00:00"/>
    <d v="1899-12-30T19:45:00"/>
    <d v="2024-07-24T00:00:00"/>
    <d v="1899-12-30T20:10:00"/>
    <x v="1"/>
    <s v="XL"/>
    <s v="Cheese Burst"/>
    <n v="5"/>
    <n v="4"/>
    <s v="High"/>
    <s v="Card"/>
    <x v="0"/>
    <x v="0"/>
    <n v="6.25"/>
    <n v="1.25"/>
    <x v="7"/>
    <s v="Online"/>
    <n v="9.6"/>
    <n v="15.4"/>
    <x v="0"/>
    <n v="20"/>
    <n v="3"/>
    <x v="3"/>
    <n v="29.948453608247419"/>
  </r>
  <r>
    <x v="209"/>
    <x v="4"/>
    <s v="Seattle, WA"/>
    <d v="2024-07-25T00:00:00"/>
    <d v="1899-12-30T13:00:00"/>
    <d v="2024-07-25T00:00:00"/>
    <d v="1899-12-30T13:20:00"/>
    <x v="2"/>
    <s v="Medium"/>
    <s v="Non-Veg"/>
    <n v="3"/>
    <n v="3.5"/>
    <s v="Low"/>
    <s v="UPI"/>
    <x v="1"/>
    <x v="0"/>
    <n v="5.7142857142857144"/>
    <n v="0.8571428571428571"/>
    <x v="7"/>
    <s v="Online"/>
    <n v="8.4"/>
    <n v="11.6"/>
    <x v="0"/>
    <n v="6"/>
    <n v="1"/>
    <x v="4"/>
    <n v="30.286458333333329"/>
  </r>
  <r>
    <x v="210"/>
    <x v="0"/>
    <s v="Denver, CO"/>
    <d v="2024-07-26T00:00:00"/>
    <d v="1899-12-30T18:30:00"/>
    <d v="2024-07-26T00:00:00"/>
    <d v="1899-12-30T18:50:00"/>
    <x v="2"/>
    <s v="Large"/>
    <s v="Veg"/>
    <n v="4"/>
    <n v="4.5"/>
    <s v="Medium"/>
    <s v="Cash"/>
    <x v="0"/>
    <x v="0"/>
    <n v="4.4444444444444446"/>
    <n v="0.88888888888888884"/>
    <x v="7"/>
    <s v="Offline"/>
    <n v="10.8"/>
    <n v="9.2000000000000011"/>
    <x v="0"/>
    <n v="12"/>
    <n v="2"/>
    <x v="0"/>
    <n v="30.259433962264151"/>
  </r>
  <r>
    <x v="211"/>
    <x v="1"/>
    <s v="Boston, MA"/>
    <d v="2024-07-27T00:00:00"/>
    <d v="1899-12-30T20:15:00"/>
    <d v="2024-07-27T00:00:00"/>
    <d v="1899-12-30T20:40:00"/>
    <x v="1"/>
    <s v="Small"/>
    <s v="Vegan"/>
    <n v="2"/>
    <n v="2"/>
    <s v="High"/>
    <s v="Wallet"/>
    <x v="0"/>
    <x v="1"/>
    <n v="12.5"/>
    <n v="1"/>
    <x v="7"/>
    <s v="Online"/>
    <n v="4.8"/>
    <n v="20.2"/>
    <x v="0"/>
    <n v="2"/>
    <n v="3"/>
    <x v="1"/>
    <n v="28.186274509803919"/>
  </r>
  <r>
    <x v="212"/>
    <x v="2"/>
    <s v="Dallas, TX"/>
    <d v="2024-07-28T00:00:00"/>
    <d v="1899-12-30T18:30:00"/>
    <d v="2024-07-28T00:00:00"/>
    <d v="1899-12-30T18:50:00"/>
    <x v="2"/>
    <s v="Medium"/>
    <s v="Non-Veg"/>
    <n v="3"/>
    <n v="3"/>
    <s v="High"/>
    <s v="UPI"/>
    <x v="0"/>
    <x v="1"/>
    <n v="6.666666666666667"/>
    <n v="1"/>
    <x v="7"/>
    <s v="Online"/>
    <n v="7.1999999999999993"/>
    <n v="12.8"/>
    <x v="0"/>
    <n v="6"/>
    <n v="3"/>
    <x v="0"/>
    <n v="28.844221105527641"/>
  </r>
  <r>
    <x v="213"/>
    <x v="3"/>
    <s v="Los Angeles, CA"/>
    <d v="2024-07-29T00:00:00"/>
    <d v="1899-12-30T19:45:00"/>
    <d v="2024-07-29T00:00:00"/>
    <d v="1899-12-30T20:10:00"/>
    <x v="1"/>
    <s v="XL"/>
    <s v="Cheese Burst"/>
    <n v="5"/>
    <n v="4.5"/>
    <s v="Low"/>
    <s v="Cash"/>
    <x v="0"/>
    <x v="0"/>
    <n v="5.5555555555555554"/>
    <n v="1.1111111111111109"/>
    <x v="7"/>
    <s v="Offline"/>
    <n v="10.8"/>
    <n v="14.2"/>
    <x v="0"/>
    <n v="20"/>
    <n v="1"/>
    <x v="3"/>
    <n v="29.948453608247419"/>
  </r>
  <r>
    <x v="214"/>
    <x v="4"/>
    <s v="Chicago, IL"/>
    <d v="2024-07-30T00:00:00"/>
    <d v="1899-12-30T13:00:00"/>
    <d v="2024-07-30T00:00:00"/>
    <d v="1899-12-30T13:20:00"/>
    <x v="2"/>
    <s v="Medium"/>
    <s v="Non-Veg"/>
    <n v="3"/>
    <n v="3.5"/>
    <s v="Medium"/>
    <s v="Wallet"/>
    <x v="1"/>
    <x v="0"/>
    <n v="5.7142857142857144"/>
    <n v="0.8571428571428571"/>
    <x v="7"/>
    <s v="Online"/>
    <n v="8.4"/>
    <n v="11.6"/>
    <x v="0"/>
    <n v="6"/>
    <n v="2"/>
    <x v="4"/>
    <n v="30.286458333333329"/>
  </r>
  <r>
    <x v="215"/>
    <x v="0"/>
    <s v="Miami, FL"/>
    <d v="2024-07-31T00:00:00"/>
    <d v="1899-12-30T18:30:00"/>
    <d v="2024-07-31T00:00:00"/>
    <d v="1899-12-30T18:50:00"/>
    <x v="2"/>
    <s v="Large"/>
    <s v="Veg"/>
    <n v="4"/>
    <n v="4"/>
    <s v="High"/>
    <s v="Card"/>
    <x v="0"/>
    <x v="0"/>
    <n v="5"/>
    <n v="1"/>
    <x v="7"/>
    <s v="Online"/>
    <n v="9.6"/>
    <n v="10.4"/>
    <x v="0"/>
    <n v="12"/>
    <n v="3"/>
    <x v="0"/>
    <n v="30.259433962264151"/>
  </r>
  <r>
    <x v="216"/>
    <x v="1"/>
    <s v="Dallas, TX"/>
    <d v="2024-08-01T00:00:00"/>
    <d v="1899-12-30T20:00:00"/>
    <d v="2024-08-01T00:00:00"/>
    <d v="1899-12-30T20:25:00"/>
    <x v="1"/>
    <s v="Medium"/>
    <s v="Non-Veg"/>
    <n v="3"/>
    <n v="3"/>
    <s v="Low"/>
    <s v="UPI"/>
    <x v="0"/>
    <x v="0"/>
    <n v="8.3333333333333339"/>
    <n v="1"/>
    <x v="5"/>
    <s v="Online"/>
    <n v="7.1999999999999993"/>
    <n v="17.8"/>
    <x v="0"/>
    <n v="6"/>
    <n v="1"/>
    <x v="1"/>
    <n v="28.186274509803919"/>
  </r>
  <r>
    <x v="217"/>
    <x v="2"/>
    <s v="Houston, TX"/>
    <d v="2024-08-02T00:00:00"/>
    <d v="1899-12-30T19:15:00"/>
    <d v="2024-08-02T00:00:00"/>
    <d v="1899-12-30T19:35:00"/>
    <x v="2"/>
    <s v="Small"/>
    <s v="Vegan"/>
    <n v="2"/>
    <n v="2.5"/>
    <s v="Low"/>
    <s v="Cash"/>
    <x v="0"/>
    <x v="0"/>
    <n v="8"/>
    <n v="0.8"/>
    <x v="5"/>
    <s v="Offline"/>
    <n v="6"/>
    <n v="14"/>
    <x v="0"/>
    <n v="2"/>
    <n v="1"/>
    <x v="3"/>
    <n v="28.844221105527641"/>
  </r>
  <r>
    <x v="218"/>
    <x v="3"/>
    <s v="Phoenix, AZ"/>
    <d v="2024-08-03T00:00:00"/>
    <d v="1899-12-30T19:45:00"/>
    <d v="2024-08-03T00:00:00"/>
    <d v="1899-12-30T20:10:00"/>
    <x v="1"/>
    <s v="XL"/>
    <s v="Cheese Burst"/>
    <n v="5"/>
    <n v="4.5"/>
    <s v="High"/>
    <s v="Wallet"/>
    <x v="0"/>
    <x v="1"/>
    <n v="5.5555555555555554"/>
    <n v="1.1111111111111109"/>
    <x v="5"/>
    <s v="Online"/>
    <n v="10.8"/>
    <n v="14.2"/>
    <x v="0"/>
    <n v="20"/>
    <n v="3"/>
    <x v="3"/>
    <n v="29.948453608247419"/>
  </r>
  <r>
    <x v="219"/>
    <x v="4"/>
    <s v="Atlanta, GA"/>
    <d v="2024-08-04T00:00:00"/>
    <d v="1899-12-30T13:00:00"/>
    <d v="2024-08-04T00:00:00"/>
    <d v="1899-12-30T13:20:00"/>
    <x v="2"/>
    <s v="Medium"/>
    <s v="Non-Veg"/>
    <n v="3"/>
    <n v="3"/>
    <s v="Medium"/>
    <s v="Card"/>
    <x v="1"/>
    <x v="1"/>
    <n v="6.666666666666667"/>
    <n v="1"/>
    <x v="5"/>
    <s v="Online"/>
    <n v="7.1999999999999993"/>
    <n v="12.8"/>
    <x v="0"/>
    <n v="6"/>
    <n v="2"/>
    <x v="4"/>
    <n v="30.286458333333329"/>
  </r>
  <r>
    <x v="220"/>
    <x v="0"/>
    <s v="New York, NY"/>
    <d v="2024-08-05T00:00:00"/>
    <d v="1899-12-30T18:30:00"/>
    <d v="2024-08-05T00:00:00"/>
    <d v="1899-12-30T18:55:00"/>
    <x v="1"/>
    <s v="Large"/>
    <s v="Veg"/>
    <n v="3"/>
    <n v="5"/>
    <s v="High"/>
    <s v="Card"/>
    <x v="0"/>
    <x v="0"/>
    <n v="5"/>
    <n v="0.6"/>
    <x v="5"/>
    <s v="Online"/>
    <n v="12"/>
    <n v="13"/>
    <x v="0"/>
    <n v="9"/>
    <n v="3"/>
    <x v="0"/>
    <n v="30.259433962264151"/>
  </r>
  <r>
    <x v="221"/>
    <x v="1"/>
    <s v="Los Angeles, CA"/>
    <d v="2024-08-06T00:00:00"/>
    <d v="1899-12-30T19:00:00"/>
    <d v="2024-08-06T00:00:00"/>
    <d v="1899-12-30T19:30:00"/>
    <x v="3"/>
    <s v="Medium"/>
    <s v="Non-Veg"/>
    <n v="4"/>
    <n v="3.5"/>
    <s v="Medium"/>
    <s v="UPI"/>
    <x v="0"/>
    <x v="0"/>
    <n v="8.5714285714285712"/>
    <n v="1.142857142857143"/>
    <x v="5"/>
    <s v="Online"/>
    <n v="8.4"/>
    <n v="21.6"/>
    <x v="0"/>
    <n v="8"/>
    <n v="2"/>
    <x v="3"/>
    <n v="28.186274509803919"/>
  </r>
  <r>
    <x v="222"/>
    <x v="2"/>
    <s v="Chicago, IL"/>
    <d v="2024-08-07T00:00:00"/>
    <d v="1899-12-30T20:15:00"/>
    <d v="2024-08-07T00:00:00"/>
    <d v="1899-12-30T20:40:00"/>
    <x v="1"/>
    <s v="Small"/>
    <s v="Vegan"/>
    <n v="2"/>
    <n v="4"/>
    <s v="Low"/>
    <s v="Cash"/>
    <x v="0"/>
    <x v="0"/>
    <n v="6.25"/>
    <n v="0.5"/>
    <x v="5"/>
    <s v="Offline"/>
    <n v="9.6"/>
    <n v="15.4"/>
    <x v="0"/>
    <n v="2"/>
    <n v="1"/>
    <x v="1"/>
    <n v="28.844221105527641"/>
  </r>
  <r>
    <x v="223"/>
    <x v="3"/>
    <s v="Houston, TX"/>
    <d v="2024-08-08T00:00:00"/>
    <d v="1899-12-30T19:45:00"/>
    <d v="2024-08-08T00:00:00"/>
    <d v="1899-12-30T20:10:00"/>
    <x v="1"/>
    <s v="XL"/>
    <s v="Cheese Burst"/>
    <n v="5"/>
    <n v="6"/>
    <s v="High"/>
    <s v="Wallet"/>
    <x v="0"/>
    <x v="0"/>
    <n v="4.166666666666667"/>
    <n v="0.83333333333333337"/>
    <x v="5"/>
    <s v="Online"/>
    <n v="14.4"/>
    <n v="10.6"/>
    <x v="0"/>
    <n v="20"/>
    <n v="3"/>
    <x v="3"/>
    <n v="29.948453608247419"/>
  </r>
  <r>
    <x v="224"/>
    <x v="4"/>
    <s v="Phoenix, AZ"/>
    <d v="2024-08-09T00:00:00"/>
    <d v="1899-12-30T13:00:00"/>
    <d v="2024-08-09T00:00:00"/>
    <d v="1899-12-30T13:25:00"/>
    <x v="1"/>
    <s v="Medium"/>
    <s v="Non-Veg"/>
    <n v="3"/>
    <n v="3"/>
    <s v="Low"/>
    <s v="Card"/>
    <x v="1"/>
    <x v="0"/>
    <n v="8.3333333333333339"/>
    <n v="1"/>
    <x v="5"/>
    <s v="Online"/>
    <n v="7.1999999999999993"/>
    <n v="17.8"/>
    <x v="0"/>
    <n v="6"/>
    <n v="1"/>
    <x v="4"/>
    <n v="30.286458333333329"/>
  </r>
  <r>
    <x v="225"/>
    <x v="0"/>
    <s v="Miami, FL"/>
    <d v="2024-08-10T00:00:00"/>
    <d v="1899-12-30T18:30:00"/>
    <d v="2024-08-10T00:00:00"/>
    <d v="1899-12-30T18:55:00"/>
    <x v="1"/>
    <s v="Large"/>
    <s v="Veg"/>
    <n v="4"/>
    <n v="5"/>
    <s v="High"/>
    <s v="UPI"/>
    <x v="0"/>
    <x v="1"/>
    <n v="5"/>
    <n v="0.8"/>
    <x v="5"/>
    <s v="Online"/>
    <n v="12"/>
    <n v="13"/>
    <x v="0"/>
    <n v="12"/>
    <n v="3"/>
    <x v="0"/>
    <n v="30.259433962264151"/>
  </r>
  <r>
    <x v="226"/>
    <x v="1"/>
    <s v="Denver, CO"/>
    <d v="2024-08-11T00:00:00"/>
    <d v="1899-12-30T20:15:00"/>
    <d v="2024-08-11T00:00:00"/>
    <d v="1899-12-30T20:40:00"/>
    <x v="1"/>
    <s v="Small"/>
    <s v="Vegan"/>
    <n v="2"/>
    <n v="2.5"/>
    <s v="Medium"/>
    <s v="Cash"/>
    <x v="0"/>
    <x v="1"/>
    <n v="10"/>
    <n v="0.8"/>
    <x v="5"/>
    <s v="Offline"/>
    <n v="6"/>
    <n v="19"/>
    <x v="0"/>
    <n v="2"/>
    <n v="2"/>
    <x v="1"/>
    <n v="28.186274509803919"/>
  </r>
  <r>
    <x v="227"/>
    <x v="2"/>
    <s v="Boston, MA"/>
    <d v="2024-08-12T00:00:00"/>
    <d v="1899-12-30T18:30:00"/>
    <d v="2024-08-12T00:00:00"/>
    <d v="1899-12-30T18:50:00"/>
    <x v="2"/>
    <s v="Medium"/>
    <s v="Non-Veg"/>
    <n v="3"/>
    <n v="3.5"/>
    <s v="Low"/>
    <s v="Wallet"/>
    <x v="0"/>
    <x v="0"/>
    <n v="5.7142857142857144"/>
    <n v="0.8571428571428571"/>
    <x v="5"/>
    <s v="Online"/>
    <n v="8.4"/>
    <n v="11.6"/>
    <x v="0"/>
    <n v="6"/>
    <n v="1"/>
    <x v="0"/>
    <n v="28.844221105527641"/>
  </r>
  <r>
    <x v="228"/>
    <x v="3"/>
    <s v="Los Angeles, CA"/>
    <d v="2024-08-13T00:00:00"/>
    <d v="1899-12-30T19:45:00"/>
    <d v="2024-08-13T00:00:00"/>
    <d v="1899-12-30T20:10:00"/>
    <x v="1"/>
    <s v="XL"/>
    <s v="Cheese Burst"/>
    <n v="5"/>
    <n v="4.5"/>
    <s v="Low"/>
    <s v="Cash"/>
    <x v="0"/>
    <x v="0"/>
    <n v="5.5555555555555554"/>
    <n v="1.1111111111111109"/>
    <x v="5"/>
    <s v="Offline"/>
    <n v="10.8"/>
    <n v="14.2"/>
    <x v="0"/>
    <n v="20"/>
    <n v="1"/>
    <x v="3"/>
    <n v="29.948453608247419"/>
  </r>
  <r>
    <x v="229"/>
    <x v="0"/>
    <s v="New York, NY"/>
    <d v="2024-08-14T00:00:00"/>
    <d v="1899-12-30T18:30:00"/>
    <d v="2024-08-14T00:00:00"/>
    <d v="1899-12-30T19:05:00"/>
    <x v="6"/>
    <s v="Large"/>
    <s v="Veg"/>
    <n v="3"/>
    <n v="5"/>
    <s v="High"/>
    <s v="UPI"/>
    <x v="0"/>
    <x v="0"/>
    <n v="7"/>
    <n v="0.6"/>
    <x v="5"/>
    <s v="Online"/>
    <n v="12"/>
    <n v="23"/>
    <x v="1"/>
    <n v="9"/>
    <n v="3"/>
    <x v="0"/>
    <n v="30.259433962264151"/>
  </r>
  <r>
    <x v="230"/>
    <x v="1"/>
    <s v="Chicago, IL"/>
    <d v="2024-08-15T00:00:00"/>
    <d v="1899-12-30T20:15:00"/>
    <d v="2024-08-15T00:00:00"/>
    <d v="1899-12-30T20:40:00"/>
    <x v="1"/>
    <s v="Medium"/>
    <s v="Non-Veg"/>
    <n v="4"/>
    <n v="3.5"/>
    <s v="Medium"/>
    <s v="Card"/>
    <x v="0"/>
    <x v="0"/>
    <n v="7.1428571428571432"/>
    <n v="1.142857142857143"/>
    <x v="5"/>
    <s v="Online"/>
    <n v="8.4"/>
    <n v="16.600000000000001"/>
    <x v="0"/>
    <n v="8"/>
    <n v="2"/>
    <x v="1"/>
    <n v="28.186274509803919"/>
  </r>
  <r>
    <x v="231"/>
    <x v="2"/>
    <s v="Houston, TX"/>
    <d v="2024-08-16T00:00:00"/>
    <d v="1899-12-30T19:00:00"/>
    <d v="2024-08-16T00:00:00"/>
    <d v="1899-12-30T19:20:00"/>
    <x v="2"/>
    <s v="Small"/>
    <s v="Vegan"/>
    <n v="2"/>
    <n v="2"/>
    <s v="Low"/>
    <s v="Wallet"/>
    <x v="0"/>
    <x v="0"/>
    <n v="10"/>
    <n v="1"/>
    <x v="5"/>
    <s v="Online"/>
    <n v="4.8"/>
    <n v="15.2"/>
    <x v="0"/>
    <n v="2"/>
    <n v="1"/>
    <x v="3"/>
    <n v="28.844221105527641"/>
  </r>
  <r>
    <x v="232"/>
    <x v="4"/>
    <s v="Phoenix, AZ"/>
    <d v="2024-08-17T00:00:00"/>
    <d v="1899-12-30T13:00:00"/>
    <d v="2024-08-17T00:00:00"/>
    <d v="1899-12-30T13:30:00"/>
    <x v="3"/>
    <s v="Medium"/>
    <s v="Non-Veg"/>
    <n v="3"/>
    <n v="3"/>
    <s v="High"/>
    <s v="UPI"/>
    <x v="1"/>
    <x v="1"/>
    <n v="10"/>
    <n v="1"/>
    <x v="5"/>
    <s v="Online"/>
    <n v="7.1999999999999993"/>
    <n v="22.8"/>
    <x v="0"/>
    <n v="6"/>
    <n v="3"/>
    <x v="4"/>
    <n v="30.286458333333329"/>
  </r>
  <r>
    <x v="233"/>
    <x v="0"/>
    <s v="Miami, FL"/>
    <d v="2024-08-18T00:00:00"/>
    <d v="1899-12-30T18:30:00"/>
    <d v="2024-08-18T00:00:00"/>
    <d v="1899-12-30T19:10:00"/>
    <x v="4"/>
    <s v="Large"/>
    <s v="Veg"/>
    <n v="4"/>
    <n v="5"/>
    <s v="High"/>
    <s v="Card"/>
    <x v="0"/>
    <x v="1"/>
    <n v="8"/>
    <n v="0.8"/>
    <x v="5"/>
    <s v="Online"/>
    <n v="12"/>
    <n v="28"/>
    <x v="1"/>
    <n v="12"/>
    <n v="3"/>
    <x v="0"/>
    <n v="30.259433962264151"/>
  </r>
  <r>
    <x v="234"/>
    <x v="1"/>
    <s v="Denver, CO"/>
    <d v="2024-08-19T00:00:00"/>
    <d v="1899-12-30T20:15:00"/>
    <d v="2024-08-19T00:00:00"/>
    <d v="1899-12-30T20:35:00"/>
    <x v="2"/>
    <s v="Small"/>
    <s v="Vegan"/>
    <n v="2"/>
    <n v="2.5"/>
    <s v="Medium"/>
    <s v="Cash"/>
    <x v="0"/>
    <x v="0"/>
    <n v="8"/>
    <n v="0.8"/>
    <x v="5"/>
    <s v="Offline"/>
    <n v="6"/>
    <n v="14"/>
    <x v="0"/>
    <n v="2"/>
    <n v="2"/>
    <x v="1"/>
    <n v="28.186274509803919"/>
  </r>
  <r>
    <x v="235"/>
    <x v="2"/>
    <s v="Boston, MA"/>
    <d v="2024-08-20T00:00:00"/>
    <d v="1899-12-30T18:30:00"/>
    <d v="2024-08-20T00:00:00"/>
    <d v="1899-12-30T18:50:00"/>
    <x v="2"/>
    <s v="Medium"/>
    <s v="Non-Veg"/>
    <n v="3"/>
    <n v="3.5"/>
    <s v="Low"/>
    <s v="Wallet"/>
    <x v="0"/>
    <x v="0"/>
    <n v="5.7142857142857144"/>
    <n v="0.8571428571428571"/>
    <x v="5"/>
    <s v="Online"/>
    <n v="8.4"/>
    <n v="11.6"/>
    <x v="0"/>
    <n v="6"/>
    <n v="1"/>
    <x v="0"/>
    <n v="28.844221105527641"/>
  </r>
  <r>
    <x v="236"/>
    <x v="3"/>
    <s v="Dallas, TX"/>
    <d v="2024-08-21T00:00:00"/>
    <d v="1899-12-30T19:45:00"/>
    <d v="2024-08-21T00:00:00"/>
    <d v="1899-12-30T20:15:00"/>
    <x v="3"/>
    <s v="XL"/>
    <s v="Cheese Burst"/>
    <n v="5"/>
    <n v="4"/>
    <s v="High"/>
    <s v="Card"/>
    <x v="0"/>
    <x v="0"/>
    <n v="7.5"/>
    <n v="1.25"/>
    <x v="5"/>
    <s v="Online"/>
    <n v="9.6"/>
    <n v="20.399999999999999"/>
    <x v="0"/>
    <n v="20"/>
    <n v="3"/>
    <x v="3"/>
    <n v="29.948453608247419"/>
  </r>
  <r>
    <x v="237"/>
    <x v="4"/>
    <s v="Seattle, WA"/>
    <d v="2024-08-22T00:00:00"/>
    <d v="1899-12-30T13:00:00"/>
    <d v="2024-08-22T00:00:00"/>
    <d v="1899-12-30T13:25:00"/>
    <x v="1"/>
    <s v="Medium"/>
    <s v="Non-Veg"/>
    <n v="3"/>
    <n v="3.5"/>
    <s v="Low"/>
    <s v="UPI"/>
    <x v="1"/>
    <x v="0"/>
    <n v="7.1428571428571432"/>
    <n v="0.8571428571428571"/>
    <x v="5"/>
    <s v="Online"/>
    <n v="8.4"/>
    <n v="16.600000000000001"/>
    <x v="0"/>
    <n v="6"/>
    <n v="1"/>
    <x v="4"/>
    <n v="30.286458333333329"/>
  </r>
  <r>
    <x v="238"/>
    <x v="0"/>
    <s v="Denver, CO"/>
    <d v="2024-08-23T00:00:00"/>
    <d v="1899-12-30T18:30:00"/>
    <d v="2024-08-23T00:00:00"/>
    <d v="1899-12-30T18:50:00"/>
    <x v="2"/>
    <s v="Large"/>
    <s v="Veg"/>
    <n v="4"/>
    <n v="4.5"/>
    <s v="Medium"/>
    <s v="Cash"/>
    <x v="0"/>
    <x v="0"/>
    <n v="4.4444444444444446"/>
    <n v="0.88888888888888884"/>
    <x v="5"/>
    <s v="Offline"/>
    <n v="10.8"/>
    <n v="9.2000000000000011"/>
    <x v="0"/>
    <n v="12"/>
    <n v="2"/>
    <x v="0"/>
    <n v="30.259433962264151"/>
  </r>
  <r>
    <x v="239"/>
    <x v="1"/>
    <s v="Boston, MA"/>
    <d v="2024-08-24T00:00:00"/>
    <d v="1899-12-30T20:15:00"/>
    <d v="2024-08-24T00:00:00"/>
    <d v="1899-12-30T20:40:00"/>
    <x v="1"/>
    <s v="Small"/>
    <s v="Vegan"/>
    <n v="2"/>
    <n v="2"/>
    <s v="High"/>
    <s v="Wallet"/>
    <x v="0"/>
    <x v="1"/>
    <n v="12.5"/>
    <n v="1"/>
    <x v="5"/>
    <s v="Online"/>
    <n v="4.8"/>
    <n v="20.2"/>
    <x v="0"/>
    <n v="2"/>
    <n v="3"/>
    <x v="1"/>
    <n v="28.186274509803919"/>
  </r>
  <r>
    <x v="240"/>
    <x v="2"/>
    <s v="Dallas, TX"/>
    <d v="2024-08-25T00:00:00"/>
    <d v="1899-12-30T18:30:00"/>
    <d v="2024-08-25T00:00:00"/>
    <d v="1899-12-30T18:50:00"/>
    <x v="2"/>
    <s v="Medium"/>
    <s v="Non-Veg"/>
    <n v="3"/>
    <n v="3"/>
    <s v="High"/>
    <s v="UPI"/>
    <x v="0"/>
    <x v="1"/>
    <n v="6.666666666666667"/>
    <n v="1"/>
    <x v="5"/>
    <s v="Online"/>
    <n v="7.1999999999999993"/>
    <n v="12.8"/>
    <x v="0"/>
    <n v="6"/>
    <n v="3"/>
    <x v="0"/>
    <n v="28.844221105527641"/>
  </r>
  <r>
    <x v="241"/>
    <x v="3"/>
    <s v="Los Angeles, CA"/>
    <d v="2024-08-26T00:00:00"/>
    <d v="1899-12-30T19:45:00"/>
    <d v="2024-08-26T00:00:00"/>
    <d v="1899-12-30T20:10:00"/>
    <x v="1"/>
    <s v="XL"/>
    <s v="Cheese Burst"/>
    <n v="5"/>
    <n v="4.5"/>
    <s v="Low"/>
    <s v="Cash"/>
    <x v="0"/>
    <x v="0"/>
    <n v="5.5555555555555554"/>
    <n v="1.1111111111111109"/>
    <x v="5"/>
    <s v="Offline"/>
    <n v="10.8"/>
    <n v="14.2"/>
    <x v="0"/>
    <n v="20"/>
    <n v="1"/>
    <x v="3"/>
    <n v="29.948453608247419"/>
  </r>
  <r>
    <x v="242"/>
    <x v="4"/>
    <s v="Chicago, IL"/>
    <d v="2024-08-27T00:00:00"/>
    <d v="1899-12-30T13:00:00"/>
    <d v="2024-08-27T00:00:00"/>
    <d v="1899-12-30T13:20:00"/>
    <x v="2"/>
    <s v="Medium"/>
    <s v="Non-Veg"/>
    <n v="3"/>
    <n v="3.5"/>
    <s v="Medium"/>
    <s v="Wallet"/>
    <x v="1"/>
    <x v="0"/>
    <n v="5.7142857142857144"/>
    <n v="0.8571428571428571"/>
    <x v="5"/>
    <s v="Online"/>
    <n v="8.4"/>
    <n v="11.6"/>
    <x v="0"/>
    <n v="6"/>
    <n v="2"/>
    <x v="4"/>
    <n v="30.286458333333329"/>
  </r>
  <r>
    <x v="243"/>
    <x v="0"/>
    <s v="Miami, FL"/>
    <d v="2024-08-28T00:00:00"/>
    <d v="1899-12-30T18:30:00"/>
    <d v="2024-08-28T00:00:00"/>
    <d v="1899-12-30T18:55:00"/>
    <x v="1"/>
    <s v="Large"/>
    <s v="Veg"/>
    <n v="4"/>
    <n v="5"/>
    <s v="High"/>
    <s v="Card"/>
    <x v="0"/>
    <x v="0"/>
    <n v="5"/>
    <n v="0.8"/>
    <x v="5"/>
    <s v="Online"/>
    <n v="12"/>
    <n v="13"/>
    <x v="0"/>
    <n v="12"/>
    <n v="3"/>
    <x v="0"/>
    <n v="30.259433962264151"/>
  </r>
  <r>
    <x v="244"/>
    <x v="1"/>
    <s v="Denver, CO"/>
    <d v="2024-08-29T00:00:00"/>
    <d v="1899-12-30T20:15:00"/>
    <d v="2024-08-29T00:00:00"/>
    <d v="1899-12-30T20:40:00"/>
    <x v="1"/>
    <s v="Small"/>
    <s v="Vegan"/>
    <n v="2"/>
    <n v="2.5"/>
    <s v="Medium"/>
    <s v="Cash"/>
    <x v="0"/>
    <x v="0"/>
    <n v="10"/>
    <n v="0.8"/>
    <x v="5"/>
    <s v="Offline"/>
    <n v="6"/>
    <n v="19"/>
    <x v="0"/>
    <n v="2"/>
    <n v="2"/>
    <x v="1"/>
    <n v="28.186274509803919"/>
  </r>
  <r>
    <x v="245"/>
    <x v="2"/>
    <s v="Boston, MA"/>
    <d v="2024-08-30T00:00:00"/>
    <d v="1899-12-30T18:30:00"/>
    <d v="2024-08-30T00:00:00"/>
    <d v="1899-12-30T18:50:00"/>
    <x v="2"/>
    <s v="Medium"/>
    <s v="Non-Veg"/>
    <n v="3"/>
    <n v="3.5"/>
    <s v="Low"/>
    <s v="Wallet"/>
    <x v="0"/>
    <x v="0"/>
    <n v="5.7142857142857144"/>
    <n v="0.8571428571428571"/>
    <x v="5"/>
    <s v="Online"/>
    <n v="8.4"/>
    <n v="11.6"/>
    <x v="0"/>
    <n v="6"/>
    <n v="1"/>
    <x v="0"/>
    <n v="28.844221105527641"/>
  </r>
  <r>
    <x v="246"/>
    <x v="3"/>
    <s v="Dallas, TX"/>
    <d v="2024-08-31T00:00:00"/>
    <d v="1899-12-30T19:45:00"/>
    <d v="2024-08-31T00:00:00"/>
    <d v="1899-12-30T20:10:00"/>
    <x v="1"/>
    <s v="XL"/>
    <s v="Cheese Burst"/>
    <n v="5"/>
    <n v="4"/>
    <s v="High"/>
    <s v="Card"/>
    <x v="0"/>
    <x v="1"/>
    <n v="6.25"/>
    <n v="1.25"/>
    <x v="5"/>
    <s v="Online"/>
    <n v="9.6"/>
    <n v="15.4"/>
    <x v="0"/>
    <n v="20"/>
    <n v="3"/>
    <x v="3"/>
    <n v="29.948453608247419"/>
  </r>
  <r>
    <x v="247"/>
    <x v="4"/>
    <s v="Seattle, WA"/>
    <d v="2024-09-01T00:00:00"/>
    <d v="1899-12-30T13:00:00"/>
    <d v="2024-09-01T00:00:00"/>
    <d v="1899-12-30T13:20:00"/>
    <x v="2"/>
    <s v="Medium"/>
    <s v="Non-Veg"/>
    <n v="3"/>
    <n v="3.5"/>
    <s v="Low"/>
    <s v="UPI"/>
    <x v="1"/>
    <x v="1"/>
    <n v="5.7142857142857144"/>
    <n v="0.8571428571428571"/>
    <x v="8"/>
    <s v="Online"/>
    <n v="8.4"/>
    <n v="11.6"/>
    <x v="0"/>
    <n v="6"/>
    <n v="1"/>
    <x v="4"/>
    <n v="30.286458333333329"/>
  </r>
  <r>
    <x v="248"/>
    <x v="0"/>
    <s v="Denver, CO"/>
    <d v="2024-09-02T00:00:00"/>
    <d v="1899-12-30T18:30:00"/>
    <d v="2024-09-02T00:00:00"/>
    <d v="1899-12-30T18:50:00"/>
    <x v="2"/>
    <s v="Large"/>
    <s v="Veg"/>
    <n v="4"/>
    <n v="4.5"/>
    <s v="Medium"/>
    <s v="Cash"/>
    <x v="0"/>
    <x v="0"/>
    <n v="4.4444444444444446"/>
    <n v="0.88888888888888884"/>
    <x v="8"/>
    <s v="Offline"/>
    <n v="10.8"/>
    <n v="9.2000000000000011"/>
    <x v="0"/>
    <n v="12"/>
    <n v="2"/>
    <x v="0"/>
    <n v="30.259433962264151"/>
  </r>
  <r>
    <x v="249"/>
    <x v="1"/>
    <s v="Boston, MA"/>
    <d v="2024-09-03T00:00:00"/>
    <d v="1899-12-30T20:15:00"/>
    <d v="2024-09-03T00:00:00"/>
    <d v="1899-12-30T20:40:00"/>
    <x v="1"/>
    <s v="Small"/>
    <s v="Vegan"/>
    <n v="2"/>
    <n v="2"/>
    <s v="High"/>
    <s v="Wallet"/>
    <x v="0"/>
    <x v="0"/>
    <n v="12.5"/>
    <n v="1"/>
    <x v="8"/>
    <s v="Online"/>
    <n v="4.8"/>
    <n v="20.2"/>
    <x v="0"/>
    <n v="2"/>
    <n v="3"/>
    <x v="1"/>
    <n v="28.186274509803919"/>
  </r>
  <r>
    <x v="250"/>
    <x v="2"/>
    <s v="Dallas, TX"/>
    <d v="2024-09-04T00:00:00"/>
    <d v="1899-12-30T18:30:00"/>
    <d v="2024-09-04T00:00:00"/>
    <d v="1899-12-30T18:50:00"/>
    <x v="2"/>
    <s v="Medium"/>
    <s v="Non-Veg"/>
    <n v="3"/>
    <n v="3"/>
    <s v="High"/>
    <s v="UPI"/>
    <x v="0"/>
    <x v="0"/>
    <n v="6.666666666666667"/>
    <n v="1"/>
    <x v="8"/>
    <s v="Online"/>
    <n v="7.1999999999999993"/>
    <n v="12.8"/>
    <x v="0"/>
    <n v="6"/>
    <n v="3"/>
    <x v="0"/>
    <n v="28.844221105527641"/>
  </r>
  <r>
    <x v="251"/>
    <x v="3"/>
    <s v="Los Angeles, CA"/>
    <d v="2024-09-05T00:00:00"/>
    <d v="1899-12-30T19:45:00"/>
    <d v="2024-09-05T00:00:00"/>
    <d v="1899-12-30T20:10:00"/>
    <x v="1"/>
    <s v="XL"/>
    <s v="Cheese Burst"/>
    <n v="5"/>
    <n v="4.5"/>
    <s v="Low"/>
    <s v="Cash"/>
    <x v="0"/>
    <x v="0"/>
    <n v="5.5555555555555554"/>
    <n v="1.1111111111111109"/>
    <x v="8"/>
    <s v="Offline"/>
    <n v="10.8"/>
    <n v="14.2"/>
    <x v="0"/>
    <n v="20"/>
    <n v="1"/>
    <x v="3"/>
    <n v="29.948453608247419"/>
  </r>
  <r>
    <x v="252"/>
    <x v="4"/>
    <s v="Chicago, IL"/>
    <d v="2024-09-06T00:00:00"/>
    <d v="1899-12-30T13:00:00"/>
    <d v="2024-09-06T00:00:00"/>
    <d v="1899-12-30T13:20:00"/>
    <x v="2"/>
    <s v="Medium"/>
    <s v="Non-Veg"/>
    <n v="3"/>
    <n v="3.5"/>
    <s v="Medium"/>
    <s v="Wallet"/>
    <x v="1"/>
    <x v="0"/>
    <n v="5.7142857142857144"/>
    <n v="0.8571428571428571"/>
    <x v="8"/>
    <s v="Online"/>
    <n v="8.4"/>
    <n v="11.6"/>
    <x v="0"/>
    <n v="6"/>
    <n v="2"/>
    <x v="4"/>
    <n v="30.286458333333329"/>
  </r>
  <r>
    <x v="253"/>
    <x v="0"/>
    <s v="Miami, FL"/>
    <d v="2024-09-07T00:00:00"/>
    <d v="1899-12-30T18:30:00"/>
    <d v="2024-09-07T00:00:00"/>
    <d v="1899-12-30T18:55:00"/>
    <x v="1"/>
    <s v="Large"/>
    <s v="Veg"/>
    <n v="4"/>
    <n v="5"/>
    <s v="High"/>
    <s v="Card"/>
    <x v="0"/>
    <x v="1"/>
    <n v="5"/>
    <n v="0.8"/>
    <x v="8"/>
    <s v="Online"/>
    <n v="12"/>
    <n v="13"/>
    <x v="0"/>
    <n v="12"/>
    <n v="3"/>
    <x v="0"/>
    <n v="30.259433962264151"/>
  </r>
  <r>
    <x v="254"/>
    <x v="1"/>
    <s v="Denver, CO"/>
    <d v="2024-09-08T00:00:00"/>
    <d v="1899-12-30T20:15:00"/>
    <d v="2024-09-08T00:00:00"/>
    <d v="1899-12-30T20:40:00"/>
    <x v="1"/>
    <s v="Small"/>
    <s v="Vegan"/>
    <n v="2"/>
    <n v="2.5"/>
    <s v="Medium"/>
    <s v="Cash"/>
    <x v="0"/>
    <x v="1"/>
    <n v="10"/>
    <n v="0.8"/>
    <x v="8"/>
    <s v="Offline"/>
    <n v="6"/>
    <n v="19"/>
    <x v="0"/>
    <n v="2"/>
    <n v="2"/>
    <x v="1"/>
    <n v="28.186274509803919"/>
  </r>
  <r>
    <x v="255"/>
    <x v="2"/>
    <s v="Boston, MA"/>
    <d v="2024-09-09T00:00:00"/>
    <d v="1899-12-30T18:30:00"/>
    <d v="2024-09-09T00:00:00"/>
    <d v="1899-12-30T18:50:00"/>
    <x v="2"/>
    <s v="Medium"/>
    <s v="Non-Veg"/>
    <n v="3"/>
    <n v="3.5"/>
    <s v="Low"/>
    <s v="Wallet"/>
    <x v="0"/>
    <x v="0"/>
    <n v="5.7142857142857144"/>
    <n v="0.8571428571428571"/>
    <x v="8"/>
    <s v="Online"/>
    <n v="8.4"/>
    <n v="11.6"/>
    <x v="0"/>
    <n v="6"/>
    <n v="1"/>
    <x v="0"/>
    <n v="28.844221105527641"/>
  </r>
  <r>
    <x v="256"/>
    <x v="0"/>
    <s v="San Francisco, CA"/>
    <d v="2024-09-10T00:00:00"/>
    <d v="1899-12-30T18:00:00"/>
    <d v="2024-09-10T00:00:00"/>
    <d v="1899-12-30T18:25:00"/>
    <x v="1"/>
    <s v="Large"/>
    <s v="Veg"/>
    <n v="3"/>
    <n v="5"/>
    <s v="High"/>
    <s v="Cash"/>
    <x v="0"/>
    <x v="0"/>
    <n v="5"/>
    <n v="0.6"/>
    <x v="8"/>
    <s v="Offline"/>
    <n v="12"/>
    <n v="13"/>
    <x v="0"/>
    <n v="9"/>
    <n v="3"/>
    <x v="0"/>
    <n v="30.259433962264151"/>
  </r>
  <r>
    <x v="257"/>
    <x v="0"/>
    <s v="Austin, TX"/>
    <d v="2024-09-11T00:00:00"/>
    <d v="1899-12-30T19:15:00"/>
    <d v="2024-09-11T00:00:00"/>
    <d v="1899-12-30T19:35:00"/>
    <x v="2"/>
    <s v="Medium"/>
    <s v="Non-Veg"/>
    <n v="2"/>
    <n v="3.5"/>
    <s v="Medium"/>
    <s v="Card"/>
    <x v="0"/>
    <x v="0"/>
    <n v="5.7142857142857144"/>
    <n v="0.5714285714285714"/>
    <x v="8"/>
    <s v="Online"/>
    <n v="8.4"/>
    <n v="11.6"/>
    <x v="0"/>
    <n v="4"/>
    <n v="2"/>
    <x v="3"/>
    <n v="30.259433962264151"/>
  </r>
  <r>
    <x v="258"/>
    <x v="0"/>
    <s v="Seattle, WA"/>
    <d v="2024-09-12T00:00:00"/>
    <d v="1899-12-30T20:30:00"/>
    <d v="2024-09-12T00:00:00"/>
    <d v="1899-12-30T20:50:00"/>
    <x v="2"/>
    <s v="Small"/>
    <s v="Vegan"/>
    <n v="1"/>
    <n v="2.5"/>
    <s v="Low"/>
    <s v="Wallet"/>
    <x v="0"/>
    <x v="0"/>
    <n v="8"/>
    <n v="0.4"/>
    <x v="8"/>
    <s v="Online"/>
    <n v="6"/>
    <n v="14"/>
    <x v="0"/>
    <n v="1"/>
    <n v="1"/>
    <x v="1"/>
    <n v="30.259433962264151"/>
  </r>
  <r>
    <x v="259"/>
    <x v="0"/>
    <s v="Chicago, IL"/>
    <d v="2024-09-13T00:00:00"/>
    <d v="1899-12-30T18:45:00"/>
    <d v="2024-09-13T00:00:00"/>
    <d v="1899-12-30T19:10:00"/>
    <x v="1"/>
    <s v="XL"/>
    <s v="Cheese Burst"/>
    <n v="5"/>
    <n v="4.5"/>
    <s v="High"/>
    <s v="UPI"/>
    <x v="0"/>
    <x v="0"/>
    <n v="5.5555555555555554"/>
    <n v="1.1111111111111109"/>
    <x v="8"/>
    <s v="Online"/>
    <n v="10.8"/>
    <n v="14.2"/>
    <x v="0"/>
    <n v="20"/>
    <n v="3"/>
    <x v="0"/>
    <n v="30.259433962264151"/>
  </r>
  <r>
    <x v="260"/>
    <x v="0"/>
    <s v="Miami, FL"/>
    <d v="2024-09-14T00:00:00"/>
    <d v="1899-12-30T19:00:00"/>
    <d v="2024-09-14T00:00:00"/>
    <d v="1899-12-30T19:20:00"/>
    <x v="2"/>
    <s v="Medium"/>
    <s v="Non-Veg"/>
    <n v="3"/>
    <n v="3"/>
    <s v="Medium"/>
    <s v="Cash"/>
    <x v="0"/>
    <x v="1"/>
    <n v="6.666666666666667"/>
    <n v="1"/>
    <x v="8"/>
    <s v="Offline"/>
    <n v="7.1999999999999993"/>
    <n v="12.8"/>
    <x v="0"/>
    <n v="6"/>
    <n v="2"/>
    <x v="3"/>
    <n v="30.259433962264151"/>
  </r>
  <r>
    <x v="261"/>
    <x v="0"/>
    <s v="Denver, CO"/>
    <d v="2024-09-15T00:00:00"/>
    <d v="1899-12-30T20:00:00"/>
    <d v="2024-09-15T00:00:00"/>
    <d v="1899-12-30T20:25:00"/>
    <x v="1"/>
    <s v="Large"/>
    <s v="Veg"/>
    <n v="4"/>
    <n v="5"/>
    <s v="High"/>
    <s v="Card"/>
    <x v="0"/>
    <x v="1"/>
    <n v="5"/>
    <n v="0.8"/>
    <x v="8"/>
    <s v="Online"/>
    <n v="12"/>
    <n v="13"/>
    <x v="0"/>
    <n v="12"/>
    <n v="3"/>
    <x v="1"/>
    <n v="30.259433962264151"/>
  </r>
  <r>
    <x v="262"/>
    <x v="0"/>
    <s v="Boston, MA"/>
    <d v="2024-09-16T00:00:00"/>
    <d v="1899-12-30T18:30:00"/>
    <d v="2024-09-16T00:00:00"/>
    <d v="1899-12-30T18:50:00"/>
    <x v="2"/>
    <s v="Small"/>
    <s v="Vegan"/>
    <n v="2"/>
    <n v="2"/>
    <s v="Low"/>
    <s v="Wallet"/>
    <x v="0"/>
    <x v="0"/>
    <n v="10"/>
    <n v="1"/>
    <x v="8"/>
    <s v="Online"/>
    <n v="4.8"/>
    <n v="15.2"/>
    <x v="0"/>
    <n v="2"/>
    <n v="1"/>
    <x v="0"/>
    <n v="30.259433962264151"/>
  </r>
  <r>
    <x v="263"/>
    <x v="0"/>
    <s v="Dallas, TX"/>
    <d v="2024-09-17T00:00:00"/>
    <d v="1899-12-30T19:45:00"/>
    <d v="2024-09-17T00:00:00"/>
    <d v="1899-12-30T20:10:00"/>
    <x v="1"/>
    <s v="XL"/>
    <s v="Cheese Burst"/>
    <n v="5"/>
    <n v="4.5"/>
    <s v="Medium"/>
    <s v="UPI"/>
    <x v="0"/>
    <x v="0"/>
    <n v="5.5555555555555554"/>
    <n v="1.1111111111111109"/>
    <x v="8"/>
    <s v="Online"/>
    <n v="10.8"/>
    <n v="14.2"/>
    <x v="0"/>
    <n v="20"/>
    <n v="2"/>
    <x v="3"/>
    <n v="30.259433962264151"/>
  </r>
  <r>
    <x v="264"/>
    <x v="0"/>
    <s v="Los Angeles, CA"/>
    <d v="2024-09-18T00:00:00"/>
    <d v="1899-12-30T18:00:00"/>
    <d v="2024-09-18T00:00:00"/>
    <d v="1899-12-30T18:20:00"/>
    <x v="2"/>
    <s v="Medium"/>
    <s v="Non-Veg"/>
    <n v="3"/>
    <n v="3.5"/>
    <s v="High"/>
    <s v="Cash"/>
    <x v="0"/>
    <x v="0"/>
    <n v="5.7142857142857144"/>
    <n v="0.8571428571428571"/>
    <x v="8"/>
    <s v="Offline"/>
    <n v="8.4"/>
    <n v="11.6"/>
    <x v="0"/>
    <n v="6"/>
    <n v="3"/>
    <x v="0"/>
    <n v="30.259433962264151"/>
  </r>
  <r>
    <x v="265"/>
    <x v="0"/>
    <s v="New York, NY"/>
    <d v="2024-09-19T00:00:00"/>
    <d v="1899-12-30T20:15:00"/>
    <d v="2024-09-19T00:00:00"/>
    <d v="1899-12-30T20:40:00"/>
    <x v="1"/>
    <s v="Large"/>
    <s v="Veg"/>
    <n v="4"/>
    <n v="5"/>
    <s v="High"/>
    <s v="Card"/>
    <x v="0"/>
    <x v="0"/>
    <n v="5"/>
    <n v="0.8"/>
    <x v="8"/>
    <s v="Online"/>
    <n v="12"/>
    <n v="13"/>
    <x v="0"/>
    <n v="12"/>
    <n v="3"/>
    <x v="1"/>
    <n v="30.259433962264151"/>
  </r>
  <r>
    <x v="266"/>
    <x v="0"/>
    <s v="San Jose, CA"/>
    <d v="2024-09-10T00:00:00"/>
    <d v="1899-12-30T18:00:00"/>
    <d v="2024-09-10T00:00:00"/>
    <d v="1899-12-30T18:20:00"/>
    <x v="2"/>
    <s v="Medium"/>
    <s v="Veg"/>
    <n v="2"/>
    <n v="3"/>
    <s v="Low"/>
    <s v="Cash"/>
    <x v="0"/>
    <x v="0"/>
    <n v="6.666666666666667"/>
    <n v="0.66666666666666663"/>
    <x v="8"/>
    <s v="Offline"/>
    <n v="7.1999999999999993"/>
    <n v="12.8"/>
    <x v="0"/>
    <n v="4"/>
    <n v="1"/>
    <x v="0"/>
    <n v="30.259433962264151"/>
  </r>
  <r>
    <x v="267"/>
    <x v="1"/>
    <s v="Austin, TX"/>
    <d v="2024-09-11T00:00:00"/>
    <d v="1899-12-30T19:15:00"/>
    <d v="2024-09-11T00:00:00"/>
    <d v="1899-12-30T19:45:00"/>
    <x v="3"/>
    <s v="Large"/>
    <s v="Non-Veg"/>
    <n v="4"/>
    <n v="6"/>
    <s v="Medium"/>
    <s v="Card"/>
    <x v="0"/>
    <x v="0"/>
    <n v="5"/>
    <n v="0.66666666666666663"/>
    <x v="8"/>
    <s v="Online"/>
    <n v="14.4"/>
    <n v="15.6"/>
    <x v="0"/>
    <n v="12"/>
    <n v="2"/>
    <x v="3"/>
    <n v="28.186274509803919"/>
  </r>
  <r>
    <x v="268"/>
    <x v="3"/>
    <s v="Seattle, WA"/>
    <d v="2024-09-12T00:00:00"/>
    <d v="1899-12-30T20:30:00"/>
    <d v="2024-09-12T00:00:00"/>
    <d v="1899-12-30T21:10:00"/>
    <x v="4"/>
    <s v="XL"/>
    <s v="Cheese Burst"/>
    <n v="5"/>
    <n v="8"/>
    <s v="High"/>
    <s v="Wallet"/>
    <x v="0"/>
    <x v="0"/>
    <n v="5"/>
    <n v="0.625"/>
    <x v="8"/>
    <s v="Online"/>
    <n v="19.2"/>
    <n v="20.8"/>
    <x v="1"/>
    <n v="20"/>
    <n v="3"/>
    <x v="1"/>
    <n v="29.948453608247419"/>
  </r>
  <r>
    <x v="269"/>
    <x v="2"/>
    <s v="Chicago, IL"/>
    <d v="2024-09-13T00:00:00"/>
    <d v="1899-12-30T18:45:00"/>
    <d v="2024-09-13T00:00:00"/>
    <d v="1899-12-30T19:05:00"/>
    <x v="2"/>
    <s v="Small"/>
    <s v="Vegan"/>
    <n v="1"/>
    <n v="2.5"/>
    <s v="Low"/>
    <s v="UPI"/>
    <x v="0"/>
    <x v="0"/>
    <n v="8"/>
    <n v="0.4"/>
    <x v="8"/>
    <s v="Online"/>
    <n v="6"/>
    <n v="14"/>
    <x v="0"/>
    <n v="1"/>
    <n v="1"/>
    <x v="0"/>
    <n v="28.844221105527641"/>
  </r>
  <r>
    <x v="270"/>
    <x v="4"/>
    <s v="Miami, FL"/>
    <d v="2024-09-14T00:00:00"/>
    <d v="1899-12-30T19:00:00"/>
    <d v="2024-09-14T00:00:00"/>
    <d v="1899-12-30T19:50:00"/>
    <x v="5"/>
    <s v="Large"/>
    <s v="Non-Veg"/>
    <n v="4"/>
    <n v="10"/>
    <s v="High"/>
    <s v="Cash"/>
    <x v="0"/>
    <x v="1"/>
    <n v="5"/>
    <n v="0.4"/>
    <x v="8"/>
    <s v="Offline"/>
    <n v="24"/>
    <n v="26"/>
    <x v="1"/>
    <n v="12"/>
    <n v="3"/>
    <x v="3"/>
    <n v="30.286458333333329"/>
  </r>
  <r>
    <x v="271"/>
    <x v="0"/>
    <s v="Denver, CO"/>
    <d v="2024-09-15T00:00:00"/>
    <d v="1899-12-30T20:00:00"/>
    <d v="2024-09-15T00:00:00"/>
    <d v="1899-12-30T20:35:00"/>
    <x v="6"/>
    <s v="Medium"/>
    <s v="Veg"/>
    <n v="3"/>
    <n v="5.5"/>
    <s v="Medium"/>
    <s v="Card"/>
    <x v="0"/>
    <x v="1"/>
    <n v="6.3636363636363633"/>
    <n v="0.54545454545454541"/>
    <x v="8"/>
    <s v="Online"/>
    <n v="13.2"/>
    <n v="21.8"/>
    <x v="1"/>
    <n v="6"/>
    <n v="2"/>
    <x v="1"/>
    <n v="30.259433962264151"/>
  </r>
  <r>
    <x v="272"/>
    <x v="1"/>
    <s v="Boston, MA"/>
    <d v="2024-09-16T00:00:00"/>
    <d v="1899-12-30T18:30:00"/>
    <d v="2024-09-16T00:00:00"/>
    <d v="1899-12-30T18:50:00"/>
    <x v="2"/>
    <s v="Small"/>
    <s v="Vegan"/>
    <n v="2"/>
    <n v="2"/>
    <s v="Low"/>
    <s v="Wallet"/>
    <x v="0"/>
    <x v="0"/>
    <n v="10"/>
    <n v="1"/>
    <x v="8"/>
    <s v="Online"/>
    <n v="4.8"/>
    <n v="15.2"/>
    <x v="0"/>
    <n v="2"/>
    <n v="1"/>
    <x v="0"/>
    <n v="28.186274509803919"/>
  </r>
  <r>
    <x v="273"/>
    <x v="3"/>
    <s v="Dallas, TX"/>
    <d v="2024-09-17T00:00:00"/>
    <d v="1899-12-30T19:45:00"/>
    <d v="2024-09-17T00:00:00"/>
    <d v="1899-12-30T20:25:00"/>
    <x v="4"/>
    <s v="XL"/>
    <s v="Cheese Burst"/>
    <n v="5"/>
    <n v="7.5"/>
    <s v="High"/>
    <s v="UPI"/>
    <x v="0"/>
    <x v="0"/>
    <n v="5.333333333333333"/>
    <n v="0.66666666666666663"/>
    <x v="8"/>
    <s v="Online"/>
    <n v="18"/>
    <n v="22"/>
    <x v="1"/>
    <n v="20"/>
    <n v="3"/>
    <x v="3"/>
    <n v="29.948453608247419"/>
  </r>
  <r>
    <x v="274"/>
    <x v="2"/>
    <s v="Los Angeles, CA"/>
    <d v="2024-09-18T00:00:00"/>
    <d v="1899-12-30T18:00:00"/>
    <d v="2024-09-18T00:00:00"/>
    <d v="1899-12-30T18:30:00"/>
    <x v="3"/>
    <s v="Medium"/>
    <s v="Non-Veg"/>
    <n v="3"/>
    <n v="4"/>
    <s v="Medium"/>
    <s v="Cash"/>
    <x v="0"/>
    <x v="0"/>
    <n v="7.5"/>
    <n v="0.75"/>
    <x v="8"/>
    <s v="Offline"/>
    <n v="9.6"/>
    <n v="20.399999999999999"/>
    <x v="0"/>
    <n v="6"/>
    <n v="2"/>
    <x v="0"/>
    <n v="28.844221105527641"/>
  </r>
  <r>
    <x v="275"/>
    <x v="4"/>
    <s v="New York, NY"/>
    <d v="2024-09-19T00:00:00"/>
    <d v="1899-12-30T20:15:00"/>
    <d v="2024-09-19T00:00:00"/>
    <d v="1899-12-30T21:00:00"/>
    <x v="7"/>
    <s v="Large"/>
    <s v="Veg"/>
    <n v="4"/>
    <n v="9"/>
    <s v="High"/>
    <s v="Card"/>
    <x v="0"/>
    <x v="0"/>
    <n v="5"/>
    <n v="0.44444444444444442"/>
    <x v="8"/>
    <s v="Online"/>
    <n v="21.6"/>
    <n v="23.4"/>
    <x v="1"/>
    <n v="12"/>
    <n v="3"/>
    <x v="1"/>
    <n v="30.286458333333329"/>
  </r>
  <r>
    <x v="276"/>
    <x v="0"/>
    <s v="New York, NY"/>
    <d v="2024-09-15T00:00:00"/>
    <d v="1899-12-30T18:45:00"/>
    <d v="2024-09-15T00:00:00"/>
    <d v="1899-12-30T19:10:00"/>
    <x v="1"/>
    <s v="Large"/>
    <s v="Veg"/>
    <n v="3"/>
    <n v="5"/>
    <s v="High"/>
    <s v="Domino's Cash"/>
    <x v="0"/>
    <x v="1"/>
    <n v="5"/>
    <n v="0.6"/>
    <x v="8"/>
    <s v="Offline"/>
    <n v="12"/>
    <n v="13"/>
    <x v="0"/>
    <n v="9"/>
    <n v="3"/>
    <x v="0"/>
    <n v="30.259433962264151"/>
  </r>
  <r>
    <x v="277"/>
    <x v="3"/>
    <s v="Los Angeles, CA"/>
    <d v="2024-09-16T00:00:00"/>
    <d v="1899-12-30T20:00:00"/>
    <d v="2024-09-16T00:00:00"/>
    <d v="1899-12-30T20:30:00"/>
    <x v="3"/>
    <s v="XL"/>
    <s v="Cheese Burst"/>
    <n v="5"/>
    <n v="6.5"/>
    <s v="Medium"/>
    <s v="Card"/>
    <x v="0"/>
    <x v="0"/>
    <n v="4.615384615384615"/>
    <n v="0.76923076923076927"/>
    <x v="8"/>
    <s v="Online"/>
    <n v="15.6"/>
    <n v="14.4"/>
    <x v="0"/>
    <n v="20"/>
    <n v="2"/>
    <x v="1"/>
    <n v="29.948453608247419"/>
  </r>
  <r>
    <x v="278"/>
    <x v="1"/>
    <s v="Chicago, IL"/>
    <d v="2024-09-17T00:00:00"/>
    <d v="1899-12-30T19:15:00"/>
    <d v="2024-09-17T00:00:00"/>
    <d v="1899-12-30T19:35:00"/>
    <x v="2"/>
    <s v="Medium"/>
    <s v="Non-Veg"/>
    <n v="4"/>
    <n v="4"/>
    <s v="Low"/>
    <s v="UPI"/>
    <x v="0"/>
    <x v="0"/>
    <n v="5"/>
    <n v="1"/>
    <x v="8"/>
    <s v="Online"/>
    <n v="9.6"/>
    <n v="10.4"/>
    <x v="0"/>
    <n v="8"/>
    <n v="1"/>
    <x v="3"/>
    <n v="28.186274509803919"/>
  </r>
  <r>
    <x v="279"/>
    <x v="2"/>
    <s v="Houston, TX"/>
    <d v="2024-09-18T00:00:00"/>
    <d v="1899-12-30T18:30:00"/>
    <d v="2024-09-18T00:00:00"/>
    <d v="1899-12-30T19:05:00"/>
    <x v="6"/>
    <s v="Small"/>
    <s v="Vegan"/>
    <n v="2"/>
    <n v="7.5"/>
    <s v="High"/>
    <s v="Wallet"/>
    <x v="0"/>
    <x v="0"/>
    <n v="4.666666666666667"/>
    <n v="0.26666666666666672"/>
    <x v="8"/>
    <s v="Online"/>
    <n v="18"/>
    <n v="17"/>
    <x v="1"/>
    <n v="2"/>
    <n v="3"/>
    <x v="0"/>
    <n v="28.844221105527641"/>
  </r>
  <r>
    <x v="280"/>
    <x v="4"/>
    <s v="Phoenix, AZ"/>
    <d v="2024-09-19T00:00:00"/>
    <d v="1899-12-30T13:00:00"/>
    <d v="2024-09-19T00:00:00"/>
    <d v="1899-12-30T13:20:00"/>
    <x v="2"/>
    <s v="Medium"/>
    <s v="Non-Veg"/>
    <n v="3"/>
    <n v="3.5"/>
    <s v="Low"/>
    <s v="Card"/>
    <x v="1"/>
    <x v="0"/>
    <n v="5.7142857142857144"/>
    <n v="0.8571428571428571"/>
    <x v="8"/>
    <s v="Online"/>
    <n v="8.4"/>
    <n v="11.6"/>
    <x v="0"/>
    <n v="6"/>
    <n v="1"/>
    <x v="4"/>
    <n v="30.286458333333329"/>
  </r>
  <r>
    <x v="281"/>
    <x v="0"/>
    <s v="Miami, FL"/>
    <d v="2024-09-20T00:00:00"/>
    <d v="1899-12-30T18:45:00"/>
    <d v="2024-09-20T00:00:00"/>
    <d v="1899-12-30T19:15:00"/>
    <x v="3"/>
    <s v="Large"/>
    <s v="Veg"/>
    <n v="4"/>
    <n v="6"/>
    <s v="Medium"/>
    <s v="Domino's Cash"/>
    <x v="0"/>
    <x v="0"/>
    <n v="5"/>
    <n v="0.66666666666666663"/>
    <x v="8"/>
    <s v="Offline"/>
    <n v="14.4"/>
    <n v="15.6"/>
    <x v="0"/>
    <n v="12"/>
    <n v="2"/>
    <x v="0"/>
    <n v="30.259433962264151"/>
  </r>
  <r>
    <x v="282"/>
    <x v="3"/>
    <s v="Denver, CO"/>
    <d v="2024-09-21T00:00:00"/>
    <d v="1899-12-30T20:15:00"/>
    <d v="2024-09-21T00:00:00"/>
    <d v="1899-12-30T20:40:00"/>
    <x v="1"/>
    <s v="XL"/>
    <s v="Cheese Burst"/>
    <n v="5"/>
    <n v="5"/>
    <s v="Low"/>
    <s v="UPI"/>
    <x v="0"/>
    <x v="1"/>
    <n v="5"/>
    <n v="1"/>
    <x v="8"/>
    <s v="Online"/>
    <n v="12"/>
    <n v="13"/>
    <x v="0"/>
    <n v="20"/>
    <n v="1"/>
    <x v="1"/>
    <n v="29.948453608247419"/>
  </r>
  <r>
    <x v="283"/>
    <x v="1"/>
    <s v="Boston, MA"/>
    <d v="2024-09-22T00:00:00"/>
    <d v="1899-12-30T19:30:00"/>
    <d v="2024-09-22T00:00:00"/>
    <d v="1899-12-30T19:55:00"/>
    <x v="1"/>
    <s v="Small"/>
    <s v="Vegan"/>
    <n v="2"/>
    <n v="4"/>
    <s v="High"/>
    <s v="Wallet"/>
    <x v="0"/>
    <x v="1"/>
    <n v="6.25"/>
    <n v="0.5"/>
    <x v="8"/>
    <s v="Online"/>
    <n v="9.6"/>
    <n v="15.4"/>
    <x v="0"/>
    <n v="2"/>
    <n v="3"/>
    <x v="3"/>
    <n v="28.186274509803919"/>
  </r>
  <r>
    <x v="284"/>
    <x v="2"/>
    <s v="Dallas, TX"/>
    <d v="2024-09-23T00:00:00"/>
    <d v="1899-12-30T18:00:00"/>
    <d v="2024-09-23T00:00:00"/>
    <d v="1899-12-30T18:20:00"/>
    <x v="2"/>
    <s v="Medium"/>
    <s v="Non-Veg"/>
    <n v="3"/>
    <n v="3"/>
    <s v="Medium"/>
    <s v="Card"/>
    <x v="0"/>
    <x v="0"/>
    <n v="6.666666666666667"/>
    <n v="1"/>
    <x v="8"/>
    <s v="Online"/>
    <n v="7.1999999999999993"/>
    <n v="12.8"/>
    <x v="0"/>
    <n v="6"/>
    <n v="2"/>
    <x v="0"/>
    <n v="28.844221105527641"/>
  </r>
  <r>
    <x v="285"/>
    <x v="4"/>
    <s v="Seattle, WA"/>
    <d v="2024-09-24T00:00:00"/>
    <d v="1899-12-30T13:15:00"/>
    <d v="2024-09-24T00:00:00"/>
    <d v="1899-12-30T13:45:00"/>
    <x v="3"/>
    <s v="Medium"/>
    <s v="Non-Veg"/>
    <n v="3"/>
    <n v="6"/>
    <s v="High"/>
    <s v="UPI"/>
    <x v="1"/>
    <x v="0"/>
    <n v="5"/>
    <n v="0.5"/>
    <x v="8"/>
    <s v="Online"/>
    <n v="14.4"/>
    <n v="15.6"/>
    <x v="0"/>
    <n v="6"/>
    <n v="3"/>
    <x v="4"/>
    <n v="30.286458333333329"/>
  </r>
  <r>
    <x v="286"/>
    <x v="0"/>
    <s v="New York, NY"/>
    <d v="2024-09-25T00:00:00"/>
    <d v="1899-12-30T18:30:00"/>
    <d v="2024-09-25T00:00:00"/>
    <d v="1899-12-30T19:00:00"/>
    <x v="3"/>
    <s v="Large"/>
    <s v="Veg"/>
    <n v="4"/>
    <n v="5.5"/>
    <s v="High"/>
    <s v="Domino's Cash"/>
    <x v="0"/>
    <x v="0"/>
    <n v="5.4545454545454541"/>
    <n v="0.72727272727272729"/>
    <x v="8"/>
    <s v="Offline"/>
    <n v="13.2"/>
    <n v="16.8"/>
    <x v="0"/>
    <n v="12"/>
    <n v="3"/>
    <x v="0"/>
    <n v="30.259433962264151"/>
  </r>
  <r>
    <x v="287"/>
    <x v="3"/>
    <s v="Los Angeles, CA"/>
    <d v="2024-09-26T00:00:00"/>
    <d v="1899-12-30T19:45:00"/>
    <d v="2024-09-26T00:00:00"/>
    <d v="1899-12-30T20:10:00"/>
    <x v="1"/>
    <s v="XL"/>
    <s v="Cheese Burst"/>
    <n v="5"/>
    <n v="4.5"/>
    <s v="Low"/>
    <s v="Cash"/>
    <x v="0"/>
    <x v="0"/>
    <n v="5.5555555555555554"/>
    <n v="1.1111111111111109"/>
    <x v="8"/>
    <s v="Offline"/>
    <n v="10.8"/>
    <n v="14.2"/>
    <x v="0"/>
    <n v="20"/>
    <n v="1"/>
    <x v="3"/>
    <n v="29.948453608247419"/>
  </r>
  <r>
    <x v="288"/>
    <x v="1"/>
    <s v="Chicago, IL"/>
    <d v="2024-09-27T00:00:00"/>
    <d v="1899-12-30T20:15:00"/>
    <d v="2024-09-27T00:00:00"/>
    <d v="1899-12-30T20:40:00"/>
    <x v="1"/>
    <s v="Medium"/>
    <s v="Non-Veg"/>
    <n v="4"/>
    <n v="3.5"/>
    <s v="Medium"/>
    <s v="Card"/>
    <x v="0"/>
    <x v="0"/>
    <n v="7.1428571428571432"/>
    <n v="1.142857142857143"/>
    <x v="8"/>
    <s v="Online"/>
    <n v="8.4"/>
    <n v="16.600000000000001"/>
    <x v="0"/>
    <n v="8"/>
    <n v="2"/>
    <x v="1"/>
    <n v="28.186274509803919"/>
  </r>
  <r>
    <x v="289"/>
    <x v="2"/>
    <s v="Houston, TX"/>
    <d v="2024-09-28T00:00:00"/>
    <d v="1899-12-30T18:30:00"/>
    <d v="2024-09-28T00:00:00"/>
    <d v="1899-12-30T18:50:00"/>
    <x v="2"/>
    <s v="Small"/>
    <s v="Vegan"/>
    <n v="2"/>
    <n v="2"/>
    <s v="Low"/>
    <s v="Wallet"/>
    <x v="0"/>
    <x v="1"/>
    <n v="10"/>
    <n v="1"/>
    <x v="8"/>
    <s v="Online"/>
    <n v="4.8"/>
    <n v="15.2"/>
    <x v="0"/>
    <n v="2"/>
    <n v="1"/>
    <x v="0"/>
    <n v="28.844221105527641"/>
  </r>
  <r>
    <x v="290"/>
    <x v="4"/>
    <s v="Phoenix, AZ"/>
    <d v="2024-09-29T00:00:00"/>
    <d v="1899-12-30T13:00:00"/>
    <d v="2024-09-29T00:00:00"/>
    <d v="1899-12-30T13:20:00"/>
    <x v="2"/>
    <s v="Medium"/>
    <s v="Non-Veg"/>
    <n v="3"/>
    <n v="3"/>
    <s v="Low"/>
    <s v="UPI"/>
    <x v="1"/>
    <x v="1"/>
    <n v="6.666666666666667"/>
    <n v="1"/>
    <x v="8"/>
    <s v="Online"/>
    <n v="7.1999999999999993"/>
    <n v="12.8"/>
    <x v="0"/>
    <n v="6"/>
    <n v="1"/>
    <x v="4"/>
    <n v="30.286458333333329"/>
  </r>
  <r>
    <x v="291"/>
    <x v="0"/>
    <s v="Miami, FL"/>
    <d v="2024-09-30T00:00:00"/>
    <d v="1899-12-30T18:30:00"/>
    <d v="2024-09-30T00:00:00"/>
    <d v="1899-12-30T18:55:00"/>
    <x v="1"/>
    <s v="Large"/>
    <s v="Veg"/>
    <n v="4"/>
    <n v="5"/>
    <s v="High"/>
    <s v="Domino's Cash"/>
    <x v="0"/>
    <x v="0"/>
    <n v="5"/>
    <n v="0.8"/>
    <x v="8"/>
    <s v="Offline"/>
    <n v="12"/>
    <n v="13"/>
    <x v="0"/>
    <n v="12"/>
    <n v="3"/>
    <x v="0"/>
    <n v="30.259433962264151"/>
  </r>
  <r>
    <x v="292"/>
    <x v="3"/>
    <s v="Denver, CO"/>
    <d v="2024-10-01T00:00:00"/>
    <d v="1899-12-30T19:45:00"/>
    <d v="2024-10-01T00:00:00"/>
    <d v="1899-12-30T20:10:00"/>
    <x v="1"/>
    <s v="XL"/>
    <s v="Cheese Burst"/>
    <n v="5"/>
    <n v="4"/>
    <s v="High"/>
    <s v="Card"/>
    <x v="0"/>
    <x v="0"/>
    <n v="6.25"/>
    <n v="1.25"/>
    <x v="9"/>
    <s v="Online"/>
    <n v="9.6"/>
    <n v="15.4"/>
    <x v="0"/>
    <n v="20"/>
    <n v="3"/>
    <x v="3"/>
    <n v="29.948453608247419"/>
  </r>
  <r>
    <x v="293"/>
    <x v="1"/>
    <s v="Boston, MA"/>
    <d v="2024-10-02T00:00:00"/>
    <d v="1899-12-30T20:15:00"/>
    <d v="2024-10-02T00:00:00"/>
    <d v="1899-12-30T20:40:00"/>
    <x v="1"/>
    <s v="Small"/>
    <s v="Vegan"/>
    <n v="2"/>
    <n v="2.5"/>
    <s v="Medium"/>
    <s v="Wallet"/>
    <x v="0"/>
    <x v="0"/>
    <n v="10"/>
    <n v="0.8"/>
    <x v="9"/>
    <s v="Online"/>
    <n v="6"/>
    <n v="19"/>
    <x v="0"/>
    <n v="2"/>
    <n v="2"/>
    <x v="1"/>
    <n v="28.186274509803919"/>
  </r>
  <r>
    <x v="294"/>
    <x v="2"/>
    <s v="Dallas, TX"/>
    <d v="2024-10-03T00:00:00"/>
    <d v="1899-12-30T18:30:00"/>
    <d v="2024-10-03T00:00:00"/>
    <d v="1899-12-30T18:50:00"/>
    <x v="2"/>
    <s v="Medium"/>
    <s v="Non-Veg"/>
    <n v="3"/>
    <n v="3.5"/>
    <s v="Low"/>
    <s v="UPI"/>
    <x v="0"/>
    <x v="0"/>
    <n v="5.7142857142857144"/>
    <n v="0.8571428571428571"/>
    <x v="9"/>
    <s v="Online"/>
    <n v="8.4"/>
    <n v="11.6"/>
    <x v="0"/>
    <n v="6"/>
    <n v="1"/>
    <x v="0"/>
    <n v="28.844221105527641"/>
  </r>
  <r>
    <x v="295"/>
    <x v="4"/>
    <s v="Seattle, WA"/>
    <d v="2024-10-04T00:00:00"/>
    <d v="1899-12-30T13:00:00"/>
    <d v="2024-10-04T00:00:00"/>
    <d v="1899-12-30T13:20:00"/>
    <x v="2"/>
    <s v="Medium"/>
    <s v="Non-Veg"/>
    <n v="3"/>
    <n v="3.5"/>
    <s v="Low"/>
    <s v="Card"/>
    <x v="1"/>
    <x v="0"/>
    <n v="5.7142857142857144"/>
    <n v="0.8571428571428571"/>
    <x v="9"/>
    <s v="Online"/>
    <n v="8.4"/>
    <n v="11.6"/>
    <x v="0"/>
    <n v="6"/>
    <n v="1"/>
    <x v="4"/>
    <n v="30.286458333333329"/>
  </r>
  <r>
    <x v="296"/>
    <x v="0"/>
    <s v="New York, NY"/>
    <d v="2024-10-05T00:00:00"/>
    <d v="1899-12-30T18:30:00"/>
    <d v="2024-10-05T00:00:00"/>
    <d v="1899-12-30T18:55:00"/>
    <x v="1"/>
    <s v="Large"/>
    <s v="Veg"/>
    <n v="4"/>
    <n v="5"/>
    <s v="High"/>
    <s v="Domino's Cash"/>
    <x v="0"/>
    <x v="1"/>
    <n v="5"/>
    <n v="0.8"/>
    <x v="9"/>
    <s v="Offline"/>
    <n v="12"/>
    <n v="13"/>
    <x v="0"/>
    <n v="12"/>
    <n v="3"/>
    <x v="0"/>
    <n v="30.259433962264151"/>
  </r>
  <r>
    <x v="297"/>
    <x v="3"/>
    <s v="Los Angeles, CA"/>
    <d v="2024-10-06T00:00:00"/>
    <d v="1899-12-30T19:45:00"/>
    <d v="2024-10-06T00:00:00"/>
    <d v="1899-12-30T20:10:00"/>
    <x v="1"/>
    <s v="XL"/>
    <s v="Cheese Burst"/>
    <n v="5"/>
    <n v="4.5"/>
    <s v="Low"/>
    <s v="Cash"/>
    <x v="0"/>
    <x v="1"/>
    <n v="5.5555555555555554"/>
    <n v="1.1111111111111109"/>
    <x v="9"/>
    <s v="Offline"/>
    <n v="10.8"/>
    <n v="14.2"/>
    <x v="0"/>
    <n v="20"/>
    <n v="1"/>
    <x v="3"/>
    <n v="29.948453608247419"/>
  </r>
  <r>
    <x v="298"/>
    <x v="1"/>
    <s v="Chicago, IL"/>
    <d v="2024-10-07T00:00:00"/>
    <d v="1899-12-30T20:15:00"/>
    <d v="2024-10-07T00:00:00"/>
    <d v="1899-12-30T20:40:00"/>
    <x v="1"/>
    <s v="Medium"/>
    <s v="Non-Veg"/>
    <n v="4"/>
    <n v="3.5"/>
    <s v="Medium"/>
    <s v="Card"/>
    <x v="0"/>
    <x v="0"/>
    <n v="7.1428571428571432"/>
    <n v="1.142857142857143"/>
    <x v="9"/>
    <s v="Online"/>
    <n v="8.4"/>
    <n v="16.600000000000001"/>
    <x v="0"/>
    <n v="8"/>
    <n v="2"/>
    <x v="1"/>
    <n v="28.186274509803919"/>
  </r>
  <r>
    <x v="299"/>
    <x v="2"/>
    <s v="Houston, TX"/>
    <d v="2024-10-08T00:00:00"/>
    <d v="1899-12-30T18:30:00"/>
    <d v="2024-10-08T00:00:00"/>
    <d v="1899-12-30T18:50:00"/>
    <x v="2"/>
    <s v="Small"/>
    <s v="Vegan"/>
    <n v="2"/>
    <n v="2"/>
    <s v="Low"/>
    <s v="Wallet"/>
    <x v="0"/>
    <x v="0"/>
    <n v="10"/>
    <n v="1"/>
    <x v="9"/>
    <s v="Online"/>
    <n v="4.8"/>
    <n v="15.2"/>
    <x v="0"/>
    <n v="2"/>
    <n v="1"/>
    <x v="0"/>
    <n v="28.844221105527641"/>
  </r>
  <r>
    <x v="300"/>
    <x v="4"/>
    <s v="Phoenix, AZ"/>
    <d v="2024-10-09T00:00:00"/>
    <d v="1899-12-30T13:00:00"/>
    <d v="2024-10-09T00:00:00"/>
    <d v="1899-12-30T13:20:00"/>
    <x v="2"/>
    <s v="Medium"/>
    <s v="Non-Veg"/>
    <n v="3"/>
    <n v="3"/>
    <s v="Low"/>
    <s v="UPI"/>
    <x v="1"/>
    <x v="0"/>
    <n v="6.666666666666667"/>
    <n v="1"/>
    <x v="9"/>
    <s v="Online"/>
    <n v="7.1999999999999993"/>
    <n v="12.8"/>
    <x v="0"/>
    <n v="6"/>
    <n v="1"/>
    <x v="4"/>
    <n v="30.286458333333329"/>
  </r>
  <r>
    <x v="301"/>
    <x v="0"/>
    <s v="Miami, FL"/>
    <d v="2024-10-10T00:00:00"/>
    <d v="1899-12-30T18:30:00"/>
    <d v="2024-10-10T00:00:00"/>
    <d v="1899-12-30T18:55:00"/>
    <x v="1"/>
    <s v="Large"/>
    <s v="Veg"/>
    <n v="4"/>
    <n v="5"/>
    <s v="High"/>
    <s v="Domino's Cash"/>
    <x v="0"/>
    <x v="0"/>
    <n v="5"/>
    <n v="0.8"/>
    <x v="9"/>
    <s v="Offline"/>
    <n v="12"/>
    <n v="13"/>
    <x v="0"/>
    <n v="12"/>
    <n v="3"/>
    <x v="0"/>
    <n v="30.259433962264151"/>
  </r>
  <r>
    <x v="302"/>
    <x v="3"/>
    <s v="Denver, CO"/>
    <d v="2024-10-11T00:00:00"/>
    <d v="1899-12-30T19:45:00"/>
    <d v="2024-10-11T00:00:00"/>
    <d v="1899-12-30T20:10:00"/>
    <x v="1"/>
    <s v="XL"/>
    <s v="Cheese Burst"/>
    <n v="5"/>
    <n v="4.5"/>
    <s v="Low"/>
    <s v="Card"/>
    <x v="0"/>
    <x v="0"/>
    <n v="5.5555555555555554"/>
    <n v="1.1111111111111109"/>
    <x v="9"/>
    <s v="Online"/>
    <n v="10.8"/>
    <n v="14.2"/>
    <x v="0"/>
    <n v="20"/>
    <n v="1"/>
    <x v="3"/>
    <n v="29.948453608247419"/>
  </r>
  <r>
    <x v="303"/>
    <x v="1"/>
    <s v="Boston, MA"/>
    <d v="2024-10-12T00:00:00"/>
    <d v="1899-12-30T20:15:00"/>
    <d v="2024-10-12T00:00:00"/>
    <d v="1899-12-30T20:40:00"/>
    <x v="1"/>
    <s v="Small"/>
    <s v="Vegan"/>
    <n v="2"/>
    <n v="2.5"/>
    <s v="Medium"/>
    <s v="Wallet"/>
    <x v="0"/>
    <x v="1"/>
    <n v="10"/>
    <n v="0.8"/>
    <x v="9"/>
    <s v="Online"/>
    <n v="6"/>
    <n v="19"/>
    <x v="0"/>
    <n v="2"/>
    <n v="2"/>
    <x v="1"/>
    <n v="28.186274509803919"/>
  </r>
  <r>
    <x v="304"/>
    <x v="2"/>
    <s v="Dallas, TX"/>
    <d v="2024-10-13T00:00:00"/>
    <d v="1899-12-30T18:30:00"/>
    <d v="2024-10-13T00:00:00"/>
    <d v="1899-12-30T18:50:00"/>
    <x v="2"/>
    <s v="Medium"/>
    <s v="Non-Veg"/>
    <n v="3"/>
    <n v="3.5"/>
    <s v="Low"/>
    <s v="UPI"/>
    <x v="0"/>
    <x v="1"/>
    <n v="5.7142857142857144"/>
    <n v="0.8571428571428571"/>
    <x v="9"/>
    <s v="Online"/>
    <n v="8.4"/>
    <n v="11.6"/>
    <x v="0"/>
    <n v="6"/>
    <n v="1"/>
    <x v="0"/>
    <n v="28.844221105527641"/>
  </r>
  <r>
    <x v="305"/>
    <x v="0"/>
    <s v="New York, NY"/>
    <d v="2024-08-26T00:00:00"/>
    <d v="1899-12-30T18:00:00"/>
    <d v="2024-08-26T00:00:00"/>
    <d v="1899-12-30T18:20:00"/>
    <x v="2"/>
    <s v="Medium"/>
    <s v="Veg"/>
    <n v="2"/>
    <n v="3"/>
    <s v="Low"/>
    <s v="Card"/>
    <x v="0"/>
    <x v="0"/>
    <n v="6.666666666666667"/>
    <n v="0.66666666666666663"/>
    <x v="5"/>
    <s v="Online"/>
    <n v="7.1999999999999993"/>
    <n v="12.8"/>
    <x v="0"/>
    <n v="4"/>
    <n v="1"/>
    <x v="0"/>
    <n v="30.259433962264151"/>
  </r>
  <r>
    <x v="306"/>
    <x v="1"/>
    <s v="Chicago, IL"/>
    <d v="2024-08-27T00:00:00"/>
    <d v="1899-12-30T19:15:00"/>
    <d v="2024-08-27T00:00:00"/>
    <d v="1899-12-30T19:45:00"/>
    <x v="3"/>
    <s v="Large"/>
    <s v="Non-Veg"/>
    <n v="4"/>
    <n v="6"/>
    <s v="Medium"/>
    <s v="UPI"/>
    <x v="0"/>
    <x v="0"/>
    <n v="5"/>
    <n v="0.66666666666666663"/>
    <x v="5"/>
    <s v="Online"/>
    <n v="14.4"/>
    <n v="15.6"/>
    <x v="0"/>
    <n v="12"/>
    <n v="2"/>
    <x v="3"/>
    <n v="28.186274509803919"/>
  </r>
  <r>
    <x v="307"/>
    <x v="3"/>
    <s v="Los Angeles, CA"/>
    <d v="2024-08-28T00:00:00"/>
    <d v="1899-12-30T20:30:00"/>
    <d v="2024-08-28T00:00:00"/>
    <d v="1899-12-30T21:10:00"/>
    <x v="4"/>
    <s v="XL"/>
    <s v="Cheese Burst"/>
    <n v="5"/>
    <n v="8"/>
    <s v="High"/>
    <s v="Hut Points"/>
    <x v="0"/>
    <x v="0"/>
    <n v="5"/>
    <n v="0.625"/>
    <x v="5"/>
    <s v="Offline"/>
    <n v="19.2"/>
    <n v="20.8"/>
    <x v="1"/>
    <n v="20"/>
    <n v="3"/>
    <x v="1"/>
    <n v="29.948453608247419"/>
  </r>
  <r>
    <x v="308"/>
    <x v="2"/>
    <s v="Houston, TX"/>
    <d v="2024-08-29T00:00:00"/>
    <d v="1899-12-30T18:45:00"/>
    <d v="2024-08-29T00:00:00"/>
    <d v="1899-12-30T19:05:00"/>
    <x v="2"/>
    <s v="Small"/>
    <s v="Vegan"/>
    <n v="1"/>
    <n v="2.5"/>
    <s v="Low"/>
    <s v="Cash"/>
    <x v="0"/>
    <x v="0"/>
    <n v="8"/>
    <n v="0.4"/>
    <x v="5"/>
    <s v="Offline"/>
    <n v="6"/>
    <n v="14"/>
    <x v="0"/>
    <n v="1"/>
    <n v="1"/>
    <x v="0"/>
    <n v="28.844221105527641"/>
  </r>
  <r>
    <x v="309"/>
    <x v="4"/>
    <s v="Phoenix, AZ"/>
    <d v="2024-08-30T00:00:00"/>
    <d v="1899-12-30T19:00:00"/>
    <d v="2024-08-30T00:00:00"/>
    <d v="1899-12-30T19:50:00"/>
    <x v="5"/>
    <s v="Large"/>
    <s v="Non-Veg"/>
    <n v="4"/>
    <n v="10"/>
    <s v="High"/>
    <s v="Card"/>
    <x v="0"/>
    <x v="0"/>
    <n v="5"/>
    <n v="0.4"/>
    <x v="5"/>
    <s v="Online"/>
    <n v="24"/>
    <n v="26"/>
    <x v="1"/>
    <n v="12"/>
    <n v="3"/>
    <x v="3"/>
    <n v="30.286458333333329"/>
  </r>
  <r>
    <x v="310"/>
    <x v="0"/>
    <s v="Miami, FL"/>
    <d v="2024-08-31T00:00:00"/>
    <d v="1899-12-30T20:00:00"/>
    <d v="2024-08-31T00:00:00"/>
    <d v="1899-12-30T20:35:00"/>
    <x v="6"/>
    <s v="Medium"/>
    <s v="Veg"/>
    <n v="3"/>
    <n v="5.5"/>
    <s v="Medium"/>
    <s v="Wallet"/>
    <x v="0"/>
    <x v="1"/>
    <n v="6.3636363636363633"/>
    <n v="0.54545454545454541"/>
    <x v="5"/>
    <s v="Online"/>
    <n v="13.2"/>
    <n v="21.8"/>
    <x v="1"/>
    <n v="6"/>
    <n v="2"/>
    <x v="1"/>
    <n v="30.259433962264151"/>
  </r>
  <r>
    <x v="311"/>
    <x v="1"/>
    <s v="Denver, CO"/>
    <d v="2024-09-01T00:00:00"/>
    <d v="1899-12-30T18:30:00"/>
    <d v="2024-09-01T00:00:00"/>
    <d v="1899-12-30T18:50:00"/>
    <x v="2"/>
    <s v="Small"/>
    <s v="Vegan"/>
    <n v="2"/>
    <n v="2"/>
    <s v="Low"/>
    <s v="UPI"/>
    <x v="0"/>
    <x v="1"/>
    <n v="10"/>
    <n v="1"/>
    <x v="8"/>
    <s v="Online"/>
    <n v="4.8"/>
    <n v="15.2"/>
    <x v="0"/>
    <n v="2"/>
    <n v="1"/>
    <x v="0"/>
    <n v="28.186274509803919"/>
  </r>
  <r>
    <x v="312"/>
    <x v="3"/>
    <s v="Boston, MA"/>
    <d v="2024-09-02T00:00:00"/>
    <d v="1899-12-30T19:45:00"/>
    <d v="2024-09-02T00:00:00"/>
    <d v="1899-12-30T20:25:00"/>
    <x v="4"/>
    <s v="XL"/>
    <s v="Cheese Burst"/>
    <n v="5"/>
    <n v="7.5"/>
    <s v="High"/>
    <s v="Hut Points"/>
    <x v="0"/>
    <x v="0"/>
    <n v="5.333333333333333"/>
    <n v="0.66666666666666663"/>
    <x v="8"/>
    <s v="Offline"/>
    <n v="18"/>
    <n v="22"/>
    <x v="1"/>
    <n v="20"/>
    <n v="3"/>
    <x v="3"/>
    <n v="29.948453608247419"/>
  </r>
  <r>
    <x v="313"/>
    <x v="2"/>
    <s v="Dallas, TX"/>
    <d v="2024-09-03T00:00:00"/>
    <d v="1899-12-30T18:00:00"/>
    <d v="2024-09-03T00:00:00"/>
    <d v="1899-12-30T18:30:00"/>
    <x v="3"/>
    <s v="Medium"/>
    <s v="Non-Veg"/>
    <n v="3"/>
    <n v="4"/>
    <s v="Medium"/>
    <s v="Cash"/>
    <x v="0"/>
    <x v="0"/>
    <n v="7.5"/>
    <n v="0.75"/>
    <x v="8"/>
    <s v="Offline"/>
    <n v="9.6"/>
    <n v="20.399999999999999"/>
    <x v="0"/>
    <n v="6"/>
    <n v="2"/>
    <x v="0"/>
    <n v="28.844221105527641"/>
  </r>
  <r>
    <x v="314"/>
    <x v="4"/>
    <s v="Seattle, WA"/>
    <d v="2024-09-04T00:00:00"/>
    <d v="1899-12-30T20:15:00"/>
    <d v="2024-09-04T00:00:00"/>
    <d v="1899-12-30T21:00:00"/>
    <x v="7"/>
    <s v="Large"/>
    <s v="Veg"/>
    <n v="4"/>
    <n v="9"/>
    <s v="High"/>
    <s v="Wallet"/>
    <x v="0"/>
    <x v="0"/>
    <n v="5"/>
    <n v="0.44444444444444442"/>
    <x v="8"/>
    <s v="Online"/>
    <n v="21.6"/>
    <n v="23.4"/>
    <x v="1"/>
    <n v="12"/>
    <n v="3"/>
    <x v="1"/>
    <n v="30.286458333333329"/>
  </r>
  <r>
    <x v="315"/>
    <x v="0"/>
    <s v="San Jose, CA"/>
    <d v="2024-09-05T00:00:00"/>
    <d v="1899-12-30T18:00:00"/>
    <d v="2024-09-05T00:00:00"/>
    <d v="1899-12-30T18:20:00"/>
    <x v="2"/>
    <s v="Medium"/>
    <s v="Veg"/>
    <n v="2"/>
    <n v="3"/>
    <s v="Low"/>
    <s v="Card"/>
    <x v="0"/>
    <x v="0"/>
    <n v="6.666666666666667"/>
    <n v="0.66666666666666663"/>
    <x v="8"/>
    <s v="Online"/>
    <n v="7.1999999999999993"/>
    <n v="12.8"/>
    <x v="0"/>
    <n v="4"/>
    <n v="1"/>
    <x v="0"/>
    <n v="30.259433962264151"/>
  </r>
  <r>
    <x v="316"/>
    <x v="1"/>
    <s v="Austin, TX"/>
    <d v="2024-09-06T00:00:00"/>
    <d v="1899-12-30T19:15:00"/>
    <d v="2024-09-06T00:00:00"/>
    <d v="1899-12-30T19:45:00"/>
    <x v="3"/>
    <s v="Large"/>
    <s v="Non-Veg"/>
    <n v="4"/>
    <n v="6"/>
    <s v="Medium"/>
    <s v="Cash"/>
    <x v="0"/>
    <x v="0"/>
    <n v="5"/>
    <n v="0.66666666666666663"/>
    <x v="8"/>
    <s v="Offline"/>
    <n v="14.4"/>
    <n v="15.6"/>
    <x v="0"/>
    <n v="12"/>
    <n v="2"/>
    <x v="3"/>
    <n v="28.186274509803919"/>
  </r>
  <r>
    <x v="317"/>
    <x v="3"/>
    <s v="San Diego, CA"/>
    <d v="2024-09-07T00:00:00"/>
    <d v="1899-12-30T20:30:00"/>
    <d v="2024-09-07T00:00:00"/>
    <d v="1899-12-30T21:10:00"/>
    <x v="4"/>
    <s v="XL"/>
    <s v="Cheese Burst"/>
    <n v="5"/>
    <n v="8"/>
    <s v="High"/>
    <s v="Hut Points"/>
    <x v="0"/>
    <x v="1"/>
    <n v="5"/>
    <n v="0.625"/>
    <x v="8"/>
    <s v="Offline"/>
    <n v="19.2"/>
    <n v="20.8"/>
    <x v="1"/>
    <n v="20"/>
    <n v="3"/>
    <x v="1"/>
    <n v="29.948453608247419"/>
  </r>
  <r>
    <x v="318"/>
    <x v="2"/>
    <s v="Jacksonville, FL"/>
    <d v="2024-09-08T00:00:00"/>
    <d v="1899-12-30T18:45:00"/>
    <d v="2024-09-08T00:00:00"/>
    <d v="1899-12-30T19:05:00"/>
    <x v="2"/>
    <s v="Small"/>
    <s v="Vegan"/>
    <n v="1"/>
    <n v="2.5"/>
    <s v="Low"/>
    <s v="Wallet"/>
    <x v="0"/>
    <x v="1"/>
    <n v="8"/>
    <n v="0.4"/>
    <x v="8"/>
    <s v="Online"/>
    <n v="6"/>
    <n v="14"/>
    <x v="0"/>
    <n v="1"/>
    <n v="1"/>
    <x v="0"/>
    <n v="28.844221105527641"/>
  </r>
  <r>
    <x v="319"/>
    <x v="4"/>
    <s v="Fort Worth, TX"/>
    <d v="2024-09-09T00:00:00"/>
    <d v="1899-12-30T19:00:00"/>
    <d v="2024-09-09T00:00:00"/>
    <d v="1899-12-30T19:50:00"/>
    <x v="5"/>
    <s v="Large"/>
    <s v="Non-Veg"/>
    <n v="4"/>
    <n v="10"/>
    <s v="High"/>
    <s v="Card"/>
    <x v="0"/>
    <x v="0"/>
    <n v="5"/>
    <n v="0.4"/>
    <x v="8"/>
    <s v="Online"/>
    <n v="24"/>
    <n v="26"/>
    <x v="1"/>
    <n v="12"/>
    <n v="3"/>
    <x v="3"/>
    <n v="30.286458333333329"/>
  </r>
  <r>
    <x v="320"/>
    <x v="0"/>
    <s v="Columbus, OH"/>
    <d v="2024-09-10T00:00:00"/>
    <d v="1899-12-30T20:00:00"/>
    <d v="2024-09-10T00:00:00"/>
    <d v="1899-12-30T20:35:00"/>
    <x v="6"/>
    <s v="Medium"/>
    <s v="Veg"/>
    <n v="3"/>
    <n v="5.5"/>
    <s v="Medium"/>
    <s v="Wallet"/>
    <x v="0"/>
    <x v="0"/>
    <n v="6.3636363636363633"/>
    <n v="0.54545454545454541"/>
    <x v="8"/>
    <s v="Online"/>
    <n v="13.2"/>
    <n v="21.8"/>
    <x v="1"/>
    <n v="6"/>
    <n v="2"/>
    <x v="1"/>
    <n v="30.259433962264151"/>
  </r>
  <r>
    <x v="321"/>
    <x v="1"/>
    <s v="Charlotte, NC"/>
    <d v="2024-09-11T00:00:00"/>
    <d v="1899-12-30T18:30:00"/>
    <d v="2024-09-11T00:00:00"/>
    <d v="1899-12-30T18:50:00"/>
    <x v="2"/>
    <s v="Small"/>
    <s v="Vegan"/>
    <n v="2"/>
    <n v="2"/>
    <s v="Low"/>
    <s v="UPI"/>
    <x v="0"/>
    <x v="0"/>
    <n v="10"/>
    <n v="1"/>
    <x v="8"/>
    <s v="Online"/>
    <n v="4.8"/>
    <n v="15.2"/>
    <x v="0"/>
    <n v="2"/>
    <n v="1"/>
    <x v="0"/>
    <n v="28.186274509803919"/>
  </r>
  <r>
    <x v="322"/>
    <x v="3"/>
    <s v="Indianapolis, IN"/>
    <d v="2024-09-12T00:00:00"/>
    <d v="1899-12-30T19:45:00"/>
    <d v="2024-09-12T00:00:00"/>
    <d v="1899-12-30T20:25:00"/>
    <x v="4"/>
    <s v="XL"/>
    <s v="Cheese Burst"/>
    <n v="5"/>
    <n v="7.5"/>
    <s v="High"/>
    <s v="Hut Points"/>
    <x v="0"/>
    <x v="0"/>
    <n v="5.333333333333333"/>
    <n v="0.66666666666666663"/>
    <x v="8"/>
    <s v="Offline"/>
    <n v="18"/>
    <n v="22"/>
    <x v="1"/>
    <n v="20"/>
    <n v="3"/>
    <x v="3"/>
    <n v="29.948453608247419"/>
  </r>
  <r>
    <x v="323"/>
    <x v="2"/>
    <s v="San Francisco, CA"/>
    <d v="2024-09-13T00:00:00"/>
    <d v="1899-12-30T18:00:00"/>
    <d v="2024-09-13T00:00:00"/>
    <d v="1899-12-30T18:30:00"/>
    <x v="3"/>
    <s v="Medium"/>
    <s v="Non-Veg"/>
    <n v="3"/>
    <n v="4"/>
    <s v="Medium"/>
    <s v="Cash"/>
    <x v="0"/>
    <x v="0"/>
    <n v="7.5"/>
    <n v="0.75"/>
    <x v="8"/>
    <s v="Offline"/>
    <n v="9.6"/>
    <n v="20.399999999999999"/>
    <x v="0"/>
    <n v="6"/>
    <n v="2"/>
    <x v="0"/>
    <n v="28.844221105527641"/>
  </r>
  <r>
    <x v="324"/>
    <x v="4"/>
    <s v="Charlotte, NC"/>
    <d v="2024-09-14T00:00:00"/>
    <d v="1899-12-30T20:15:00"/>
    <d v="2024-09-14T00:00:00"/>
    <d v="1899-12-30T21:00:00"/>
    <x v="7"/>
    <s v="Large"/>
    <s v="Veg"/>
    <n v="4"/>
    <n v="9"/>
    <s v="High"/>
    <s v="Wallet"/>
    <x v="0"/>
    <x v="1"/>
    <n v="5"/>
    <n v="0.44444444444444442"/>
    <x v="8"/>
    <s v="Online"/>
    <n v="21.6"/>
    <n v="23.4"/>
    <x v="1"/>
    <n v="12"/>
    <n v="3"/>
    <x v="1"/>
    <n v="30.286458333333329"/>
  </r>
  <r>
    <x v="325"/>
    <x v="0"/>
    <s v="Detroit, MI"/>
    <d v="2024-09-15T00:00:00"/>
    <d v="1899-12-30T18:00:00"/>
    <d v="2024-09-15T00:00:00"/>
    <d v="1899-12-30T18:20:00"/>
    <x v="2"/>
    <s v="Medium"/>
    <s v="Veg"/>
    <n v="2"/>
    <n v="3"/>
    <s v="Low"/>
    <s v="Card"/>
    <x v="0"/>
    <x v="1"/>
    <n v="6.666666666666667"/>
    <n v="0.66666666666666663"/>
    <x v="8"/>
    <s v="Online"/>
    <n v="7.1999999999999993"/>
    <n v="12.8"/>
    <x v="0"/>
    <n v="4"/>
    <n v="1"/>
    <x v="0"/>
    <n v="30.259433962264151"/>
  </r>
  <r>
    <x v="326"/>
    <x v="1"/>
    <s v="El Paso, TX"/>
    <d v="2024-09-16T00:00:00"/>
    <d v="1899-12-30T19:15:00"/>
    <d v="2024-09-16T00:00:00"/>
    <d v="1899-12-30T19:45:00"/>
    <x v="3"/>
    <s v="Large"/>
    <s v="Non-Veg"/>
    <n v="4"/>
    <n v="6"/>
    <s v="Medium"/>
    <s v="Cash"/>
    <x v="0"/>
    <x v="0"/>
    <n v="5"/>
    <n v="0.66666666666666663"/>
    <x v="8"/>
    <s v="Offline"/>
    <n v="14.4"/>
    <n v="15.6"/>
    <x v="0"/>
    <n v="12"/>
    <n v="2"/>
    <x v="3"/>
    <n v="28.186274509803919"/>
  </r>
  <r>
    <x v="327"/>
    <x v="3"/>
    <s v="Memphis, TN"/>
    <d v="2024-09-17T00:00:00"/>
    <d v="1899-12-30T20:30:00"/>
    <d v="2024-09-17T00:00:00"/>
    <d v="1899-12-30T21:10:00"/>
    <x v="4"/>
    <s v="XL"/>
    <s v="Cheese Burst"/>
    <n v="5"/>
    <n v="8"/>
    <s v="High"/>
    <s v="Hut Points"/>
    <x v="0"/>
    <x v="0"/>
    <n v="5"/>
    <n v="0.625"/>
    <x v="8"/>
    <s v="Offline"/>
    <n v="19.2"/>
    <n v="20.8"/>
    <x v="1"/>
    <n v="20"/>
    <n v="3"/>
    <x v="1"/>
    <n v="29.948453608247419"/>
  </r>
  <r>
    <x v="328"/>
    <x v="2"/>
    <s v="Baltimore, MD"/>
    <d v="2024-09-18T00:00:00"/>
    <d v="1899-12-30T18:45:00"/>
    <d v="2024-09-18T00:00:00"/>
    <d v="1899-12-30T19:05:00"/>
    <x v="2"/>
    <s v="Small"/>
    <s v="Vegan"/>
    <n v="1"/>
    <n v="2.5"/>
    <s v="Low"/>
    <s v="Wallet"/>
    <x v="0"/>
    <x v="0"/>
    <n v="8"/>
    <n v="0.4"/>
    <x v="8"/>
    <s v="Online"/>
    <n v="6"/>
    <n v="14"/>
    <x v="0"/>
    <n v="1"/>
    <n v="1"/>
    <x v="0"/>
    <n v="28.844221105527641"/>
  </r>
  <r>
    <x v="329"/>
    <x v="4"/>
    <s v="Boston, MA"/>
    <d v="2024-09-19T00:00:00"/>
    <d v="1899-12-30T19:00:00"/>
    <d v="2024-09-19T00:00:00"/>
    <d v="1899-12-30T19:50:00"/>
    <x v="5"/>
    <s v="Large"/>
    <s v="Non-Veg"/>
    <n v="4"/>
    <n v="10"/>
    <s v="High"/>
    <s v="Card"/>
    <x v="0"/>
    <x v="0"/>
    <n v="5"/>
    <n v="0.4"/>
    <x v="8"/>
    <s v="Online"/>
    <n v="24"/>
    <n v="26"/>
    <x v="1"/>
    <n v="12"/>
    <n v="3"/>
    <x v="3"/>
    <n v="30.286458333333329"/>
  </r>
  <r>
    <x v="330"/>
    <x v="0"/>
    <s v="New York, NY"/>
    <d v="2024-09-20T00:00:00"/>
    <d v="1899-12-30T18:00:00"/>
    <d v="2024-09-20T00:00:00"/>
    <d v="1899-12-30T18:20:00"/>
    <x v="2"/>
    <s v="Medium"/>
    <s v="Veg"/>
    <n v="2"/>
    <n v="3"/>
    <s v="Low"/>
    <s v="Domino's Cash"/>
    <x v="0"/>
    <x v="0"/>
    <n v="6.666666666666667"/>
    <n v="0.66666666666666663"/>
    <x v="8"/>
    <s v="Offline"/>
    <n v="7.1999999999999993"/>
    <n v="12.8"/>
    <x v="0"/>
    <n v="4"/>
    <n v="1"/>
    <x v="0"/>
    <n v="30.259433962264151"/>
  </r>
  <r>
    <x v="331"/>
    <x v="1"/>
    <s v="Chicago, IL"/>
    <d v="2024-09-21T00:00:00"/>
    <d v="1899-12-30T19:15:00"/>
    <d v="2024-09-21T00:00:00"/>
    <d v="1899-12-30T19:45:00"/>
    <x v="3"/>
    <s v="Large"/>
    <s v="Non-Veg"/>
    <n v="4"/>
    <n v="6"/>
    <s v="Medium"/>
    <s v="UPI"/>
    <x v="0"/>
    <x v="1"/>
    <n v="5"/>
    <n v="0.66666666666666663"/>
    <x v="8"/>
    <s v="Online"/>
    <n v="14.4"/>
    <n v="15.6"/>
    <x v="0"/>
    <n v="12"/>
    <n v="2"/>
    <x v="3"/>
    <n v="28.186274509803919"/>
  </r>
  <r>
    <x v="332"/>
    <x v="3"/>
    <s v="Los Angeles, CA"/>
    <d v="2024-09-22T00:00:00"/>
    <d v="1899-12-30T20:30:00"/>
    <d v="2024-09-22T00:00:00"/>
    <d v="1899-12-30T21:10:00"/>
    <x v="4"/>
    <s v="XL"/>
    <s v="Cheese Burst"/>
    <n v="5"/>
    <n v="8"/>
    <s v="High"/>
    <s v="Hut Points"/>
    <x v="0"/>
    <x v="1"/>
    <n v="5"/>
    <n v="0.625"/>
    <x v="8"/>
    <s v="Offline"/>
    <n v="19.2"/>
    <n v="20.8"/>
    <x v="1"/>
    <n v="20"/>
    <n v="3"/>
    <x v="1"/>
    <n v="29.948453608247419"/>
  </r>
  <r>
    <x v="333"/>
    <x v="2"/>
    <s v="Houston, TX"/>
    <d v="2024-09-23T00:00:00"/>
    <d v="1899-12-30T18:45:00"/>
    <d v="2024-09-23T00:00:00"/>
    <d v="1899-12-30T19:05:00"/>
    <x v="2"/>
    <s v="Small"/>
    <s v="Vegan"/>
    <n v="1"/>
    <n v="2.5"/>
    <s v="Low"/>
    <s v="Cash"/>
    <x v="0"/>
    <x v="0"/>
    <n v="8"/>
    <n v="0.4"/>
    <x v="8"/>
    <s v="Offline"/>
    <n v="6"/>
    <n v="14"/>
    <x v="0"/>
    <n v="1"/>
    <n v="1"/>
    <x v="0"/>
    <n v="28.844221105527641"/>
  </r>
  <r>
    <x v="334"/>
    <x v="4"/>
    <s v="Phoenix, AZ"/>
    <d v="2024-09-24T00:00:00"/>
    <d v="1899-12-30T19:00:00"/>
    <d v="2024-09-24T00:00:00"/>
    <d v="1899-12-30T19:50:00"/>
    <x v="5"/>
    <s v="Large"/>
    <s v="Non-Veg"/>
    <n v="4"/>
    <n v="10"/>
    <s v="High"/>
    <s v="Card"/>
    <x v="0"/>
    <x v="0"/>
    <n v="5"/>
    <n v="0.4"/>
    <x v="8"/>
    <s v="Online"/>
    <n v="24"/>
    <n v="26"/>
    <x v="1"/>
    <n v="12"/>
    <n v="3"/>
    <x v="3"/>
    <n v="30.286458333333329"/>
  </r>
  <r>
    <x v="335"/>
    <x v="0"/>
    <s v="Miami, FL"/>
    <d v="2024-09-25T00:00:00"/>
    <d v="1899-12-30T20:00:00"/>
    <d v="2024-09-25T00:00:00"/>
    <d v="1899-12-30T20:20:00"/>
    <x v="2"/>
    <s v="Medium"/>
    <s v="Veg"/>
    <n v="2"/>
    <n v="3"/>
    <s v="Low"/>
    <s v="Card"/>
    <x v="0"/>
    <x v="0"/>
    <n v="6.666666666666667"/>
    <n v="0.66666666666666663"/>
    <x v="8"/>
    <s v="Online"/>
    <n v="7.1999999999999993"/>
    <n v="12.8"/>
    <x v="0"/>
    <n v="4"/>
    <n v="1"/>
    <x v="1"/>
    <n v="30.259433962264151"/>
  </r>
  <r>
    <x v="336"/>
    <x v="1"/>
    <s v="Chicago, IL"/>
    <d v="2024-09-26T00:00:00"/>
    <d v="1899-12-30T19:15:00"/>
    <d v="2024-09-26T00:00:00"/>
    <d v="1899-12-30T19:45:00"/>
    <x v="3"/>
    <s v="Large"/>
    <s v="Non-Veg"/>
    <n v="4"/>
    <n v="6"/>
    <s v="Medium"/>
    <s v="UPI"/>
    <x v="0"/>
    <x v="0"/>
    <n v="5"/>
    <n v="0.66666666666666663"/>
    <x v="8"/>
    <s v="Online"/>
    <n v="14.4"/>
    <n v="15.6"/>
    <x v="0"/>
    <n v="12"/>
    <n v="2"/>
    <x v="3"/>
    <n v="28.186274509803919"/>
  </r>
  <r>
    <x v="337"/>
    <x v="3"/>
    <s v="Los Angeles, CA"/>
    <d v="2024-09-27T00:00:00"/>
    <d v="1899-12-30T20:30:00"/>
    <d v="2024-09-27T00:00:00"/>
    <d v="1899-12-30T21:10:00"/>
    <x v="4"/>
    <s v="XL"/>
    <s v="Cheese Burst"/>
    <n v="5"/>
    <n v="8"/>
    <s v="High"/>
    <s v="Hut Points"/>
    <x v="0"/>
    <x v="0"/>
    <n v="5"/>
    <n v="0.625"/>
    <x v="8"/>
    <s v="Offline"/>
    <n v="19.2"/>
    <n v="20.8"/>
    <x v="1"/>
    <n v="20"/>
    <n v="3"/>
    <x v="1"/>
    <n v="29.948453608247419"/>
  </r>
  <r>
    <x v="338"/>
    <x v="2"/>
    <s v="Houston, TX"/>
    <d v="2024-09-28T00:00:00"/>
    <d v="1899-12-30T18:45:00"/>
    <d v="2024-09-28T00:00:00"/>
    <d v="1899-12-30T19:05:00"/>
    <x v="2"/>
    <s v="Small"/>
    <s v="Vegan"/>
    <n v="1"/>
    <n v="2.5"/>
    <s v="Low"/>
    <s v="Cash"/>
    <x v="0"/>
    <x v="1"/>
    <n v="8"/>
    <n v="0.4"/>
    <x v="8"/>
    <s v="Offline"/>
    <n v="6"/>
    <n v="14"/>
    <x v="0"/>
    <n v="1"/>
    <n v="1"/>
    <x v="0"/>
    <n v="28.844221105527641"/>
  </r>
  <r>
    <x v="339"/>
    <x v="4"/>
    <s v="Phoenix, AZ"/>
    <d v="2024-09-29T00:00:00"/>
    <d v="1899-12-30T19:00:00"/>
    <d v="2024-09-29T00:00:00"/>
    <d v="1899-12-30T19:50:00"/>
    <x v="5"/>
    <s v="Large"/>
    <s v="Non-Veg"/>
    <n v="4"/>
    <n v="10"/>
    <s v="High"/>
    <s v="Card"/>
    <x v="0"/>
    <x v="1"/>
    <n v="5"/>
    <n v="0.4"/>
    <x v="8"/>
    <s v="Online"/>
    <n v="24"/>
    <n v="26"/>
    <x v="1"/>
    <n v="12"/>
    <n v="3"/>
    <x v="3"/>
    <n v="30.286458333333329"/>
  </r>
  <r>
    <x v="340"/>
    <x v="0"/>
    <s v="Miami, FL"/>
    <d v="2024-09-30T00:00:00"/>
    <d v="1899-12-30T20:00:00"/>
    <d v="2024-09-30T00:00:00"/>
    <d v="1899-12-30T20:35:00"/>
    <x v="6"/>
    <s v="Medium"/>
    <s v="Veg"/>
    <n v="3"/>
    <n v="5.5"/>
    <s v="Medium"/>
    <s v="Wallet"/>
    <x v="0"/>
    <x v="0"/>
    <n v="6.3636363636363633"/>
    <n v="0.54545454545454541"/>
    <x v="8"/>
    <s v="Online"/>
    <n v="13.2"/>
    <n v="21.8"/>
    <x v="1"/>
    <n v="6"/>
    <n v="2"/>
    <x v="1"/>
    <n v="30.259433962264151"/>
  </r>
  <r>
    <x v="341"/>
    <x v="1"/>
    <s v="Denver, CO"/>
    <d v="2024-10-01T00:00:00"/>
    <d v="1899-12-30T18:30:00"/>
    <d v="2024-10-01T00:00:00"/>
    <d v="1899-12-30T18:50:00"/>
    <x v="2"/>
    <s v="Small"/>
    <s v="Vegan"/>
    <n v="2"/>
    <n v="2"/>
    <s v="Low"/>
    <s v="UPI"/>
    <x v="0"/>
    <x v="0"/>
    <n v="10"/>
    <n v="1"/>
    <x v="9"/>
    <s v="Online"/>
    <n v="4.8"/>
    <n v="15.2"/>
    <x v="0"/>
    <n v="2"/>
    <n v="1"/>
    <x v="0"/>
    <n v="28.186274509803919"/>
  </r>
  <r>
    <x v="342"/>
    <x v="3"/>
    <s v="Boston, MA"/>
    <d v="2024-10-02T00:00:00"/>
    <d v="1899-12-30T19:45:00"/>
    <d v="2024-10-02T00:00:00"/>
    <d v="1899-12-30T20:25:00"/>
    <x v="4"/>
    <s v="XL"/>
    <s v="Cheese Burst"/>
    <n v="5"/>
    <n v="7.5"/>
    <s v="High"/>
    <s v="Hut Points"/>
    <x v="0"/>
    <x v="0"/>
    <n v="5.333333333333333"/>
    <n v="0.66666666666666663"/>
    <x v="9"/>
    <s v="Offline"/>
    <n v="18"/>
    <n v="22"/>
    <x v="1"/>
    <n v="20"/>
    <n v="3"/>
    <x v="3"/>
    <n v="29.948453608247419"/>
  </r>
  <r>
    <x v="343"/>
    <x v="2"/>
    <s v="Dallas, TX"/>
    <d v="2024-10-03T00:00:00"/>
    <d v="1899-12-30T18:00:00"/>
    <d v="2024-10-03T00:00:00"/>
    <d v="1899-12-30T18:30:00"/>
    <x v="3"/>
    <s v="Medium"/>
    <s v="Non-Veg"/>
    <n v="3"/>
    <n v="4"/>
    <s v="Medium"/>
    <s v="Cash"/>
    <x v="0"/>
    <x v="0"/>
    <n v="7.5"/>
    <n v="0.75"/>
    <x v="9"/>
    <s v="Offline"/>
    <n v="9.6"/>
    <n v="20.399999999999999"/>
    <x v="0"/>
    <n v="6"/>
    <n v="2"/>
    <x v="0"/>
    <n v="28.844221105527641"/>
  </r>
  <r>
    <x v="344"/>
    <x v="4"/>
    <s v="Seattle, WA"/>
    <d v="2024-10-04T00:00:00"/>
    <d v="1899-12-30T20:15:00"/>
    <d v="2024-10-04T00:00:00"/>
    <d v="1899-12-30T21:00:00"/>
    <x v="7"/>
    <s v="Large"/>
    <s v="Veg"/>
    <n v="4"/>
    <n v="9"/>
    <s v="High"/>
    <s v="Wallet"/>
    <x v="0"/>
    <x v="0"/>
    <n v="5"/>
    <n v="0.44444444444444442"/>
    <x v="9"/>
    <s v="Online"/>
    <n v="21.6"/>
    <n v="23.4"/>
    <x v="1"/>
    <n v="12"/>
    <n v="3"/>
    <x v="1"/>
    <n v="30.286458333333329"/>
  </r>
  <r>
    <x v="345"/>
    <x v="0"/>
    <s v="San Jose, CA"/>
    <d v="2024-10-05T00:00:00"/>
    <d v="1899-12-30T18:00:00"/>
    <d v="2024-10-05T00:00:00"/>
    <d v="1899-12-30T18:20:00"/>
    <x v="2"/>
    <s v="Medium"/>
    <s v="Veg"/>
    <n v="2"/>
    <n v="3"/>
    <s v="Low"/>
    <s v="Card"/>
    <x v="0"/>
    <x v="1"/>
    <n v="6.666666666666667"/>
    <n v="0.66666666666666663"/>
    <x v="9"/>
    <s v="Online"/>
    <n v="7.1999999999999993"/>
    <n v="12.8"/>
    <x v="0"/>
    <n v="4"/>
    <n v="1"/>
    <x v="0"/>
    <n v="30.259433962264151"/>
  </r>
  <r>
    <x v="346"/>
    <x v="1"/>
    <s v="Austin, TX"/>
    <d v="2024-10-06T00:00:00"/>
    <d v="1899-12-30T19:15:00"/>
    <d v="2024-10-06T00:00:00"/>
    <d v="1899-12-30T19:45:00"/>
    <x v="3"/>
    <s v="Large"/>
    <s v="Non-Veg"/>
    <n v="4"/>
    <n v="6"/>
    <s v="Medium"/>
    <s v="Cash"/>
    <x v="0"/>
    <x v="1"/>
    <n v="5"/>
    <n v="0.66666666666666663"/>
    <x v="9"/>
    <s v="Offline"/>
    <n v="14.4"/>
    <n v="15.6"/>
    <x v="0"/>
    <n v="12"/>
    <n v="2"/>
    <x v="3"/>
    <n v="28.186274509803919"/>
  </r>
  <r>
    <x v="347"/>
    <x v="3"/>
    <s v="San Diego, CA"/>
    <d v="2024-10-07T00:00:00"/>
    <d v="1899-12-30T20:30:00"/>
    <d v="2024-10-07T00:00:00"/>
    <d v="1899-12-30T21:10:00"/>
    <x v="4"/>
    <s v="XL"/>
    <s v="Cheese Burst"/>
    <n v="5"/>
    <n v="8"/>
    <s v="High"/>
    <s v="Hut Points"/>
    <x v="0"/>
    <x v="0"/>
    <n v="5"/>
    <n v="0.625"/>
    <x v="9"/>
    <s v="Offline"/>
    <n v="19.2"/>
    <n v="20.8"/>
    <x v="1"/>
    <n v="20"/>
    <n v="3"/>
    <x v="1"/>
    <n v="29.948453608247419"/>
  </r>
  <r>
    <x v="348"/>
    <x v="2"/>
    <s v="Jacksonville, FL"/>
    <d v="2024-10-08T00:00:00"/>
    <d v="1899-12-30T18:45:00"/>
    <d v="2024-10-08T00:00:00"/>
    <d v="1899-12-30T19:05:00"/>
    <x v="2"/>
    <s v="Small"/>
    <s v="Vegan"/>
    <n v="1"/>
    <n v="2.5"/>
    <s v="Low"/>
    <s v="Wallet"/>
    <x v="0"/>
    <x v="0"/>
    <n v="8"/>
    <n v="0.4"/>
    <x v="9"/>
    <s v="Online"/>
    <n v="6"/>
    <n v="14"/>
    <x v="0"/>
    <n v="1"/>
    <n v="1"/>
    <x v="0"/>
    <n v="28.844221105527641"/>
  </r>
  <r>
    <x v="349"/>
    <x v="4"/>
    <s v="Fort Worth, TX"/>
    <d v="2024-10-09T00:00:00"/>
    <d v="1899-12-30T19:00:00"/>
    <d v="2024-10-09T00:00:00"/>
    <d v="1899-12-30T19:50:00"/>
    <x v="5"/>
    <s v="Large"/>
    <s v="Non-Veg"/>
    <n v="4"/>
    <n v="10"/>
    <s v="High"/>
    <s v="Card"/>
    <x v="0"/>
    <x v="0"/>
    <n v="5"/>
    <n v="0.4"/>
    <x v="9"/>
    <s v="Online"/>
    <n v="24"/>
    <n v="26"/>
    <x v="1"/>
    <n v="12"/>
    <n v="3"/>
    <x v="3"/>
    <n v="30.286458333333329"/>
  </r>
  <r>
    <x v="350"/>
    <x v="0"/>
    <s v="Columbus, OH"/>
    <d v="2024-10-10T00:00:00"/>
    <d v="1899-12-30T20:00:00"/>
    <d v="2024-10-10T00:00:00"/>
    <d v="1899-12-30T20:35:00"/>
    <x v="6"/>
    <s v="Medium"/>
    <s v="Veg"/>
    <n v="3"/>
    <n v="5.5"/>
    <s v="Medium"/>
    <s v="Wallet"/>
    <x v="0"/>
    <x v="0"/>
    <n v="6.3636363636363633"/>
    <n v="0.54545454545454541"/>
    <x v="9"/>
    <s v="Online"/>
    <n v="13.2"/>
    <n v="21.8"/>
    <x v="1"/>
    <n v="6"/>
    <n v="2"/>
    <x v="1"/>
    <n v="30.259433962264151"/>
  </r>
  <r>
    <x v="351"/>
    <x v="1"/>
    <s v="Charlotte, NC"/>
    <d v="2024-10-11T00:00:00"/>
    <d v="1899-12-30T18:30:00"/>
    <d v="2024-10-11T00:00:00"/>
    <d v="1899-12-30T18:50:00"/>
    <x v="2"/>
    <s v="Small"/>
    <s v="Vegan"/>
    <n v="2"/>
    <n v="2"/>
    <s v="Low"/>
    <s v="UPI"/>
    <x v="0"/>
    <x v="0"/>
    <n v="10"/>
    <n v="1"/>
    <x v="9"/>
    <s v="Online"/>
    <n v="4.8"/>
    <n v="15.2"/>
    <x v="0"/>
    <n v="2"/>
    <n v="1"/>
    <x v="0"/>
    <n v="28.186274509803919"/>
  </r>
  <r>
    <x v="352"/>
    <x v="3"/>
    <s v="Indianapolis, IN"/>
    <d v="2024-10-12T00:00:00"/>
    <d v="1899-12-30T19:45:00"/>
    <d v="2024-10-12T00:00:00"/>
    <d v="1899-12-30T20:25:00"/>
    <x v="4"/>
    <s v="XL"/>
    <s v="Cheese Burst"/>
    <n v="5"/>
    <n v="7.5"/>
    <s v="High"/>
    <s v="Hut Points"/>
    <x v="0"/>
    <x v="1"/>
    <n v="5.333333333333333"/>
    <n v="0.66666666666666663"/>
    <x v="9"/>
    <s v="Offline"/>
    <n v="18"/>
    <n v="22"/>
    <x v="1"/>
    <n v="20"/>
    <n v="3"/>
    <x v="3"/>
    <n v="29.948453608247419"/>
  </r>
  <r>
    <x v="353"/>
    <x v="2"/>
    <s v="San Francisco, CA"/>
    <d v="2024-10-13T00:00:00"/>
    <d v="1899-12-30T18:00:00"/>
    <d v="2024-10-13T00:00:00"/>
    <d v="1899-12-30T18:30:00"/>
    <x v="3"/>
    <s v="Medium"/>
    <s v="Non-Veg"/>
    <n v="3"/>
    <n v="4"/>
    <s v="Medium"/>
    <s v="Cash"/>
    <x v="0"/>
    <x v="1"/>
    <n v="7.5"/>
    <n v="0.75"/>
    <x v="9"/>
    <s v="Offline"/>
    <n v="9.6"/>
    <n v="20.399999999999999"/>
    <x v="0"/>
    <n v="6"/>
    <n v="2"/>
    <x v="0"/>
    <n v="28.844221105527641"/>
  </r>
  <r>
    <x v="354"/>
    <x v="4"/>
    <s v="Charlotte, NC"/>
    <d v="2024-10-14T00:00:00"/>
    <d v="1899-12-30T20:15:00"/>
    <d v="2024-10-14T00:00:00"/>
    <d v="1899-12-30T21:00:00"/>
    <x v="7"/>
    <s v="Large"/>
    <s v="Veg"/>
    <n v="4"/>
    <n v="9"/>
    <s v="High"/>
    <s v="Wallet"/>
    <x v="0"/>
    <x v="0"/>
    <n v="5"/>
    <n v="0.44444444444444442"/>
    <x v="9"/>
    <s v="Online"/>
    <n v="21.6"/>
    <n v="23.4"/>
    <x v="1"/>
    <n v="12"/>
    <n v="3"/>
    <x v="1"/>
    <n v="30.286458333333329"/>
  </r>
  <r>
    <x v="355"/>
    <x v="0"/>
    <s v="Detroit, MI"/>
    <d v="2024-10-15T00:00:00"/>
    <d v="1899-12-30T18:00:00"/>
    <d v="2024-10-15T00:00:00"/>
    <d v="1899-12-30T18:20:00"/>
    <x v="2"/>
    <s v="Medium"/>
    <s v="Veg"/>
    <n v="2"/>
    <n v="3"/>
    <s v="Low"/>
    <s v="Card"/>
    <x v="0"/>
    <x v="0"/>
    <n v="6.666666666666667"/>
    <n v="0.66666666666666663"/>
    <x v="9"/>
    <s v="Online"/>
    <n v="7.1999999999999993"/>
    <n v="12.8"/>
    <x v="0"/>
    <n v="4"/>
    <n v="1"/>
    <x v="0"/>
    <n v="30.259433962264151"/>
  </r>
  <r>
    <x v="356"/>
    <x v="1"/>
    <s v="El Paso, TX"/>
    <d v="2024-10-16T00:00:00"/>
    <d v="1899-12-30T19:15:00"/>
    <d v="2024-10-16T00:00:00"/>
    <d v="1899-12-30T19:45:00"/>
    <x v="3"/>
    <s v="Large"/>
    <s v="Non-Veg"/>
    <n v="4"/>
    <n v="6"/>
    <s v="Medium"/>
    <s v="Wallet"/>
    <x v="0"/>
    <x v="0"/>
    <n v="5"/>
    <n v="0.66666666666666663"/>
    <x v="9"/>
    <s v="Online"/>
    <n v="14.4"/>
    <n v="15.6"/>
    <x v="0"/>
    <n v="12"/>
    <n v="2"/>
    <x v="3"/>
    <n v="28.186274509803919"/>
  </r>
  <r>
    <x v="357"/>
    <x v="3"/>
    <s v="Memphis, TN"/>
    <d v="2024-10-17T00:00:00"/>
    <d v="1899-12-30T20:30:00"/>
    <d v="2024-10-17T00:00:00"/>
    <d v="1899-12-30T21:10:00"/>
    <x v="4"/>
    <s v="XL"/>
    <s v="Cheese Burst"/>
    <n v="5"/>
    <n v="8"/>
    <s v="High"/>
    <s v="Hut Points"/>
    <x v="0"/>
    <x v="0"/>
    <n v="5"/>
    <n v="0.625"/>
    <x v="9"/>
    <s v="Offline"/>
    <n v="19.2"/>
    <n v="20.8"/>
    <x v="1"/>
    <n v="20"/>
    <n v="3"/>
    <x v="1"/>
    <n v="29.948453608247419"/>
  </r>
  <r>
    <x v="358"/>
    <x v="2"/>
    <s v="Baltimore, MD"/>
    <d v="2024-10-18T00:00:00"/>
    <d v="1899-12-30T18:45:00"/>
    <d v="2024-10-18T00:00:00"/>
    <d v="1899-12-30T19:05:00"/>
    <x v="2"/>
    <s v="Small"/>
    <s v="Vegan"/>
    <n v="1"/>
    <n v="2.5"/>
    <s v="Low"/>
    <s v="Cash"/>
    <x v="0"/>
    <x v="0"/>
    <n v="8"/>
    <n v="0.4"/>
    <x v="9"/>
    <s v="Offline"/>
    <n v="6"/>
    <n v="14"/>
    <x v="0"/>
    <n v="1"/>
    <n v="1"/>
    <x v="0"/>
    <n v="28.844221105527641"/>
  </r>
  <r>
    <x v="359"/>
    <x v="4"/>
    <s v="Boston, MA"/>
    <d v="2024-10-19T00:00:00"/>
    <d v="1899-12-30T19:00:00"/>
    <d v="2024-10-19T00:00:00"/>
    <d v="1899-12-30T19:50:00"/>
    <x v="5"/>
    <s v="Large"/>
    <s v="Non-Veg"/>
    <n v="4"/>
    <n v="10"/>
    <s v="High"/>
    <s v="Card"/>
    <x v="0"/>
    <x v="1"/>
    <n v="5"/>
    <n v="0.4"/>
    <x v="9"/>
    <s v="Online"/>
    <n v="24"/>
    <n v="26"/>
    <x v="1"/>
    <n v="12"/>
    <n v="3"/>
    <x v="3"/>
    <n v="30.286458333333329"/>
  </r>
  <r>
    <x v="360"/>
    <x v="0"/>
    <s v="New York, NY"/>
    <d v="2024-10-20T00:00:00"/>
    <d v="1899-12-30T18:00:00"/>
    <d v="2024-10-20T00:00:00"/>
    <d v="1899-12-30T18:20:00"/>
    <x v="2"/>
    <s v="Medium"/>
    <s v="Veg"/>
    <n v="2"/>
    <n v="3"/>
    <s v="Low"/>
    <s v="Domino's Cash"/>
    <x v="0"/>
    <x v="1"/>
    <n v="6.666666666666667"/>
    <n v="0.66666666666666663"/>
    <x v="9"/>
    <s v="Offline"/>
    <n v="7.1999999999999993"/>
    <n v="12.8"/>
    <x v="0"/>
    <n v="4"/>
    <n v="1"/>
    <x v="0"/>
    <n v="30.259433962264151"/>
  </r>
  <r>
    <x v="361"/>
    <x v="0"/>
    <s v="Miami, FL"/>
    <d v="2024-10-21T00:00:00"/>
    <d v="1899-12-30T20:00:00"/>
    <d v="2024-10-21T00:00:00"/>
    <d v="1899-12-30T20:20:00"/>
    <x v="2"/>
    <s v="Medium"/>
    <s v="Veg"/>
    <n v="2"/>
    <n v="3"/>
    <s v="Low"/>
    <s v="Card"/>
    <x v="0"/>
    <x v="0"/>
    <n v="6.666666666666667"/>
    <n v="0.66666666666666663"/>
    <x v="9"/>
    <s v="Online"/>
    <n v="7.1999999999999993"/>
    <n v="12.8"/>
    <x v="0"/>
    <n v="4"/>
    <n v="1"/>
    <x v="1"/>
    <n v="30.259433962264151"/>
  </r>
  <r>
    <x v="362"/>
    <x v="1"/>
    <s v="Chicago, IL"/>
    <d v="2024-10-22T00:00:00"/>
    <d v="1899-12-30T19:15:00"/>
    <d v="2024-10-22T00:00:00"/>
    <d v="1899-12-30T19:45:00"/>
    <x v="3"/>
    <s v="Large"/>
    <s v="Non-Veg"/>
    <n v="4"/>
    <n v="6"/>
    <s v="Medium"/>
    <s v="UPI"/>
    <x v="0"/>
    <x v="0"/>
    <n v="5"/>
    <n v="0.66666666666666663"/>
    <x v="9"/>
    <s v="Online"/>
    <n v="14.4"/>
    <n v="15.6"/>
    <x v="0"/>
    <n v="12"/>
    <n v="2"/>
    <x v="3"/>
    <n v="28.186274509803919"/>
  </r>
  <r>
    <x v="363"/>
    <x v="3"/>
    <s v="Los Angeles, CA"/>
    <d v="2024-10-23T00:00:00"/>
    <d v="1899-12-30T20:30:00"/>
    <d v="2024-10-23T00:00:00"/>
    <d v="1899-12-30T21:10:00"/>
    <x v="4"/>
    <s v="XL"/>
    <s v="Cheese Burst"/>
    <n v="5"/>
    <n v="8"/>
    <s v="High"/>
    <s v="Hut Points"/>
    <x v="0"/>
    <x v="0"/>
    <n v="5"/>
    <n v="0.625"/>
    <x v="9"/>
    <s v="Offline"/>
    <n v="19.2"/>
    <n v="20.8"/>
    <x v="1"/>
    <n v="20"/>
    <n v="3"/>
    <x v="1"/>
    <n v="29.948453608247419"/>
  </r>
  <r>
    <x v="364"/>
    <x v="2"/>
    <s v="Houston, TX"/>
    <d v="2024-10-24T00:00:00"/>
    <d v="1899-12-30T18:45:00"/>
    <d v="2024-10-24T00:00:00"/>
    <d v="1899-12-30T19:05:00"/>
    <x v="2"/>
    <s v="Small"/>
    <s v="Vegan"/>
    <n v="1"/>
    <n v="2.5"/>
    <s v="Low"/>
    <s v="Cash"/>
    <x v="0"/>
    <x v="0"/>
    <n v="8"/>
    <n v="0.4"/>
    <x v="9"/>
    <s v="Offline"/>
    <n v="6"/>
    <n v="14"/>
    <x v="0"/>
    <n v="1"/>
    <n v="1"/>
    <x v="0"/>
    <n v="28.844221105527641"/>
  </r>
  <r>
    <x v="365"/>
    <x v="4"/>
    <s v="Phoenix, AZ"/>
    <d v="2024-10-25T00:00:00"/>
    <d v="1899-12-30T19:00:00"/>
    <d v="2024-10-25T00:00:00"/>
    <d v="1899-12-30T19:50:00"/>
    <x v="5"/>
    <s v="Large"/>
    <s v="Non-Veg"/>
    <n v="4"/>
    <n v="10"/>
    <s v="High"/>
    <s v="Card"/>
    <x v="0"/>
    <x v="0"/>
    <n v="5"/>
    <n v="0.4"/>
    <x v="9"/>
    <s v="Online"/>
    <n v="24"/>
    <n v="26"/>
    <x v="1"/>
    <n v="12"/>
    <n v="3"/>
    <x v="3"/>
    <n v="30.286458333333329"/>
  </r>
  <r>
    <x v="366"/>
    <x v="0"/>
    <s v="Miami, FL"/>
    <d v="2024-10-26T00:00:00"/>
    <d v="1899-12-30T20:00:00"/>
    <d v="2024-10-26T00:00:00"/>
    <d v="1899-12-30T20:35:00"/>
    <x v="6"/>
    <s v="Medium"/>
    <s v="Veg"/>
    <n v="3"/>
    <n v="5.5"/>
    <s v="Medium"/>
    <s v="Wallet"/>
    <x v="0"/>
    <x v="1"/>
    <n v="6.3636363636363633"/>
    <n v="0.54545454545454541"/>
    <x v="9"/>
    <s v="Online"/>
    <n v="13.2"/>
    <n v="21.8"/>
    <x v="1"/>
    <n v="6"/>
    <n v="2"/>
    <x v="1"/>
    <n v="30.259433962264151"/>
  </r>
  <r>
    <x v="367"/>
    <x v="1"/>
    <s v="Denver, CO"/>
    <d v="2024-10-27T00:00:00"/>
    <d v="1899-12-30T18:30:00"/>
    <d v="2024-10-27T00:00:00"/>
    <d v="1899-12-30T18:50:00"/>
    <x v="2"/>
    <s v="Small"/>
    <s v="Vegan"/>
    <n v="2"/>
    <n v="2"/>
    <s v="Low"/>
    <s v="UPI"/>
    <x v="0"/>
    <x v="1"/>
    <n v="10"/>
    <n v="1"/>
    <x v="9"/>
    <s v="Online"/>
    <n v="4.8"/>
    <n v="15.2"/>
    <x v="0"/>
    <n v="2"/>
    <n v="1"/>
    <x v="0"/>
    <n v="28.186274509803919"/>
  </r>
  <r>
    <x v="368"/>
    <x v="3"/>
    <s v="Boston, MA"/>
    <d v="2024-10-28T00:00:00"/>
    <d v="1899-12-30T19:45:00"/>
    <d v="2024-10-28T00:00:00"/>
    <d v="1899-12-30T20:25:00"/>
    <x v="4"/>
    <s v="XL"/>
    <s v="Cheese Burst"/>
    <n v="5"/>
    <n v="7.5"/>
    <s v="High"/>
    <s v="Hut Points"/>
    <x v="0"/>
    <x v="0"/>
    <n v="5.333333333333333"/>
    <n v="0.66666666666666663"/>
    <x v="9"/>
    <s v="Offline"/>
    <n v="18"/>
    <n v="22"/>
    <x v="1"/>
    <n v="20"/>
    <n v="3"/>
    <x v="3"/>
    <n v="29.948453608247419"/>
  </r>
  <r>
    <x v="369"/>
    <x v="2"/>
    <s v="Dallas, TX"/>
    <d v="2024-10-29T00:00:00"/>
    <d v="1899-12-30T18:00:00"/>
    <d v="2024-10-29T00:00:00"/>
    <d v="1899-12-30T18:30:00"/>
    <x v="3"/>
    <s v="Medium"/>
    <s v="Non-Veg"/>
    <n v="3"/>
    <n v="4"/>
    <s v="Medium"/>
    <s v="Card"/>
    <x v="0"/>
    <x v="0"/>
    <n v="7.5"/>
    <n v="0.75"/>
    <x v="9"/>
    <s v="Online"/>
    <n v="9.6"/>
    <n v="20.399999999999999"/>
    <x v="0"/>
    <n v="6"/>
    <n v="2"/>
    <x v="0"/>
    <n v="28.844221105527641"/>
  </r>
  <r>
    <x v="370"/>
    <x v="4"/>
    <s v="Seattle, WA"/>
    <d v="2024-10-30T00:00:00"/>
    <d v="1899-12-30T20:15:00"/>
    <d v="2024-10-30T00:00:00"/>
    <d v="1899-12-30T21:00:00"/>
    <x v="7"/>
    <s v="Large"/>
    <s v="Veg"/>
    <n v="4"/>
    <n v="9"/>
    <s v="High"/>
    <s v="Wallet"/>
    <x v="0"/>
    <x v="0"/>
    <n v="5"/>
    <n v="0.44444444444444442"/>
    <x v="9"/>
    <s v="Online"/>
    <n v="21.6"/>
    <n v="23.4"/>
    <x v="1"/>
    <n v="12"/>
    <n v="3"/>
    <x v="1"/>
    <n v="30.286458333333329"/>
  </r>
  <r>
    <x v="371"/>
    <x v="0"/>
    <s v="San Jose, CA"/>
    <d v="2024-10-31T00:00:00"/>
    <d v="1899-12-30T18:00:00"/>
    <d v="2024-10-31T00:00:00"/>
    <d v="1899-12-30T18:20:00"/>
    <x v="2"/>
    <s v="Medium"/>
    <s v="Veg"/>
    <n v="2"/>
    <n v="3"/>
    <s v="Low"/>
    <s v="Card"/>
    <x v="0"/>
    <x v="0"/>
    <n v="6.666666666666667"/>
    <n v="0.66666666666666663"/>
    <x v="9"/>
    <s v="Online"/>
    <n v="7.1999999999999993"/>
    <n v="12.8"/>
    <x v="0"/>
    <n v="4"/>
    <n v="1"/>
    <x v="0"/>
    <n v="30.259433962264151"/>
  </r>
  <r>
    <x v="372"/>
    <x v="1"/>
    <s v="Austin, TX"/>
    <d v="2024-11-01T00:00:00"/>
    <d v="1899-12-30T19:15:00"/>
    <d v="2024-11-01T00:00:00"/>
    <d v="1899-12-30T19:45:00"/>
    <x v="3"/>
    <s v="Large"/>
    <s v="Non-Veg"/>
    <n v="4"/>
    <n v="6"/>
    <s v="Medium"/>
    <s v="Cash"/>
    <x v="0"/>
    <x v="0"/>
    <n v="5"/>
    <n v="0.66666666666666663"/>
    <x v="10"/>
    <s v="Offline"/>
    <n v="14.4"/>
    <n v="15.6"/>
    <x v="0"/>
    <n v="12"/>
    <n v="2"/>
    <x v="3"/>
    <n v="28.186274509803919"/>
  </r>
  <r>
    <x v="373"/>
    <x v="3"/>
    <s v="San Diego, CA"/>
    <d v="2024-11-02T00:00:00"/>
    <d v="1899-12-30T20:30:00"/>
    <d v="2024-11-02T00:00:00"/>
    <d v="1899-12-30T21:10:00"/>
    <x v="4"/>
    <s v="XL"/>
    <s v="Cheese Burst"/>
    <n v="5"/>
    <n v="8"/>
    <s v="High"/>
    <s v="Hut Points"/>
    <x v="0"/>
    <x v="1"/>
    <n v="5"/>
    <n v="0.625"/>
    <x v="10"/>
    <s v="Offline"/>
    <n v="19.2"/>
    <n v="20.8"/>
    <x v="1"/>
    <n v="20"/>
    <n v="3"/>
    <x v="1"/>
    <n v="29.948453608247419"/>
  </r>
  <r>
    <x v="374"/>
    <x v="2"/>
    <s v="Jacksonville, FL"/>
    <d v="2024-11-03T00:00:00"/>
    <d v="1899-12-30T18:45:00"/>
    <d v="2024-11-03T00:00:00"/>
    <d v="1899-12-30T19:05:00"/>
    <x v="2"/>
    <s v="Small"/>
    <s v="Vegan"/>
    <n v="1"/>
    <n v="2.5"/>
    <s v="Low"/>
    <s v="Wallet"/>
    <x v="0"/>
    <x v="1"/>
    <n v="8"/>
    <n v="0.4"/>
    <x v="10"/>
    <s v="Online"/>
    <n v="6"/>
    <n v="14"/>
    <x v="0"/>
    <n v="1"/>
    <n v="1"/>
    <x v="0"/>
    <n v="28.844221105527641"/>
  </r>
  <r>
    <x v="375"/>
    <x v="4"/>
    <s v="Fort Worth, TX"/>
    <d v="2024-11-04T00:00:00"/>
    <d v="1899-12-30T19:00:00"/>
    <d v="2024-11-04T00:00:00"/>
    <d v="1899-12-30T19:50:00"/>
    <x v="5"/>
    <s v="Large"/>
    <s v="Non-Veg"/>
    <n v="4"/>
    <n v="10"/>
    <s v="High"/>
    <s v="Card"/>
    <x v="0"/>
    <x v="0"/>
    <n v="5"/>
    <n v="0.4"/>
    <x v="10"/>
    <s v="Online"/>
    <n v="24"/>
    <n v="26"/>
    <x v="1"/>
    <n v="12"/>
    <n v="3"/>
    <x v="3"/>
    <n v="30.286458333333329"/>
  </r>
  <r>
    <x v="376"/>
    <x v="0"/>
    <s v="Columbus, OH"/>
    <d v="2024-11-05T00:00:00"/>
    <d v="1899-12-30T20:00:00"/>
    <d v="2024-11-05T00:00:00"/>
    <d v="1899-12-30T20:35:00"/>
    <x v="6"/>
    <s v="Medium"/>
    <s v="Veg"/>
    <n v="3"/>
    <n v="5.5"/>
    <s v="Medium"/>
    <s v="Wallet"/>
    <x v="0"/>
    <x v="0"/>
    <n v="6.3636363636363633"/>
    <n v="0.54545454545454541"/>
    <x v="10"/>
    <s v="Online"/>
    <n v="13.2"/>
    <n v="21.8"/>
    <x v="1"/>
    <n v="6"/>
    <n v="2"/>
    <x v="1"/>
    <n v="30.259433962264151"/>
  </r>
  <r>
    <x v="377"/>
    <x v="1"/>
    <s v="Charlotte, NC"/>
    <d v="2024-11-06T00:00:00"/>
    <d v="1899-12-30T18:30:00"/>
    <d v="2024-11-06T00:00:00"/>
    <d v="1899-12-30T18:50:00"/>
    <x v="2"/>
    <s v="Small"/>
    <s v="Vegan"/>
    <n v="2"/>
    <n v="2"/>
    <s v="Low"/>
    <s v="UPI"/>
    <x v="0"/>
    <x v="0"/>
    <n v="10"/>
    <n v="1"/>
    <x v="10"/>
    <s v="Online"/>
    <n v="4.8"/>
    <n v="15.2"/>
    <x v="0"/>
    <n v="2"/>
    <n v="1"/>
    <x v="0"/>
    <n v="28.186274509803919"/>
  </r>
  <r>
    <x v="378"/>
    <x v="3"/>
    <s v="Indianapolis, IN"/>
    <d v="2024-11-07T00:00:00"/>
    <d v="1899-12-30T19:45:00"/>
    <d v="2024-11-07T00:00:00"/>
    <d v="1899-12-30T20:25:00"/>
    <x v="4"/>
    <s v="XL"/>
    <s v="Cheese Burst"/>
    <n v="5"/>
    <n v="7.5"/>
    <s v="High"/>
    <s v="Hut Points"/>
    <x v="0"/>
    <x v="0"/>
    <n v="5.333333333333333"/>
    <n v="0.66666666666666663"/>
    <x v="10"/>
    <s v="Offline"/>
    <n v="18"/>
    <n v="22"/>
    <x v="1"/>
    <n v="20"/>
    <n v="3"/>
    <x v="3"/>
    <n v="29.948453608247419"/>
  </r>
  <r>
    <x v="379"/>
    <x v="2"/>
    <s v="San Francisco, CA"/>
    <d v="2024-11-08T00:00:00"/>
    <d v="1899-12-30T18:00:00"/>
    <d v="2024-11-08T00:00:00"/>
    <d v="1899-12-30T18:30:00"/>
    <x v="3"/>
    <s v="Medium"/>
    <s v="Non-Veg"/>
    <n v="3"/>
    <n v="4"/>
    <s v="Medium"/>
    <s v="UPI"/>
    <x v="0"/>
    <x v="0"/>
    <n v="7.5"/>
    <n v="0.75"/>
    <x v="10"/>
    <s v="Online"/>
    <n v="9.6"/>
    <n v="20.399999999999999"/>
    <x v="0"/>
    <n v="6"/>
    <n v="2"/>
    <x v="0"/>
    <n v="28.844221105527641"/>
  </r>
  <r>
    <x v="380"/>
    <x v="4"/>
    <s v="Charlotte, NC"/>
    <d v="2024-11-09T00:00:00"/>
    <d v="1899-12-30T20:15:00"/>
    <d v="2024-11-09T00:00:00"/>
    <d v="1899-12-30T21:00:00"/>
    <x v="7"/>
    <s v="Large"/>
    <s v="Veg"/>
    <n v="4"/>
    <n v="9"/>
    <s v="High"/>
    <s v="Cash"/>
    <x v="0"/>
    <x v="1"/>
    <n v="5"/>
    <n v="0.44444444444444442"/>
    <x v="10"/>
    <s v="Offline"/>
    <n v="21.6"/>
    <n v="23.4"/>
    <x v="1"/>
    <n v="12"/>
    <n v="3"/>
    <x v="1"/>
    <n v="30.286458333333329"/>
  </r>
  <r>
    <x v="381"/>
    <x v="0"/>
    <s v="Detroit, MI"/>
    <d v="2024-11-10T00:00:00"/>
    <d v="1899-12-30T18:00:00"/>
    <d v="2024-11-10T00:00:00"/>
    <d v="1899-12-30T18:20:00"/>
    <x v="2"/>
    <s v="Medium"/>
    <s v="Veg"/>
    <n v="2"/>
    <n v="3"/>
    <s v="Low"/>
    <s v="Card"/>
    <x v="0"/>
    <x v="1"/>
    <n v="6.666666666666667"/>
    <n v="0.66666666666666663"/>
    <x v="10"/>
    <s v="Online"/>
    <n v="7.1999999999999993"/>
    <n v="12.8"/>
    <x v="0"/>
    <n v="4"/>
    <n v="1"/>
    <x v="0"/>
    <n v="30.259433962264151"/>
  </r>
  <r>
    <x v="382"/>
    <x v="1"/>
    <s v="El Paso, TX"/>
    <d v="2024-11-11T00:00:00"/>
    <d v="1899-12-30T19:15:00"/>
    <d v="2024-11-11T00:00:00"/>
    <d v="1899-12-30T19:45:00"/>
    <x v="3"/>
    <s v="Large"/>
    <s v="Non-Veg"/>
    <n v="4"/>
    <n v="6"/>
    <s v="Medium"/>
    <s v="Wallet"/>
    <x v="0"/>
    <x v="0"/>
    <n v="5"/>
    <n v="0.66666666666666663"/>
    <x v="10"/>
    <s v="Online"/>
    <n v="14.4"/>
    <n v="15.6"/>
    <x v="0"/>
    <n v="12"/>
    <n v="2"/>
    <x v="3"/>
    <n v="28.186274509803919"/>
  </r>
  <r>
    <x v="383"/>
    <x v="3"/>
    <s v="Memphis, TN"/>
    <d v="2024-11-12T00:00:00"/>
    <d v="1899-12-30T20:30:00"/>
    <d v="2024-11-12T00:00:00"/>
    <d v="1899-12-30T21:10:00"/>
    <x v="4"/>
    <s v="XL"/>
    <s v="Cheese Burst"/>
    <n v="5"/>
    <n v="8"/>
    <s v="High"/>
    <s v="Hut Points"/>
    <x v="0"/>
    <x v="0"/>
    <n v="5"/>
    <n v="0.625"/>
    <x v="10"/>
    <s v="Offline"/>
    <n v="19.2"/>
    <n v="20.8"/>
    <x v="1"/>
    <n v="20"/>
    <n v="3"/>
    <x v="1"/>
    <n v="29.948453608247419"/>
  </r>
  <r>
    <x v="384"/>
    <x v="2"/>
    <s v="Baltimore, MD"/>
    <d v="2024-11-13T00:00:00"/>
    <d v="1899-12-30T18:45:00"/>
    <d v="2024-11-13T00:00:00"/>
    <d v="1899-12-30T19:05:00"/>
    <x v="2"/>
    <s v="Small"/>
    <s v="Vegan"/>
    <n v="1"/>
    <n v="2.5"/>
    <s v="Low"/>
    <s v="Cash"/>
    <x v="0"/>
    <x v="0"/>
    <n v="8"/>
    <n v="0.4"/>
    <x v="10"/>
    <s v="Offline"/>
    <n v="6"/>
    <n v="14"/>
    <x v="0"/>
    <n v="1"/>
    <n v="1"/>
    <x v="0"/>
    <n v="28.844221105527641"/>
  </r>
  <r>
    <x v="385"/>
    <x v="4"/>
    <s v="Boston, MA"/>
    <d v="2024-11-14T00:00:00"/>
    <d v="1899-12-30T19:00:00"/>
    <d v="2024-11-14T00:00:00"/>
    <d v="1899-12-30T19:50:00"/>
    <x v="5"/>
    <s v="Large"/>
    <s v="Non-Veg"/>
    <n v="4"/>
    <n v="10"/>
    <s v="High"/>
    <s v="Card"/>
    <x v="0"/>
    <x v="0"/>
    <n v="5"/>
    <n v="0.4"/>
    <x v="10"/>
    <s v="Online"/>
    <n v="24"/>
    <n v="26"/>
    <x v="1"/>
    <n v="12"/>
    <n v="3"/>
    <x v="3"/>
    <n v="30.286458333333329"/>
  </r>
  <r>
    <x v="386"/>
    <x v="0"/>
    <s v="New York, NY"/>
    <d v="2024-11-15T00:00:00"/>
    <d v="1899-12-30T18:00:00"/>
    <d v="2024-11-15T00:00:00"/>
    <d v="1899-12-30T18:20:00"/>
    <x v="2"/>
    <s v="Medium"/>
    <s v="Veg"/>
    <n v="2"/>
    <n v="3"/>
    <s v="Low"/>
    <s v="Domino's Cash"/>
    <x v="0"/>
    <x v="0"/>
    <n v="6.666666666666667"/>
    <n v="0.66666666666666663"/>
    <x v="10"/>
    <s v="Offline"/>
    <n v="7.1999999999999993"/>
    <n v="12.8"/>
    <x v="0"/>
    <n v="4"/>
    <n v="1"/>
    <x v="0"/>
    <n v="30.259433962264151"/>
  </r>
  <r>
    <x v="387"/>
    <x v="0"/>
    <s v="Miami, FL"/>
    <d v="2024-11-16T00:00:00"/>
    <d v="1899-12-30T20:00:00"/>
    <d v="2024-11-16T00:00:00"/>
    <d v="1899-12-30T20:20:00"/>
    <x v="2"/>
    <s v="Medium"/>
    <s v="Veg"/>
    <n v="2"/>
    <n v="3"/>
    <s v="Low"/>
    <s v="Card"/>
    <x v="0"/>
    <x v="1"/>
    <n v="6.666666666666667"/>
    <n v="0.66666666666666663"/>
    <x v="10"/>
    <s v="Online"/>
    <n v="7.1999999999999993"/>
    <n v="12.8"/>
    <x v="0"/>
    <n v="4"/>
    <n v="1"/>
    <x v="1"/>
    <n v="30.259433962264151"/>
  </r>
  <r>
    <x v="388"/>
    <x v="1"/>
    <s v="Chicago, IL"/>
    <d v="2024-11-17T00:00:00"/>
    <d v="1899-12-30T19:15:00"/>
    <d v="2024-11-17T00:00:00"/>
    <d v="1899-12-30T19:45:00"/>
    <x v="3"/>
    <s v="Large"/>
    <s v="Non-Veg"/>
    <n v="4"/>
    <n v="6"/>
    <s v="Medium"/>
    <s v="UPI"/>
    <x v="0"/>
    <x v="1"/>
    <n v="5"/>
    <n v="0.66666666666666663"/>
    <x v="10"/>
    <s v="Online"/>
    <n v="14.4"/>
    <n v="15.6"/>
    <x v="0"/>
    <n v="12"/>
    <n v="2"/>
    <x v="3"/>
    <n v="28.186274509803919"/>
  </r>
  <r>
    <x v="389"/>
    <x v="3"/>
    <s v="Los Angeles, CA"/>
    <d v="2024-11-18T00:00:00"/>
    <d v="1899-12-30T20:30:00"/>
    <d v="2024-11-18T00:00:00"/>
    <d v="1899-12-30T21:10:00"/>
    <x v="4"/>
    <s v="XL"/>
    <s v="Cheese Burst"/>
    <n v="5"/>
    <n v="8"/>
    <s v="High"/>
    <s v="Hut Points"/>
    <x v="0"/>
    <x v="0"/>
    <n v="5"/>
    <n v="0.625"/>
    <x v="10"/>
    <s v="Offline"/>
    <n v="19.2"/>
    <n v="20.8"/>
    <x v="1"/>
    <n v="20"/>
    <n v="3"/>
    <x v="1"/>
    <n v="29.948453608247419"/>
  </r>
  <r>
    <x v="390"/>
    <x v="2"/>
    <s v="Houston, TX"/>
    <d v="2024-11-19T00:00:00"/>
    <d v="1899-12-30T18:45:00"/>
    <d v="2024-11-19T00:00:00"/>
    <d v="1899-12-30T19:05:00"/>
    <x v="2"/>
    <s v="Small"/>
    <s v="Vegan"/>
    <n v="1"/>
    <n v="2.5"/>
    <s v="Low"/>
    <s v="Cash"/>
    <x v="0"/>
    <x v="0"/>
    <n v="8"/>
    <n v="0.4"/>
    <x v="10"/>
    <s v="Offline"/>
    <n v="6"/>
    <n v="14"/>
    <x v="0"/>
    <n v="1"/>
    <n v="1"/>
    <x v="0"/>
    <n v="28.844221105527641"/>
  </r>
  <r>
    <x v="391"/>
    <x v="4"/>
    <s v="Phoenix, AZ"/>
    <d v="2024-11-20T00:00:00"/>
    <d v="1899-12-30T19:00:00"/>
    <d v="2024-11-20T00:00:00"/>
    <d v="1899-12-30T19:50:00"/>
    <x v="5"/>
    <s v="Large"/>
    <s v="Non-Veg"/>
    <n v="4"/>
    <n v="10"/>
    <s v="High"/>
    <s v="Card"/>
    <x v="0"/>
    <x v="0"/>
    <n v="5"/>
    <n v="0.4"/>
    <x v="10"/>
    <s v="Online"/>
    <n v="24"/>
    <n v="26"/>
    <x v="1"/>
    <n v="12"/>
    <n v="3"/>
    <x v="3"/>
    <n v="30.286458333333329"/>
  </r>
  <r>
    <x v="392"/>
    <x v="0"/>
    <s v="Miami, FL"/>
    <d v="2024-11-21T00:00:00"/>
    <d v="1899-12-30T20:00:00"/>
    <d v="2024-11-21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10"/>
    <s v="Online"/>
    <n v="13.2"/>
    <n v="21.8"/>
    <x v="1"/>
    <n v="6"/>
    <n v="2"/>
    <x v="1"/>
    <n v="30.259433962264151"/>
  </r>
  <r>
    <x v="393"/>
    <x v="1"/>
    <s v="Denver, CO"/>
    <d v="2024-11-22T00:00:00"/>
    <d v="1899-12-30T18:30:00"/>
    <d v="2024-11-22T00:00:00"/>
    <d v="1899-12-30T18:50:00"/>
    <x v="2"/>
    <s v="Small"/>
    <s v="Vegan"/>
    <n v="2"/>
    <n v="2"/>
    <s v="Low"/>
    <s v="UPI"/>
    <x v="0"/>
    <x v="0"/>
    <n v="10"/>
    <n v="1"/>
    <x v="10"/>
    <s v="Online"/>
    <n v="4.8"/>
    <n v="15.2"/>
    <x v="0"/>
    <n v="2"/>
    <n v="1"/>
    <x v="0"/>
    <n v="28.186274509803919"/>
  </r>
  <r>
    <x v="394"/>
    <x v="3"/>
    <s v="Boston, MA"/>
    <d v="2024-11-23T00:00:00"/>
    <d v="1899-12-30T19:45:00"/>
    <d v="2024-11-23T00:00:00"/>
    <d v="1899-12-30T20:25:00"/>
    <x v="4"/>
    <s v="XL"/>
    <s v="Stuffed Crust"/>
    <n v="5"/>
    <n v="7.5"/>
    <s v="High"/>
    <s v="Hut Points"/>
    <x v="0"/>
    <x v="1"/>
    <n v="5.333333333333333"/>
    <n v="0.66666666666666663"/>
    <x v="10"/>
    <s v="Offline"/>
    <n v="18"/>
    <n v="22"/>
    <x v="1"/>
    <n v="20"/>
    <n v="3"/>
    <x v="3"/>
    <n v="29.948453608247419"/>
  </r>
  <r>
    <x v="395"/>
    <x v="2"/>
    <s v="Dallas, TX"/>
    <d v="2024-11-24T00:00:00"/>
    <d v="1899-12-30T18:00:00"/>
    <d v="2024-11-24T00:00:00"/>
    <d v="1899-12-30T18:30:00"/>
    <x v="3"/>
    <s v="Medium"/>
    <s v="Non-Veg"/>
    <n v="3"/>
    <n v="4"/>
    <s v="Medium"/>
    <s v="Card"/>
    <x v="0"/>
    <x v="1"/>
    <n v="7.5"/>
    <n v="0.75"/>
    <x v="10"/>
    <s v="Online"/>
    <n v="9.6"/>
    <n v="20.399999999999999"/>
    <x v="0"/>
    <n v="6"/>
    <n v="2"/>
    <x v="0"/>
    <n v="28.844221105527641"/>
  </r>
  <r>
    <x v="396"/>
    <x v="4"/>
    <s v="Seattle, WA"/>
    <d v="2024-11-25T00:00:00"/>
    <d v="1899-12-30T20:15:00"/>
    <d v="2024-11-25T00:00:00"/>
    <d v="1899-12-30T21:00:00"/>
    <x v="7"/>
    <s v="Large"/>
    <s v="Veg"/>
    <n v="4"/>
    <n v="9"/>
    <s v="High"/>
    <s v="Wallet"/>
    <x v="0"/>
    <x v="0"/>
    <n v="5"/>
    <n v="0.44444444444444442"/>
    <x v="10"/>
    <s v="Online"/>
    <n v="21.6"/>
    <n v="23.4"/>
    <x v="1"/>
    <n v="12"/>
    <n v="3"/>
    <x v="1"/>
    <n v="30.286458333333329"/>
  </r>
  <r>
    <x v="397"/>
    <x v="0"/>
    <s v="San Jose, CA"/>
    <d v="2024-11-26T00:00:00"/>
    <d v="1899-12-30T18:00:00"/>
    <d v="2024-11-26T00:00:00"/>
    <d v="1899-12-30T18:20:00"/>
    <x v="2"/>
    <s v="Medium"/>
    <s v="Veg"/>
    <n v="2"/>
    <n v="3"/>
    <s v="Low"/>
    <s v="Card"/>
    <x v="0"/>
    <x v="0"/>
    <n v="6.666666666666667"/>
    <n v="0.66666666666666663"/>
    <x v="10"/>
    <s v="Online"/>
    <n v="7.1999999999999993"/>
    <n v="12.8"/>
    <x v="0"/>
    <n v="4"/>
    <n v="1"/>
    <x v="0"/>
    <n v="30.259433962264151"/>
  </r>
  <r>
    <x v="398"/>
    <x v="1"/>
    <s v="Austin, TX"/>
    <d v="2024-11-27T00:00:00"/>
    <d v="1899-12-30T19:15:00"/>
    <d v="2024-11-27T00:00:00"/>
    <d v="1899-12-30T19:45:00"/>
    <x v="3"/>
    <s v="Large"/>
    <s v="Non-Veg"/>
    <n v="4"/>
    <n v="6"/>
    <s v="Medium"/>
    <s v="Cash"/>
    <x v="0"/>
    <x v="0"/>
    <n v="5"/>
    <n v="0.66666666666666663"/>
    <x v="10"/>
    <s v="Offline"/>
    <n v="14.4"/>
    <n v="15.6"/>
    <x v="0"/>
    <n v="12"/>
    <n v="2"/>
    <x v="3"/>
    <n v="28.186274509803919"/>
  </r>
  <r>
    <x v="399"/>
    <x v="3"/>
    <s v="San Diego, CA"/>
    <d v="2024-11-28T00:00:00"/>
    <d v="1899-12-30T20:30:00"/>
    <d v="2024-11-28T00:00:00"/>
    <d v="1899-12-30T21:10:00"/>
    <x v="4"/>
    <s v="XL"/>
    <s v="Cheese Burst"/>
    <n v="5"/>
    <n v="8"/>
    <s v="High"/>
    <s v="Hut Points"/>
    <x v="0"/>
    <x v="0"/>
    <n v="5"/>
    <n v="0.625"/>
    <x v="10"/>
    <s v="Offline"/>
    <n v="19.2"/>
    <n v="20.8"/>
    <x v="1"/>
    <n v="20"/>
    <n v="3"/>
    <x v="1"/>
    <n v="29.948453608247419"/>
  </r>
  <r>
    <x v="400"/>
    <x v="2"/>
    <s v="Jacksonville, FL"/>
    <d v="2024-11-29T00:00:00"/>
    <d v="1899-12-30T18:45:00"/>
    <d v="2024-11-29T00:00:00"/>
    <d v="1899-12-30T19:05:00"/>
    <x v="2"/>
    <s v="Small"/>
    <s v="Vegan"/>
    <n v="1"/>
    <n v="2.5"/>
    <s v="Low"/>
    <s v="Wallet"/>
    <x v="0"/>
    <x v="0"/>
    <n v="8"/>
    <n v="0.4"/>
    <x v="10"/>
    <s v="Online"/>
    <n v="6"/>
    <n v="14"/>
    <x v="0"/>
    <n v="1"/>
    <n v="1"/>
    <x v="0"/>
    <n v="28.844221105527641"/>
  </r>
  <r>
    <x v="401"/>
    <x v="4"/>
    <s v="Fort Worth, TX"/>
    <d v="2024-11-30T00:00:00"/>
    <d v="1899-12-30T19:00:00"/>
    <d v="2024-11-30T00:00:00"/>
    <d v="1899-12-30T19:50:00"/>
    <x v="5"/>
    <s v="Large"/>
    <s v="Non-Veg"/>
    <n v="4"/>
    <n v="10"/>
    <s v="High"/>
    <s v="Card"/>
    <x v="0"/>
    <x v="1"/>
    <n v="5"/>
    <n v="0.4"/>
    <x v="10"/>
    <s v="Online"/>
    <n v="24"/>
    <n v="26"/>
    <x v="1"/>
    <n v="12"/>
    <n v="3"/>
    <x v="3"/>
    <n v="30.286458333333329"/>
  </r>
  <r>
    <x v="402"/>
    <x v="0"/>
    <s v="Columbus, OH"/>
    <d v="2024-12-01T00:00:00"/>
    <d v="1899-12-30T20:00:00"/>
    <d v="2024-12-01T00:00:00"/>
    <d v="1899-12-30T20:35:00"/>
    <x v="6"/>
    <s v="Medium"/>
    <s v="Veg"/>
    <n v="3"/>
    <n v="5.5"/>
    <s v="Medium"/>
    <s v="Wallet"/>
    <x v="0"/>
    <x v="1"/>
    <n v="6.3636363636363633"/>
    <n v="0.54545454545454541"/>
    <x v="11"/>
    <s v="Online"/>
    <n v="13.2"/>
    <n v="21.8"/>
    <x v="1"/>
    <n v="6"/>
    <n v="2"/>
    <x v="1"/>
    <n v="30.259433962264151"/>
  </r>
  <r>
    <x v="403"/>
    <x v="1"/>
    <s v="Charlotte, NC"/>
    <d v="2024-12-02T00:00:00"/>
    <d v="1899-12-30T18:30:00"/>
    <d v="2024-12-02T00:00:00"/>
    <d v="1899-12-30T18:50:00"/>
    <x v="2"/>
    <s v="Small"/>
    <s v="Vegan"/>
    <n v="2"/>
    <n v="2"/>
    <s v="Low"/>
    <s v="UPI"/>
    <x v="0"/>
    <x v="0"/>
    <n v="10"/>
    <n v="1"/>
    <x v="11"/>
    <s v="Online"/>
    <n v="4.8"/>
    <n v="15.2"/>
    <x v="0"/>
    <n v="2"/>
    <n v="1"/>
    <x v="0"/>
    <n v="28.186274509803919"/>
  </r>
  <r>
    <x v="404"/>
    <x v="3"/>
    <s v="Indianapolis, IN"/>
    <d v="2024-12-03T00:00:00"/>
    <d v="1899-12-30T19:45:00"/>
    <d v="2024-12-03T00:00:00"/>
    <d v="1899-12-30T20:25:00"/>
    <x v="4"/>
    <s v="XL"/>
    <s v="Stuffed Crust"/>
    <n v="5"/>
    <n v="7.5"/>
    <s v="High"/>
    <s v="Hut Points"/>
    <x v="0"/>
    <x v="0"/>
    <n v="5.333333333333333"/>
    <n v="0.66666666666666663"/>
    <x v="11"/>
    <s v="Offline"/>
    <n v="18"/>
    <n v="22"/>
    <x v="1"/>
    <n v="20"/>
    <n v="3"/>
    <x v="3"/>
    <n v="29.948453608247419"/>
  </r>
  <r>
    <x v="405"/>
    <x v="2"/>
    <s v="San Francisco, CA"/>
    <d v="2024-12-04T00:00:00"/>
    <d v="1899-12-30T18:00:00"/>
    <d v="2024-12-04T00:00:00"/>
    <d v="1899-12-30T18:30:00"/>
    <x v="3"/>
    <s v="Medium"/>
    <s v="Non-Veg"/>
    <n v="3"/>
    <n v="4"/>
    <s v="Medium"/>
    <s v="UPI"/>
    <x v="0"/>
    <x v="0"/>
    <n v="7.5"/>
    <n v="0.75"/>
    <x v="11"/>
    <s v="Online"/>
    <n v="9.6"/>
    <n v="20.399999999999999"/>
    <x v="0"/>
    <n v="6"/>
    <n v="2"/>
    <x v="0"/>
    <n v="28.844221105527641"/>
  </r>
  <r>
    <x v="406"/>
    <x v="4"/>
    <s v="Charlotte, NC"/>
    <d v="2024-12-05T00:00:00"/>
    <d v="1899-12-30T20:15:00"/>
    <d v="2024-12-05T00:00:00"/>
    <d v="1899-12-30T21:00:00"/>
    <x v="7"/>
    <s v="Large"/>
    <s v="Veg"/>
    <n v="4"/>
    <n v="9"/>
    <s v="High"/>
    <s v="Cash"/>
    <x v="0"/>
    <x v="0"/>
    <n v="5"/>
    <n v="0.44444444444444442"/>
    <x v="11"/>
    <s v="Offline"/>
    <n v="21.6"/>
    <n v="23.4"/>
    <x v="1"/>
    <n v="12"/>
    <n v="3"/>
    <x v="1"/>
    <n v="30.286458333333329"/>
  </r>
  <r>
    <x v="407"/>
    <x v="0"/>
    <s v="Detroit, MI"/>
    <d v="2024-12-06T00:00:00"/>
    <d v="1899-12-30T18:00:00"/>
    <d v="2024-12-06T00:00:00"/>
    <d v="1899-12-30T18:20:00"/>
    <x v="2"/>
    <s v="Medium"/>
    <s v="Veg"/>
    <n v="2"/>
    <n v="3"/>
    <s v="Low"/>
    <s v="Card"/>
    <x v="0"/>
    <x v="0"/>
    <n v="6.666666666666667"/>
    <n v="0.66666666666666663"/>
    <x v="11"/>
    <s v="Online"/>
    <n v="7.1999999999999993"/>
    <n v="12.8"/>
    <x v="0"/>
    <n v="4"/>
    <n v="1"/>
    <x v="0"/>
    <n v="30.259433962264151"/>
  </r>
  <r>
    <x v="408"/>
    <x v="1"/>
    <s v="El Paso, TX"/>
    <d v="2024-12-07T00:00:00"/>
    <d v="1899-12-30T19:15:00"/>
    <d v="2024-12-07T00:00:00"/>
    <d v="1899-12-30T19:45:00"/>
    <x v="3"/>
    <s v="Large"/>
    <s v="Non-Veg"/>
    <n v="4"/>
    <n v="6"/>
    <s v="Medium"/>
    <s v="Wallet"/>
    <x v="0"/>
    <x v="1"/>
    <n v="5"/>
    <n v="0.66666666666666663"/>
    <x v="11"/>
    <s v="Online"/>
    <n v="14.4"/>
    <n v="15.6"/>
    <x v="0"/>
    <n v="12"/>
    <n v="2"/>
    <x v="3"/>
    <n v="28.186274509803919"/>
  </r>
  <r>
    <x v="409"/>
    <x v="3"/>
    <s v="Memphis, TN"/>
    <d v="2024-12-08T00:00:00"/>
    <d v="1899-12-30T20:30:00"/>
    <d v="2024-12-08T00:00:00"/>
    <d v="1899-12-30T21:10:00"/>
    <x v="4"/>
    <s v="XL"/>
    <s v="Cheese Burst"/>
    <n v="5"/>
    <n v="8"/>
    <s v="High"/>
    <s v="Hut Points"/>
    <x v="0"/>
    <x v="1"/>
    <n v="5"/>
    <n v="0.625"/>
    <x v="11"/>
    <s v="Offline"/>
    <n v="19.2"/>
    <n v="20.8"/>
    <x v="1"/>
    <n v="20"/>
    <n v="3"/>
    <x v="1"/>
    <n v="29.948453608247419"/>
  </r>
  <r>
    <x v="410"/>
    <x v="2"/>
    <s v="Baltimore, MD"/>
    <d v="2024-12-09T00:00:00"/>
    <d v="1899-12-30T18:45:00"/>
    <d v="2024-12-09T00:00:00"/>
    <d v="1899-12-30T19:05:00"/>
    <x v="2"/>
    <s v="Small"/>
    <s v="Vegan"/>
    <n v="1"/>
    <n v="2.5"/>
    <s v="Low"/>
    <s v="Cash"/>
    <x v="0"/>
    <x v="0"/>
    <n v="8"/>
    <n v="0.4"/>
    <x v="11"/>
    <s v="Offline"/>
    <n v="6"/>
    <n v="14"/>
    <x v="0"/>
    <n v="1"/>
    <n v="1"/>
    <x v="0"/>
    <n v="28.844221105527641"/>
  </r>
  <r>
    <x v="411"/>
    <x v="4"/>
    <s v="Boston, MA"/>
    <d v="2024-12-10T00:00:00"/>
    <d v="1899-12-30T19:00:00"/>
    <d v="2024-12-10T00:00:00"/>
    <d v="1899-12-30T19:50:00"/>
    <x v="5"/>
    <s v="Large"/>
    <s v="Non-Veg"/>
    <n v="4"/>
    <n v="10"/>
    <s v="High"/>
    <s v="Card"/>
    <x v="0"/>
    <x v="0"/>
    <n v="5"/>
    <n v="0.4"/>
    <x v="11"/>
    <s v="Online"/>
    <n v="24"/>
    <n v="26"/>
    <x v="1"/>
    <n v="12"/>
    <n v="3"/>
    <x v="3"/>
    <n v="30.286458333333329"/>
  </r>
  <r>
    <x v="412"/>
    <x v="0"/>
    <s v="New York, NY"/>
    <d v="2024-12-11T00:00:00"/>
    <d v="1899-12-30T18:00:00"/>
    <d v="2024-12-11T00:00:00"/>
    <d v="1899-12-30T18:20:00"/>
    <x v="2"/>
    <s v="Medium"/>
    <s v="Veg"/>
    <n v="2"/>
    <n v="3"/>
    <s v="Low"/>
    <s v="Domino's Cash"/>
    <x v="0"/>
    <x v="0"/>
    <n v="6.666666666666667"/>
    <n v="0.66666666666666663"/>
    <x v="11"/>
    <s v="Offline"/>
    <n v="7.1999999999999993"/>
    <n v="12.8"/>
    <x v="0"/>
    <n v="4"/>
    <n v="1"/>
    <x v="0"/>
    <n v="30.259433962264151"/>
  </r>
  <r>
    <x v="413"/>
    <x v="0"/>
    <s v="Miami, FL"/>
    <d v="2024-12-12T00:00:00"/>
    <d v="1899-12-30T20:00:00"/>
    <d v="2024-12-12T00:00:00"/>
    <d v="1899-12-30T20:20:00"/>
    <x v="2"/>
    <s v="Medium"/>
    <s v="Thin Crust"/>
    <n v="2"/>
    <n v="3"/>
    <s v="Low"/>
    <s v="Card"/>
    <x v="0"/>
    <x v="0"/>
    <n v="6.666666666666667"/>
    <n v="0.66666666666666663"/>
    <x v="11"/>
    <s v="Online"/>
    <n v="7.1999999999999993"/>
    <n v="12.8"/>
    <x v="0"/>
    <n v="4"/>
    <n v="1"/>
    <x v="1"/>
    <n v="30.259433962264151"/>
  </r>
  <r>
    <x v="414"/>
    <x v="1"/>
    <s v="Chicago, IL"/>
    <d v="2024-12-13T00:00:00"/>
    <d v="1899-12-30T19:15:00"/>
    <d v="2024-12-13T00:00:00"/>
    <d v="1899-12-30T19:45:00"/>
    <x v="3"/>
    <s v="Large"/>
    <s v="Deep Dish"/>
    <n v="4"/>
    <n v="6"/>
    <s v="Medium"/>
    <s v="UPI"/>
    <x v="0"/>
    <x v="0"/>
    <n v="5"/>
    <n v="0.66666666666666663"/>
    <x v="11"/>
    <s v="Online"/>
    <n v="14.4"/>
    <n v="15.6"/>
    <x v="0"/>
    <n v="12"/>
    <n v="2"/>
    <x v="3"/>
    <n v="28.186274509803919"/>
  </r>
  <r>
    <x v="415"/>
    <x v="3"/>
    <s v="Los Angeles, CA"/>
    <d v="2024-12-14T00:00:00"/>
    <d v="1899-12-30T20:30:00"/>
    <d v="2024-12-14T00:00:00"/>
    <d v="1899-12-30T21:10:00"/>
    <x v="4"/>
    <s v="XL"/>
    <s v="Cheese Burst"/>
    <n v="5"/>
    <n v="8"/>
    <s v="High"/>
    <s v="Hut Points"/>
    <x v="0"/>
    <x v="1"/>
    <n v="5"/>
    <n v="0.625"/>
    <x v="11"/>
    <s v="Offline"/>
    <n v="19.2"/>
    <n v="20.8"/>
    <x v="1"/>
    <n v="20"/>
    <n v="3"/>
    <x v="1"/>
    <n v="29.948453608247419"/>
  </r>
  <r>
    <x v="416"/>
    <x v="2"/>
    <s v="Houston, TX"/>
    <d v="2024-12-15T00:00:00"/>
    <d v="1899-12-30T18:45:00"/>
    <d v="2024-12-15T00:00:00"/>
    <d v="1899-12-30T19:05:00"/>
    <x v="2"/>
    <s v="Small"/>
    <s v="Vegan"/>
    <n v="1"/>
    <n v="2.5"/>
    <s v="Low"/>
    <s v="Cash"/>
    <x v="0"/>
    <x v="1"/>
    <n v="8"/>
    <n v="0.4"/>
    <x v="11"/>
    <s v="Offline"/>
    <n v="6"/>
    <n v="14"/>
    <x v="0"/>
    <n v="1"/>
    <n v="1"/>
    <x v="0"/>
    <n v="28.844221105527641"/>
  </r>
  <r>
    <x v="417"/>
    <x v="4"/>
    <s v="Phoenix, AZ"/>
    <d v="2024-12-16T00:00:00"/>
    <d v="1899-12-30T19:00:00"/>
    <d v="2024-12-16T00:00:00"/>
    <d v="1899-12-30T19:50:00"/>
    <x v="5"/>
    <s v="Large"/>
    <s v="Non-Veg"/>
    <n v="4"/>
    <n v="10"/>
    <s v="High"/>
    <s v="Card"/>
    <x v="0"/>
    <x v="0"/>
    <n v="5"/>
    <n v="0.4"/>
    <x v="11"/>
    <s v="Online"/>
    <n v="24"/>
    <n v="26"/>
    <x v="1"/>
    <n v="12"/>
    <n v="3"/>
    <x v="3"/>
    <n v="30.286458333333329"/>
  </r>
  <r>
    <x v="418"/>
    <x v="0"/>
    <s v="Miami, FL"/>
    <d v="2024-12-17T00:00:00"/>
    <d v="1899-12-30T20:00:00"/>
    <d v="2024-12-17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11"/>
    <s v="Online"/>
    <n v="13.2"/>
    <n v="21.8"/>
    <x v="1"/>
    <n v="6"/>
    <n v="2"/>
    <x v="1"/>
    <n v="30.259433962264151"/>
  </r>
  <r>
    <x v="419"/>
    <x v="1"/>
    <s v="Denver, CO"/>
    <d v="2024-12-18T00:00:00"/>
    <d v="1899-12-30T18:30:00"/>
    <d v="2024-12-18T00:00:00"/>
    <d v="1899-12-30T18:50:00"/>
    <x v="2"/>
    <s v="Small"/>
    <s v="Vegan"/>
    <n v="2"/>
    <n v="2"/>
    <s v="Low"/>
    <s v="UPI"/>
    <x v="0"/>
    <x v="0"/>
    <n v="10"/>
    <n v="1"/>
    <x v="11"/>
    <s v="Online"/>
    <n v="4.8"/>
    <n v="15.2"/>
    <x v="0"/>
    <n v="2"/>
    <n v="1"/>
    <x v="0"/>
    <n v="28.186274509803919"/>
  </r>
  <r>
    <x v="420"/>
    <x v="3"/>
    <s v="Boston, MA"/>
    <d v="2024-12-19T00:00:00"/>
    <d v="1899-12-30T19:45:00"/>
    <d v="2024-12-19T00:00:00"/>
    <d v="1899-12-30T20:25:00"/>
    <x v="4"/>
    <s v="XL"/>
    <s v="Stuffed Crust"/>
    <n v="5"/>
    <n v="7.5"/>
    <s v="High"/>
    <s v="Card"/>
    <x v="0"/>
    <x v="0"/>
    <n v="5.333333333333333"/>
    <n v="0.66666666666666663"/>
    <x v="11"/>
    <s v="Online"/>
    <n v="18"/>
    <n v="22"/>
    <x v="1"/>
    <n v="20"/>
    <n v="3"/>
    <x v="3"/>
    <n v="29.948453608247419"/>
  </r>
  <r>
    <x v="421"/>
    <x v="2"/>
    <s v="Dallas, TX"/>
    <d v="2024-12-20T00:00:00"/>
    <d v="1899-12-30T18:00:00"/>
    <d v="2024-12-20T00:00:00"/>
    <d v="1899-12-30T18:30:00"/>
    <x v="3"/>
    <s v="Medium"/>
    <s v="Non-Veg"/>
    <n v="3"/>
    <n v="4"/>
    <s v="Medium"/>
    <s v="Card"/>
    <x v="0"/>
    <x v="0"/>
    <n v="7.5"/>
    <n v="0.75"/>
    <x v="11"/>
    <s v="Online"/>
    <n v="9.6"/>
    <n v="20.399999999999999"/>
    <x v="0"/>
    <n v="6"/>
    <n v="2"/>
    <x v="0"/>
    <n v="28.844221105527641"/>
  </r>
  <r>
    <x v="422"/>
    <x v="4"/>
    <s v="Seattle, WA"/>
    <d v="2024-12-21T00:00:00"/>
    <d v="1899-12-30T20:15:00"/>
    <d v="2024-12-21T00:00:00"/>
    <d v="1899-12-30T21:00:00"/>
    <x v="7"/>
    <s v="Large"/>
    <s v="Veg"/>
    <n v="4"/>
    <n v="9"/>
    <s v="High"/>
    <s v="Wallet"/>
    <x v="0"/>
    <x v="1"/>
    <n v="5"/>
    <n v="0.44444444444444442"/>
    <x v="11"/>
    <s v="Online"/>
    <n v="21.6"/>
    <n v="23.4"/>
    <x v="1"/>
    <n v="12"/>
    <n v="3"/>
    <x v="1"/>
    <n v="30.286458333333329"/>
  </r>
  <r>
    <x v="423"/>
    <x v="0"/>
    <s v="Miami, FL"/>
    <d v="2024-12-12T00:00:00"/>
    <d v="1899-12-30T20:00:00"/>
    <d v="2024-12-12T00:00:00"/>
    <d v="1899-12-30T20:20:00"/>
    <x v="2"/>
    <s v="Medium"/>
    <s v="Thin Crust"/>
    <n v="2"/>
    <n v="3"/>
    <s v="Low"/>
    <s v="Card"/>
    <x v="0"/>
    <x v="0"/>
    <n v="6.666666666666667"/>
    <n v="0.66666666666666663"/>
    <x v="11"/>
    <s v="Online"/>
    <n v="7.1999999999999993"/>
    <n v="12.8"/>
    <x v="0"/>
    <n v="4"/>
    <n v="1"/>
    <x v="1"/>
    <n v="30.259433962264151"/>
  </r>
  <r>
    <x v="424"/>
    <x v="1"/>
    <s v="Chicago, IL"/>
    <d v="2024-12-13T00:00:00"/>
    <d v="1899-12-30T19:15:00"/>
    <d v="2024-12-13T00:00:00"/>
    <d v="1899-12-30T19:45:00"/>
    <x v="3"/>
    <s v="Large"/>
    <s v="Deep Dish"/>
    <n v="4"/>
    <n v="6"/>
    <s v="Medium"/>
    <s v="UPI"/>
    <x v="0"/>
    <x v="0"/>
    <n v="5"/>
    <n v="0.66666666666666663"/>
    <x v="11"/>
    <s v="Online"/>
    <n v="14.4"/>
    <n v="15.6"/>
    <x v="0"/>
    <n v="12"/>
    <n v="2"/>
    <x v="3"/>
    <n v="28.186274509803919"/>
  </r>
  <r>
    <x v="425"/>
    <x v="3"/>
    <s v="Los Angeles, CA"/>
    <d v="2024-12-14T00:00:00"/>
    <d v="1899-12-30T20:30:00"/>
    <d v="2024-12-14T00:00:00"/>
    <d v="1899-12-30T21:10:00"/>
    <x v="4"/>
    <s v="XL"/>
    <s v="Cheese Burst"/>
    <n v="5"/>
    <n v="8"/>
    <s v="High"/>
    <s v="Hut Points"/>
    <x v="0"/>
    <x v="1"/>
    <n v="5"/>
    <n v="0.625"/>
    <x v="11"/>
    <s v="Offline"/>
    <n v="19.2"/>
    <n v="20.8"/>
    <x v="1"/>
    <n v="20"/>
    <n v="3"/>
    <x v="1"/>
    <n v="29.948453608247419"/>
  </r>
  <r>
    <x v="426"/>
    <x v="2"/>
    <s v="Houston, TX"/>
    <d v="2024-12-15T00:00:00"/>
    <d v="1899-12-30T18:45:00"/>
    <d v="2024-12-15T00:00:00"/>
    <d v="1899-12-30T19:05:00"/>
    <x v="2"/>
    <s v="Small"/>
    <s v="Vegan"/>
    <n v="1"/>
    <n v="2.5"/>
    <s v="Low"/>
    <s v="Cash"/>
    <x v="0"/>
    <x v="1"/>
    <n v="8"/>
    <n v="0.4"/>
    <x v="11"/>
    <s v="Offline"/>
    <n v="6"/>
    <n v="14"/>
    <x v="0"/>
    <n v="1"/>
    <n v="1"/>
    <x v="0"/>
    <n v="28.844221105527641"/>
  </r>
  <r>
    <x v="427"/>
    <x v="4"/>
    <s v="Phoenix, AZ"/>
    <d v="2024-12-16T00:00:00"/>
    <d v="1899-12-30T19:00:00"/>
    <d v="2024-12-16T00:00:00"/>
    <d v="1899-12-30T19:50:00"/>
    <x v="5"/>
    <s v="Large"/>
    <s v="Non-Veg"/>
    <n v="4"/>
    <n v="10"/>
    <s v="High"/>
    <s v="Card"/>
    <x v="0"/>
    <x v="0"/>
    <n v="5"/>
    <n v="0.4"/>
    <x v="11"/>
    <s v="Online"/>
    <n v="24"/>
    <n v="26"/>
    <x v="1"/>
    <n v="12"/>
    <n v="3"/>
    <x v="3"/>
    <n v="30.286458333333329"/>
  </r>
  <r>
    <x v="428"/>
    <x v="0"/>
    <s v="Miami, FL"/>
    <d v="2024-12-17T00:00:00"/>
    <d v="1899-12-30T20:00:00"/>
    <d v="2024-12-17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11"/>
    <s v="Online"/>
    <n v="13.2"/>
    <n v="21.8"/>
    <x v="1"/>
    <n v="6"/>
    <n v="2"/>
    <x v="1"/>
    <n v="30.259433962264151"/>
  </r>
  <r>
    <x v="429"/>
    <x v="1"/>
    <s v="Denver, CO"/>
    <d v="2024-12-18T00:00:00"/>
    <d v="1899-12-30T18:30:00"/>
    <d v="2024-12-18T00:00:00"/>
    <d v="1899-12-30T18:50:00"/>
    <x v="2"/>
    <s v="Small"/>
    <s v="Vegan"/>
    <n v="2"/>
    <n v="2"/>
    <s v="Low"/>
    <s v="UPI"/>
    <x v="0"/>
    <x v="0"/>
    <n v="10"/>
    <n v="1"/>
    <x v="11"/>
    <s v="Online"/>
    <n v="4.8"/>
    <n v="15.2"/>
    <x v="0"/>
    <n v="2"/>
    <n v="1"/>
    <x v="0"/>
    <n v="28.186274509803919"/>
  </r>
  <r>
    <x v="430"/>
    <x v="3"/>
    <s v="Boston, MA"/>
    <d v="2024-12-19T00:00:00"/>
    <d v="1899-12-30T19:45:00"/>
    <d v="2024-12-19T00:00:00"/>
    <d v="1899-12-30T20:25:00"/>
    <x v="4"/>
    <s v="XL"/>
    <s v="Stuffed Crust"/>
    <n v="5"/>
    <n v="7.5"/>
    <s v="High"/>
    <s v="Card"/>
    <x v="0"/>
    <x v="0"/>
    <n v="5.333333333333333"/>
    <n v="0.66666666666666663"/>
    <x v="11"/>
    <s v="Online"/>
    <n v="18"/>
    <n v="22"/>
    <x v="1"/>
    <n v="20"/>
    <n v="3"/>
    <x v="3"/>
    <n v="29.948453608247419"/>
  </r>
  <r>
    <x v="431"/>
    <x v="2"/>
    <s v="Dallas, TX"/>
    <d v="2024-12-20T00:00:00"/>
    <d v="1899-12-30T18:00:00"/>
    <d v="2024-12-20T00:00:00"/>
    <d v="1899-12-30T18:30:00"/>
    <x v="3"/>
    <s v="Medium"/>
    <s v="Non-Veg"/>
    <n v="3"/>
    <n v="4"/>
    <s v="Medium"/>
    <s v="Card"/>
    <x v="0"/>
    <x v="0"/>
    <n v="7.5"/>
    <n v="0.75"/>
    <x v="11"/>
    <s v="Online"/>
    <n v="9.6"/>
    <n v="20.399999999999999"/>
    <x v="0"/>
    <n v="6"/>
    <n v="2"/>
    <x v="0"/>
    <n v="28.844221105527641"/>
  </r>
  <r>
    <x v="432"/>
    <x v="4"/>
    <s v="Seattle, WA"/>
    <d v="2024-12-21T00:00:00"/>
    <d v="1899-12-30T20:15:00"/>
    <d v="2024-12-21T00:00:00"/>
    <d v="1899-12-30T21:00:00"/>
    <x v="7"/>
    <s v="Large"/>
    <s v="Veg"/>
    <n v="4"/>
    <n v="9"/>
    <s v="High"/>
    <s v="Wallet"/>
    <x v="0"/>
    <x v="1"/>
    <n v="5"/>
    <n v="0.44444444444444442"/>
    <x v="11"/>
    <s v="Online"/>
    <n v="21.6"/>
    <n v="23.4"/>
    <x v="1"/>
    <n v="12"/>
    <n v="3"/>
    <x v="1"/>
    <n v="30.286458333333329"/>
  </r>
  <r>
    <x v="433"/>
    <x v="0"/>
    <s v="San Jose, CA"/>
    <d v="2024-12-22T00:00:00"/>
    <d v="1899-12-30T18:00:00"/>
    <d v="2024-12-22T00:00:00"/>
    <d v="1899-12-30T18:20:00"/>
    <x v="2"/>
    <s v="Medium"/>
    <s v="Veg"/>
    <n v="2"/>
    <n v="3"/>
    <s v="Low"/>
    <s v="Card"/>
    <x v="0"/>
    <x v="1"/>
    <n v="6.666666666666667"/>
    <n v="0.66666666666666663"/>
    <x v="11"/>
    <s v="Online"/>
    <n v="7.1999999999999993"/>
    <n v="12.8"/>
    <x v="0"/>
    <n v="4"/>
    <n v="1"/>
    <x v="0"/>
    <n v="30.259433962264151"/>
  </r>
  <r>
    <x v="434"/>
    <x v="1"/>
    <s v="Austin, TX"/>
    <d v="2024-12-23T00:00:00"/>
    <d v="1899-12-30T19:15:00"/>
    <d v="2024-12-23T00:00:00"/>
    <d v="1899-12-30T19:45:00"/>
    <x v="3"/>
    <s v="Large"/>
    <s v="Non-Veg"/>
    <n v="4"/>
    <n v="6"/>
    <s v="Medium"/>
    <s v="Cash"/>
    <x v="0"/>
    <x v="0"/>
    <n v="5"/>
    <n v="0.66666666666666663"/>
    <x v="11"/>
    <s v="Offline"/>
    <n v="14.4"/>
    <n v="15.6"/>
    <x v="0"/>
    <n v="12"/>
    <n v="2"/>
    <x v="3"/>
    <n v="28.186274509803919"/>
  </r>
  <r>
    <x v="435"/>
    <x v="3"/>
    <s v="San Diego, CA"/>
    <d v="2024-12-24T00:00:00"/>
    <d v="1899-12-30T20:30:00"/>
    <d v="2024-12-24T00:00:00"/>
    <d v="1899-12-30T21:10:00"/>
    <x v="4"/>
    <s v="XL"/>
    <s v="Cheese Burst"/>
    <n v="5"/>
    <n v="8"/>
    <s v="High"/>
    <s v="Card"/>
    <x v="0"/>
    <x v="0"/>
    <n v="5"/>
    <n v="0.625"/>
    <x v="11"/>
    <s v="Online"/>
    <n v="19.2"/>
    <n v="20.8"/>
    <x v="1"/>
    <n v="20"/>
    <n v="3"/>
    <x v="1"/>
    <n v="29.948453608247419"/>
  </r>
  <r>
    <x v="436"/>
    <x v="2"/>
    <s v="Jacksonville, FL"/>
    <d v="2024-12-25T00:00:00"/>
    <d v="1899-12-30T18:45:00"/>
    <d v="2024-12-25T00:00:00"/>
    <d v="1899-12-30T19:05:00"/>
    <x v="2"/>
    <s v="Small"/>
    <s v="Vegan"/>
    <n v="1"/>
    <n v="2.5"/>
    <s v="Low"/>
    <s v="Wallet"/>
    <x v="0"/>
    <x v="0"/>
    <n v="8"/>
    <n v="0.4"/>
    <x v="11"/>
    <s v="Online"/>
    <n v="6"/>
    <n v="14"/>
    <x v="0"/>
    <n v="1"/>
    <n v="1"/>
    <x v="0"/>
    <n v="28.844221105527641"/>
  </r>
  <r>
    <x v="437"/>
    <x v="4"/>
    <s v="Fort Worth, TX"/>
    <d v="2024-12-26T00:00:00"/>
    <d v="1899-12-30T19:00:00"/>
    <d v="2024-12-26T00:00:00"/>
    <d v="1899-12-30T19:50:00"/>
    <x v="5"/>
    <s v="Large"/>
    <s v="Non-Veg"/>
    <n v="4"/>
    <n v="10"/>
    <s v="High"/>
    <s v="Card"/>
    <x v="0"/>
    <x v="0"/>
    <n v="5"/>
    <n v="0.4"/>
    <x v="11"/>
    <s v="Online"/>
    <n v="24"/>
    <n v="26"/>
    <x v="1"/>
    <n v="12"/>
    <n v="3"/>
    <x v="3"/>
    <n v="30.286458333333329"/>
  </r>
  <r>
    <x v="438"/>
    <x v="0"/>
    <s v="Columbus, OH"/>
    <d v="2024-12-27T00:00:00"/>
    <d v="1899-12-30T20:00:00"/>
    <d v="2024-12-27T00:00:00"/>
    <d v="1899-12-30T20:35:00"/>
    <x v="6"/>
    <s v="Medium"/>
    <s v="Veg"/>
    <n v="3"/>
    <n v="5.5"/>
    <s v="Medium"/>
    <s v="Wallet"/>
    <x v="0"/>
    <x v="0"/>
    <n v="6.3636363636363633"/>
    <n v="0.54545454545454541"/>
    <x v="11"/>
    <s v="Online"/>
    <n v="13.2"/>
    <n v="21.8"/>
    <x v="1"/>
    <n v="6"/>
    <n v="2"/>
    <x v="1"/>
    <n v="30.259433962264151"/>
  </r>
  <r>
    <x v="439"/>
    <x v="1"/>
    <s v="Charlotte, NC"/>
    <d v="2024-12-28T00:00:00"/>
    <d v="1899-12-30T18:30:00"/>
    <d v="2024-12-28T00:00:00"/>
    <d v="1899-12-30T18:50:00"/>
    <x v="2"/>
    <s v="Small"/>
    <s v="Vegan"/>
    <n v="2"/>
    <n v="2"/>
    <s v="Low"/>
    <s v="UPI"/>
    <x v="0"/>
    <x v="1"/>
    <n v="10"/>
    <n v="1"/>
    <x v="11"/>
    <s v="Online"/>
    <n v="4.8"/>
    <n v="15.2"/>
    <x v="0"/>
    <n v="2"/>
    <n v="1"/>
    <x v="0"/>
    <n v="28.186274509803919"/>
  </r>
  <r>
    <x v="440"/>
    <x v="3"/>
    <s v="Indianapolis, IN"/>
    <d v="2024-12-29T00:00:00"/>
    <d v="1899-12-30T19:45:00"/>
    <d v="2024-12-29T00:00:00"/>
    <d v="1899-12-30T20:25:00"/>
    <x v="4"/>
    <s v="XL"/>
    <s v="Stuffed Crust"/>
    <n v="5"/>
    <n v="7.5"/>
    <s v="High"/>
    <s v="Card"/>
    <x v="0"/>
    <x v="1"/>
    <n v="5.333333333333333"/>
    <n v="0.66666666666666663"/>
    <x v="11"/>
    <s v="Online"/>
    <n v="18"/>
    <n v="22"/>
    <x v="1"/>
    <n v="20"/>
    <n v="3"/>
    <x v="3"/>
    <n v="29.948453608247419"/>
  </r>
  <r>
    <x v="441"/>
    <x v="2"/>
    <s v="San Francisco, CA"/>
    <d v="2024-12-30T00:00:00"/>
    <d v="1899-12-30T18:00:00"/>
    <d v="2024-12-30T00:00:00"/>
    <d v="1899-12-30T18:30:00"/>
    <x v="3"/>
    <s v="Medium"/>
    <s v="Non-Veg"/>
    <n v="3"/>
    <n v="4"/>
    <s v="Medium"/>
    <s v="UPI"/>
    <x v="0"/>
    <x v="0"/>
    <n v="7.5"/>
    <n v="0.75"/>
    <x v="11"/>
    <s v="Online"/>
    <n v="9.6"/>
    <n v="20.399999999999999"/>
    <x v="0"/>
    <n v="6"/>
    <n v="2"/>
    <x v="0"/>
    <n v="28.844221105527641"/>
  </r>
  <r>
    <x v="442"/>
    <x v="4"/>
    <s v="Charlotte, NC"/>
    <d v="2024-12-31T00:00:00"/>
    <d v="1899-12-30T20:15:00"/>
    <d v="2024-12-31T00:00:00"/>
    <d v="1899-12-30T21:00:00"/>
    <x v="7"/>
    <s v="Large"/>
    <s v="Veg"/>
    <n v="4"/>
    <n v="9"/>
    <s v="High"/>
    <s v="Cash"/>
    <x v="0"/>
    <x v="0"/>
    <n v="5"/>
    <n v="0.44444444444444442"/>
    <x v="11"/>
    <s v="Offline"/>
    <n v="21.6"/>
    <n v="23.4"/>
    <x v="1"/>
    <n v="12"/>
    <n v="3"/>
    <x v="1"/>
    <n v="30.286458333333329"/>
  </r>
  <r>
    <x v="443"/>
    <x v="0"/>
    <s v="Detroit, MI"/>
    <d v="2025-01-01T00:00:00"/>
    <d v="1899-12-30T18:00:00"/>
    <d v="2025-01-01T00:00:00"/>
    <d v="1899-12-30T18:20:00"/>
    <x v="2"/>
    <s v="Medium"/>
    <s v="Veg"/>
    <n v="2"/>
    <n v="3"/>
    <s v="Low"/>
    <s v="Card"/>
    <x v="0"/>
    <x v="0"/>
    <n v="6.666666666666667"/>
    <n v="0.66666666666666663"/>
    <x v="0"/>
    <s v="Online"/>
    <n v="7.1999999999999993"/>
    <n v="12.8"/>
    <x v="0"/>
    <n v="4"/>
    <n v="1"/>
    <x v="0"/>
    <n v="30.259433962264151"/>
  </r>
  <r>
    <x v="444"/>
    <x v="1"/>
    <s v="El Paso, TX"/>
    <d v="2025-01-02T00:00:00"/>
    <d v="1899-12-30T19:15:00"/>
    <d v="2025-01-02T00:00:00"/>
    <d v="1899-12-30T19:45:00"/>
    <x v="3"/>
    <s v="Large"/>
    <s v="Non-Veg"/>
    <n v="4"/>
    <n v="6"/>
    <s v="Medium"/>
    <s v="Wallet"/>
    <x v="0"/>
    <x v="0"/>
    <n v="5"/>
    <n v="0.66666666666666663"/>
    <x v="0"/>
    <s v="Online"/>
    <n v="14.4"/>
    <n v="15.6"/>
    <x v="0"/>
    <n v="12"/>
    <n v="2"/>
    <x v="3"/>
    <n v="28.186274509803919"/>
  </r>
  <r>
    <x v="445"/>
    <x v="3"/>
    <s v="Memphis, TN"/>
    <d v="2025-01-03T00:00:00"/>
    <d v="1899-12-30T20:30:00"/>
    <d v="2025-01-03T00:00:00"/>
    <d v="1899-12-30T21:10:00"/>
    <x v="4"/>
    <s v="XL"/>
    <s v="Cheese Burst"/>
    <n v="5"/>
    <n v="8"/>
    <s v="High"/>
    <s v="Card"/>
    <x v="0"/>
    <x v="0"/>
    <n v="5"/>
    <n v="0.625"/>
    <x v="0"/>
    <s v="Online"/>
    <n v="19.2"/>
    <n v="20.8"/>
    <x v="1"/>
    <n v="20"/>
    <n v="3"/>
    <x v="1"/>
    <n v="29.948453608247419"/>
  </r>
  <r>
    <x v="446"/>
    <x v="2"/>
    <s v="Baltimore, MD"/>
    <d v="2025-01-04T00:00:00"/>
    <d v="1899-12-30T18:45:00"/>
    <d v="2025-01-04T00:00:00"/>
    <d v="1899-12-30T19:05:00"/>
    <x v="2"/>
    <s v="Small"/>
    <s v="Vegan"/>
    <n v="1"/>
    <n v="2.5"/>
    <s v="Low"/>
    <s v="Cash"/>
    <x v="0"/>
    <x v="1"/>
    <n v="8"/>
    <n v="0.4"/>
    <x v="0"/>
    <s v="Offline"/>
    <n v="6"/>
    <n v="14"/>
    <x v="0"/>
    <n v="1"/>
    <n v="1"/>
    <x v="0"/>
    <n v="28.844221105527641"/>
  </r>
  <r>
    <x v="447"/>
    <x v="4"/>
    <s v="Boston, MA"/>
    <d v="2025-01-05T00:00:00"/>
    <d v="1899-12-30T19:00:00"/>
    <d v="2025-01-05T00:00:00"/>
    <d v="1899-12-30T19:50:00"/>
    <x v="5"/>
    <s v="Large"/>
    <s v="Non-Veg"/>
    <n v="4"/>
    <n v="10"/>
    <s v="High"/>
    <s v="Card"/>
    <x v="0"/>
    <x v="1"/>
    <n v="5"/>
    <n v="0.4"/>
    <x v="0"/>
    <s v="Online"/>
    <n v="24"/>
    <n v="26"/>
    <x v="1"/>
    <n v="12"/>
    <n v="3"/>
    <x v="3"/>
    <n v="30.286458333333329"/>
  </r>
  <r>
    <x v="448"/>
    <x v="0"/>
    <s v="New York, NY"/>
    <d v="2025-01-06T00:00:00"/>
    <d v="1899-12-30T18:00:00"/>
    <d v="2025-01-06T00:00:00"/>
    <d v="1899-12-30T18:20:00"/>
    <x v="2"/>
    <s v="Medium"/>
    <s v="Veg"/>
    <n v="2"/>
    <n v="3"/>
    <s v="Low"/>
    <s v="Domino's Cash"/>
    <x v="0"/>
    <x v="0"/>
    <n v="6.666666666666667"/>
    <n v="0.66666666666666663"/>
    <x v="0"/>
    <s v="Offline"/>
    <n v="7.1999999999999993"/>
    <n v="12.8"/>
    <x v="0"/>
    <n v="4"/>
    <n v="1"/>
    <x v="0"/>
    <n v="30.259433962264151"/>
  </r>
  <r>
    <x v="449"/>
    <x v="1"/>
    <s v="Chicago, IL"/>
    <d v="2025-01-07T00:00:00"/>
    <d v="1899-12-30T19:15:00"/>
    <d v="2025-01-07T00:00:00"/>
    <d v="1899-12-30T19:45:00"/>
    <x v="3"/>
    <s v="Large"/>
    <s v="Deep Dish"/>
    <n v="4"/>
    <n v="6"/>
    <s v="Medium"/>
    <s v="UPI"/>
    <x v="0"/>
    <x v="0"/>
    <n v="5"/>
    <n v="0.66666666666666663"/>
    <x v="0"/>
    <s v="Online"/>
    <n v="14.4"/>
    <n v="15.6"/>
    <x v="0"/>
    <n v="12"/>
    <n v="2"/>
    <x v="3"/>
    <n v="28.186274509803919"/>
  </r>
  <r>
    <x v="450"/>
    <x v="3"/>
    <s v="Los Angeles, CA"/>
    <d v="2025-01-08T00:00:00"/>
    <d v="1899-12-30T20:30:00"/>
    <d v="2025-01-08T00:00:00"/>
    <d v="1899-12-30T21:10:00"/>
    <x v="4"/>
    <s v="XL"/>
    <s v="Cheese Burst"/>
    <n v="5"/>
    <n v="8"/>
    <s v="High"/>
    <s v="Card"/>
    <x v="0"/>
    <x v="0"/>
    <n v="5"/>
    <n v="0.625"/>
    <x v="0"/>
    <s v="Online"/>
    <n v="19.2"/>
    <n v="20.8"/>
    <x v="1"/>
    <n v="20"/>
    <n v="3"/>
    <x v="1"/>
    <n v="29.948453608247419"/>
  </r>
  <r>
    <x v="451"/>
    <x v="2"/>
    <s v="Houston, TX"/>
    <d v="2025-01-09T00:00:00"/>
    <d v="1899-12-30T18:00:00"/>
    <d v="2025-01-09T00:00:00"/>
    <d v="1899-12-30T18:30:00"/>
    <x v="3"/>
    <s v="Medium"/>
    <s v="Thai Chicken"/>
    <n v="3"/>
    <n v="5"/>
    <s v="Medium"/>
    <s v="Card"/>
    <x v="0"/>
    <x v="0"/>
    <n v="6"/>
    <n v="0.6"/>
    <x v="0"/>
    <s v="Online"/>
    <n v="12"/>
    <n v="18"/>
    <x v="0"/>
    <n v="6"/>
    <n v="2"/>
    <x v="0"/>
    <n v="28.844221105527641"/>
  </r>
  <r>
    <x v="452"/>
    <x v="4"/>
    <s v="Atlanta, GA"/>
    <d v="2025-01-10T00:00:00"/>
    <d v="1899-12-30T19:15:00"/>
    <d v="2025-01-10T00:00:00"/>
    <d v="1899-12-30T19:50:00"/>
    <x v="6"/>
    <s v="Large"/>
    <s v="Sicilian"/>
    <n v="4"/>
    <n v="6.5"/>
    <s v="High"/>
    <s v="UPI"/>
    <x v="0"/>
    <x v="0"/>
    <n v="5.384615384615385"/>
    <n v="0.61538461538461542"/>
    <x v="0"/>
    <s v="Online"/>
    <n v="15.6"/>
    <n v="19.399999999999999"/>
    <x v="1"/>
    <n v="12"/>
    <n v="3"/>
    <x v="3"/>
    <n v="30.286458333333329"/>
  </r>
  <r>
    <x v="453"/>
    <x v="0"/>
    <s v="Orlando, FL"/>
    <d v="2025-01-11T00:00:00"/>
    <d v="1899-12-30T20:30:00"/>
    <d v="2025-01-11T00:00:00"/>
    <d v="1899-12-30T21:10:00"/>
    <x v="4"/>
    <s v="XL"/>
    <s v="Cheese Burst"/>
    <n v="5"/>
    <n v="8"/>
    <s v="High"/>
    <s v="Wallet"/>
    <x v="0"/>
    <x v="1"/>
    <n v="5"/>
    <n v="0.625"/>
    <x v="0"/>
    <s v="Online"/>
    <n v="19.2"/>
    <n v="20.8"/>
    <x v="1"/>
    <n v="20"/>
    <n v="3"/>
    <x v="1"/>
    <n v="30.259433962264151"/>
  </r>
  <r>
    <x v="454"/>
    <x v="1"/>
    <s v="Austin, TX"/>
    <d v="2025-01-12T00:00:00"/>
    <d v="1899-12-30T18:45:00"/>
    <d v="2025-01-12T00:00:00"/>
    <d v="1899-12-30T19:05:00"/>
    <x v="2"/>
    <s v="Small"/>
    <s v="Vegan"/>
    <n v="1"/>
    <n v="2.5"/>
    <s v="Low"/>
    <s v="Cash"/>
    <x v="0"/>
    <x v="1"/>
    <n v="8"/>
    <n v="0.4"/>
    <x v="0"/>
    <s v="Offline"/>
    <n v="6"/>
    <n v="14"/>
    <x v="0"/>
    <n v="1"/>
    <n v="1"/>
    <x v="0"/>
    <n v="28.186274509803919"/>
  </r>
  <r>
    <x v="455"/>
    <x v="3"/>
    <s v="Seattle, WA"/>
    <d v="2025-01-13T00:00:00"/>
    <d v="1899-12-30T19:00:00"/>
    <d v="2025-01-13T00:00:00"/>
    <d v="1899-12-30T19:50:00"/>
    <x v="5"/>
    <s v="Large"/>
    <s v="Non-Veg"/>
    <n v="4"/>
    <n v="10"/>
    <s v="High"/>
    <s v="Card"/>
    <x v="0"/>
    <x v="0"/>
    <n v="5"/>
    <n v="0.4"/>
    <x v="0"/>
    <s v="Online"/>
    <n v="24"/>
    <n v="26"/>
    <x v="1"/>
    <n v="12"/>
    <n v="3"/>
    <x v="3"/>
    <n v="29.948453608247419"/>
  </r>
  <r>
    <x v="456"/>
    <x v="0"/>
    <s v="Miami, FL"/>
    <d v="2025-01-14T00:00:00"/>
    <d v="1899-12-30T20:00:00"/>
    <d v="2025-01-14T00:00:00"/>
    <d v="1899-12-30T20:35:00"/>
    <x v="6"/>
    <s v="Medium"/>
    <s v="Gluten-Free"/>
    <n v="3"/>
    <n v="5.5"/>
    <s v="Medium"/>
    <s v="Domino's Cash"/>
    <x v="0"/>
    <x v="0"/>
    <n v="6.3636363636363633"/>
    <n v="0.54545454545454541"/>
    <x v="0"/>
    <s v="Offline"/>
    <n v="13.2"/>
    <n v="21.8"/>
    <x v="1"/>
    <n v="6"/>
    <n v="2"/>
    <x v="1"/>
    <n v="30.259433962264151"/>
  </r>
  <r>
    <x v="457"/>
    <x v="1"/>
    <s v="Denver, CO"/>
    <d v="2025-01-15T00:00:00"/>
    <d v="1899-12-30T18:30:00"/>
    <d v="2025-01-15T00:00:00"/>
    <d v="1899-12-30T18:50:00"/>
    <x v="2"/>
    <s v="Small"/>
    <s v="Vegan"/>
    <n v="2"/>
    <n v="2"/>
    <s v="Low"/>
    <s v="UPI"/>
    <x v="0"/>
    <x v="0"/>
    <n v="10"/>
    <n v="1"/>
    <x v="0"/>
    <s v="Online"/>
    <n v="4.8"/>
    <n v="15.2"/>
    <x v="0"/>
    <n v="2"/>
    <n v="1"/>
    <x v="0"/>
    <n v="28.186274509803919"/>
  </r>
  <r>
    <x v="458"/>
    <x v="3"/>
    <s v="Boston, MA"/>
    <d v="2025-01-16T00:00:00"/>
    <d v="1899-12-30T19:45:00"/>
    <d v="2025-01-16T00:00:00"/>
    <d v="1899-12-30T20:25:00"/>
    <x v="4"/>
    <s v="XL"/>
    <s v="Stuffed Crust"/>
    <n v="5"/>
    <n v="7.5"/>
    <s v="High"/>
    <s v="Card"/>
    <x v="0"/>
    <x v="0"/>
    <n v="5.333333333333333"/>
    <n v="0.66666666666666663"/>
    <x v="0"/>
    <s v="Online"/>
    <n v="18"/>
    <n v="22"/>
    <x v="1"/>
    <n v="20"/>
    <n v="3"/>
    <x v="3"/>
    <n v="29.948453608247419"/>
  </r>
  <r>
    <x v="459"/>
    <x v="0"/>
    <s v="New York, NY"/>
    <d v="2025-01-17T00:00:00"/>
    <d v="1899-12-30T18:00:00"/>
    <d v="2025-01-17T00:00:00"/>
    <d v="1899-12-30T18:20:00"/>
    <x v="2"/>
    <s v="Medium"/>
    <s v="Veg"/>
    <n v="2"/>
    <n v="3"/>
    <s v="Low"/>
    <s v="Card"/>
    <x v="0"/>
    <x v="0"/>
    <n v="6.666666666666667"/>
    <n v="0.66666666666666663"/>
    <x v="0"/>
    <s v="Online"/>
    <n v="7.1999999999999993"/>
    <n v="12.8"/>
    <x v="0"/>
    <n v="4"/>
    <n v="1"/>
    <x v="0"/>
    <n v="30.259433962264151"/>
  </r>
  <r>
    <x v="460"/>
    <x v="1"/>
    <s v="Chicago, IL"/>
    <d v="2025-01-18T00:00:00"/>
    <d v="1899-12-30T19:15:00"/>
    <d v="2025-01-18T00:00:00"/>
    <d v="1899-12-30T19:45:00"/>
    <x v="3"/>
    <s v="Large"/>
    <s v="Deep Dish"/>
    <n v="4"/>
    <n v="6"/>
    <s v="Medium"/>
    <s v="UPI"/>
    <x v="0"/>
    <x v="1"/>
    <n v="5"/>
    <n v="0.66666666666666663"/>
    <x v="0"/>
    <s v="Online"/>
    <n v="14.4"/>
    <n v="15.6"/>
    <x v="0"/>
    <n v="12"/>
    <n v="2"/>
    <x v="3"/>
    <n v="28.186274509803919"/>
  </r>
  <r>
    <x v="461"/>
    <x v="2"/>
    <s v="Los Angeles, CA"/>
    <d v="2025-01-19T00:00:00"/>
    <d v="1899-12-30T20:30:00"/>
    <d v="2025-01-19T00:00:00"/>
    <d v="1899-12-30T21:10:00"/>
    <x v="4"/>
    <s v="XL"/>
    <s v="Cheese Burst"/>
    <n v="5"/>
    <n v="8"/>
    <s v="High"/>
    <s v="Wallet"/>
    <x v="0"/>
    <x v="1"/>
    <n v="5"/>
    <n v="0.625"/>
    <x v="0"/>
    <s v="Online"/>
    <n v="19.2"/>
    <n v="20.8"/>
    <x v="1"/>
    <n v="20"/>
    <n v="3"/>
    <x v="1"/>
    <n v="28.844221105527641"/>
  </r>
  <r>
    <x v="462"/>
    <x v="4"/>
    <s v="Houston, TX"/>
    <d v="2025-01-20T00:00:00"/>
    <d v="1899-12-30T18:45:00"/>
    <d v="2025-01-20T00:00:00"/>
    <d v="1899-12-30T19:05:00"/>
    <x v="2"/>
    <s v="Small"/>
    <s v="Vegan"/>
    <n v="1"/>
    <n v="2.5"/>
    <s v="Low"/>
    <s v="Cash"/>
    <x v="0"/>
    <x v="0"/>
    <n v="8"/>
    <n v="0.4"/>
    <x v="0"/>
    <s v="Offline"/>
    <n v="6"/>
    <n v="14"/>
    <x v="0"/>
    <n v="1"/>
    <n v="1"/>
    <x v="0"/>
    <n v="30.286458333333329"/>
  </r>
  <r>
    <x v="463"/>
    <x v="0"/>
    <s v="Phoenix, AZ"/>
    <d v="2025-01-21T00:00:00"/>
    <d v="1899-12-30T19:00:00"/>
    <d v="2025-01-21T00:00:00"/>
    <d v="1899-12-30T19:50:00"/>
    <x v="5"/>
    <s v="Large"/>
    <s v="Non-Veg"/>
    <n v="4"/>
    <n v="10"/>
    <s v="High"/>
    <s v="Card"/>
    <x v="0"/>
    <x v="0"/>
    <n v="5"/>
    <n v="0.4"/>
    <x v="0"/>
    <s v="Online"/>
    <n v="24"/>
    <n v="26"/>
    <x v="1"/>
    <n v="12"/>
    <n v="3"/>
    <x v="3"/>
    <n v="30.259433962264151"/>
  </r>
  <r>
    <x v="464"/>
    <x v="1"/>
    <s v="Philadelphia, PA"/>
    <d v="2025-01-22T00:00:00"/>
    <d v="1899-12-30T20:00:00"/>
    <d v="2025-01-22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0"/>
    <s v="Online"/>
    <n v="13.2"/>
    <n v="21.8"/>
    <x v="1"/>
    <n v="6"/>
    <n v="2"/>
    <x v="1"/>
    <n v="28.186274509803919"/>
  </r>
  <r>
    <x v="465"/>
    <x v="3"/>
    <s v="San Antonio, TX"/>
    <d v="2025-01-23T00:00:00"/>
    <d v="1899-12-30T18:30:00"/>
    <d v="2025-01-23T00:00:00"/>
    <d v="1899-12-30T18:50:00"/>
    <x v="2"/>
    <s v="Small"/>
    <s v="Vegan"/>
    <n v="2"/>
    <n v="2"/>
    <s v="Low"/>
    <s v="UPI"/>
    <x v="0"/>
    <x v="0"/>
    <n v="10"/>
    <n v="1"/>
    <x v="0"/>
    <s v="Online"/>
    <n v="4.8"/>
    <n v="15.2"/>
    <x v="0"/>
    <n v="2"/>
    <n v="1"/>
    <x v="0"/>
    <n v="29.948453608247419"/>
  </r>
  <r>
    <x v="466"/>
    <x v="2"/>
    <s v="San Diego, CA"/>
    <d v="2025-01-24T00:00:00"/>
    <d v="1899-12-30T19:45:00"/>
    <d v="2025-01-24T00:00:00"/>
    <d v="1899-12-30T20:25:00"/>
    <x v="4"/>
    <s v="XL"/>
    <s v="Stuffed Crust"/>
    <n v="5"/>
    <n v="7.5"/>
    <s v="High"/>
    <s v="Card"/>
    <x v="0"/>
    <x v="0"/>
    <n v="5.333333333333333"/>
    <n v="0.66666666666666663"/>
    <x v="0"/>
    <s v="Online"/>
    <n v="18"/>
    <n v="22"/>
    <x v="1"/>
    <n v="20"/>
    <n v="3"/>
    <x v="3"/>
    <n v="28.844221105527641"/>
  </r>
  <r>
    <x v="467"/>
    <x v="4"/>
    <s v="Dallas, TX"/>
    <d v="2025-01-25T00:00:00"/>
    <d v="1899-12-30T18:00:00"/>
    <d v="2025-01-25T00:00:00"/>
    <d v="1899-12-30T18:30:00"/>
    <x v="3"/>
    <s v="Medium"/>
    <s v="Non-Veg"/>
    <n v="3"/>
    <n v="4"/>
    <s v="Medium"/>
    <s v="UPI"/>
    <x v="0"/>
    <x v="1"/>
    <n v="7.5"/>
    <n v="0.75"/>
    <x v="0"/>
    <s v="Online"/>
    <n v="9.6"/>
    <n v="20.399999999999999"/>
    <x v="0"/>
    <n v="6"/>
    <n v="2"/>
    <x v="0"/>
    <n v="30.286458333333329"/>
  </r>
  <r>
    <x v="468"/>
    <x v="0"/>
    <s v="San Jose, CA"/>
    <d v="2025-01-26T00:00:00"/>
    <d v="1899-12-30T20:15:00"/>
    <d v="2025-01-26T00:00:00"/>
    <d v="1899-12-30T21:00:00"/>
    <x v="7"/>
    <s v="Large"/>
    <s v="Veg"/>
    <n v="4"/>
    <n v="9"/>
    <s v="High"/>
    <s v="Cash"/>
    <x v="0"/>
    <x v="1"/>
    <n v="5"/>
    <n v="0.44444444444444442"/>
    <x v="0"/>
    <s v="Offline"/>
    <n v="21.6"/>
    <n v="23.4"/>
    <x v="1"/>
    <n v="12"/>
    <n v="3"/>
    <x v="1"/>
    <n v="30.259433962264151"/>
  </r>
  <r>
    <x v="469"/>
    <x v="1"/>
    <s v="Austin, TX"/>
    <d v="2025-01-27T00:00:00"/>
    <d v="1899-12-30T18:00:00"/>
    <d v="2025-01-27T00:00:00"/>
    <d v="1899-12-30T18:20:00"/>
    <x v="2"/>
    <s v="Medium"/>
    <s v="Veg"/>
    <n v="2"/>
    <n v="3"/>
    <s v="Low"/>
    <s v="Card"/>
    <x v="0"/>
    <x v="0"/>
    <n v="6.666666666666667"/>
    <n v="0.66666666666666663"/>
    <x v="0"/>
    <s v="Online"/>
    <n v="7.1999999999999993"/>
    <n v="12.8"/>
    <x v="0"/>
    <n v="4"/>
    <n v="1"/>
    <x v="0"/>
    <n v="28.186274509803919"/>
  </r>
  <r>
    <x v="470"/>
    <x v="3"/>
    <s v="Jacksonville, FL"/>
    <d v="2025-01-28T00:00:00"/>
    <d v="1899-12-30T19:15:00"/>
    <d v="2025-01-28T00:00:00"/>
    <d v="1899-12-30T19:45:00"/>
    <x v="3"/>
    <s v="Large"/>
    <s v="Non-Veg"/>
    <n v="4"/>
    <n v="6"/>
    <s v="Medium"/>
    <s v="Wallet"/>
    <x v="0"/>
    <x v="0"/>
    <n v="5"/>
    <n v="0.66666666666666663"/>
    <x v="0"/>
    <s v="Online"/>
    <n v="14.4"/>
    <n v="15.6"/>
    <x v="0"/>
    <n v="12"/>
    <n v="2"/>
    <x v="3"/>
    <n v="29.948453608247419"/>
  </r>
  <r>
    <x v="471"/>
    <x v="2"/>
    <s v="Fort Worth, TX"/>
    <d v="2025-01-29T00:00:00"/>
    <d v="1899-12-30T20:30:00"/>
    <d v="2025-01-29T00:00:00"/>
    <d v="1899-12-30T21:10:00"/>
    <x v="4"/>
    <s v="XL"/>
    <s v="Cheese Burst"/>
    <n v="5"/>
    <n v="8"/>
    <s v="High"/>
    <s v="Card"/>
    <x v="0"/>
    <x v="0"/>
    <n v="5"/>
    <n v="0.625"/>
    <x v="0"/>
    <s v="Online"/>
    <n v="19.2"/>
    <n v="20.8"/>
    <x v="1"/>
    <n v="20"/>
    <n v="3"/>
    <x v="1"/>
    <n v="28.844221105527641"/>
  </r>
  <r>
    <x v="472"/>
    <x v="4"/>
    <s v="Columbus, OH"/>
    <d v="2025-01-30T00:00:00"/>
    <d v="1899-12-30T18:45:00"/>
    <d v="2025-01-30T00:00:00"/>
    <d v="1899-12-30T19:05:00"/>
    <x v="2"/>
    <s v="Small"/>
    <s v="Vegan"/>
    <n v="1"/>
    <n v="2.5"/>
    <s v="Low"/>
    <s v="Cash"/>
    <x v="0"/>
    <x v="0"/>
    <n v="8"/>
    <n v="0.4"/>
    <x v="0"/>
    <s v="Offline"/>
    <n v="6"/>
    <n v="14"/>
    <x v="0"/>
    <n v="1"/>
    <n v="1"/>
    <x v="0"/>
    <n v="30.286458333333329"/>
  </r>
  <r>
    <x v="473"/>
    <x v="0"/>
    <s v="Charlotte, NC"/>
    <d v="2025-01-31T00:00:00"/>
    <d v="1899-12-30T19:00:00"/>
    <d v="2025-01-31T00:00:00"/>
    <d v="1899-12-30T19:50:00"/>
    <x v="5"/>
    <s v="Large"/>
    <s v="Non-Veg"/>
    <n v="4"/>
    <n v="10"/>
    <s v="High"/>
    <s v="Card"/>
    <x v="0"/>
    <x v="0"/>
    <n v="5"/>
    <n v="0.4"/>
    <x v="0"/>
    <s v="Online"/>
    <n v="24"/>
    <n v="26"/>
    <x v="1"/>
    <n v="12"/>
    <n v="3"/>
    <x v="3"/>
    <n v="30.259433962264151"/>
  </r>
  <r>
    <x v="474"/>
    <x v="1"/>
    <s v="San Francisco, CA"/>
    <d v="2025-02-01T00:00:00"/>
    <d v="1899-12-30T20:00:00"/>
    <d v="2025-02-01T00:00:00"/>
    <d v="1899-12-30T20:35:00"/>
    <x v="6"/>
    <s v="Medium"/>
    <s v="Gluten-Free"/>
    <n v="3"/>
    <n v="5.5"/>
    <s v="Medium"/>
    <s v="Wallet"/>
    <x v="0"/>
    <x v="1"/>
    <n v="6.3636363636363633"/>
    <n v="0.54545454545454541"/>
    <x v="1"/>
    <s v="Online"/>
    <n v="13.2"/>
    <n v="21.8"/>
    <x v="1"/>
    <n v="6"/>
    <n v="2"/>
    <x v="1"/>
    <n v="28.186274509803919"/>
  </r>
  <r>
    <x v="475"/>
    <x v="3"/>
    <s v="Indianapolis, IN"/>
    <d v="2025-02-02T00:00:00"/>
    <d v="1899-12-30T18:30:00"/>
    <d v="2025-02-02T00:00:00"/>
    <d v="1899-12-30T18:50:00"/>
    <x v="2"/>
    <s v="Small"/>
    <s v="Vegan"/>
    <n v="2"/>
    <n v="2"/>
    <s v="Low"/>
    <s v="UPI"/>
    <x v="0"/>
    <x v="1"/>
    <n v="10"/>
    <n v="1"/>
    <x v="1"/>
    <s v="Online"/>
    <n v="4.8"/>
    <n v="15.2"/>
    <x v="0"/>
    <n v="2"/>
    <n v="1"/>
    <x v="0"/>
    <n v="29.948453608247419"/>
  </r>
  <r>
    <x v="476"/>
    <x v="2"/>
    <s v="Seattle, WA"/>
    <d v="2025-02-03T00:00:00"/>
    <d v="1899-12-30T19:45:00"/>
    <d v="2025-02-03T00:00:00"/>
    <d v="1899-12-30T20:25:00"/>
    <x v="4"/>
    <s v="XL"/>
    <s v="Stuffed Crust"/>
    <n v="5"/>
    <n v="7.5"/>
    <s v="High"/>
    <s v="Card"/>
    <x v="0"/>
    <x v="0"/>
    <n v="5.333333333333333"/>
    <n v="0.66666666666666663"/>
    <x v="1"/>
    <s v="Online"/>
    <n v="18"/>
    <n v="22"/>
    <x v="1"/>
    <n v="20"/>
    <n v="3"/>
    <x v="3"/>
    <n v="28.844221105527641"/>
  </r>
  <r>
    <x v="477"/>
    <x v="4"/>
    <s v="Denver, CO"/>
    <d v="2025-02-04T00:00:00"/>
    <d v="1899-12-30T18:00:00"/>
    <d v="2025-02-04T00:00:00"/>
    <d v="1899-12-30T18:30:00"/>
    <x v="3"/>
    <s v="Medium"/>
    <s v="Non-Veg"/>
    <n v="3"/>
    <n v="4"/>
    <s v="Medium"/>
    <s v="UPI"/>
    <x v="0"/>
    <x v="0"/>
    <n v="7.5"/>
    <n v="0.75"/>
    <x v="1"/>
    <s v="Online"/>
    <n v="9.6"/>
    <n v="20.399999999999999"/>
    <x v="0"/>
    <n v="6"/>
    <n v="2"/>
    <x v="0"/>
    <n v="30.286458333333329"/>
  </r>
  <r>
    <x v="478"/>
    <x v="0"/>
    <s v="Washington, DC"/>
    <d v="2025-02-05T00:00:00"/>
    <d v="1899-12-30T20:15:00"/>
    <d v="2025-02-05T00:00:00"/>
    <d v="1899-12-30T21:00:00"/>
    <x v="7"/>
    <s v="Large"/>
    <s v="Veg"/>
    <n v="4"/>
    <n v="9"/>
    <s v="High"/>
    <s v="Cash"/>
    <x v="0"/>
    <x v="0"/>
    <n v="5"/>
    <n v="0.44444444444444442"/>
    <x v="1"/>
    <s v="Offline"/>
    <n v="21.6"/>
    <n v="23.4"/>
    <x v="1"/>
    <n v="12"/>
    <n v="3"/>
    <x v="1"/>
    <n v="30.259433962264151"/>
  </r>
  <r>
    <x v="479"/>
    <x v="1"/>
    <s v="Boston, MA"/>
    <d v="2025-02-06T00:00:00"/>
    <d v="1899-12-30T18:00:00"/>
    <d v="2025-02-06T00:00:00"/>
    <d v="1899-12-30T18:20:00"/>
    <x v="2"/>
    <s v="Medium"/>
    <s v="Veg"/>
    <n v="2"/>
    <n v="3"/>
    <s v="Low"/>
    <s v="Card"/>
    <x v="0"/>
    <x v="0"/>
    <n v="6.666666666666667"/>
    <n v="0.66666666666666663"/>
    <x v="1"/>
    <s v="Online"/>
    <n v="7.1999999999999993"/>
    <n v="12.8"/>
    <x v="0"/>
    <n v="4"/>
    <n v="1"/>
    <x v="0"/>
    <n v="28.186274509803919"/>
  </r>
  <r>
    <x v="480"/>
    <x v="3"/>
    <s v="Nashville, TN"/>
    <d v="2025-02-07T00:00:00"/>
    <d v="1899-12-30T19:15:00"/>
    <d v="2025-02-07T00:00:00"/>
    <d v="1899-12-30T19:45:00"/>
    <x v="3"/>
    <s v="Large"/>
    <s v="Non-Veg"/>
    <n v="4"/>
    <n v="6"/>
    <s v="Medium"/>
    <s v="Wallet"/>
    <x v="0"/>
    <x v="0"/>
    <n v="5"/>
    <n v="0.66666666666666663"/>
    <x v="1"/>
    <s v="Online"/>
    <n v="14.4"/>
    <n v="15.6"/>
    <x v="0"/>
    <n v="12"/>
    <n v="2"/>
    <x v="3"/>
    <n v="29.948453608247419"/>
  </r>
  <r>
    <x v="481"/>
    <x v="2"/>
    <s v="Baltimore, MD"/>
    <d v="2025-02-08T00:00:00"/>
    <d v="1899-12-30T20:30:00"/>
    <d v="2025-02-08T00:00:00"/>
    <d v="1899-12-30T21:10:00"/>
    <x v="4"/>
    <s v="XL"/>
    <s v="Cheese Burst"/>
    <n v="5"/>
    <n v="8"/>
    <s v="High"/>
    <s v="Card"/>
    <x v="0"/>
    <x v="1"/>
    <n v="5"/>
    <n v="0.625"/>
    <x v="1"/>
    <s v="Online"/>
    <n v="19.2"/>
    <n v="20.8"/>
    <x v="1"/>
    <n v="20"/>
    <n v="3"/>
    <x v="1"/>
    <n v="28.844221105527641"/>
  </r>
  <r>
    <x v="482"/>
    <x v="4"/>
    <s v="Louisville, KY"/>
    <d v="2025-02-09T00:00:00"/>
    <d v="1899-12-30T18:45:00"/>
    <d v="2025-02-09T00:00:00"/>
    <d v="1899-12-30T19:05:00"/>
    <x v="2"/>
    <s v="Small"/>
    <s v="Vegan"/>
    <n v="1"/>
    <n v="2.5"/>
    <s v="Low"/>
    <s v="Cash"/>
    <x v="0"/>
    <x v="1"/>
    <n v="8"/>
    <n v="0.4"/>
    <x v="1"/>
    <s v="Offline"/>
    <n v="6"/>
    <n v="14"/>
    <x v="0"/>
    <n v="1"/>
    <n v="1"/>
    <x v="0"/>
    <n v="30.286458333333329"/>
  </r>
  <r>
    <x v="483"/>
    <x v="0"/>
    <s v="Milwaukee, WI"/>
    <d v="2025-02-10T00:00:00"/>
    <d v="1899-12-30T19:00:00"/>
    <d v="2025-02-10T00:00:00"/>
    <d v="1899-12-30T19:50:00"/>
    <x v="5"/>
    <s v="Large"/>
    <s v="Non-Veg"/>
    <n v="4"/>
    <n v="10"/>
    <s v="High"/>
    <s v="Card"/>
    <x v="0"/>
    <x v="0"/>
    <n v="5"/>
    <n v="0.4"/>
    <x v="1"/>
    <s v="Online"/>
    <n v="24"/>
    <n v="26"/>
    <x v="1"/>
    <n v="12"/>
    <n v="3"/>
    <x v="3"/>
    <n v="30.259433962264151"/>
  </r>
  <r>
    <x v="484"/>
    <x v="1"/>
    <s v="Albuquerque, NM"/>
    <d v="2025-02-11T00:00:00"/>
    <d v="1899-12-30T20:00:00"/>
    <d v="2025-02-11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1"/>
    <s v="Online"/>
    <n v="13.2"/>
    <n v="21.8"/>
    <x v="1"/>
    <n v="6"/>
    <n v="2"/>
    <x v="1"/>
    <n v="28.186274509803919"/>
  </r>
  <r>
    <x v="485"/>
    <x v="3"/>
    <s v="Tucson, AZ"/>
    <d v="2025-02-12T00:00:00"/>
    <d v="1899-12-30T18:30:00"/>
    <d v="2025-02-12T00:00:00"/>
    <d v="1899-12-30T18:50:00"/>
    <x v="2"/>
    <s v="Small"/>
    <s v="Vegan"/>
    <n v="2"/>
    <n v="2"/>
    <s v="Low"/>
    <s v="Wallet"/>
    <x v="0"/>
    <x v="0"/>
    <n v="10"/>
    <n v="1"/>
    <x v="1"/>
    <s v="Online"/>
    <n v="4.8"/>
    <n v="15.2"/>
    <x v="0"/>
    <n v="2"/>
    <n v="1"/>
    <x v="0"/>
    <n v="29.948453608247419"/>
  </r>
  <r>
    <x v="486"/>
    <x v="2"/>
    <s v="Fresno, CA"/>
    <d v="2025-02-13T00:00:00"/>
    <d v="1899-12-30T19:45:00"/>
    <d v="2025-02-13T00:00:00"/>
    <d v="1899-12-30T20:25:00"/>
    <x v="4"/>
    <s v="XL"/>
    <s v="Cheese Burst"/>
    <n v="5"/>
    <n v="7.5"/>
    <s v="High"/>
    <s v="Card"/>
    <x v="0"/>
    <x v="0"/>
    <n v="5.333333333333333"/>
    <n v="0.66666666666666663"/>
    <x v="1"/>
    <s v="Online"/>
    <n v="18"/>
    <n v="22"/>
    <x v="1"/>
    <n v="20"/>
    <n v="3"/>
    <x v="3"/>
    <n v="28.844221105527641"/>
  </r>
  <r>
    <x v="487"/>
    <x v="4"/>
    <s v="Sacramento, CA"/>
    <d v="2025-02-14T00:00:00"/>
    <d v="1899-12-30T18:00:00"/>
    <d v="2025-02-14T00:00:00"/>
    <d v="1899-12-30T18:20:00"/>
    <x v="2"/>
    <s v="Medium"/>
    <s v="Veg"/>
    <n v="2"/>
    <n v="3"/>
    <s v="Low"/>
    <s v="Card"/>
    <x v="0"/>
    <x v="0"/>
    <n v="6.666666666666667"/>
    <n v="0.66666666666666663"/>
    <x v="1"/>
    <s v="Online"/>
    <n v="7.1999999999999993"/>
    <n v="12.8"/>
    <x v="0"/>
    <n v="4"/>
    <n v="1"/>
    <x v="0"/>
    <n v="30.286458333333329"/>
  </r>
  <r>
    <x v="488"/>
    <x v="0"/>
    <s v="Kansas City, MO"/>
    <d v="2025-02-15T00:00:00"/>
    <d v="1899-12-30T19:15:00"/>
    <d v="2025-02-15T00:00:00"/>
    <d v="1899-12-30T19:45:00"/>
    <x v="3"/>
    <s v="Large"/>
    <s v="Deep Dish"/>
    <n v="4"/>
    <n v="6"/>
    <s v="Medium"/>
    <s v="UPI"/>
    <x v="0"/>
    <x v="1"/>
    <n v="5"/>
    <n v="0.66666666666666663"/>
    <x v="1"/>
    <s v="Online"/>
    <n v="14.4"/>
    <n v="15.6"/>
    <x v="0"/>
    <n v="12"/>
    <n v="2"/>
    <x v="3"/>
    <n v="30.259433962264151"/>
  </r>
  <r>
    <x v="489"/>
    <x v="1"/>
    <s v="Long Beach, CA"/>
    <d v="2025-02-16T00:00:00"/>
    <d v="1899-12-30T20:30:00"/>
    <d v="2025-02-16T00:00:00"/>
    <d v="1899-12-30T21:10:00"/>
    <x v="4"/>
    <s v="XL"/>
    <s v="Cheese Burst"/>
    <n v="5"/>
    <n v="8"/>
    <s v="High"/>
    <s v="Wallet"/>
    <x v="0"/>
    <x v="1"/>
    <n v="5"/>
    <n v="0.625"/>
    <x v="1"/>
    <s v="Online"/>
    <n v="19.2"/>
    <n v="20.8"/>
    <x v="1"/>
    <n v="20"/>
    <n v="3"/>
    <x v="1"/>
    <n v="28.186274509803919"/>
  </r>
  <r>
    <x v="490"/>
    <x v="3"/>
    <s v="Mesa, AZ"/>
    <d v="2025-02-17T00:00:00"/>
    <d v="1899-12-30T18:45:00"/>
    <d v="2025-02-17T00:00:00"/>
    <d v="1899-12-30T19:05:00"/>
    <x v="2"/>
    <s v="Small"/>
    <s v="Vegan"/>
    <n v="1"/>
    <n v="2.5"/>
    <s v="Low"/>
    <s v="Cash"/>
    <x v="0"/>
    <x v="0"/>
    <n v="8"/>
    <n v="0.4"/>
    <x v="1"/>
    <s v="Offline"/>
    <n v="6"/>
    <n v="14"/>
    <x v="0"/>
    <n v="1"/>
    <n v="1"/>
    <x v="0"/>
    <n v="29.948453608247419"/>
  </r>
  <r>
    <x v="491"/>
    <x v="0"/>
    <s v="Atlanta, GA"/>
    <d v="2025-02-18T00:00:00"/>
    <d v="1899-12-30T19:00:00"/>
    <d v="2025-02-18T00:00:00"/>
    <d v="1899-12-30T19:50:00"/>
    <x v="5"/>
    <s v="Large"/>
    <s v="Non-Veg"/>
    <n v="4"/>
    <n v="10"/>
    <s v="High"/>
    <s v="Card"/>
    <x v="0"/>
    <x v="0"/>
    <n v="5"/>
    <n v="0.4"/>
    <x v="1"/>
    <s v="Online"/>
    <n v="24"/>
    <n v="26"/>
    <x v="1"/>
    <n v="12"/>
    <n v="3"/>
    <x v="3"/>
    <n v="30.259433962264151"/>
  </r>
  <r>
    <x v="492"/>
    <x v="1"/>
    <s v="Omaha, NE"/>
    <d v="2025-02-19T00:00:00"/>
    <d v="1899-12-30T20:00:00"/>
    <d v="2025-02-19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1"/>
    <s v="Online"/>
    <n v="13.2"/>
    <n v="21.8"/>
    <x v="1"/>
    <n v="6"/>
    <n v="2"/>
    <x v="1"/>
    <n v="28.186274509803919"/>
  </r>
  <r>
    <x v="493"/>
    <x v="3"/>
    <s v="Raleigh, NC"/>
    <d v="2025-02-20T00:00:00"/>
    <d v="1899-12-30T18:30:00"/>
    <d v="2025-02-20T00:00:00"/>
    <d v="1899-12-30T18:50:00"/>
    <x v="2"/>
    <s v="Small"/>
    <s v="Vegan"/>
    <n v="2"/>
    <n v="2"/>
    <s v="Low"/>
    <s v="UPI"/>
    <x v="0"/>
    <x v="0"/>
    <n v="10"/>
    <n v="1"/>
    <x v="1"/>
    <s v="Online"/>
    <n v="4.8"/>
    <n v="15.2"/>
    <x v="0"/>
    <n v="2"/>
    <n v="1"/>
    <x v="0"/>
    <n v="29.948453608247419"/>
  </r>
  <r>
    <x v="494"/>
    <x v="2"/>
    <s v="Miami, FL"/>
    <d v="2025-02-21T00:00:00"/>
    <d v="1899-12-30T19:45:00"/>
    <d v="2025-02-21T00:00:00"/>
    <d v="1899-12-30T20:25:00"/>
    <x v="4"/>
    <s v="XL"/>
    <s v="Stuffed Crust"/>
    <n v="5"/>
    <n v="7.5"/>
    <s v="High"/>
    <s v="Card"/>
    <x v="0"/>
    <x v="0"/>
    <n v="5.333333333333333"/>
    <n v="0.66666666666666663"/>
    <x v="1"/>
    <s v="Online"/>
    <n v="18"/>
    <n v="22"/>
    <x v="1"/>
    <n v="20"/>
    <n v="3"/>
    <x v="3"/>
    <n v="28.844221105527641"/>
  </r>
  <r>
    <x v="495"/>
    <x v="4"/>
    <s v="Tulsa, OK"/>
    <d v="2025-02-22T00:00:00"/>
    <d v="1899-12-30T18:00:00"/>
    <d v="2025-02-22T00:00:00"/>
    <d v="1899-12-30T18:30:00"/>
    <x v="3"/>
    <s v="Medium"/>
    <s v="Non-Veg"/>
    <n v="3"/>
    <n v="4"/>
    <s v="Medium"/>
    <s v="UPI"/>
    <x v="0"/>
    <x v="1"/>
    <n v="7.5"/>
    <n v="0.75"/>
    <x v="1"/>
    <s v="Online"/>
    <n v="9.6"/>
    <n v="20.399999999999999"/>
    <x v="0"/>
    <n v="6"/>
    <n v="2"/>
    <x v="0"/>
    <n v="30.286458333333329"/>
  </r>
  <r>
    <x v="496"/>
    <x v="0"/>
    <s v="Minneapolis, MN"/>
    <d v="2025-02-23T00:00:00"/>
    <d v="1899-12-30T20:15:00"/>
    <d v="2025-02-23T00:00:00"/>
    <d v="1899-12-30T21:00:00"/>
    <x v="7"/>
    <s v="Large"/>
    <s v="Veg"/>
    <n v="4"/>
    <n v="9"/>
    <s v="High"/>
    <s v="Cash"/>
    <x v="0"/>
    <x v="1"/>
    <n v="5"/>
    <n v="0.44444444444444442"/>
    <x v="1"/>
    <s v="Offline"/>
    <n v="21.6"/>
    <n v="23.4"/>
    <x v="1"/>
    <n v="12"/>
    <n v="3"/>
    <x v="1"/>
    <n v="30.259433962264151"/>
  </r>
  <r>
    <x v="497"/>
    <x v="1"/>
    <s v="Arlington, TX"/>
    <d v="2025-02-24T00:00:00"/>
    <d v="1899-12-30T18:00:00"/>
    <d v="2025-02-24T00:00:00"/>
    <d v="1899-12-30T18:20:00"/>
    <x v="2"/>
    <s v="Medium"/>
    <s v="Veg"/>
    <n v="2"/>
    <n v="3"/>
    <s v="Low"/>
    <s v="Card"/>
    <x v="0"/>
    <x v="0"/>
    <n v="6.666666666666667"/>
    <n v="0.66666666666666663"/>
    <x v="1"/>
    <s v="Online"/>
    <n v="7.1999999999999993"/>
    <n v="12.8"/>
    <x v="0"/>
    <n v="4"/>
    <n v="1"/>
    <x v="0"/>
    <n v="28.186274509803919"/>
  </r>
  <r>
    <x v="498"/>
    <x v="3"/>
    <s v="New Orleans, LA"/>
    <d v="2025-02-25T00:00:00"/>
    <d v="1899-12-30T19:15:00"/>
    <d v="2025-02-25T00:00:00"/>
    <d v="1899-12-30T19:45:00"/>
    <x v="3"/>
    <s v="Large"/>
    <s v="Non-Veg"/>
    <n v="4"/>
    <n v="6"/>
    <s v="Medium"/>
    <s v="Wallet"/>
    <x v="0"/>
    <x v="0"/>
    <n v="5"/>
    <n v="0.66666666666666663"/>
    <x v="1"/>
    <s v="Online"/>
    <n v="14.4"/>
    <n v="15.6"/>
    <x v="0"/>
    <n v="12"/>
    <n v="2"/>
    <x v="3"/>
    <n v="29.948453608247419"/>
  </r>
  <r>
    <x v="499"/>
    <x v="2"/>
    <s v="Wichita, KS"/>
    <d v="2025-02-26T00:00:00"/>
    <d v="1899-12-30T20:30:00"/>
    <d v="2025-02-26T00:00:00"/>
    <d v="1899-12-30T21:10:00"/>
    <x v="4"/>
    <s v="XL"/>
    <s v="Cheese Burst"/>
    <n v="5"/>
    <n v="8"/>
    <s v="High"/>
    <s v="Card"/>
    <x v="0"/>
    <x v="0"/>
    <n v="5"/>
    <n v="0.625"/>
    <x v="1"/>
    <s v="Online"/>
    <n v="19.2"/>
    <n v="20.8"/>
    <x v="1"/>
    <n v="20"/>
    <n v="3"/>
    <x v="1"/>
    <n v="28.844221105527641"/>
  </r>
  <r>
    <x v="500"/>
    <x v="4"/>
    <s v="Cleveland, OH"/>
    <d v="2025-02-27T00:00:00"/>
    <d v="1899-12-30T18:45:00"/>
    <d v="2025-02-27T00:00:00"/>
    <d v="1899-12-30T19:05:00"/>
    <x v="2"/>
    <s v="Small"/>
    <s v="Vegan"/>
    <n v="1"/>
    <n v="2.5"/>
    <s v="Low"/>
    <s v="Cash"/>
    <x v="0"/>
    <x v="0"/>
    <n v="8"/>
    <n v="0.4"/>
    <x v="1"/>
    <s v="Offline"/>
    <n v="6"/>
    <n v="14"/>
    <x v="0"/>
    <n v="1"/>
    <n v="1"/>
    <x v="0"/>
    <n v="30.286458333333329"/>
  </r>
  <r>
    <x v="501"/>
    <x v="0"/>
    <s v="Tampa, FL"/>
    <d v="2025-02-28T00:00:00"/>
    <d v="1899-12-30T19:00:00"/>
    <d v="2025-02-28T00:00:00"/>
    <d v="1899-12-30T19:50:00"/>
    <x v="5"/>
    <s v="Large"/>
    <s v="Non-Veg"/>
    <n v="4"/>
    <n v="10"/>
    <s v="High"/>
    <s v="Domino's Cash"/>
    <x v="0"/>
    <x v="0"/>
    <n v="5"/>
    <n v="0.4"/>
    <x v="1"/>
    <s v="Offline"/>
    <n v="24"/>
    <n v="26"/>
    <x v="1"/>
    <n v="12"/>
    <n v="3"/>
    <x v="3"/>
    <n v="30.259433962264151"/>
  </r>
  <r>
    <x v="502"/>
    <x v="1"/>
    <s v="Bakersfield, CA"/>
    <d v="2025-03-01T00:00:00"/>
    <d v="1899-12-30T20:00:00"/>
    <d v="2025-03-01T00:00:00"/>
    <d v="1899-12-30T20:35:00"/>
    <x v="6"/>
    <s v="Medium"/>
    <s v="Gluten-Free"/>
    <n v="3"/>
    <n v="5.5"/>
    <s v="Medium"/>
    <s v="Wallet"/>
    <x v="0"/>
    <x v="1"/>
    <n v="6.3636363636363633"/>
    <n v="0.54545454545454541"/>
    <x v="2"/>
    <s v="Online"/>
    <n v="13.2"/>
    <n v="21.8"/>
    <x v="1"/>
    <n v="6"/>
    <n v="2"/>
    <x v="1"/>
    <n v="28.186274509803919"/>
  </r>
  <r>
    <x v="503"/>
    <x v="3"/>
    <s v="Aurora, CO"/>
    <d v="2025-03-02T00:00:00"/>
    <d v="1899-12-30T18:30:00"/>
    <d v="2025-03-02T00:00:00"/>
    <d v="1899-12-30T18:50:00"/>
    <x v="2"/>
    <s v="Small"/>
    <s v="Vegan"/>
    <n v="2"/>
    <n v="2"/>
    <s v="Low"/>
    <s v="UPI"/>
    <x v="0"/>
    <x v="1"/>
    <n v="10"/>
    <n v="1"/>
    <x v="2"/>
    <s v="Online"/>
    <n v="4.8"/>
    <n v="15.2"/>
    <x v="0"/>
    <n v="2"/>
    <n v="1"/>
    <x v="0"/>
    <n v="29.948453608247419"/>
  </r>
  <r>
    <x v="504"/>
    <x v="2"/>
    <s v="Anaheim, CA"/>
    <d v="2025-03-03T00:00:00"/>
    <d v="1899-12-30T19:45:00"/>
    <d v="2025-03-03T00:00:00"/>
    <d v="1899-12-30T20:25:00"/>
    <x v="4"/>
    <s v="XL"/>
    <s v="Stuffed Crust"/>
    <n v="5"/>
    <n v="7.5"/>
    <s v="High"/>
    <s v="Card"/>
    <x v="0"/>
    <x v="0"/>
    <n v="5.333333333333333"/>
    <n v="0.66666666666666663"/>
    <x v="2"/>
    <s v="Online"/>
    <n v="18"/>
    <n v="22"/>
    <x v="1"/>
    <n v="20"/>
    <n v="3"/>
    <x v="3"/>
    <n v="28.844221105527641"/>
  </r>
  <r>
    <x v="505"/>
    <x v="4"/>
    <s v="Honolulu, HI"/>
    <d v="2025-03-04T00:00:00"/>
    <d v="1899-12-30T18:00:00"/>
    <d v="2025-03-04T00:00:00"/>
    <d v="1899-12-30T18:30:00"/>
    <x v="3"/>
    <s v="Medium"/>
    <s v="Non-Veg"/>
    <n v="3"/>
    <n v="4"/>
    <s v="Medium"/>
    <s v="UPI"/>
    <x v="0"/>
    <x v="0"/>
    <n v="7.5"/>
    <n v="0.75"/>
    <x v="2"/>
    <s v="Online"/>
    <n v="9.6"/>
    <n v="20.399999999999999"/>
    <x v="0"/>
    <n v="6"/>
    <n v="2"/>
    <x v="0"/>
    <n v="30.286458333333329"/>
  </r>
  <r>
    <x v="506"/>
    <x v="0"/>
    <s v="Lexington, KY"/>
    <d v="2025-03-05T00:00:00"/>
    <d v="1899-12-30T20:15:00"/>
    <d v="2025-03-05T00:00:00"/>
    <d v="1899-12-30T21:00:00"/>
    <x v="7"/>
    <s v="Large"/>
    <s v="Veg"/>
    <n v="4"/>
    <n v="9"/>
    <s v="High"/>
    <s v="Cash"/>
    <x v="0"/>
    <x v="0"/>
    <n v="5"/>
    <n v="0.44444444444444442"/>
    <x v="2"/>
    <s v="Offline"/>
    <n v="21.6"/>
    <n v="23.4"/>
    <x v="1"/>
    <n v="12"/>
    <n v="3"/>
    <x v="1"/>
    <n v="30.259433962264151"/>
  </r>
  <r>
    <x v="507"/>
    <x v="1"/>
    <s v="Stockton, CA"/>
    <d v="2025-03-06T00:00:00"/>
    <d v="1899-12-30T18:00:00"/>
    <d v="2025-03-06T00:00:00"/>
    <d v="1899-12-30T18:20:00"/>
    <x v="2"/>
    <s v="Medium"/>
    <s v="Veg"/>
    <n v="2"/>
    <n v="3"/>
    <s v="Low"/>
    <s v="Card"/>
    <x v="0"/>
    <x v="0"/>
    <n v="6.666666666666667"/>
    <n v="0.66666666666666663"/>
    <x v="2"/>
    <s v="Online"/>
    <n v="7.1999999999999993"/>
    <n v="12.8"/>
    <x v="0"/>
    <n v="4"/>
    <n v="1"/>
    <x v="0"/>
    <n v="28.186274509803919"/>
  </r>
  <r>
    <x v="508"/>
    <x v="3"/>
    <s v="Corpus Christi, TX"/>
    <d v="2025-03-07T00:00:00"/>
    <d v="1899-12-30T19:15:00"/>
    <d v="2025-03-07T00:00:00"/>
    <d v="1899-12-30T19:45:00"/>
    <x v="3"/>
    <s v="Large"/>
    <s v="Non-Veg"/>
    <n v="4"/>
    <n v="6"/>
    <s v="Medium"/>
    <s v="Wallet"/>
    <x v="0"/>
    <x v="0"/>
    <n v="5"/>
    <n v="0.66666666666666663"/>
    <x v="2"/>
    <s v="Online"/>
    <n v="14.4"/>
    <n v="15.6"/>
    <x v="0"/>
    <n v="12"/>
    <n v="2"/>
    <x v="3"/>
    <n v="29.948453608247419"/>
  </r>
  <r>
    <x v="509"/>
    <x v="2"/>
    <s v="Henderson, NV"/>
    <d v="2025-03-08T00:00:00"/>
    <d v="1899-12-30T20:30:00"/>
    <d v="2025-03-08T00:00:00"/>
    <d v="1899-12-30T21:10:00"/>
    <x v="4"/>
    <s v="XL"/>
    <s v="Cheese Burst"/>
    <n v="5"/>
    <n v="8"/>
    <s v="High"/>
    <s v="Card"/>
    <x v="0"/>
    <x v="1"/>
    <n v="5"/>
    <n v="0.625"/>
    <x v="2"/>
    <s v="Online"/>
    <n v="19.2"/>
    <n v="20.8"/>
    <x v="1"/>
    <n v="20"/>
    <n v="3"/>
    <x v="1"/>
    <n v="28.844221105527641"/>
  </r>
  <r>
    <x v="510"/>
    <x v="4"/>
    <s v="Riverside, CA"/>
    <d v="2025-03-09T00:00:00"/>
    <d v="1899-12-30T18:45:00"/>
    <d v="2025-03-09T00:00:00"/>
    <d v="1899-12-30T19:05:00"/>
    <x v="2"/>
    <s v="Small"/>
    <s v="Vegan"/>
    <n v="1"/>
    <n v="2.5"/>
    <s v="Low"/>
    <s v="Cash"/>
    <x v="0"/>
    <x v="1"/>
    <n v="8"/>
    <n v="0.4"/>
    <x v="2"/>
    <s v="Offline"/>
    <n v="6"/>
    <n v="14"/>
    <x v="0"/>
    <n v="1"/>
    <n v="1"/>
    <x v="0"/>
    <n v="30.286458333333329"/>
  </r>
  <r>
    <x v="511"/>
    <x v="0"/>
    <s v="Newark, NJ"/>
    <d v="2025-03-10T00:00:00"/>
    <d v="1899-12-30T19:00:00"/>
    <d v="2025-03-10T00:00:00"/>
    <d v="1899-12-30T19:50:00"/>
    <x v="5"/>
    <s v="Large"/>
    <s v="Non-Veg"/>
    <n v="4"/>
    <n v="10"/>
    <s v="High"/>
    <s v="Card"/>
    <x v="0"/>
    <x v="0"/>
    <n v="5"/>
    <n v="0.4"/>
    <x v="2"/>
    <s v="Online"/>
    <n v="24"/>
    <n v="26"/>
    <x v="1"/>
    <n v="12"/>
    <n v="3"/>
    <x v="3"/>
    <n v="30.259433962264151"/>
  </r>
  <r>
    <x v="512"/>
    <x v="1"/>
    <s v="St. Paul, MN"/>
    <d v="2025-03-11T00:00:00"/>
    <d v="1899-12-30T20:00:00"/>
    <d v="2025-03-11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2"/>
    <s v="Online"/>
    <n v="13.2"/>
    <n v="21.8"/>
    <x v="1"/>
    <n v="6"/>
    <n v="2"/>
    <x v="1"/>
    <n v="28.186274509803919"/>
  </r>
  <r>
    <x v="513"/>
    <x v="3"/>
    <s v="Plano, TX"/>
    <d v="2025-03-12T00:00:00"/>
    <d v="1899-12-30T18:30:00"/>
    <d v="2025-03-12T00:00:00"/>
    <d v="1899-12-30T18:50:00"/>
    <x v="2"/>
    <s v="Small"/>
    <s v="Vegan"/>
    <n v="2"/>
    <n v="2"/>
    <s v="Low"/>
    <s v="UPI"/>
    <x v="0"/>
    <x v="0"/>
    <n v="10"/>
    <n v="1"/>
    <x v="2"/>
    <s v="Online"/>
    <n v="4.8"/>
    <n v="15.2"/>
    <x v="0"/>
    <n v="2"/>
    <n v="1"/>
    <x v="0"/>
    <n v="29.948453608247419"/>
  </r>
  <r>
    <x v="514"/>
    <x v="2"/>
    <s v="Lincoln, NE"/>
    <d v="2025-03-13T00:00:00"/>
    <d v="1899-12-30T19:45:00"/>
    <d v="2025-03-13T00:00:00"/>
    <d v="1899-12-30T20:25:00"/>
    <x v="4"/>
    <s v="XL"/>
    <s v="Cheese Burst"/>
    <n v="5"/>
    <n v="7.5"/>
    <s v="High"/>
    <s v="Card"/>
    <x v="0"/>
    <x v="0"/>
    <n v="5.333333333333333"/>
    <n v="0.66666666666666663"/>
    <x v="2"/>
    <s v="Online"/>
    <n v="18"/>
    <n v="22"/>
    <x v="1"/>
    <n v="20"/>
    <n v="3"/>
    <x v="3"/>
    <n v="28.844221105527641"/>
  </r>
  <r>
    <x v="515"/>
    <x v="4"/>
    <s v="Boise, ID"/>
    <d v="2025-03-14T00:00:00"/>
    <d v="1899-12-30T18:00:00"/>
    <d v="2025-03-14T00:00:00"/>
    <d v="1899-12-30T18:20:00"/>
    <x v="2"/>
    <s v="Medium"/>
    <s v="Veg"/>
    <n v="2"/>
    <n v="3"/>
    <s v="Low"/>
    <s v="Card"/>
    <x v="0"/>
    <x v="0"/>
    <n v="6.666666666666667"/>
    <n v="0.66666666666666663"/>
    <x v="2"/>
    <s v="Online"/>
    <n v="7.1999999999999993"/>
    <n v="12.8"/>
    <x v="0"/>
    <n v="4"/>
    <n v="1"/>
    <x v="0"/>
    <n v="30.286458333333329"/>
  </r>
  <r>
    <x v="516"/>
    <x v="0"/>
    <s v="Reno, NV"/>
    <d v="2025-03-15T00:00:00"/>
    <d v="1899-12-30T19:15:00"/>
    <d v="2025-03-15T00:00:00"/>
    <d v="1899-12-30T19:45:00"/>
    <x v="3"/>
    <s v="Large"/>
    <s v="Deep Dish"/>
    <n v="4"/>
    <n v="6"/>
    <s v="Medium"/>
    <s v="UPI"/>
    <x v="0"/>
    <x v="1"/>
    <n v="5"/>
    <n v="0.66666666666666663"/>
    <x v="2"/>
    <s v="Online"/>
    <n v="14.4"/>
    <n v="15.6"/>
    <x v="0"/>
    <n v="12"/>
    <n v="2"/>
    <x v="3"/>
    <n v="30.259433962264151"/>
  </r>
  <r>
    <x v="517"/>
    <x v="1"/>
    <s v="Scottsdale, AZ"/>
    <d v="2025-03-16T00:00:00"/>
    <d v="1899-12-30T20:30:00"/>
    <d v="2025-03-16T00:00:00"/>
    <d v="1899-12-30T21:10:00"/>
    <x v="4"/>
    <s v="XL"/>
    <s v="Cheese Burst"/>
    <n v="5"/>
    <n v="8"/>
    <s v="High"/>
    <s v="Wallet"/>
    <x v="0"/>
    <x v="1"/>
    <n v="5"/>
    <n v="0.625"/>
    <x v="2"/>
    <s v="Online"/>
    <n v="19.2"/>
    <n v="20.8"/>
    <x v="1"/>
    <n v="20"/>
    <n v="3"/>
    <x v="1"/>
    <n v="28.186274509803919"/>
  </r>
  <r>
    <x v="518"/>
    <x v="3"/>
    <s v="Irving, TX"/>
    <d v="2025-03-17T00:00:00"/>
    <d v="1899-12-30T18:45:00"/>
    <d v="2025-03-17T00:00:00"/>
    <d v="1899-12-30T19:05:00"/>
    <x v="2"/>
    <s v="Small"/>
    <s v="Vegan"/>
    <n v="1"/>
    <n v="2.5"/>
    <s v="Low"/>
    <s v="Cash"/>
    <x v="0"/>
    <x v="0"/>
    <n v="8"/>
    <n v="0.4"/>
    <x v="2"/>
    <s v="Offline"/>
    <n v="6"/>
    <n v="14"/>
    <x v="0"/>
    <n v="1"/>
    <n v="1"/>
    <x v="0"/>
    <n v="29.948453608247419"/>
  </r>
  <r>
    <x v="519"/>
    <x v="0"/>
    <s v="Orlando, FL"/>
    <d v="2025-03-18T00:00:00"/>
    <d v="1899-12-30T19:00:00"/>
    <d v="2025-03-18T00:00:00"/>
    <d v="1899-12-30T19:50:00"/>
    <x v="5"/>
    <s v="Large"/>
    <s v="Non-Veg"/>
    <n v="4"/>
    <n v="10"/>
    <s v="High"/>
    <s v="Card"/>
    <x v="0"/>
    <x v="0"/>
    <n v="5"/>
    <n v="0.4"/>
    <x v="2"/>
    <s v="Online"/>
    <n v="24"/>
    <n v="26"/>
    <x v="1"/>
    <n v="12"/>
    <n v="3"/>
    <x v="3"/>
    <n v="30.259433962264151"/>
  </r>
  <r>
    <x v="520"/>
    <x v="1"/>
    <s v="Madison, WI"/>
    <d v="2025-03-19T00:00:00"/>
    <d v="1899-12-30T20:00:00"/>
    <d v="2025-03-19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2"/>
    <s v="Online"/>
    <n v="13.2"/>
    <n v="21.8"/>
    <x v="1"/>
    <n v="6"/>
    <n v="2"/>
    <x v="1"/>
    <n v="28.186274509803919"/>
  </r>
  <r>
    <x v="521"/>
    <x v="3"/>
    <s v="Lubbock, TX"/>
    <d v="2025-03-20T00:00:00"/>
    <d v="1899-12-30T18:30:00"/>
    <d v="2025-03-20T00:00:00"/>
    <d v="1899-12-30T18:50:00"/>
    <x v="2"/>
    <s v="Small"/>
    <s v="Vegan"/>
    <n v="2"/>
    <n v="2"/>
    <s v="Low"/>
    <s v="UPI"/>
    <x v="0"/>
    <x v="0"/>
    <n v="10"/>
    <n v="1"/>
    <x v="2"/>
    <s v="Online"/>
    <n v="4.8"/>
    <n v="15.2"/>
    <x v="0"/>
    <n v="2"/>
    <n v="1"/>
    <x v="0"/>
    <n v="29.948453608247419"/>
  </r>
  <r>
    <x v="522"/>
    <x v="2"/>
    <s v="Chandler, AZ"/>
    <d v="2025-03-21T00:00:00"/>
    <d v="1899-12-30T19:45:00"/>
    <d v="2025-03-21T00:00:00"/>
    <d v="1899-12-30T20:25:00"/>
    <x v="4"/>
    <s v="XL"/>
    <s v="Stuffed Crust"/>
    <n v="5"/>
    <n v="7.5"/>
    <s v="High"/>
    <s v="Card"/>
    <x v="0"/>
    <x v="0"/>
    <n v="5.333333333333333"/>
    <n v="0.66666666666666663"/>
    <x v="2"/>
    <s v="Online"/>
    <n v="18"/>
    <n v="22"/>
    <x v="1"/>
    <n v="20"/>
    <n v="3"/>
    <x v="3"/>
    <n v="28.844221105527641"/>
  </r>
  <r>
    <x v="523"/>
    <x v="4"/>
    <s v="Garland, TX"/>
    <d v="2025-03-22T00:00:00"/>
    <d v="1899-12-30T18:00:00"/>
    <d v="2025-03-22T00:00:00"/>
    <d v="1899-12-30T18:30:00"/>
    <x v="3"/>
    <s v="Medium"/>
    <s v="Non-Veg"/>
    <n v="3"/>
    <n v="4"/>
    <s v="Medium"/>
    <s v="UPI"/>
    <x v="0"/>
    <x v="1"/>
    <n v="7.5"/>
    <n v="0.75"/>
    <x v="2"/>
    <s v="Online"/>
    <n v="9.6"/>
    <n v="20.399999999999999"/>
    <x v="0"/>
    <n v="6"/>
    <n v="2"/>
    <x v="0"/>
    <n v="30.286458333333329"/>
  </r>
  <r>
    <x v="524"/>
    <x v="0"/>
    <s v="Glendale, AZ"/>
    <d v="2025-03-23T00:00:00"/>
    <d v="1899-12-30T20:15:00"/>
    <d v="2025-03-23T00:00:00"/>
    <d v="1899-12-30T21:00:00"/>
    <x v="7"/>
    <s v="Large"/>
    <s v="Veg"/>
    <n v="4"/>
    <n v="9"/>
    <s v="High"/>
    <s v="Cash"/>
    <x v="0"/>
    <x v="1"/>
    <n v="5"/>
    <n v="0.44444444444444442"/>
    <x v="2"/>
    <s v="Offline"/>
    <n v="21.6"/>
    <n v="23.4"/>
    <x v="1"/>
    <n v="12"/>
    <n v="3"/>
    <x v="1"/>
    <n v="30.259433962264151"/>
  </r>
  <r>
    <x v="525"/>
    <x v="1"/>
    <s v="Akron, OH"/>
    <d v="2025-03-24T00:00:00"/>
    <d v="1899-12-30T18:00:00"/>
    <d v="2025-03-24T00:00:00"/>
    <d v="1899-12-30T18:20:00"/>
    <x v="2"/>
    <s v="Medium"/>
    <s v="Veg"/>
    <n v="2"/>
    <n v="3"/>
    <s v="Low"/>
    <s v="Card"/>
    <x v="0"/>
    <x v="0"/>
    <n v="6.666666666666667"/>
    <n v="0.66666666666666663"/>
    <x v="2"/>
    <s v="Online"/>
    <n v="7.1999999999999993"/>
    <n v="12.8"/>
    <x v="0"/>
    <n v="4"/>
    <n v="1"/>
    <x v="0"/>
    <n v="28.186274509803919"/>
  </r>
  <r>
    <x v="526"/>
    <x v="3"/>
    <s v="Baton Rouge, LA"/>
    <d v="2025-03-25T00:00:00"/>
    <d v="1899-12-30T19:15:00"/>
    <d v="2025-03-25T00:00:00"/>
    <d v="1899-12-30T19:45:00"/>
    <x v="3"/>
    <s v="Large"/>
    <s v="Non-Veg"/>
    <n v="4"/>
    <n v="6"/>
    <s v="Medium"/>
    <s v="Wallet"/>
    <x v="0"/>
    <x v="0"/>
    <n v="5"/>
    <n v="0.66666666666666663"/>
    <x v="2"/>
    <s v="Online"/>
    <n v="14.4"/>
    <n v="15.6"/>
    <x v="0"/>
    <n v="12"/>
    <n v="2"/>
    <x v="3"/>
    <n v="29.948453608247419"/>
  </r>
  <r>
    <x v="527"/>
    <x v="2"/>
    <s v="Durham, NC"/>
    <d v="2025-03-26T00:00:00"/>
    <d v="1899-12-30T20:30:00"/>
    <d v="2025-03-26T00:00:00"/>
    <d v="1899-12-30T21:10:00"/>
    <x v="4"/>
    <s v="XL"/>
    <s v="Cheese Burst"/>
    <n v="5"/>
    <n v="8"/>
    <s v="High"/>
    <s v="Card"/>
    <x v="0"/>
    <x v="0"/>
    <n v="5"/>
    <n v="0.625"/>
    <x v="2"/>
    <s v="Online"/>
    <n v="19.2"/>
    <n v="20.8"/>
    <x v="1"/>
    <n v="20"/>
    <n v="3"/>
    <x v="1"/>
    <n v="28.844221105527641"/>
  </r>
  <r>
    <x v="528"/>
    <x v="4"/>
    <s v="Chula Vista, CA"/>
    <d v="2025-03-27T00:00:00"/>
    <d v="1899-12-30T18:45:00"/>
    <d v="2025-03-27T00:00:00"/>
    <d v="1899-12-30T19:05:00"/>
    <x v="2"/>
    <s v="Small"/>
    <s v="Vegan"/>
    <n v="1"/>
    <n v="2.5"/>
    <s v="Low"/>
    <s v="Cash"/>
    <x v="0"/>
    <x v="0"/>
    <n v="8"/>
    <n v="0.4"/>
    <x v="2"/>
    <s v="Offline"/>
    <n v="6"/>
    <n v="14"/>
    <x v="0"/>
    <n v="1"/>
    <n v="1"/>
    <x v="0"/>
    <n v="30.286458333333329"/>
  </r>
  <r>
    <x v="529"/>
    <x v="0"/>
    <s v="Fort Wayne, IN"/>
    <d v="2025-03-28T00:00:00"/>
    <d v="1899-12-30T19:00:00"/>
    <d v="2025-03-28T00:00:00"/>
    <d v="1899-12-30T19:50:00"/>
    <x v="5"/>
    <s v="Large"/>
    <s v="Non-Veg"/>
    <n v="4"/>
    <n v="10"/>
    <s v="High"/>
    <s v="Domino's Cash"/>
    <x v="0"/>
    <x v="0"/>
    <n v="5"/>
    <n v="0.4"/>
    <x v="2"/>
    <s v="Offline"/>
    <n v="24"/>
    <n v="26"/>
    <x v="1"/>
    <n v="12"/>
    <n v="3"/>
    <x v="3"/>
    <n v="30.259433962264151"/>
  </r>
  <r>
    <x v="530"/>
    <x v="1"/>
    <s v="St. Petersburg, FL"/>
    <d v="2025-03-29T00:00:00"/>
    <d v="1899-12-30T20:00:00"/>
    <d v="2025-03-29T00:00:00"/>
    <d v="1899-12-30T20:35:00"/>
    <x v="6"/>
    <s v="Medium"/>
    <s v="Gluten-Free"/>
    <n v="3"/>
    <n v="5.5"/>
    <s v="Medium"/>
    <s v="Wallet"/>
    <x v="0"/>
    <x v="1"/>
    <n v="6.3636363636363633"/>
    <n v="0.54545454545454541"/>
    <x v="2"/>
    <s v="Online"/>
    <n v="13.2"/>
    <n v="21.8"/>
    <x v="1"/>
    <n v="6"/>
    <n v="2"/>
    <x v="1"/>
    <n v="28.186274509803919"/>
  </r>
  <r>
    <x v="531"/>
    <x v="3"/>
    <s v="Jersey City, NJ"/>
    <d v="2025-03-30T00:00:00"/>
    <d v="1899-12-30T18:30:00"/>
    <d v="2025-03-30T00:00:00"/>
    <d v="1899-12-30T18:50:00"/>
    <x v="2"/>
    <s v="Small"/>
    <s v="Vegan"/>
    <n v="2"/>
    <n v="2"/>
    <s v="Low"/>
    <s v="UPI"/>
    <x v="0"/>
    <x v="1"/>
    <n v="10"/>
    <n v="1"/>
    <x v="2"/>
    <s v="Online"/>
    <n v="4.8"/>
    <n v="15.2"/>
    <x v="0"/>
    <n v="2"/>
    <n v="1"/>
    <x v="0"/>
    <n v="29.948453608247419"/>
  </r>
  <r>
    <x v="532"/>
    <x v="2"/>
    <s v="St. Louis, MO"/>
    <d v="2025-03-31T00:00:00"/>
    <d v="1899-12-30T19:45:00"/>
    <d v="2025-03-31T00:00:00"/>
    <d v="1899-12-30T20:25:00"/>
    <x v="4"/>
    <s v="XL"/>
    <s v="Stuffed Crust"/>
    <n v="5"/>
    <n v="7.5"/>
    <s v="High"/>
    <s v="Card"/>
    <x v="0"/>
    <x v="0"/>
    <n v="5.333333333333333"/>
    <n v="0.66666666666666663"/>
    <x v="2"/>
    <s v="Online"/>
    <n v="18"/>
    <n v="22"/>
    <x v="1"/>
    <n v="20"/>
    <n v="3"/>
    <x v="3"/>
    <n v="28.844221105527641"/>
  </r>
  <r>
    <x v="533"/>
    <x v="4"/>
    <s v="Norfolk, VA"/>
    <d v="2025-04-01T00:00:00"/>
    <d v="1899-12-30T18:00:00"/>
    <d v="2025-04-01T00:00:00"/>
    <d v="1899-12-30T18:30:00"/>
    <x v="3"/>
    <s v="Medium"/>
    <s v="Non-Veg"/>
    <n v="3"/>
    <n v="4"/>
    <s v="Medium"/>
    <s v="UPI"/>
    <x v="0"/>
    <x v="0"/>
    <n v="7.5"/>
    <n v="0.75"/>
    <x v="3"/>
    <s v="Online"/>
    <n v="9.6"/>
    <n v="20.399999999999999"/>
    <x v="0"/>
    <n v="6"/>
    <n v="2"/>
    <x v="0"/>
    <n v="30.286458333333329"/>
  </r>
  <r>
    <x v="534"/>
    <x v="0"/>
    <s v="Laredo, TX"/>
    <d v="2025-04-02T00:00:00"/>
    <d v="1899-12-30T20:15:00"/>
    <d v="2025-04-02T00:00:00"/>
    <d v="1899-12-30T21:00:00"/>
    <x v="7"/>
    <s v="Large"/>
    <s v="Veg"/>
    <n v="4"/>
    <n v="9"/>
    <s v="High"/>
    <s v="Cash"/>
    <x v="0"/>
    <x v="0"/>
    <n v="5"/>
    <n v="0.44444444444444442"/>
    <x v="3"/>
    <s v="Offline"/>
    <n v="21.6"/>
    <n v="23.4"/>
    <x v="1"/>
    <n v="12"/>
    <n v="3"/>
    <x v="1"/>
    <n v="30.259433962264151"/>
  </r>
  <r>
    <x v="535"/>
    <x v="1"/>
    <s v="Chandler, AZ"/>
    <d v="2025-04-03T00:00:00"/>
    <d v="1899-12-30T18:00:00"/>
    <d v="2025-04-03T00:00:00"/>
    <d v="1899-12-30T18:20:00"/>
    <x v="2"/>
    <s v="Medium"/>
    <s v="Veg"/>
    <n v="2"/>
    <n v="3"/>
    <s v="Low"/>
    <s v="Card"/>
    <x v="0"/>
    <x v="0"/>
    <n v="6.666666666666667"/>
    <n v="0.66666666666666663"/>
    <x v="3"/>
    <s v="Online"/>
    <n v="7.1999999999999993"/>
    <n v="12.8"/>
    <x v="0"/>
    <n v="4"/>
    <n v="1"/>
    <x v="0"/>
    <n v="28.186274509803919"/>
  </r>
  <r>
    <x v="536"/>
    <x v="3"/>
    <s v="Lubbock, TX"/>
    <d v="2025-04-04T00:00:00"/>
    <d v="1899-12-30T19:15:00"/>
    <d v="2025-04-04T00:00:00"/>
    <d v="1899-12-30T19:45:00"/>
    <x v="3"/>
    <s v="Large"/>
    <s v="Non-Veg"/>
    <n v="4"/>
    <n v="6"/>
    <s v="Medium"/>
    <s v="Wallet"/>
    <x v="0"/>
    <x v="0"/>
    <n v="5"/>
    <n v="0.66666666666666663"/>
    <x v="3"/>
    <s v="Online"/>
    <n v="14.4"/>
    <n v="15.6"/>
    <x v="0"/>
    <n v="12"/>
    <n v="2"/>
    <x v="3"/>
    <n v="29.948453608247419"/>
  </r>
  <r>
    <x v="537"/>
    <x v="2"/>
    <s v="Garland, TX"/>
    <d v="2025-04-05T00:00:00"/>
    <d v="1899-12-30T20:30:00"/>
    <d v="2025-04-05T00:00:00"/>
    <d v="1899-12-30T21:10:00"/>
    <x v="4"/>
    <s v="XL"/>
    <s v="Cheese Burst"/>
    <n v="5"/>
    <n v="8"/>
    <s v="High"/>
    <s v="Card"/>
    <x v="0"/>
    <x v="1"/>
    <n v="5"/>
    <n v="0.625"/>
    <x v="3"/>
    <s v="Online"/>
    <n v="19.2"/>
    <n v="20.8"/>
    <x v="1"/>
    <n v="20"/>
    <n v="3"/>
    <x v="1"/>
    <n v="28.844221105527641"/>
  </r>
  <r>
    <x v="538"/>
    <x v="4"/>
    <s v="Glendale, AZ"/>
    <d v="2025-04-06T00:00:00"/>
    <d v="1899-12-30T18:45:00"/>
    <d v="2025-04-06T00:00:00"/>
    <d v="1899-12-30T19:05:00"/>
    <x v="2"/>
    <s v="Small"/>
    <s v="Vegan"/>
    <n v="1"/>
    <n v="2.5"/>
    <s v="Low"/>
    <s v="Cash"/>
    <x v="0"/>
    <x v="1"/>
    <n v="8"/>
    <n v="0.4"/>
    <x v="3"/>
    <s v="Offline"/>
    <n v="6"/>
    <n v="14"/>
    <x v="0"/>
    <n v="1"/>
    <n v="1"/>
    <x v="0"/>
    <n v="30.286458333333329"/>
  </r>
  <r>
    <x v="539"/>
    <x v="0"/>
    <s v="Akron, OH"/>
    <d v="2025-04-07T00:00:00"/>
    <d v="1899-12-30T19:00:00"/>
    <d v="2025-04-07T00:00:00"/>
    <d v="1899-12-30T19:50:00"/>
    <x v="5"/>
    <s v="Large"/>
    <s v="Non-Veg"/>
    <n v="4"/>
    <n v="10"/>
    <s v="High"/>
    <s v="Card"/>
    <x v="0"/>
    <x v="0"/>
    <n v="5"/>
    <n v="0.4"/>
    <x v="3"/>
    <s v="Online"/>
    <n v="24"/>
    <n v="26"/>
    <x v="1"/>
    <n v="12"/>
    <n v="3"/>
    <x v="3"/>
    <n v="30.259433962264151"/>
  </r>
  <r>
    <x v="540"/>
    <x v="1"/>
    <s v="Baton Rouge, LA"/>
    <d v="2025-04-08T00:00:00"/>
    <d v="1899-12-30T20:00:00"/>
    <d v="2025-04-08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3"/>
    <s v="Online"/>
    <n v="13.2"/>
    <n v="21.8"/>
    <x v="1"/>
    <n v="6"/>
    <n v="2"/>
    <x v="1"/>
    <n v="28.186274509803919"/>
  </r>
  <r>
    <x v="541"/>
    <x v="3"/>
    <s v="Durham, NC"/>
    <d v="2025-04-09T00:00:00"/>
    <d v="1899-12-30T18:30:00"/>
    <d v="2025-04-09T00:00:00"/>
    <d v="1899-12-30T18:50:00"/>
    <x v="2"/>
    <s v="Small"/>
    <s v="Vegan"/>
    <n v="2"/>
    <n v="2"/>
    <s v="Low"/>
    <s v="UPI"/>
    <x v="0"/>
    <x v="0"/>
    <n v="10"/>
    <n v="1"/>
    <x v="3"/>
    <s v="Online"/>
    <n v="4.8"/>
    <n v="15.2"/>
    <x v="0"/>
    <n v="2"/>
    <n v="1"/>
    <x v="0"/>
    <n v="29.948453608247419"/>
  </r>
  <r>
    <x v="542"/>
    <x v="0"/>
    <s v="Austin, TX"/>
    <d v="2025-04-10T00:00:00"/>
    <d v="1899-12-30T19:00:00"/>
    <d v="2025-04-10T00:00:00"/>
    <d v="1899-12-30T19:45:00"/>
    <x v="7"/>
    <s v="Large"/>
    <s v="Thai Chicken"/>
    <n v="4"/>
    <n v="7"/>
    <s v="Medium"/>
    <s v="Card"/>
    <x v="0"/>
    <x v="0"/>
    <n v="6.4285714285714288"/>
    <n v="0.5714285714285714"/>
    <x v="3"/>
    <s v="Online"/>
    <n v="16.8"/>
    <n v="28.2"/>
    <x v="1"/>
    <n v="12"/>
    <n v="2"/>
    <x v="3"/>
    <n v="30.259433962264151"/>
  </r>
  <r>
    <x v="543"/>
    <x v="1"/>
    <s v="Denver, CO"/>
    <d v="2025-04-11T00:00:00"/>
    <d v="1899-12-30T20:15:00"/>
    <d v="2025-04-11T00:00:00"/>
    <d v="1899-12-30T20:55:00"/>
    <x v="4"/>
    <s v="Medium"/>
    <s v="Sicilian"/>
    <n v="3"/>
    <n v="6.5"/>
    <s v="High"/>
    <s v="Wallet"/>
    <x v="0"/>
    <x v="0"/>
    <n v="6.1538461538461542"/>
    <n v="0.46153846153846162"/>
    <x v="3"/>
    <s v="Online"/>
    <n v="15.6"/>
    <n v="24.4"/>
    <x v="1"/>
    <n v="6"/>
    <n v="3"/>
    <x v="1"/>
    <n v="28.186274509803919"/>
  </r>
  <r>
    <x v="544"/>
    <x v="3"/>
    <s v="Miami, FL"/>
    <d v="2025-04-12T00:00:00"/>
    <d v="1899-12-30T18:45:00"/>
    <d v="2025-04-12T00:00:00"/>
    <d v="1899-12-30T19:05:00"/>
    <x v="2"/>
    <s v="Small"/>
    <s v="Vegan"/>
    <n v="1"/>
    <n v="2.5"/>
    <s v="Low"/>
    <s v="Cash"/>
    <x v="0"/>
    <x v="1"/>
    <n v="8"/>
    <n v="0.4"/>
    <x v="3"/>
    <s v="Offline"/>
    <n v="6"/>
    <n v="14"/>
    <x v="0"/>
    <n v="1"/>
    <n v="1"/>
    <x v="0"/>
    <n v="29.948453608247419"/>
  </r>
  <r>
    <x v="545"/>
    <x v="2"/>
    <s v="Seattle, WA"/>
    <d v="2025-04-13T00:00:00"/>
    <d v="1899-12-30T19:30:00"/>
    <d v="2025-04-13T00:00:00"/>
    <d v="1899-12-30T20:10:00"/>
    <x v="4"/>
    <s v="XL"/>
    <s v="Cheese Burst"/>
    <n v="5"/>
    <n v="8"/>
    <s v="High"/>
    <s v="Card"/>
    <x v="0"/>
    <x v="1"/>
    <n v="5"/>
    <n v="0.625"/>
    <x v="3"/>
    <s v="Online"/>
    <n v="19.2"/>
    <n v="20.8"/>
    <x v="1"/>
    <n v="20"/>
    <n v="3"/>
    <x v="3"/>
    <n v="28.844221105527641"/>
  </r>
  <r>
    <x v="546"/>
    <x v="4"/>
    <s v="Portland, OR"/>
    <d v="2025-04-14T00:00:00"/>
    <d v="1899-12-30T18:00:00"/>
    <d v="2025-04-14T00:00:00"/>
    <d v="1899-12-30T18:30:00"/>
    <x v="3"/>
    <s v="Medium"/>
    <s v="Non-Veg"/>
    <n v="3"/>
    <n v="4"/>
    <s v="Medium"/>
    <s v="UPI"/>
    <x v="0"/>
    <x v="0"/>
    <n v="7.5"/>
    <n v="0.75"/>
    <x v="3"/>
    <s v="Online"/>
    <n v="9.6"/>
    <n v="20.399999999999999"/>
    <x v="0"/>
    <n v="6"/>
    <n v="2"/>
    <x v="0"/>
    <n v="30.286458333333329"/>
  </r>
  <r>
    <x v="547"/>
    <x v="0"/>
    <s v="Chicago, IL"/>
    <d v="2025-04-15T00:00:00"/>
    <d v="1899-12-30T20:15:00"/>
    <d v="2025-04-15T00:00:00"/>
    <d v="1899-12-30T21:00:00"/>
    <x v="7"/>
    <s v="Large"/>
    <s v="Veg"/>
    <n v="4"/>
    <n v="9"/>
    <s v="High"/>
    <s v="Cash"/>
    <x v="0"/>
    <x v="0"/>
    <n v="5"/>
    <n v="0.44444444444444442"/>
    <x v="3"/>
    <s v="Offline"/>
    <n v="21.6"/>
    <n v="23.4"/>
    <x v="1"/>
    <n v="12"/>
    <n v="3"/>
    <x v="1"/>
    <n v="30.259433962264151"/>
  </r>
  <r>
    <x v="548"/>
    <x v="1"/>
    <s v="Boston, MA"/>
    <d v="2025-04-16T00:00:00"/>
    <d v="1899-12-30T18:00:00"/>
    <d v="2025-04-16T00:00:00"/>
    <d v="1899-12-30T18:20:00"/>
    <x v="2"/>
    <s v="Medium"/>
    <s v="Veg"/>
    <n v="2"/>
    <n v="3"/>
    <s v="Low"/>
    <s v="Card"/>
    <x v="0"/>
    <x v="0"/>
    <n v="6.666666666666667"/>
    <n v="0.66666666666666663"/>
    <x v="3"/>
    <s v="Online"/>
    <n v="7.1999999999999993"/>
    <n v="12.8"/>
    <x v="0"/>
    <n v="4"/>
    <n v="1"/>
    <x v="0"/>
    <n v="28.186274509803919"/>
  </r>
  <r>
    <x v="549"/>
    <x v="3"/>
    <s v="Atlanta, GA"/>
    <d v="2025-04-17T00:00:00"/>
    <d v="1899-12-30T19:15:00"/>
    <d v="2025-04-17T00:00:00"/>
    <d v="1899-12-30T19:45:00"/>
    <x v="3"/>
    <s v="Large"/>
    <s v="Non-Veg"/>
    <n v="4"/>
    <n v="6"/>
    <s v="Medium"/>
    <s v="Wallet"/>
    <x v="0"/>
    <x v="0"/>
    <n v="5"/>
    <n v="0.66666666666666663"/>
    <x v="3"/>
    <s v="Online"/>
    <n v="14.4"/>
    <n v="15.6"/>
    <x v="0"/>
    <n v="12"/>
    <n v="2"/>
    <x v="3"/>
    <n v="29.948453608247419"/>
  </r>
  <r>
    <x v="550"/>
    <x v="2"/>
    <s v="Phoenix, AZ"/>
    <d v="2025-04-18T00:00:00"/>
    <d v="1899-12-30T20:30:00"/>
    <d v="2025-04-18T00:00:00"/>
    <d v="1899-12-30T21:10:00"/>
    <x v="4"/>
    <s v="XL"/>
    <s v="Cheese Burst"/>
    <n v="5"/>
    <n v="8"/>
    <s v="High"/>
    <s v="Card"/>
    <x v="0"/>
    <x v="0"/>
    <n v="5"/>
    <n v="0.625"/>
    <x v="3"/>
    <s v="Online"/>
    <n v="19.2"/>
    <n v="20.8"/>
    <x v="1"/>
    <n v="20"/>
    <n v="3"/>
    <x v="1"/>
    <n v="28.844221105527641"/>
  </r>
  <r>
    <x v="551"/>
    <x v="4"/>
    <s v="San Diego, CA"/>
    <d v="2025-04-19T00:00:00"/>
    <d v="1899-12-30T18:45:00"/>
    <d v="2025-04-19T00:00:00"/>
    <d v="1899-12-30T19:05:00"/>
    <x v="2"/>
    <s v="Small"/>
    <s v="Vegan"/>
    <n v="1"/>
    <n v="2.5"/>
    <s v="Low"/>
    <s v="Cash"/>
    <x v="0"/>
    <x v="1"/>
    <n v="8"/>
    <n v="0.4"/>
    <x v="3"/>
    <s v="Offline"/>
    <n v="6"/>
    <n v="14"/>
    <x v="0"/>
    <n v="1"/>
    <n v="1"/>
    <x v="0"/>
    <n v="30.286458333333329"/>
  </r>
  <r>
    <x v="552"/>
    <x v="0"/>
    <s v="Columbus, OH"/>
    <d v="2025-04-20T00:00:00"/>
    <d v="1899-12-30T19:00:00"/>
    <d v="2025-04-20T00:00:00"/>
    <d v="1899-12-30T19:50:00"/>
    <x v="5"/>
    <s v="Large"/>
    <s v="Non-Veg"/>
    <n v="4"/>
    <n v="10"/>
    <s v="High"/>
    <s v="Domino's Cash"/>
    <x v="0"/>
    <x v="1"/>
    <n v="5"/>
    <n v="0.4"/>
    <x v="3"/>
    <s v="Offline"/>
    <n v="24"/>
    <n v="26"/>
    <x v="1"/>
    <n v="12"/>
    <n v="3"/>
    <x v="3"/>
    <n v="30.259433962264151"/>
  </r>
  <r>
    <x v="553"/>
    <x v="1"/>
    <s v="Charlotte, NC"/>
    <d v="2025-04-21T00:00:00"/>
    <d v="1899-12-30T20:00:00"/>
    <d v="2025-04-21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3"/>
    <s v="Online"/>
    <n v="13.2"/>
    <n v="21.8"/>
    <x v="1"/>
    <n v="6"/>
    <n v="2"/>
    <x v="1"/>
    <n v="28.186274509803919"/>
  </r>
  <r>
    <x v="554"/>
    <x v="3"/>
    <s v="Nashville, TN"/>
    <d v="2025-04-22T00:00:00"/>
    <d v="1899-12-30T18:30:00"/>
    <d v="2025-04-22T00:00:00"/>
    <d v="1899-12-30T18:50:00"/>
    <x v="2"/>
    <s v="Small"/>
    <s v="Vegan"/>
    <n v="2"/>
    <n v="2"/>
    <s v="Low"/>
    <s v="UPI"/>
    <x v="0"/>
    <x v="0"/>
    <n v="10"/>
    <n v="1"/>
    <x v="3"/>
    <s v="Online"/>
    <n v="4.8"/>
    <n v="15.2"/>
    <x v="0"/>
    <n v="2"/>
    <n v="1"/>
    <x v="0"/>
    <n v="29.948453608247419"/>
  </r>
  <r>
    <x v="555"/>
    <x v="2"/>
    <s v="Oklahoma City, OK"/>
    <d v="2025-04-23T00:00:00"/>
    <d v="1899-12-30T19:45:00"/>
    <d v="2025-04-23T00:00:00"/>
    <d v="1899-12-30T20:25:00"/>
    <x v="4"/>
    <s v="XL"/>
    <s v="Stuffed Crust"/>
    <n v="5"/>
    <n v="7.5"/>
    <s v="High"/>
    <s v="Card"/>
    <x v="0"/>
    <x v="0"/>
    <n v="5.333333333333333"/>
    <n v="0.66666666666666663"/>
    <x v="3"/>
    <s v="Online"/>
    <n v="18"/>
    <n v="22"/>
    <x v="1"/>
    <n v="20"/>
    <n v="3"/>
    <x v="3"/>
    <n v="28.844221105527641"/>
  </r>
  <r>
    <x v="556"/>
    <x v="4"/>
    <s v="Las Vegas, NV"/>
    <d v="2025-04-24T00:00:00"/>
    <d v="1899-12-30T18:00:00"/>
    <d v="2025-04-24T00:00:00"/>
    <d v="1899-12-30T18:30:00"/>
    <x v="3"/>
    <s v="Medium"/>
    <s v="Non-Veg"/>
    <n v="3"/>
    <n v="4"/>
    <s v="Medium"/>
    <s v="UPI"/>
    <x v="0"/>
    <x v="0"/>
    <n v="7.5"/>
    <n v="0.75"/>
    <x v="3"/>
    <s v="Online"/>
    <n v="9.6"/>
    <n v="20.399999999999999"/>
    <x v="0"/>
    <n v="6"/>
    <n v="2"/>
    <x v="0"/>
    <n v="30.286458333333329"/>
  </r>
  <r>
    <x v="557"/>
    <x v="0"/>
    <s v="Indianapolis, IN"/>
    <d v="2025-04-25T00:00:00"/>
    <d v="1899-12-30T20:15:00"/>
    <d v="2025-04-25T00:00:00"/>
    <d v="1899-12-30T21:00:00"/>
    <x v="7"/>
    <s v="Large"/>
    <s v="Veg"/>
    <n v="4"/>
    <n v="9"/>
    <s v="High"/>
    <s v="Cash"/>
    <x v="0"/>
    <x v="0"/>
    <n v="5"/>
    <n v="0.44444444444444442"/>
    <x v="3"/>
    <s v="Offline"/>
    <n v="21.6"/>
    <n v="23.4"/>
    <x v="1"/>
    <n v="12"/>
    <n v="3"/>
    <x v="1"/>
    <n v="30.259433962264151"/>
  </r>
  <r>
    <x v="558"/>
    <x v="1"/>
    <s v="San Jose, CA"/>
    <d v="2025-04-26T00:00:00"/>
    <d v="1899-12-30T18:00:00"/>
    <d v="2025-04-26T00:00:00"/>
    <d v="1899-12-30T18:20:00"/>
    <x v="2"/>
    <s v="Medium"/>
    <s v="Veg"/>
    <n v="2"/>
    <n v="3"/>
    <s v="Low"/>
    <s v="Card"/>
    <x v="0"/>
    <x v="1"/>
    <n v="6.666666666666667"/>
    <n v="0.66666666666666663"/>
    <x v="3"/>
    <s v="Online"/>
    <n v="7.1999999999999993"/>
    <n v="12.8"/>
    <x v="0"/>
    <n v="4"/>
    <n v="1"/>
    <x v="0"/>
    <n v="28.186274509803919"/>
  </r>
  <r>
    <x v="559"/>
    <x v="3"/>
    <s v="Jacksonville, FL"/>
    <d v="2025-04-27T00:00:00"/>
    <d v="1899-12-30T19:15:00"/>
    <d v="2025-04-27T00:00:00"/>
    <d v="1899-12-30T19:45:00"/>
    <x v="3"/>
    <s v="Large"/>
    <s v="Non-Veg"/>
    <n v="4"/>
    <n v="6"/>
    <s v="Medium"/>
    <s v="Wallet"/>
    <x v="0"/>
    <x v="1"/>
    <n v="5"/>
    <n v="0.66666666666666663"/>
    <x v="3"/>
    <s v="Online"/>
    <n v="14.4"/>
    <n v="15.6"/>
    <x v="0"/>
    <n v="12"/>
    <n v="2"/>
    <x v="3"/>
    <n v="29.948453608247419"/>
  </r>
  <r>
    <x v="560"/>
    <x v="2"/>
    <s v="Fort Worth, TX"/>
    <d v="2025-04-28T00:00:00"/>
    <d v="1899-12-30T20:30:00"/>
    <d v="2025-04-28T00:00:00"/>
    <d v="1899-12-30T21:10:00"/>
    <x v="4"/>
    <s v="XL"/>
    <s v="Cheese Burst"/>
    <n v="5"/>
    <n v="8"/>
    <s v="High"/>
    <s v="Card"/>
    <x v="0"/>
    <x v="0"/>
    <n v="5"/>
    <n v="0.625"/>
    <x v="3"/>
    <s v="Online"/>
    <n v="19.2"/>
    <n v="20.8"/>
    <x v="1"/>
    <n v="20"/>
    <n v="3"/>
    <x v="1"/>
    <n v="28.844221105527641"/>
  </r>
  <r>
    <x v="561"/>
    <x v="4"/>
    <s v="Memphis, TN"/>
    <d v="2025-04-29T00:00:00"/>
    <d v="1899-12-30T18:45:00"/>
    <d v="2025-04-29T00:00:00"/>
    <d v="1899-12-30T19:05:00"/>
    <x v="2"/>
    <s v="Small"/>
    <s v="Vegan"/>
    <n v="1"/>
    <n v="2.5"/>
    <s v="Low"/>
    <s v="Cash"/>
    <x v="0"/>
    <x v="0"/>
    <n v="8"/>
    <n v="0.4"/>
    <x v="3"/>
    <s v="Offline"/>
    <n v="6"/>
    <n v="14"/>
    <x v="0"/>
    <n v="1"/>
    <n v="1"/>
    <x v="0"/>
    <n v="30.286458333333329"/>
  </r>
  <r>
    <x v="562"/>
    <x v="0"/>
    <s v="Baltimore, MD"/>
    <d v="2025-04-30T00:00:00"/>
    <d v="1899-12-30T19:00:00"/>
    <d v="2025-04-30T00:00:00"/>
    <d v="1899-12-30T19:50:00"/>
    <x v="5"/>
    <s v="Large"/>
    <s v="Non-Veg"/>
    <n v="4"/>
    <n v="10"/>
    <s v="High"/>
    <s v="Card"/>
    <x v="0"/>
    <x v="0"/>
    <n v="5"/>
    <n v="0.4"/>
    <x v="3"/>
    <s v="Online"/>
    <n v="24"/>
    <n v="26"/>
    <x v="1"/>
    <n v="12"/>
    <n v="3"/>
    <x v="3"/>
    <n v="30.259433962264151"/>
  </r>
  <r>
    <x v="563"/>
    <x v="1"/>
    <s v="Milwaukee, WI"/>
    <d v="2025-05-01T00:00:00"/>
    <d v="1899-12-30T20:00:00"/>
    <d v="2025-05-01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4"/>
    <s v="Online"/>
    <n v="13.2"/>
    <n v="21.8"/>
    <x v="1"/>
    <n v="6"/>
    <n v="2"/>
    <x v="1"/>
    <n v="28.186274509803919"/>
  </r>
  <r>
    <x v="564"/>
    <x v="3"/>
    <s v="Albuquerque, NM"/>
    <d v="2025-05-02T00:00:00"/>
    <d v="1899-12-30T18:30:00"/>
    <d v="2025-05-02T00:00:00"/>
    <d v="1899-12-30T18:50:00"/>
    <x v="2"/>
    <s v="Small"/>
    <s v="Vegan"/>
    <n v="2"/>
    <n v="2"/>
    <s v="Low"/>
    <s v="UPI"/>
    <x v="0"/>
    <x v="0"/>
    <n v="10"/>
    <n v="1"/>
    <x v="4"/>
    <s v="Online"/>
    <n v="4.8"/>
    <n v="15.2"/>
    <x v="0"/>
    <n v="2"/>
    <n v="1"/>
    <x v="0"/>
    <n v="29.948453608247419"/>
  </r>
  <r>
    <x v="565"/>
    <x v="2"/>
    <s v="Tucson, AZ"/>
    <d v="2025-05-03T00:00:00"/>
    <d v="1899-12-30T19:45:00"/>
    <d v="2025-05-03T00:00:00"/>
    <d v="1899-12-30T20:25:00"/>
    <x v="4"/>
    <s v="XL"/>
    <s v="Stuffed Crust"/>
    <n v="5"/>
    <n v="7.5"/>
    <s v="High"/>
    <s v="Card"/>
    <x v="0"/>
    <x v="1"/>
    <n v="5.333333333333333"/>
    <n v="0.66666666666666663"/>
    <x v="4"/>
    <s v="Online"/>
    <n v="18"/>
    <n v="22"/>
    <x v="1"/>
    <n v="20"/>
    <n v="3"/>
    <x v="3"/>
    <n v="28.844221105527641"/>
  </r>
  <r>
    <x v="566"/>
    <x v="4"/>
    <s v="Fresno, CA"/>
    <d v="2025-05-04T00:00:00"/>
    <d v="1899-12-30T18:00:00"/>
    <d v="2025-05-04T00:00:00"/>
    <d v="1899-12-30T18:30:00"/>
    <x v="3"/>
    <s v="Medium"/>
    <s v="Non-Veg"/>
    <n v="3"/>
    <n v="4"/>
    <s v="Medium"/>
    <s v="UPI"/>
    <x v="0"/>
    <x v="1"/>
    <n v="7.5"/>
    <n v="0.75"/>
    <x v="4"/>
    <s v="Online"/>
    <n v="9.6"/>
    <n v="20.399999999999999"/>
    <x v="0"/>
    <n v="6"/>
    <n v="2"/>
    <x v="0"/>
    <n v="30.286458333333329"/>
  </r>
  <r>
    <x v="567"/>
    <x v="0"/>
    <s v="Sacramento, CA"/>
    <d v="2025-05-05T00:00:00"/>
    <d v="1899-12-30T20:15:00"/>
    <d v="2025-05-05T00:00:00"/>
    <d v="1899-12-30T21:00:00"/>
    <x v="7"/>
    <s v="Large"/>
    <s v="Veg"/>
    <n v="4"/>
    <n v="9"/>
    <s v="High"/>
    <s v="Cash"/>
    <x v="0"/>
    <x v="0"/>
    <n v="5"/>
    <n v="0.44444444444444442"/>
    <x v="4"/>
    <s v="Offline"/>
    <n v="21.6"/>
    <n v="23.4"/>
    <x v="1"/>
    <n v="12"/>
    <n v="3"/>
    <x v="1"/>
    <n v="30.259433962264151"/>
  </r>
  <r>
    <x v="568"/>
    <x v="1"/>
    <s v="Milwaukee, WI"/>
    <d v="2025-05-01T00:00:00"/>
    <d v="1899-12-30T20:00:00"/>
    <d v="2025-05-01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4"/>
    <s v="Online"/>
    <n v="13.2"/>
    <n v="21.8"/>
    <x v="1"/>
    <n v="6"/>
    <n v="2"/>
    <x v="1"/>
    <n v="28.186274509803919"/>
  </r>
  <r>
    <x v="569"/>
    <x v="0"/>
    <s v="New York, NY"/>
    <d v="2025-05-07T00:00:00"/>
    <d v="1899-12-30T19:00:00"/>
    <d v="2025-05-07T00:00:00"/>
    <d v="1899-12-30T19:45:00"/>
    <x v="7"/>
    <s v="Large"/>
    <s v="Thai Chicken"/>
    <n v="4"/>
    <n v="7"/>
    <s v="Medium"/>
    <s v="Card"/>
    <x v="0"/>
    <x v="0"/>
    <n v="6.4285714285714288"/>
    <n v="0.5714285714285714"/>
    <x v="4"/>
    <s v="Online"/>
    <n v="16.8"/>
    <n v="28.2"/>
    <x v="1"/>
    <n v="12"/>
    <n v="2"/>
    <x v="3"/>
    <n v="30.259433962264151"/>
  </r>
  <r>
    <x v="570"/>
    <x v="1"/>
    <s v="Los Angeles, CA"/>
    <d v="2025-05-08T00:00:00"/>
    <d v="1899-12-30T20:15:00"/>
    <d v="2025-05-08T00:00:00"/>
    <d v="1899-12-30T20:55:00"/>
    <x v="4"/>
    <s v="Medium"/>
    <s v="Sicilian"/>
    <n v="3"/>
    <n v="6.5"/>
    <s v="High"/>
    <s v="Wallet"/>
    <x v="0"/>
    <x v="0"/>
    <n v="6.1538461538461542"/>
    <n v="0.46153846153846162"/>
    <x v="4"/>
    <s v="Online"/>
    <n v="15.6"/>
    <n v="24.4"/>
    <x v="1"/>
    <n v="6"/>
    <n v="3"/>
    <x v="1"/>
    <n v="28.186274509803919"/>
  </r>
  <r>
    <x v="571"/>
    <x v="3"/>
    <s v="Chicago, IL"/>
    <d v="2025-05-09T00:00:00"/>
    <d v="1899-12-30T18:45:00"/>
    <d v="2025-05-09T00:00:00"/>
    <d v="1899-12-30T19:05:00"/>
    <x v="2"/>
    <s v="Small"/>
    <s v="Vegan"/>
    <n v="1"/>
    <n v="2.5"/>
    <s v="Low"/>
    <s v="Cash"/>
    <x v="0"/>
    <x v="0"/>
    <n v="8"/>
    <n v="0.4"/>
    <x v="4"/>
    <s v="Offline"/>
    <n v="6"/>
    <n v="14"/>
    <x v="0"/>
    <n v="1"/>
    <n v="1"/>
    <x v="0"/>
    <n v="29.948453608247419"/>
  </r>
  <r>
    <x v="572"/>
    <x v="2"/>
    <s v="Houston, TX"/>
    <d v="2025-05-10T00:00:00"/>
    <d v="1899-12-30T19:30:00"/>
    <d v="2025-05-10T00:00:00"/>
    <d v="1899-12-30T20:10:00"/>
    <x v="4"/>
    <s v="XL"/>
    <s v="Cheese Burst"/>
    <n v="5"/>
    <n v="8"/>
    <s v="High"/>
    <s v="Card"/>
    <x v="0"/>
    <x v="1"/>
    <n v="5"/>
    <n v="0.625"/>
    <x v="4"/>
    <s v="Online"/>
    <n v="19.2"/>
    <n v="20.8"/>
    <x v="1"/>
    <n v="20"/>
    <n v="3"/>
    <x v="3"/>
    <n v="28.844221105527641"/>
  </r>
  <r>
    <x v="573"/>
    <x v="4"/>
    <s v="Phoenix, AZ"/>
    <d v="2025-05-11T00:00:00"/>
    <d v="1899-12-30T18:00:00"/>
    <d v="2025-05-11T00:00:00"/>
    <d v="1899-12-30T18:30:00"/>
    <x v="3"/>
    <s v="Medium"/>
    <s v="Non-Veg"/>
    <n v="3"/>
    <n v="4"/>
    <s v="Medium"/>
    <s v="UPI"/>
    <x v="0"/>
    <x v="1"/>
    <n v="7.5"/>
    <n v="0.75"/>
    <x v="4"/>
    <s v="Online"/>
    <n v="9.6"/>
    <n v="20.399999999999999"/>
    <x v="0"/>
    <n v="6"/>
    <n v="2"/>
    <x v="0"/>
    <n v="30.286458333333329"/>
  </r>
  <r>
    <x v="574"/>
    <x v="0"/>
    <s v="Philadelphia, PA"/>
    <d v="2025-05-12T00:00:00"/>
    <d v="1899-12-30T20:15:00"/>
    <d v="2025-05-12T00:00:00"/>
    <d v="1899-12-30T21:00:00"/>
    <x v="7"/>
    <s v="Large"/>
    <s v="Veg"/>
    <n v="4"/>
    <n v="9"/>
    <s v="High"/>
    <s v="Cash"/>
    <x v="0"/>
    <x v="0"/>
    <n v="5"/>
    <n v="0.44444444444444442"/>
    <x v="4"/>
    <s v="Offline"/>
    <n v="21.6"/>
    <n v="23.4"/>
    <x v="1"/>
    <n v="12"/>
    <n v="3"/>
    <x v="1"/>
    <n v="30.259433962264151"/>
  </r>
  <r>
    <x v="575"/>
    <x v="1"/>
    <s v="San Antonio, TX"/>
    <d v="2025-05-13T00:00:00"/>
    <d v="1899-12-30T18:00:00"/>
    <d v="2025-05-13T00:00:00"/>
    <d v="1899-12-30T18:20:00"/>
    <x v="2"/>
    <s v="Medium"/>
    <s v="Veg"/>
    <n v="2"/>
    <n v="3"/>
    <s v="Low"/>
    <s v="Card"/>
    <x v="0"/>
    <x v="0"/>
    <n v="6.666666666666667"/>
    <n v="0.66666666666666663"/>
    <x v="4"/>
    <s v="Online"/>
    <n v="7.1999999999999993"/>
    <n v="12.8"/>
    <x v="0"/>
    <n v="4"/>
    <n v="1"/>
    <x v="0"/>
    <n v="28.186274509803919"/>
  </r>
  <r>
    <x v="576"/>
    <x v="3"/>
    <s v="San Diego, CA"/>
    <d v="2025-05-14T00:00:00"/>
    <d v="1899-12-30T19:15:00"/>
    <d v="2025-05-14T00:00:00"/>
    <d v="1899-12-30T19:45:00"/>
    <x v="3"/>
    <s v="Large"/>
    <s v="Non-Veg"/>
    <n v="4"/>
    <n v="6"/>
    <s v="Medium"/>
    <s v="Wallet"/>
    <x v="0"/>
    <x v="0"/>
    <n v="5"/>
    <n v="0.66666666666666663"/>
    <x v="4"/>
    <s v="Online"/>
    <n v="14.4"/>
    <n v="15.6"/>
    <x v="0"/>
    <n v="12"/>
    <n v="2"/>
    <x v="3"/>
    <n v="29.948453608247419"/>
  </r>
  <r>
    <x v="577"/>
    <x v="2"/>
    <s v="Dallas, TX"/>
    <d v="2025-05-15T00:00:00"/>
    <d v="1899-12-30T20:30:00"/>
    <d v="2025-05-15T00:00:00"/>
    <d v="1899-12-30T21:10:00"/>
    <x v="4"/>
    <s v="XL"/>
    <s v="Cheese Burst"/>
    <n v="5"/>
    <n v="8"/>
    <s v="High"/>
    <s v="Card"/>
    <x v="0"/>
    <x v="0"/>
    <n v="5"/>
    <n v="0.625"/>
    <x v="4"/>
    <s v="Online"/>
    <n v="19.2"/>
    <n v="20.8"/>
    <x v="1"/>
    <n v="20"/>
    <n v="3"/>
    <x v="1"/>
    <n v="28.844221105527641"/>
  </r>
  <r>
    <x v="578"/>
    <x v="4"/>
    <s v="San Jose, CA"/>
    <d v="2025-05-16T00:00:00"/>
    <d v="1899-12-30T18:45:00"/>
    <d v="2025-05-16T00:00:00"/>
    <d v="1899-12-30T19:05:00"/>
    <x v="2"/>
    <s v="Small"/>
    <s v="Vegan"/>
    <n v="1"/>
    <n v="2.5"/>
    <s v="Low"/>
    <s v="Cash"/>
    <x v="0"/>
    <x v="0"/>
    <n v="8"/>
    <n v="0.4"/>
    <x v="4"/>
    <s v="Offline"/>
    <n v="6"/>
    <n v="14"/>
    <x v="0"/>
    <n v="1"/>
    <n v="1"/>
    <x v="0"/>
    <n v="30.286458333333329"/>
  </r>
  <r>
    <x v="579"/>
    <x v="0"/>
    <s v="Austin, TX"/>
    <d v="2025-05-17T00:00:00"/>
    <d v="1899-12-30T19:00:00"/>
    <d v="2025-05-17T00:00:00"/>
    <d v="1899-12-30T19:50:00"/>
    <x v="5"/>
    <s v="Large"/>
    <s v="Non-Veg"/>
    <n v="4"/>
    <n v="10"/>
    <s v="High"/>
    <s v="Domino's Cash"/>
    <x v="0"/>
    <x v="1"/>
    <n v="5"/>
    <n v="0.4"/>
    <x v="4"/>
    <s v="Offline"/>
    <n v="24"/>
    <n v="26"/>
    <x v="1"/>
    <n v="12"/>
    <n v="3"/>
    <x v="3"/>
    <n v="30.259433962264151"/>
  </r>
  <r>
    <x v="580"/>
    <x v="1"/>
    <s v="Jacksonville, FL"/>
    <d v="2025-05-18T00:00:00"/>
    <d v="1899-12-30T20:00:00"/>
    <d v="2025-05-18T00:00:00"/>
    <d v="1899-12-30T20:35:00"/>
    <x v="6"/>
    <s v="Medium"/>
    <s v="Gluten-Free"/>
    <n v="3"/>
    <n v="5.5"/>
    <s v="Medium"/>
    <s v="Wallet"/>
    <x v="0"/>
    <x v="1"/>
    <n v="6.3636363636363633"/>
    <n v="0.54545454545454541"/>
    <x v="4"/>
    <s v="Online"/>
    <n v="13.2"/>
    <n v="21.8"/>
    <x v="1"/>
    <n v="6"/>
    <n v="2"/>
    <x v="1"/>
    <n v="28.186274509803919"/>
  </r>
  <r>
    <x v="581"/>
    <x v="3"/>
    <s v="Fort Worth, TX"/>
    <d v="2025-05-19T00:00:00"/>
    <d v="1899-12-30T18:30:00"/>
    <d v="2025-05-19T00:00:00"/>
    <d v="1899-12-30T18:50:00"/>
    <x v="2"/>
    <s v="Small"/>
    <s v="Vegan"/>
    <n v="2"/>
    <n v="2"/>
    <s v="Low"/>
    <s v="UPI"/>
    <x v="0"/>
    <x v="0"/>
    <n v="10"/>
    <n v="1"/>
    <x v="4"/>
    <s v="Online"/>
    <n v="4.8"/>
    <n v="15.2"/>
    <x v="0"/>
    <n v="2"/>
    <n v="1"/>
    <x v="0"/>
    <n v="29.948453608247419"/>
  </r>
  <r>
    <x v="582"/>
    <x v="2"/>
    <s v="Columbus, OH"/>
    <d v="2025-05-20T00:00:00"/>
    <d v="1899-12-30T19:45:00"/>
    <d v="2025-05-20T00:00:00"/>
    <d v="1899-12-30T20:25:00"/>
    <x v="4"/>
    <s v="XL"/>
    <s v="Stuffed Crust"/>
    <n v="5"/>
    <n v="7.5"/>
    <s v="High"/>
    <s v="Card"/>
    <x v="0"/>
    <x v="0"/>
    <n v="5.333333333333333"/>
    <n v="0.66666666666666663"/>
    <x v="4"/>
    <s v="Online"/>
    <n v="18"/>
    <n v="22"/>
    <x v="1"/>
    <n v="20"/>
    <n v="3"/>
    <x v="3"/>
    <n v="28.844221105527641"/>
  </r>
  <r>
    <x v="583"/>
    <x v="4"/>
    <s v="Charlotte, NC"/>
    <d v="2025-05-21T00:00:00"/>
    <d v="1899-12-30T18:00:00"/>
    <d v="2025-05-21T00:00:00"/>
    <d v="1899-12-30T18:30:00"/>
    <x v="3"/>
    <s v="Medium"/>
    <s v="Non-Veg"/>
    <n v="3"/>
    <n v="4"/>
    <s v="Medium"/>
    <s v="UPI"/>
    <x v="0"/>
    <x v="0"/>
    <n v="7.5"/>
    <n v="0.75"/>
    <x v="4"/>
    <s v="Online"/>
    <n v="9.6"/>
    <n v="20.399999999999999"/>
    <x v="0"/>
    <n v="6"/>
    <n v="2"/>
    <x v="0"/>
    <n v="30.286458333333329"/>
  </r>
  <r>
    <x v="584"/>
    <x v="0"/>
    <s v="San Francisco, CA"/>
    <d v="2025-05-22T00:00:00"/>
    <d v="1899-12-30T20:15:00"/>
    <d v="2025-05-22T00:00:00"/>
    <d v="1899-12-30T21:00:00"/>
    <x v="7"/>
    <s v="Large"/>
    <s v="Veg"/>
    <n v="4"/>
    <n v="9"/>
    <s v="High"/>
    <s v="Cash"/>
    <x v="0"/>
    <x v="0"/>
    <n v="5"/>
    <n v="0.44444444444444442"/>
    <x v="4"/>
    <s v="Offline"/>
    <n v="21.6"/>
    <n v="23.4"/>
    <x v="1"/>
    <n v="12"/>
    <n v="3"/>
    <x v="1"/>
    <n v="30.259433962264151"/>
  </r>
  <r>
    <x v="585"/>
    <x v="1"/>
    <s v="Indianapolis, IN"/>
    <d v="2025-05-23T00:00:00"/>
    <d v="1899-12-30T18:00:00"/>
    <d v="2025-05-23T00:00:00"/>
    <d v="1899-12-30T18:20:00"/>
    <x v="2"/>
    <s v="Medium"/>
    <s v="Veg"/>
    <n v="2"/>
    <n v="3"/>
    <s v="Low"/>
    <s v="Card"/>
    <x v="0"/>
    <x v="0"/>
    <n v="6.666666666666667"/>
    <n v="0.66666666666666663"/>
    <x v="4"/>
    <s v="Online"/>
    <n v="7.1999999999999993"/>
    <n v="12.8"/>
    <x v="0"/>
    <n v="4"/>
    <n v="1"/>
    <x v="0"/>
    <n v="28.186274509803919"/>
  </r>
  <r>
    <x v="586"/>
    <x v="3"/>
    <s v="Seattle, WA"/>
    <d v="2025-05-24T00:00:00"/>
    <d v="1899-12-30T19:15:00"/>
    <d v="2025-05-24T00:00:00"/>
    <d v="1899-12-30T19:45:00"/>
    <x v="3"/>
    <s v="Large"/>
    <s v="Non-Veg"/>
    <n v="4"/>
    <n v="6"/>
    <s v="Medium"/>
    <s v="Wallet"/>
    <x v="0"/>
    <x v="1"/>
    <n v="5"/>
    <n v="0.66666666666666663"/>
    <x v="4"/>
    <s v="Online"/>
    <n v="14.4"/>
    <n v="15.6"/>
    <x v="0"/>
    <n v="12"/>
    <n v="2"/>
    <x v="3"/>
    <n v="29.948453608247419"/>
  </r>
  <r>
    <x v="587"/>
    <x v="2"/>
    <s v="Denver, CO"/>
    <d v="2025-05-25T00:00:00"/>
    <d v="1899-12-30T20:30:00"/>
    <d v="2025-05-25T00:00:00"/>
    <d v="1899-12-30T21:10:00"/>
    <x v="4"/>
    <s v="XL"/>
    <s v="Cheese Burst"/>
    <n v="5"/>
    <n v="8"/>
    <s v="High"/>
    <s v="Card"/>
    <x v="0"/>
    <x v="1"/>
    <n v="5"/>
    <n v="0.625"/>
    <x v="4"/>
    <s v="Online"/>
    <n v="19.2"/>
    <n v="20.8"/>
    <x v="1"/>
    <n v="20"/>
    <n v="3"/>
    <x v="1"/>
    <n v="28.844221105527641"/>
  </r>
  <r>
    <x v="588"/>
    <x v="4"/>
    <s v="Washington, DC"/>
    <d v="2025-05-26T00:00:00"/>
    <d v="1899-12-30T18:45:00"/>
    <d v="2025-05-26T00:00:00"/>
    <d v="1899-12-30T19:05:00"/>
    <x v="2"/>
    <s v="Small"/>
    <s v="Vegan"/>
    <n v="1"/>
    <n v="2.5"/>
    <s v="Low"/>
    <s v="Cash"/>
    <x v="0"/>
    <x v="0"/>
    <n v="8"/>
    <n v="0.4"/>
    <x v="4"/>
    <s v="Offline"/>
    <n v="6"/>
    <n v="14"/>
    <x v="0"/>
    <n v="1"/>
    <n v="1"/>
    <x v="0"/>
    <n v="30.286458333333329"/>
  </r>
  <r>
    <x v="589"/>
    <x v="0"/>
    <s v="Boston, MA"/>
    <d v="2025-05-27T00:00:00"/>
    <d v="1899-12-30T19:00:00"/>
    <d v="2025-05-27T00:00:00"/>
    <d v="1899-12-30T19:50:00"/>
    <x v="5"/>
    <s v="Large"/>
    <s v="Non-Veg"/>
    <n v="4"/>
    <n v="10"/>
    <s v="High"/>
    <s v="Card"/>
    <x v="0"/>
    <x v="0"/>
    <n v="5"/>
    <n v="0.4"/>
    <x v="4"/>
    <s v="Online"/>
    <n v="24"/>
    <n v="26"/>
    <x v="1"/>
    <n v="12"/>
    <n v="3"/>
    <x v="3"/>
    <n v="30.259433962264151"/>
  </r>
  <r>
    <x v="590"/>
    <x v="1"/>
    <s v="El Paso, TX"/>
    <d v="2025-05-28T00:00:00"/>
    <d v="1899-12-30T20:00:00"/>
    <d v="2025-05-28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4"/>
    <s v="Online"/>
    <n v="13.2"/>
    <n v="21.8"/>
    <x v="1"/>
    <n v="6"/>
    <n v="2"/>
    <x v="1"/>
    <n v="28.186274509803919"/>
  </r>
  <r>
    <x v="591"/>
    <x v="3"/>
    <s v="Detroit, MI"/>
    <d v="2025-05-29T00:00:00"/>
    <d v="1899-12-30T18:30:00"/>
    <d v="2025-05-29T00:00:00"/>
    <d v="1899-12-30T18:50:00"/>
    <x v="2"/>
    <s v="Small"/>
    <s v="Vegan"/>
    <n v="2"/>
    <n v="2"/>
    <s v="Low"/>
    <s v="UPI"/>
    <x v="0"/>
    <x v="0"/>
    <n v="10"/>
    <n v="1"/>
    <x v="4"/>
    <s v="Online"/>
    <n v="4.8"/>
    <n v="15.2"/>
    <x v="0"/>
    <n v="2"/>
    <n v="1"/>
    <x v="0"/>
    <n v="29.948453608247419"/>
  </r>
  <r>
    <x v="592"/>
    <x v="2"/>
    <s v="Nashville, TN"/>
    <d v="2025-05-30T00:00:00"/>
    <d v="1899-12-30T19:45:00"/>
    <d v="2025-05-30T00:00:00"/>
    <d v="1899-12-30T20:25:00"/>
    <x v="4"/>
    <s v="XL"/>
    <s v="Stuffed Crust"/>
    <n v="5"/>
    <n v="7.5"/>
    <s v="High"/>
    <s v="Card"/>
    <x v="0"/>
    <x v="0"/>
    <n v="5.333333333333333"/>
    <n v="0.66666666666666663"/>
    <x v="4"/>
    <s v="Online"/>
    <n v="18"/>
    <n v="22"/>
    <x v="1"/>
    <n v="20"/>
    <n v="3"/>
    <x v="3"/>
    <n v="28.844221105527641"/>
  </r>
  <r>
    <x v="593"/>
    <x v="4"/>
    <s v="Memphis, TN"/>
    <d v="2025-05-31T00:00:00"/>
    <d v="1899-12-30T18:00:00"/>
    <d v="2025-05-31T00:00:00"/>
    <d v="1899-12-30T18:30:00"/>
    <x v="3"/>
    <s v="Medium"/>
    <s v="Non-Veg"/>
    <n v="3"/>
    <n v="4"/>
    <s v="Medium"/>
    <s v="UPI"/>
    <x v="0"/>
    <x v="1"/>
    <n v="7.5"/>
    <n v="0.75"/>
    <x v="4"/>
    <s v="Online"/>
    <n v="9.6"/>
    <n v="20.399999999999999"/>
    <x v="0"/>
    <n v="6"/>
    <n v="2"/>
    <x v="0"/>
    <n v="30.286458333333329"/>
  </r>
  <r>
    <x v="594"/>
    <x v="0"/>
    <s v="Portland, OR"/>
    <d v="2025-06-01T00:00:00"/>
    <d v="1899-12-30T20:15:00"/>
    <d v="2025-06-01T00:00:00"/>
    <d v="1899-12-30T21:00:00"/>
    <x v="7"/>
    <s v="Large"/>
    <s v="Veg"/>
    <n v="4"/>
    <n v="9"/>
    <s v="High"/>
    <s v="Cash"/>
    <x v="0"/>
    <x v="1"/>
    <n v="5"/>
    <n v="0.44444444444444442"/>
    <x v="6"/>
    <s v="Offline"/>
    <n v="21.6"/>
    <n v="23.4"/>
    <x v="1"/>
    <n v="12"/>
    <n v="3"/>
    <x v="1"/>
    <n v="30.259433962264151"/>
  </r>
  <r>
    <x v="595"/>
    <x v="1"/>
    <s v="Oklahoma City, OK"/>
    <d v="2025-06-02T00:00:00"/>
    <d v="1899-12-30T18:00:00"/>
    <d v="2025-06-02T00:00:00"/>
    <d v="1899-12-30T18:20:00"/>
    <x v="2"/>
    <s v="Medium"/>
    <s v="Veg"/>
    <n v="2"/>
    <n v="3"/>
    <s v="Low"/>
    <s v="Card"/>
    <x v="0"/>
    <x v="0"/>
    <n v="6.666666666666667"/>
    <n v="0.66666666666666663"/>
    <x v="6"/>
    <s v="Online"/>
    <n v="7.1999999999999993"/>
    <n v="12.8"/>
    <x v="0"/>
    <n v="4"/>
    <n v="1"/>
    <x v="0"/>
    <n v="28.186274509803919"/>
  </r>
  <r>
    <x v="596"/>
    <x v="3"/>
    <s v="Las Vegas, NV"/>
    <d v="2025-06-03T00:00:00"/>
    <d v="1899-12-30T19:15:00"/>
    <d v="2025-06-03T00:00:00"/>
    <d v="1899-12-30T19:45:00"/>
    <x v="3"/>
    <s v="Large"/>
    <s v="Non-Veg"/>
    <n v="4"/>
    <n v="6"/>
    <s v="Medium"/>
    <s v="Wallet"/>
    <x v="0"/>
    <x v="0"/>
    <n v="5"/>
    <n v="0.66666666666666663"/>
    <x v="6"/>
    <s v="Online"/>
    <n v="14.4"/>
    <n v="15.6"/>
    <x v="0"/>
    <n v="12"/>
    <n v="2"/>
    <x v="3"/>
    <n v="29.948453608247419"/>
  </r>
  <r>
    <x v="597"/>
    <x v="2"/>
    <s v="Atlanta, GA"/>
    <d v="2025-06-04T00:00:00"/>
    <d v="1899-12-30T20:30:00"/>
    <d v="2025-06-04T00:00:00"/>
    <d v="1899-12-30T21:10:00"/>
    <x v="4"/>
    <s v="XL"/>
    <s v="Cheese Burst"/>
    <n v="5"/>
    <n v="8"/>
    <s v="High"/>
    <s v="Card"/>
    <x v="0"/>
    <x v="0"/>
    <n v="5"/>
    <n v="0.625"/>
    <x v="6"/>
    <s v="Online"/>
    <n v="19.2"/>
    <n v="20.8"/>
    <x v="1"/>
    <n v="20"/>
    <n v="3"/>
    <x v="1"/>
    <n v="28.844221105527641"/>
  </r>
  <r>
    <x v="598"/>
    <x v="4"/>
    <s v="Miami, FL"/>
    <d v="2025-06-05T00:00:00"/>
    <d v="1899-12-30T18:45:00"/>
    <d v="2025-06-05T00:00:00"/>
    <d v="1899-12-30T19:05:00"/>
    <x v="2"/>
    <s v="Small"/>
    <s v="Vegan"/>
    <n v="1"/>
    <n v="2.5"/>
    <s v="Low"/>
    <s v="Cash"/>
    <x v="0"/>
    <x v="0"/>
    <n v="8"/>
    <n v="0.4"/>
    <x v="6"/>
    <s v="Offline"/>
    <n v="6"/>
    <n v="14"/>
    <x v="0"/>
    <n v="1"/>
    <n v="1"/>
    <x v="0"/>
    <n v="30.286458333333329"/>
  </r>
  <r>
    <x v="599"/>
    <x v="0"/>
    <s v="New York, NY"/>
    <d v="2025-06-06T00:00:00"/>
    <d v="1899-12-30T19:00:00"/>
    <d v="2025-06-06T00:00:00"/>
    <d v="1899-12-30T19:45:00"/>
    <x v="7"/>
    <s v="Large"/>
    <s v="Thai Chicken"/>
    <n v="4"/>
    <n v="7"/>
    <s v="Medium"/>
    <s v="Card"/>
    <x v="0"/>
    <x v="0"/>
    <n v="6.4285714285714288"/>
    <n v="0.5714285714285714"/>
    <x v="6"/>
    <s v="Online"/>
    <n v="16.8"/>
    <n v="28.2"/>
    <x v="1"/>
    <n v="12"/>
    <n v="2"/>
    <x v="3"/>
    <n v="30.259433962264151"/>
  </r>
  <r>
    <x v="600"/>
    <x v="1"/>
    <s v="Los Angeles, CA"/>
    <d v="2025-06-07T00:00:00"/>
    <d v="1899-12-30T20:15:00"/>
    <d v="2025-06-07T00:00:00"/>
    <d v="1899-12-30T20:55:00"/>
    <x v="4"/>
    <s v="Medium"/>
    <s v="Sicilian"/>
    <n v="3"/>
    <n v="6.5"/>
    <s v="High"/>
    <s v="Wallet"/>
    <x v="0"/>
    <x v="1"/>
    <n v="6.1538461538461542"/>
    <n v="0.46153846153846162"/>
    <x v="6"/>
    <s v="Online"/>
    <n v="15.6"/>
    <n v="24.4"/>
    <x v="1"/>
    <n v="6"/>
    <n v="3"/>
    <x v="1"/>
    <n v="28.186274509803919"/>
  </r>
  <r>
    <x v="601"/>
    <x v="3"/>
    <s v="Chicago, IL"/>
    <d v="2025-06-08T00:00:00"/>
    <d v="1899-12-30T18:45:00"/>
    <d v="2025-06-08T00:00:00"/>
    <d v="1899-12-30T19:05:00"/>
    <x v="2"/>
    <s v="Small"/>
    <s v="Vegan"/>
    <n v="1"/>
    <n v="2.5"/>
    <s v="Low"/>
    <s v="Cash"/>
    <x v="0"/>
    <x v="1"/>
    <n v="8"/>
    <n v="0.4"/>
    <x v="6"/>
    <s v="Offline"/>
    <n v="6"/>
    <n v="14"/>
    <x v="0"/>
    <n v="1"/>
    <n v="1"/>
    <x v="0"/>
    <n v="29.948453608247419"/>
  </r>
  <r>
    <x v="602"/>
    <x v="2"/>
    <s v="Houston, TX"/>
    <d v="2025-06-09T00:00:00"/>
    <d v="1899-12-30T19:30:00"/>
    <d v="2025-06-09T00:00:00"/>
    <d v="1899-12-30T20:10:00"/>
    <x v="4"/>
    <s v="XL"/>
    <s v="Cheese Burst"/>
    <n v="5"/>
    <n v="8"/>
    <s v="High"/>
    <s v="Card"/>
    <x v="0"/>
    <x v="0"/>
    <n v="5"/>
    <n v="0.625"/>
    <x v="6"/>
    <s v="Online"/>
    <n v="19.2"/>
    <n v="20.8"/>
    <x v="1"/>
    <n v="20"/>
    <n v="3"/>
    <x v="3"/>
    <n v="28.844221105527641"/>
  </r>
  <r>
    <x v="603"/>
    <x v="4"/>
    <s v="Phoenix, AZ"/>
    <d v="2025-06-10T00:00:00"/>
    <d v="1899-12-30T18:00:00"/>
    <d v="2025-06-10T00:00:00"/>
    <d v="1899-12-30T18:30:00"/>
    <x v="3"/>
    <s v="Medium"/>
    <s v="Non-Veg"/>
    <n v="3"/>
    <n v="4"/>
    <s v="Medium"/>
    <s v="UPI"/>
    <x v="0"/>
    <x v="0"/>
    <n v="7.5"/>
    <n v="0.75"/>
    <x v="6"/>
    <s v="Online"/>
    <n v="9.6"/>
    <n v="20.399999999999999"/>
    <x v="0"/>
    <n v="6"/>
    <n v="2"/>
    <x v="0"/>
    <n v="30.286458333333329"/>
  </r>
  <r>
    <x v="604"/>
    <x v="0"/>
    <s v="Philadelphia, PA"/>
    <d v="2025-06-11T00:00:00"/>
    <d v="1899-12-30T20:15:00"/>
    <d v="2025-06-11T00:00:00"/>
    <d v="1899-12-30T21:00:00"/>
    <x v="7"/>
    <s v="Large"/>
    <s v="Veg"/>
    <n v="4"/>
    <n v="9"/>
    <s v="High"/>
    <s v="Cash"/>
    <x v="0"/>
    <x v="0"/>
    <n v="5"/>
    <n v="0.44444444444444442"/>
    <x v="6"/>
    <s v="Offline"/>
    <n v="21.6"/>
    <n v="23.4"/>
    <x v="1"/>
    <n v="12"/>
    <n v="3"/>
    <x v="1"/>
    <n v="30.259433962264151"/>
  </r>
  <r>
    <x v="605"/>
    <x v="1"/>
    <s v="San Antonio, TX"/>
    <d v="2025-06-12T00:00:00"/>
    <d v="1899-12-30T18:00:00"/>
    <d v="2025-06-12T00:00:00"/>
    <d v="1899-12-30T18:20:00"/>
    <x v="2"/>
    <s v="Medium"/>
    <s v="Veg"/>
    <n v="2"/>
    <n v="3"/>
    <s v="Low"/>
    <s v="Card"/>
    <x v="0"/>
    <x v="0"/>
    <n v="6.666666666666667"/>
    <n v="0.66666666666666663"/>
    <x v="6"/>
    <s v="Online"/>
    <n v="7.1999999999999993"/>
    <n v="12.8"/>
    <x v="0"/>
    <n v="4"/>
    <n v="1"/>
    <x v="0"/>
    <n v="28.186274509803919"/>
  </r>
  <r>
    <x v="606"/>
    <x v="3"/>
    <s v="San Diego, CA"/>
    <d v="2025-06-13T00:00:00"/>
    <d v="1899-12-30T19:15:00"/>
    <d v="2025-06-13T00:00:00"/>
    <d v="1899-12-30T19:45:00"/>
    <x v="3"/>
    <s v="Large"/>
    <s v="Non-Veg"/>
    <n v="4"/>
    <n v="6"/>
    <s v="Medium"/>
    <s v="Wallet"/>
    <x v="0"/>
    <x v="0"/>
    <n v="5"/>
    <n v="0.66666666666666663"/>
    <x v="6"/>
    <s v="Online"/>
    <n v="14.4"/>
    <n v="15.6"/>
    <x v="0"/>
    <n v="12"/>
    <n v="2"/>
    <x v="3"/>
    <n v="29.948453608247419"/>
  </r>
  <r>
    <x v="607"/>
    <x v="2"/>
    <s v="Dallas, TX"/>
    <d v="2025-06-14T00:00:00"/>
    <d v="1899-12-30T20:30:00"/>
    <d v="2025-06-14T00:00:00"/>
    <d v="1899-12-30T21:10:00"/>
    <x v="4"/>
    <s v="XL"/>
    <s v="Cheese Burst"/>
    <n v="5"/>
    <n v="8"/>
    <s v="High"/>
    <s v="Card"/>
    <x v="0"/>
    <x v="1"/>
    <n v="5"/>
    <n v="0.625"/>
    <x v="6"/>
    <s v="Online"/>
    <n v="19.2"/>
    <n v="20.8"/>
    <x v="1"/>
    <n v="20"/>
    <n v="3"/>
    <x v="1"/>
    <n v="28.844221105527641"/>
  </r>
  <r>
    <x v="608"/>
    <x v="4"/>
    <s v="San Jose, CA"/>
    <d v="2025-06-15T00:00:00"/>
    <d v="1899-12-30T18:45:00"/>
    <d v="2025-06-15T00:00:00"/>
    <d v="1899-12-30T19:05:00"/>
    <x v="2"/>
    <s v="Small"/>
    <s v="Vegan"/>
    <n v="1"/>
    <n v="2.5"/>
    <s v="Low"/>
    <s v="Cash"/>
    <x v="0"/>
    <x v="1"/>
    <n v="8"/>
    <n v="0.4"/>
    <x v="6"/>
    <s v="Offline"/>
    <n v="6"/>
    <n v="14"/>
    <x v="0"/>
    <n v="1"/>
    <n v="1"/>
    <x v="0"/>
    <n v="30.286458333333329"/>
  </r>
  <r>
    <x v="609"/>
    <x v="0"/>
    <s v="Austin, TX"/>
    <d v="2025-06-16T00:00:00"/>
    <d v="1899-12-30T19:00:00"/>
    <d v="2025-06-16T00:00:00"/>
    <d v="1899-12-30T19:50:00"/>
    <x v="5"/>
    <s v="Large"/>
    <s v="Non-Veg"/>
    <n v="4"/>
    <n v="10"/>
    <s v="High"/>
    <s v="Domino's Cash"/>
    <x v="0"/>
    <x v="0"/>
    <n v="5"/>
    <n v="0.4"/>
    <x v="6"/>
    <s v="Offline"/>
    <n v="24"/>
    <n v="26"/>
    <x v="1"/>
    <n v="12"/>
    <n v="3"/>
    <x v="3"/>
    <n v="30.259433962264151"/>
  </r>
  <r>
    <x v="610"/>
    <x v="1"/>
    <s v="Jacksonville, FL"/>
    <d v="2025-06-17T00:00:00"/>
    <d v="1899-12-30T20:00:00"/>
    <d v="2025-06-17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6"/>
    <s v="Online"/>
    <n v="13.2"/>
    <n v="21.8"/>
    <x v="1"/>
    <n v="6"/>
    <n v="2"/>
    <x v="1"/>
    <n v="28.186274509803919"/>
  </r>
  <r>
    <x v="611"/>
    <x v="3"/>
    <s v="Fort Worth, TX"/>
    <d v="2025-06-18T00:00:00"/>
    <d v="1899-12-30T18:30:00"/>
    <d v="2025-06-18T00:00:00"/>
    <d v="1899-12-30T18:50:00"/>
    <x v="2"/>
    <s v="Small"/>
    <s v="Vegan"/>
    <n v="2"/>
    <n v="2"/>
    <s v="Low"/>
    <s v="UPI"/>
    <x v="0"/>
    <x v="0"/>
    <n v="10"/>
    <n v="1"/>
    <x v="6"/>
    <s v="Online"/>
    <n v="4.8"/>
    <n v="15.2"/>
    <x v="0"/>
    <n v="2"/>
    <n v="1"/>
    <x v="0"/>
    <n v="29.948453608247419"/>
  </r>
  <r>
    <x v="612"/>
    <x v="2"/>
    <s v="Columbus, OH"/>
    <d v="2025-06-19T00:00:00"/>
    <d v="1899-12-30T19:45:00"/>
    <d v="2025-06-19T00:00:00"/>
    <d v="1899-12-30T20:25:00"/>
    <x v="4"/>
    <s v="XL"/>
    <s v="Stuffed Crust"/>
    <n v="5"/>
    <n v="7.5"/>
    <s v="High"/>
    <s v="Card"/>
    <x v="0"/>
    <x v="0"/>
    <n v="5.333333333333333"/>
    <n v="0.66666666666666663"/>
    <x v="6"/>
    <s v="Online"/>
    <n v="18"/>
    <n v="22"/>
    <x v="1"/>
    <n v="20"/>
    <n v="3"/>
    <x v="3"/>
    <n v="28.844221105527641"/>
  </r>
  <r>
    <x v="613"/>
    <x v="4"/>
    <s v="Charlotte, NC"/>
    <d v="2025-06-20T00:00:00"/>
    <d v="1899-12-30T18:00:00"/>
    <d v="2025-06-20T00:00:00"/>
    <d v="1899-12-30T18:30:00"/>
    <x v="3"/>
    <s v="Medium"/>
    <s v="Non-Veg"/>
    <n v="3"/>
    <n v="4"/>
    <s v="Medium"/>
    <s v="UPI"/>
    <x v="0"/>
    <x v="0"/>
    <n v="7.5"/>
    <n v="0.75"/>
    <x v="6"/>
    <s v="Online"/>
    <n v="9.6"/>
    <n v="20.399999999999999"/>
    <x v="0"/>
    <n v="6"/>
    <n v="2"/>
    <x v="0"/>
    <n v="30.286458333333329"/>
  </r>
  <r>
    <x v="614"/>
    <x v="0"/>
    <s v="San Francisco, CA"/>
    <d v="2025-06-21T00:00:00"/>
    <d v="1899-12-30T20:15:00"/>
    <d v="2025-06-21T00:00:00"/>
    <d v="1899-12-30T21:00:00"/>
    <x v="7"/>
    <s v="Large"/>
    <s v="Veg"/>
    <n v="4"/>
    <n v="9"/>
    <s v="High"/>
    <s v="Cash"/>
    <x v="0"/>
    <x v="1"/>
    <n v="5"/>
    <n v="0.44444444444444442"/>
    <x v="6"/>
    <s v="Offline"/>
    <n v="21.6"/>
    <n v="23.4"/>
    <x v="1"/>
    <n v="12"/>
    <n v="3"/>
    <x v="1"/>
    <n v="30.259433962264151"/>
  </r>
  <r>
    <x v="615"/>
    <x v="1"/>
    <s v="Indianapolis, IN"/>
    <d v="2025-06-22T00:00:00"/>
    <d v="1899-12-30T18:00:00"/>
    <d v="2025-06-22T00:00:00"/>
    <d v="1899-12-30T18:20:00"/>
    <x v="2"/>
    <s v="Medium"/>
    <s v="Veg"/>
    <n v="2"/>
    <n v="3"/>
    <s v="Low"/>
    <s v="Card"/>
    <x v="0"/>
    <x v="1"/>
    <n v="6.666666666666667"/>
    <n v="0.66666666666666663"/>
    <x v="6"/>
    <s v="Online"/>
    <n v="7.1999999999999993"/>
    <n v="12.8"/>
    <x v="0"/>
    <n v="4"/>
    <n v="1"/>
    <x v="0"/>
    <n v="28.186274509803919"/>
  </r>
  <r>
    <x v="616"/>
    <x v="3"/>
    <s v="Seattle, WA"/>
    <d v="2025-06-23T00:00:00"/>
    <d v="1899-12-30T19:15:00"/>
    <d v="2025-06-23T00:00:00"/>
    <d v="1899-12-30T19:45:00"/>
    <x v="3"/>
    <s v="Large"/>
    <s v="Non-Veg"/>
    <n v="4"/>
    <n v="6"/>
    <s v="Medium"/>
    <s v="Wallet"/>
    <x v="0"/>
    <x v="0"/>
    <n v="5"/>
    <n v="0.66666666666666663"/>
    <x v="6"/>
    <s v="Online"/>
    <n v="14.4"/>
    <n v="15.6"/>
    <x v="0"/>
    <n v="12"/>
    <n v="2"/>
    <x v="3"/>
    <n v="29.948453608247419"/>
  </r>
  <r>
    <x v="617"/>
    <x v="2"/>
    <s v="Denver, CO"/>
    <d v="2025-06-24T00:00:00"/>
    <d v="1899-12-30T20:30:00"/>
    <d v="2025-06-24T00:00:00"/>
    <d v="1899-12-30T21:10:00"/>
    <x v="4"/>
    <s v="XL"/>
    <s v="Cheese Burst"/>
    <n v="5"/>
    <n v="8"/>
    <s v="High"/>
    <s v="Card"/>
    <x v="0"/>
    <x v="0"/>
    <n v="5"/>
    <n v="0.625"/>
    <x v="6"/>
    <s v="Online"/>
    <n v="19.2"/>
    <n v="20.8"/>
    <x v="1"/>
    <n v="20"/>
    <n v="3"/>
    <x v="1"/>
    <n v="28.844221105527641"/>
  </r>
  <r>
    <x v="618"/>
    <x v="4"/>
    <s v="Washington, DC"/>
    <d v="2025-06-25T00:00:00"/>
    <d v="1899-12-30T18:45:00"/>
    <d v="2025-06-25T00:00:00"/>
    <d v="1899-12-30T19:05:00"/>
    <x v="2"/>
    <s v="Small"/>
    <s v="Vegan"/>
    <n v="1"/>
    <n v="2.5"/>
    <s v="Low"/>
    <s v="Cash"/>
    <x v="0"/>
    <x v="0"/>
    <n v="8"/>
    <n v="0.4"/>
    <x v="6"/>
    <s v="Offline"/>
    <n v="6"/>
    <n v="14"/>
    <x v="0"/>
    <n v="1"/>
    <n v="1"/>
    <x v="0"/>
    <n v="30.286458333333329"/>
  </r>
  <r>
    <x v="619"/>
    <x v="0"/>
    <s v="Boston, MA"/>
    <d v="2025-06-26T00:00:00"/>
    <d v="1899-12-30T19:00:00"/>
    <d v="2025-06-26T00:00:00"/>
    <d v="1899-12-30T19:50:00"/>
    <x v="5"/>
    <s v="Large"/>
    <s v="Non-Veg"/>
    <n v="4"/>
    <n v="10"/>
    <s v="High"/>
    <s v="Card"/>
    <x v="0"/>
    <x v="0"/>
    <n v="5"/>
    <n v="0.4"/>
    <x v="6"/>
    <s v="Online"/>
    <n v="24"/>
    <n v="26"/>
    <x v="1"/>
    <n v="12"/>
    <n v="3"/>
    <x v="3"/>
    <n v="30.259433962264151"/>
  </r>
  <r>
    <x v="620"/>
    <x v="1"/>
    <s v="El Paso, TX"/>
    <d v="2025-06-27T00:00:00"/>
    <d v="1899-12-30T20:00:00"/>
    <d v="2025-06-27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6"/>
    <s v="Online"/>
    <n v="13.2"/>
    <n v="21.8"/>
    <x v="1"/>
    <n v="6"/>
    <n v="2"/>
    <x v="1"/>
    <n v="28.186274509803919"/>
  </r>
  <r>
    <x v="621"/>
    <x v="3"/>
    <s v="Detroit, MI"/>
    <d v="2025-06-28T00:00:00"/>
    <d v="1899-12-30T18:30:00"/>
    <d v="2025-06-28T00:00:00"/>
    <d v="1899-12-30T18:50:00"/>
    <x v="2"/>
    <s v="Small"/>
    <s v="Vegan"/>
    <n v="2"/>
    <n v="2"/>
    <s v="Low"/>
    <s v="UPI"/>
    <x v="0"/>
    <x v="1"/>
    <n v="10"/>
    <n v="1"/>
    <x v="6"/>
    <s v="Online"/>
    <n v="4.8"/>
    <n v="15.2"/>
    <x v="0"/>
    <n v="2"/>
    <n v="1"/>
    <x v="0"/>
    <n v="29.948453608247419"/>
  </r>
  <r>
    <x v="622"/>
    <x v="2"/>
    <s v="Nashville, TN"/>
    <d v="2025-06-29T00:00:00"/>
    <d v="1899-12-30T19:45:00"/>
    <d v="2025-06-29T00:00:00"/>
    <d v="1899-12-30T20:25:00"/>
    <x v="4"/>
    <s v="XL"/>
    <s v="Stuffed Crust"/>
    <n v="5"/>
    <n v="7.5"/>
    <s v="High"/>
    <s v="Card"/>
    <x v="0"/>
    <x v="1"/>
    <n v="5.333333333333333"/>
    <n v="0.66666666666666663"/>
    <x v="6"/>
    <s v="Online"/>
    <n v="18"/>
    <n v="22"/>
    <x v="1"/>
    <n v="20"/>
    <n v="3"/>
    <x v="3"/>
    <n v="28.844221105527641"/>
  </r>
  <r>
    <x v="623"/>
    <x v="0"/>
    <s v="Austin, TX"/>
    <d v="2025-06-15T00:00:00"/>
    <d v="1899-12-30T19:20:00"/>
    <d v="2025-06-15T00:00:00"/>
    <d v="1899-12-30T19:55:00"/>
    <x v="6"/>
    <s v="Large"/>
    <s v="Cheese Burst"/>
    <n v="4"/>
    <n v="5.4"/>
    <s v="Medium"/>
    <s v="Card"/>
    <x v="0"/>
    <x v="1"/>
    <n v="6.481481481481481"/>
    <n v="0.7407407407407407"/>
    <x v="6"/>
    <s v="Online"/>
    <n v="12.96"/>
    <n v="22.04"/>
    <x v="1"/>
    <n v="12"/>
    <n v="2"/>
    <x v="3"/>
    <n v="30.259433962264151"/>
  </r>
  <r>
    <x v="624"/>
    <x v="3"/>
    <s v="Miami, FL"/>
    <d v="2025-06-15T00:00:00"/>
    <d v="1899-12-30T20:00:00"/>
    <d v="2025-06-15T00:00:00"/>
    <d v="1899-12-30T20:30:00"/>
    <x v="3"/>
    <s v="Medium"/>
    <s v="Veg"/>
    <n v="2"/>
    <n v="4.0999999999999996"/>
    <s v="Low"/>
    <s v="Wallet"/>
    <x v="0"/>
    <x v="1"/>
    <n v="7.3170731707317076"/>
    <n v="0.48780487804878048"/>
    <x v="6"/>
    <s v="Online"/>
    <n v="9.8399999999999981"/>
    <n v="20.16"/>
    <x v="0"/>
    <n v="4"/>
    <n v="1"/>
    <x v="1"/>
    <n v="29.948453608247419"/>
  </r>
  <r>
    <x v="625"/>
    <x v="2"/>
    <s v="Atlanta, GA"/>
    <d v="2025-06-15T00:00:00"/>
    <d v="1899-12-30T20:05:00"/>
    <d v="2025-06-15T00:00:00"/>
    <d v="1899-12-30T20:55:00"/>
    <x v="5"/>
    <s v="XL"/>
    <s v="Non-Veg"/>
    <n v="5"/>
    <n v="8.6999999999999993"/>
    <s v="High"/>
    <s v="Cash"/>
    <x v="0"/>
    <x v="1"/>
    <n v="5.7471264367816097"/>
    <n v="0.57471264367816099"/>
    <x v="6"/>
    <s v="Offline"/>
    <n v="20.88"/>
    <n v="29.12"/>
    <x v="1"/>
    <n v="20"/>
    <n v="3"/>
    <x v="1"/>
    <n v="28.844221105527641"/>
  </r>
  <r>
    <x v="626"/>
    <x v="0"/>
    <s v="Austin, TX"/>
    <d v="2025-06-15T00:00:00"/>
    <d v="1899-12-30T21:00:00"/>
    <d v="2025-06-15T00:00:00"/>
    <d v="1899-12-30T21:35:00"/>
    <x v="6"/>
    <s v="Large"/>
    <s v="Cheese Burst"/>
    <n v="4"/>
    <n v="5.4"/>
    <s v="Medium"/>
    <s v="Card"/>
    <x v="0"/>
    <x v="1"/>
    <n v="6.481481481481481"/>
    <n v="0.7407407407407407"/>
    <x v="6"/>
    <s v="Online"/>
    <n v="12.96"/>
    <n v="22.04"/>
    <x v="1"/>
    <n v="12"/>
    <n v="2"/>
    <x v="7"/>
    <n v="30.259433962264151"/>
  </r>
  <r>
    <x v="627"/>
    <x v="1"/>
    <s v="Seattle, WA"/>
    <d v="2025-06-16T00:00:00"/>
    <d v="1899-12-30T17:45:00"/>
    <d v="2025-06-16T00:00:00"/>
    <d v="1899-12-30T18:10:00"/>
    <x v="1"/>
    <s v="Medium"/>
    <s v="Gluten-Free"/>
    <n v="3"/>
    <n v="3.9"/>
    <s v="Low"/>
    <s v="UPI"/>
    <x v="1"/>
    <x v="0"/>
    <n v="6.4102564102564106"/>
    <n v="0.76923076923076927"/>
    <x v="6"/>
    <s v="Online"/>
    <n v="9.36"/>
    <n v="15.64"/>
    <x v="0"/>
    <n v="6"/>
    <n v="1"/>
    <x v="5"/>
    <n v="28.186274509803919"/>
  </r>
  <r>
    <x v="628"/>
    <x v="3"/>
    <s v="Miami, FL"/>
    <d v="2025-06-16T00:00:00"/>
    <d v="1899-12-30T18:30:00"/>
    <d v="2025-06-16T00:00:00"/>
    <d v="1899-12-30T19:10:00"/>
    <x v="4"/>
    <s v="Large"/>
    <s v="Stuffed Crust"/>
    <n v="5"/>
    <n v="6"/>
    <s v="Medium"/>
    <s v="Wallet"/>
    <x v="0"/>
    <x v="0"/>
    <n v="6.666666666666667"/>
    <n v="0.83333333333333337"/>
    <x v="6"/>
    <s v="Online"/>
    <n v="14.4"/>
    <n v="25.6"/>
    <x v="1"/>
    <n v="15"/>
    <n v="2"/>
    <x v="0"/>
    <n v="29.948453608247419"/>
  </r>
  <r>
    <x v="629"/>
    <x v="0"/>
    <s v="Phoenix, AZ"/>
    <d v="2025-06-16T00:00:00"/>
    <d v="1899-12-30T19:00:00"/>
    <d v="2025-06-16T00:00:00"/>
    <d v="1899-12-30T19:35:00"/>
    <x v="6"/>
    <s v="Medium"/>
    <s v="Veg"/>
    <n v="2"/>
    <n v="4.5"/>
    <s v="Medium"/>
    <s v="Hut Points"/>
    <x v="0"/>
    <x v="0"/>
    <n v="7.7777777777777777"/>
    <n v="0.44444444444444442"/>
    <x v="6"/>
    <s v="Offline"/>
    <n v="10.8"/>
    <n v="24.2"/>
    <x v="1"/>
    <n v="4"/>
    <n v="2"/>
    <x v="3"/>
    <n v="30.259433962264151"/>
  </r>
  <r>
    <x v="630"/>
    <x v="3"/>
    <s v="Dallas, TX"/>
    <d v="2025-06-16T00:00:00"/>
    <d v="1899-12-30T20:15:00"/>
    <d v="2025-06-16T00:00:00"/>
    <d v="1899-12-30T21:00:00"/>
    <x v="7"/>
    <s v="Large"/>
    <s v="Cheese Burst"/>
    <n v="4"/>
    <n v="7.2"/>
    <s v="High"/>
    <s v="Card"/>
    <x v="0"/>
    <x v="0"/>
    <n v="6.25"/>
    <n v="0.55555555555555558"/>
    <x v="6"/>
    <s v="Online"/>
    <n v="17.28"/>
    <n v="27.72"/>
    <x v="1"/>
    <n v="12"/>
    <n v="3"/>
    <x v="1"/>
    <n v="29.948453608247419"/>
  </r>
  <r>
    <x v="631"/>
    <x v="0"/>
    <s v="Austin, TX"/>
    <d v="2025-06-16T00:00:00"/>
    <d v="1899-12-30T21:10:00"/>
    <d v="2025-06-16T00:00:00"/>
    <d v="1899-12-30T21:40:00"/>
    <x v="3"/>
    <s v="Large"/>
    <s v="Cheese Burst"/>
    <n v="4"/>
    <n v="5.4"/>
    <s v="Medium"/>
    <s v="Cash"/>
    <x v="0"/>
    <x v="0"/>
    <n v="5.5555555555555554"/>
    <n v="0.7407407407407407"/>
    <x v="6"/>
    <s v="Offline"/>
    <n v="12.96"/>
    <n v="17.04"/>
    <x v="0"/>
    <n v="12"/>
    <n v="2"/>
    <x v="7"/>
    <n v="30.259433962264151"/>
  </r>
  <r>
    <x v="632"/>
    <x v="2"/>
    <s v="Chicago, IL"/>
    <d v="2025-06-17T00:00:00"/>
    <d v="1899-12-30T18:10:00"/>
    <d v="2025-06-17T00:00:00"/>
    <d v="1899-12-30T18:50:00"/>
    <x v="4"/>
    <s v="XL"/>
    <s v="Sicilian"/>
    <n v="5"/>
    <n v="7.8"/>
    <s v="High"/>
    <s v="UPI"/>
    <x v="0"/>
    <x v="0"/>
    <n v="5.1282051282051286"/>
    <n v="0.64102564102564108"/>
    <x v="6"/>
    <s v="Online"/>
    <n v="18.72"/>
    <n v="21.28"/>
    <x v="1"/>
    <n v="20"/>
    <n v="3"/>
    <x v="0"/>
    <n v="28.844221105527641"/>
  </r>
  <r>
    <x v="633"/>
    <x v="4"/>
    <s v="Tampa, FL"/>
    <d v="2025-06-17T00:00:00"/>
    <d v="1899-12-30T19:15:00"/>
    <d v="2025-06-17T00:00:00"/>
    <d v="1899-12-30T19:40:00"/>
    <x v="1"/>
    <s v="Small"/>
    <s v="Thai Chicken"/>
    <n v="3"/>
    <n v="3.2"/>
    <s v="Medium"/>
    <s v="Card"/>
    <x v="0"/>
    <x v="0"/>
    <n v="7.8125"/>
    <n v="0.9375"/>
    <x v="6"/>
    <s v="Online"/>
    <n v="7.68"/>
    <n v="17.32"/>
    <x v="0"/>
    <n v="3"/>
    <n v="2"/>
    <x v="3"/>
    <n v="26.666666666666671"/>
  </r>
  <r>
    <x v="634"/>
    <x v="3"/>
    <s v="Miami, FL"/>
    <d v="2025-06-17T00:00:00"/>
    <d v="1899-12-30T20:00:00"/>
    <d v="2025-06-17T00:00:00"/>
    <d v="1899-12-30T20:30:00"/>
    <x v="3"/>
    <s v="Medium"/>
    <s v="Veg"/>
    <n v="2"/>
    <n v="4.0999999999999996"/>
    <s v="Low"/>
    <s v="Wallet"/>
    <x v="0"/>
    <x v="0"/>
    <n v="7.3170731707317076"/>
    <n v="0.48780487804878048"/>
    <x v="6"/>
    <s v="Online"/>
    <n v="9.8399999999999981"/>
    <n v="20.16"/>
    <x v="0"/>
    <n v="4"/>
    <n v="1"/>
    <x v="1"/>
    <n v="29.948453608247419"/>
  </r>
  <r>
    <x v="635"/>
    <x v="1"/>
    <s v="San Diego, CA"/>
    <d v="2025-06-18T00:00:00"/>
    <d v="1899-12-30T17:45:00"/>
    <d v="2025-06-18T00:00:00"/>
    <d v="1899-12-30T18:35:00"/>
    <x v="5"/>
    <s v="Large"/>
    <s v="Non-Veg"/>
    <n v="4"/>
    <n v="8.3000000000000007"/>
    <s v="High"/>
    <s v="Card"/>
    <x v="1"/>
    <x v="0"/>
    <n v="6.0240963855421681"/>
    <n v="0.48192771084337338"/>
    <x v="6"/>
    <s v="Online"/>
    <n v="19.920000000000002"/>
    <n v="30.08"/>
    <x v="1"/>
    <n v="12"/>
    <n v="3"/>
    <x v="5"/>
    <n v="28.186274509803919"/>
  </r>
  <r>
    <x v="636"/>
    <x v="0"/>
    <s v="Austin, TX"/>
    <d v="2025-06-18T00:00:00"/>
    <d v="1899-12-30T19:05:00"/>
    <d v="2025-06-18T00:00:00"/>
    <d v="1899-12-30T19:40:00"/>
    <x v="6"/>
    <s v="Large"/>
    <s v="Cheese Burst"/>
    <n v="4"/>
    <n v="5.4"/>
    <s v="Medium"/>
    <s v="UPI"/>
    <x v="0"/>
    <x v="0"/>
    <n v="6.481481481481481"/>
    <n v="0.7407407407407407"/>
    <x v="6"/>
    <s v="Online"/>
    <n v="12.96"/>
    <n v="22.04"/>
    <x v="1"/>
    <n v="12"/>
    <n v="2"/>
    <x v="3"/>
    <n v="30.259433962264151"/>
  </r>
  <r>
    <x v="637"/>
    <x v="4"/>
    <s v="Charlotte, NC"/>
    <d v="2025-06-18T00:00:00"/>
    <d v="1899-12-30T20:00:00"/>
    <d v="2025-06-18T00:00:00"/>
    <d v="1899-12-30T20:25:00"/>
    <x v="1"/>
    <s v="Medium"/>
    <s v="Non-Veg"/>
    <n v="3"/>
    <n v="4"/>
    <s v="Low"/>
    <s v="Wallet"/>
    <x v="0"/>
    <x v="0"/>
    <n v="6.25"/>
    <n v="0.75"/>
    <x v="6"/>
    <s v="Online"/>
    <n v="9.6"/>
    <n v="15.4"/>
    <x v="0"/>
    <n v="6"/>
    <n v="1"/>
    <x v="1"/>
    <n v="26.666666666666671"/>
  </r>
  <r>
    <x v="638"/>
    <x v="3"/>
    <s v="Miami, FL"/>
    <d v="2025-06-18T00:00:00"/>
    <d v="1899-12-30T21:00:00"/>
    <d v="2025-06-18T00:00:00"/>
    <d v="1899-12-30T21:30:00"/>
    <x v="3"/>
    <s v="Medium"/>
    <s v="Veg"/>
    <n v="2"/>
    <n v="4.0999999999999996"/>
    <s v="Low"/>
    <s v="Card"/>
    <x v="0"/>
    <x v="0"/>
    <n v="7.3170731707317076"/>
    <n v="0.48780487804878048"/>
    <x v="6"/>
    <s v="Online"/>
    <n v="9.8399999999999981"/>
    <n v="20.16"/>
    <x v="0"/>
    <n v="4"/>
    <n v="1"/>
    <x v="7"/>
    <n v="29.948453608247419"/>
  </r>
  <r>
    <x v="639"/>
    <x v="0"/>
    <s v="Los Angeles, CA"/>
    <d v="2025-06-19T00:00:00"/>
    <d v="1899-12-30T18:15:00"/>
    <d v="2025-06-19T00:00:00"/>
    <d v="1899-12-30T18:55:00"/>
    <x v="4"/>
    <s v="Large"/>
    <s v="Cheese Burst"/>
    <n v="5"/>
    <n v="6.3"/>
    <s v="Medium"/>
    <s v="Cash"/>
    <x v="0"/>
    <x v="0"/>
    <n v="6.3492063492063497"/>
    <n v="0.79365079365079372"/>
    <x v="6"/>
    <s v="Offline"/>
    <n v="15.12"/>
    <n v="24.88"/>
    <x v="1"/>
    <n v="15"/>
    <n v="2"/>
    <x v="0"/>
    <n v="30.259433962264151"/>
  </r>
  <r>
    <x v="640"/>
    <x v="2"/>
    <s v="Denver, CO"/>
    <d v="2025-06-19T00:00:00"/>
    <d v="1899-12-30T19:10:00"/>
    <d v="2025-06-19T00:00:00"/>
    <d v="1899-12-30T19:55:00"/>
    <x v="7"/>
    <s v="XL"/>
    <s v="Vegan"/>
    <n v="2"/>
    <n v="7"/>
    <s v="High"/>
    <s v="Wallet"/>
    <x v="0"/>
    <x v="0"/>
    <n v="6.4285714285714288"/>
    <n v="0.2857142857142857"/>
    <x v="6"/>
    <s v="Online"/>
    <n v="16.8"/>
    <n v="28.2"/>
    <x v="1"/>
    <n v="8"/>
    <n v="3"/>
    <x v="3"/>
    <n v="28.844221105527641"/>
  </r>
  <r>
    <x v="641"/>
    <x v="0"/>
    <s v="Austin, TX"/>
    <d v="2025-06-19T00:00:00"/>
    <d v="1899-12-30T20:00:00"/>
    <d v="2025-06-19T00:00:00"/>
    <d v="1899-12-30T20:30:00"/>
    <x v="3"/>
    <s v="Large"/>
    <s v="Cheese Burst"/>
    <n v="4"/>
    <n v="5.4"/>
    <s v="Medium"/>
    <s v="Card"/>
    <x v="0"/>
    <x v="0"/>
    <n v="5.5555555555555554"/>
    <n v="0.7407407407407407"/>
    <x v="6"/>
    <s v="Online"/>
    <n v="12.96"/>
    <n v="17.04"/>
    <x v="0"/>
    <n v="12"/>
    <n v="2"/>
    <x v="1"/>
    <n v="30.259433962264151"/>
  </r>
  <r>
    <x v="642"/>
    <x v="4"/>
    <s v="Tampa, FL"/>
    <d v="2025-06-20T00:00:00"/>
    <d v="1899-12-30T18:10:00"/>
    <d v="2025-06-20T00:00:00"/>
    <d v="1899-12-30T18:40:00"/>
    <x v="3"/>
    <s v="Small"/>
    <s v="Thai Chicken"/>
    <n v="3"/>
    <n v="3.2"/>
    <s v="Medium"/>
    <s v="Cash"/>
    <x v="0"/>
    <x v="0"/>
    <n v="9.375"/>
    <n v="0.9375"/>
    <x v="6"/>
    <s v="Offline"/>
    <n v="7.68"/>
    <n v="22.32"/>
    <x v="0"/>
    <n v="3"/>
    <n v="2"/>
    <x v="0"/>
    <n v="26.666666666666671"/>
  </r>
  <r>
    <x v="643"/>
    <x v="3"/>
    <s v="Dallas, TX"/>
    <d v="2025-06-20T00:00:00"/>
    <d v="1899-12-30T19:00:00"/>
    <d v="2025-06-20T00:00:00"/>
    <d v="1899-12-30T19:30:00"/>
    <x v="3"/>
    <s v="Medium"/>
    <s v="Stuffed Crust"/>
    <n v="4"/>
    <n v="5.8"/>
    <s v="Medium"/>
    <s v="Card"/>
    <x v="0"/>
    <x v="0"/>
    <n v="5.1724137931034484"/>
    <n v="0.68965517241379315"/>
    <x v="6"/>
    <s v="Online"/>
    <n v="13.92"/>
    <n v="16.079999999999998"/>
    <x v="0"/>
    <n v="8"/>
    <n v="2"/>
    <x v="3"/>
    <n v="29.948453608247419"/>
  </r>
  <r>
    <x v="644"/>
    <x v="0"/>
    <s v="San Francisco, CA"/>
    <d v="2025-07-21T00:00:00"/>
    <d v="1899-12-30T19:00:00"/>
    <d v="2025-07-21T00:00:00"/>
    <d v="1899-12-30T19:50:00"/>
    <x v="5"/>
    <s v="Large"/>
    <s v="Non-Veg"/>
    <n v="4"/>
    <n v="10"/>
    <s v="High"/>
    <s v="Card"/>
    <x v="0"/>
    <x v="0"/>
    <n v="5"/>
    <n v="0.4"/>
    <x v="7"/>
    <s v="Online"/>
    <n v="24"/>
    <n v="26"/>
    <x v="1"/>
    <n v="12"/>
    <n v="3"/>
    <x v="3"/>
    <n v="30.259433962264151"/>
  </r>
  <r>
    <x v="645"/>
    <x v="1"/>
    <s v="Indianapolis, IN"/>
    <d v="2025-07-22T00:00:00"/>
    <d v="1899-12-30T20:00:00"/>
    <d v="2025-07-22T00:00:00"/>
    <d v="1899-12-30T20:35:00"/>
    <x v="6"/>
    <s v="Medium"/>
    <s v="Gluten-Free"/>
    <n v="3"/>
    <n v="5.5"/>
    <s v="Medium"/>
    <s v="Wallet"/>
    <x v="0"/>
    <x v="0"/>
    <n v="6.3636363636363633"/>
    <n v="0.54545454545454541"/>
    <x v="7"/>
    <s v="Online"/>
    <n v="13.2"/>
    <n v="21.8"/>
    <x v="1"/>
    <n v="6"/>
    <n v="2"/>
    <x v="1"/>
    <n v="28.186274509803919"/>
  </r>
  <r>
    <x v="646"/>
    <x v="3"/>
    <s v="Seattle, WA"/>
    <d v="2025-07-23T00:00:00"/>
    <d v="1899-12-30T18:30:00"/>
    <d v="2025-07-23T00:00:00"/>
    <d v="1899-12-30T18:50:00"/>
    <x v="2"/>
    <s v="Small"/>
    <s v="Vegan"/>
    <n v="2"/>
    <n v="2"/>
    <s v="Low"/>
    <s v="UPI"/>
    <x v="0"/>
    <x v="0"/>
    <n v="10"/>
    <n v="1"/>
    <x v="7"/>
    <s v="Online"/>
    <n v="4.8"/>
    <n v="15.2"/>
    <x v="0"/>
    <n v="2"/>
    <n v="1"/>
    <x v="0"/>
    <n v="29.948453608247419"/>
  </r>
  <r>
    <x v="647"/>
    <x v="2"/>
    <s v="Denver, CO"/>
    <d v="2025-07-24T00:00:00"/>
    <d v="1899-12-30T19:45:00"/>
    <d v="2025-07-24T00:00:00"/>
    <d v="1899-12-30T20:25:00"/>
    <x v="4"/>
    <s v="XL"/>
    <s v="Cheese Burst"/>
    <n v="5"/>
    <n v="8"/>
    <s v="High"/>
    <s v="Card"/>
    <x v="0"/>
    <x v="0"/>
    <n v="5"/>
    <n v="0.625"/>
    <x v="7"/>
    <s v="Online"/>
    <n v="19.2"/>
    <n v="20.8"/>
    <x v="1"/>
    <n v="20"/>
    <n v="3"/>
    <x v="3"/>
    <n v="28.844221105527641"/>
  </r>
  <r>
    <x v="648"/>
    <x v="4"/>
    <s v="Boston, MA"/>
    <d v="2025-07-25T00:00:00"/>
    <d v="1899-12-30T18:15:00"/>
    <d v="2025-07-25T00:00:00"/>
    <d v="1899-12-30T18:45:00"/>
    <x v="3"/>
    <s v="Medium"/>
    <s v="Thai Chicken"/>
    <n v="3"/>
    <n v="4"/>
    <s v="Medium"/>
    <s v="UPI"/>
    <x v="0"/>
    <x v="0"/>
    <n v="7.5"/>
    <n v="0.75"/>
    <x v="7"/>
    <s v="Online"/>
    <n v="9.6"/>
    <n v="20.399999999999999"/>
    <x v="0"/>
    <n v="6"/>
    <n v="2"/>
    <x v="0"/>
    <n v="30.286458333333329"/>
  </r>
  <r>
    <x v="649"/>
    <x v="0"/>
    <s v="Nashville, TN"/>
    <d v="2025-07-26T00:00:00"/>
    <d v="1899-12-30T19:30:00"/>
    <d v="2025-07-26T00:00:00"/>
    <d v="1899-12-30T20:10:00"/>
    <x v="4"/>
    <s v="Large"/>
    <s v="Sicilian"/>
    <n v="4"/>
    <n v="6.5"/>
    <s v="High"/>
    <s v="Cash"/>
    <x v="0"/>
    <x v="1"/>
    <n v="6.1538461538461542"/>
    <n v="0.61538461538461542"/>
    <x v="7"/>
    <s v="Offline"/>
    <n v="15.6"/>
    <n v="24.4"/>
    <x v="1"/>
    <n v="12"/>
    <n v="3"/>
    <x v="3"/>
    <n v="30.259433962264151"/>
  </r>
  <r>
    <x v="650"/>
    <x v="1"/>
    <s v="Detroit, MI"/>
    <d v="2025-07-27T00:00:00"/>
    <d v="1899-12-30T20:45:00"/>
    <d v="2025-07-27T00:00:00"/>
    <d v="1899-12-30T21:15:00"/>
    <x v="3"/>
    <s v="Medium"/>
    <s v="Veg"/>
    <n v="2"/>
    <n v="3.5"/>
    <s v="Low"/>
    <s v="Card"/>
    <x v="0"/>
    <x v="1"/>
    <n v="8.5714285714285712"/>
    <n v="0.5714285714285714"/>
    <x v="7"/>
    <s v="Online"/>
    <n v="8.4"/>
    <n v="21.6"/>
    <x v="0"/>
    <n v="4"/>
    <n v="1"/>
    <x v="1"/>
    <n v="28.186274509803919"/>
  </r>
  <r>
    <x v="651"/>
    <x v="3"/>
    <s v="El Paso, TX"/>
    <d v="2025-07-28T00:00:00"/>
    <d v="1899-12-30T18:00:00"/>
    <d v="2025-07-28T00:00:00"/>
    <d v="1899-12-30T18:30:00"/>
    <x v="3"/>
    <s v="Large"/>
    <s v="Non-Veg"/>
    <n v="4"/>
    <n v="5"/>
    <s v="Medium"/>
    <s v="Wallet"/>
    <x v="0"/>
    <x v="0"/>
    <n v="6"/>
    <n v="0.8"/>
    <x v="7"/>
    <s v="Online"/>
    <n v="12"/>
    <n v="18"/>
    <x v="0"/>
    <n v="12"/>
    <n v="2"/>
    <x v="0"/>
    <n v="29.948453608247419"/>
  </r>
  <r>
    <x v="652"/>
    <x v="2"/>
    <s v="Washington, DC"/>
    <d v="2025-07-29T00:00:00"/>
    <d v="1899-12-30T19:15:00"/>
    <d v="2025-07-29T00:00:00"/>
    <d v="1899-12-30T19:55:00"/>
    <x v="4"/>
    <s v="XL"/>
    <s v="Cheese Burst"/>
    <n v="5"/>
    <n v="7"/>
    <s v="High"/>
    <s v="Card"/>
    <x v="0"/>
    <x v="0"/>
    <n v="5.7142857142857144"/>
    <n v="0.7142857142857143"/>
    <x v="7"/>
    <s v="Online"/>
    <n v="16.8"/>
    <n v="23.2"/>
    <x v="1"/>
    <n v="20"/>
    <n v="3"/>
    <x v="3"/>
    <n v="28.844221105527641"/>
  </r>
  <r>
    <x v="653"/>
    <x v="4"/>
    <s v="Las Vegas, NV"/>
    <d v="2025-07-30T00:00:00"/>
    <d v="1899-12-30T20:30:00"/>
    <d v="2025-07-30T00:00:00"/>
    <d v="1899-12-30T21:00:00"/>
    <x v="3"/>
    <s v="Medium"/>
    <s v="Vegan"/>
    <n v="2"/>
    <n v="4"/>
    <s v="Medium"/>
    <s v="UPI"/>
    <x v="0"/>
    <x v="0"/>
    <n v="7.5"/>
    <n v="0.5"/>
    <x v="7"/>
    <s v="Online"/>
    <n v="9.6"/>
    <n v="20.399999999999999"/>
    <x v="0"/>
    <n v="4"/>
    <n v="2"/>
    <x v="1"/>
    <n v="30.286458333333329"/>
  </r>
  <r>
    <x v="654"/>
    <x v="0"/>
    <s v="Louisville, KY"/>
    <d v="2025-07-31T00:00:00"/>
    <d v="1899-12-30T18:45:00"/>
    <d v="2025-07-31T00:00:00"/>
    <d v="1899-12-30T19:25:00"/>
    <x v="4"/>
    <s v="Large"/>
    <s v="Non-Veg"/>
    <n v="4"/>
    <n v="6"/>
    <s v="High"/>
    <s v="Domino's Cash"/>
    <x v="0"/>
    <x v="0"/>
    <n v="6.666666666666667"/>
    <n v="0.66666666666666663"/>
    <x v="7"/>
    <s v="Offline"/>
    <n v="14.4"/>
    <n v="25.6"/>
    <x v="1"/>
    <n v="12"/>
    <n v="3"/>
    <x v="0"/>
    <n v="30.259433962264151"/>
  </r>
  <r>
    <x v="655"/>
    <x v="1"/>
    <s v="Baltimore, MD"/>
    <d v="2025-08-01T00:00:00"/>
    <d v="1899-12-30T20:00:00"/>
    <d v="2025-08-01T00:00:00"/>
    <d v="1899-12-30T20:30:00"/>
    <x v="3"/>
    <s v="Medium"/>
    <s v="Gluten-Free"/>
    <n v="3"/>
    <n v="5"/>
    <s v="Medium"/>
    <s v="Wallet"/>
    <x v="0"/>
    <x v="0"/>
    <n v="6"/>
    <n v="0.6"/>
    <x v="5"/>
    <s v="Online"/>
    <n v="12"/>
    <n v="18"/>
    <x v="0"/>
    <n v="6"/>
    <n v="2"/>
    <x v="1"/>
    <n v="28.186274509803919"/>
  </r>
  <r>
    <x v="656"/>
    <x v="3"/>
    <s v="Milwaukee, WI"/>
    <d v="2025-08-02T00:00:00"/>
    <d v="1899-12-30T18:30:00"/>
    <d v="2025-08-02T00:00:00"/>
    <d v="1899-12-30T19:00:00"/>
    <x v="3"/>
    <s v="Small"/>
    <s v="Vegan"/>
    <n v="2"/>
    <n v="3"/>
    <s v="Low"/>
    <s v="UPI"/>
    <x v="0"/>
    <x v="1"/>
    <n v="10"/>
    <n v="0.66666666666666663"/>
    <x v="5"/>
    <s v="Online"/>
    <n v="7.1999999999999993"/>
    <n v="22.8"/>
    <x v="0"/>
    <n v="2"/>
    <n v="1"/>
    <x v="0"/>
    <n v="29.948453608247419"/>
  </r>
  <r>
    <x v="657"/>
    <x v="2"/>
    <s v="Albuquerque, NM"/>
    <d v="2025-08-03T00:00:00"/>
    <d v="1899-12-30T19:45:00"/>
    <d v="2025-08-03T00:00:00"/>
    <d v="1899-12-30T20:25:00"/>
    <x v="4"/>
    <s v="XL"/>
    <s v="Stuffed Crust"/>
    <n v="5"/>
    <n v="8"/>
    <s v="High"/>
    <s v="Card"/>
    <x v="0"/>
    <x v="1"/>
    <n v="5"/>
    <n v="0.625"/>
    <x v="5"/>
    <s v="Online"/>
    <n v="19.2"/>
    <n v="20.8"/>
    <x v="1"/>
    <n v="20"/>
    <n v="3"/>
    <x v="3"/>
    <n v="28.844221105527641"/>
  </r>
  <r>
    <x v="658"/>
    <x v="4"/>
    <s v="Tucson, AZ"/>
    <d v="2025-08-04T00:00:00"/>
    <d v="1899-12-30T18:00:00"/>
    <d v="2025-08-04T00:00:00"/>
    <d v="1899-12-30T18:30:00"/>
    <x v="3"/>
    <s v="Medium"/>
    <s v="Non-Veg"/>
    <n v="3"/>
    <n v="4"/>
    <s v="Medium"/>
    <s v="UPI"/>
    <x v="0"/>
    <x v="0"/>
    <n v="7.5"/>
    <n v="0.75"/>
    <x v="5"/>
    <s v="Online"/>
    <n v="9.6"/>
    <n v="20.399999999999999"/>
    <x v="0"/>
    <n v="6"/>
    <n v="2"/>
    <x v="0"/>
    <n v="30.286458333333329"/>
  </r>
  <r>
    <x v="659"/>
    <x v="0"/>
    <s v="Fresno, CA"/>
    <d v="2025-08-05T00:00:00"/>
    <d v="1899-12-30T19:15:00"/>
    <d v="2025-08-05T00:00:00"/>
    <d v="1899-12-30T19:55:00"/>
    <x v="4"/>
    <s v="Large"/>
    <s v="Veg"/>
    <n v="4"/>
    <n v="6"/>
    <s v="High"/>
    <s v="Cash"/>
    <x v="0"/>
    <x v="0"/>
    <n v="6.666666666666667"/>
    <n v="0.66666666666666663"/>
    <x v="5"/>
    <s v="Offline"/>
    <n v="14.4"/>
    <n v="25.6"/>
    <x v="1"/>
    <n v="12"/>
    <n v="3"/>
    <x v="3"/>
    <n v="30.259433962264151"/>
  </r>
  <r>
    <x v="660"/>
    <x v="1"/>
    <s v="Sacramento, CA"/>
    <d v="2025-08-06T00:00:00"/>
    <d v="1899-12-30T20:30:00"/>
    <d v="2025-08-06T00:00:00"/>
    <d v="1899-12-30T21:00:00"/>
    <x v="3"/>
    <s v="Medium"/>
    <s v="Veg"/>
    <n v="2"/>
    <n v="3.5"/>
    <s v="Low"/>
    <s v="Card"/>
    <x v="0"/>
    <x v="0"/>
    <n v="8.5714285714285712"/>
    <n v="0.5714285714285714"/>
    <x v="5"/>
    <s v="Online"/>
    <n v="8.4"/>
    <n v="21.6"/>
    <x v="0"/>
    <n v="4"/>
    <n v="1"/>
    <x v="1"/>
    <n v="28.186274509803919"/>
  </r>
  <r>
    <x v="661"/>
    <x v="3"/>
    <s v="Kansas City, MO"/>
    <d v="2025-08-07T00:00:00"/>
    <d v="1899-12-30T18:45:00"/>
    <d v="2025-08-07T00:00:00"/>
    <d v="1899-12-30T19:15:00"/>
    <x v="3"/>
    <s v="Large"/>
    <s v="Non-Veg"/>
    <n v="4"/>
    <n v="5.5"/>
    <s v="Medium"/>
    <s v="Wallet"/>
    <x v="0"/>
    <x v="0"/>
    <n v="5.4545454545454541"/>
    <n v="0.72727272727272729"/>
    <x v="5"/>
    <s v="Online"/>
    <n v="13.2"/>
    <n v="16.8"/>
    <x v="0"/>
    <n v="12"/>
    <n v="2"/>
    <x v="0"/>
    <n v="29.948453608247419"/>
  </r>
  <r>
    <x v="662"/>
    <x v="2"/>
    <s v="Mesa, AZ"/>
    <d v="2025-08-08T00:00:00"/>
    <d v="1899-12-30T20:00:00"/>
    <d v="2025-08-08T00:00:00"/>
    <d v="1899-12-30T20:40:00"/>
    <x v="4"/>
    <s v="XL"/>
    <s v="Cheese Burst"/>
    <n v="5"/>
    <n v="7.5"/>
    <s v="High"/>
    <s v="Card"/>
    <x v="0"/>
    <x v="0"/>
    <n v="5.333333333333333"/>
    <n v="0.66666666666666663"/>
    <x v="5"/>
    <s v="Online"/>
    <n v="18"/>
    <n v="22"/>
    <x v="1"/>
    <n v="20"/>
    <n v="3"/>
    <x v="1"/>
    <n v="28.844221105527641"/>
  </r>
  <r>
    <x v="663"/>
    <x v="4"/>
    <s v="Atlanta, GA"/>
    <d v="2025-08-09T00:00:00"/>
    <d v="1899-12-30T18:15:00"/>
    <d v="2025-08-09T00:00:00"/>
    <d v="1899-12-30T18:45:00"/>
    <x v="3"/>
    <s v="Small"/>
    <s v="Vegan"/>
    <n v="1"/>
    <n v="2.5"/>
    <s v="Low"/>
    <s v="Cash"/>
    <x v="0"/>
    <x v="1"/>
    <n v="12"/>
    <n v="0.4"/>
    <x v="5"/>
    <s v="Offline"/>
    <n v="6"/>
    <n v="24"/>
    <x v="0"/>
    <n v="1"/>
    <n v="1"/>
    <x v="0"/>
    <n v="30.286458333333329"/>
  </r>
  <r>
    <x v="664"/>
    <x v="0"/>
    <s v="Omaha, NE"/>
    <d v="2025-08-10T00:00:00"/>
    <d v="1899-12-30T19:30:00"/>
    <d v="2025-08-10T00:00:00"/>
    <d v="1899-12-30T20:10:00"/>
    <x v="4"/>
    <s v="Large"/>
    <s v="Non-Veg"/>
    <n v="4"/>
    <n v="6.5"/>
    <s v="High"/>
    <s v="Card"/>
    <x v="0"/>
    <x v="1"/>
    <n v="6.1538461538461542"/>
    <n v="0.61538461538461542"/>
    <x v="5"/>
    <s v="Online"/>
    <n v="15.6"/>
    <n v="24.4"/>
    <x v="1"/>
    <n v="12"/>
    <n v="3"/>
    <x v="3"/>
    <n v="30.259433962264151"/>
  </r>
  <r>
    <x v="665"/>
    <x v="1"/>
    <s v="Raleigh, NC"/>
    <d v="2025-08-11T00:00:00"/>
    <d v="1899-12-30T20:45:00"/>
    <d v="2025-08-11T00:00:00"/>
    <d v="1899-12-30T21:15:00"/>
    <x v="3"/>
    <s v="Medium"/>
    <s v="Gluten-Free"/>
    <n v="3"/>
    <n v="5"/>
    <s v="Medium"/>
    <s v="Wallet"/>
    <x v="0"/>
    <x v="0"/>
    <n v="6"/>
    <n v="0.6"/>
    <x v="5"/>
    <s v="Online"/>
    <n v="12"/>
    <n v="18"/>
    <x v="0"/>
    <n v="6"/>
    <n v="2"/>
    <x v="1"/>
    <n v="28.186274509803919"/>
  </r>
  <r>
    <x v="666"/>
    <x v="3"/>
    <s v="Long Beach, CA"/>
    <d v="2025-08-12T00:00:00"/>
    <d v="1899-12-30T18:00:00"/>
    <d v="2025-08-12T00:00:00"/>
    <d v="1899-12-30T18:30:00"/>
    <x v="3"/>
    <s v="Small"/>
    <s v="Vegan"/>
    <n v="2"/>
    <n v="3"/>
    <s v="Low"/>
    <s v="UPI"/>
    <x v="0"/>
    <x v="0"/>
    <n v="10"/>
    <n v="0.66666666666666663"/>
    <x v="5"/>
    <s v="Online"/>
    <n v="7.1999999999999993"/>
    <n v="22.8"/>
    <x v="0"/>
    <n v="2"/>
    <n v="1"/>
    <x v="0"/>
    <n v="29.948453608247419"/>
  </r>
  <r>
    <x v="667"/>
    <x v="2"/>
    <s v="Virginia Beach, VA"/>
    <d v="2025-08-13T00:00:00"/>
    <d v="1899-12-30T19:15:00"/>
    <d v="2025-08-13T00:00:00"/>
    <d v="1899-12-30T19:55:00"/>
    <x v="4"/>
    <s v="XL"/>
    <s v="Cheese Burst"/>
    <n v="5"/>
    <n v="7"/>
    <s v="High"/>
    <s v="Card"/>
    <x v="0"/>
    <x v="0"/>
    <n v="5.7142857142857144"/>
    <n v="0.7142857142857143"/>
    <x v="5"/>
    <s v="Online"/>
    <n v="16.8"/>
    <n v="23.2"/>
    <x v="1"/>
    <n v="20"/>
    <n v="3"/>
    <x v="3"/>
    <n v="28.844221105527641"/>
  </r>
  <r>
    <x v="668"/>
    <x v="4"/>
    <s v="Oakland, CA"/>
    <d v="2025-08-14T00:00:00"/>
    <d v="1899-12-30T20:30:00"/>
    <d v="2025-08-14T00:00:00"/>
    <d v="1899-12-30T21:00:00"/>
    <x v="3"/>
    <s v="Medium"/>
    <s v="Non-Veg"/>
    <n v="3"/>
    <n v="4"/>
    <s v="Medium"/>
    <s v="UPI"/>
    <x v="0"/>
    <x v="0"/>
    <n v="7.5"/>
    <n v="0.75"/>
    <x v="5"/>
    <s v="Online"/>
    <n v="9.6"/>
    <n v="20.399999999999999"/>
    <x v="0"/>
    <n v="6"/>
    <n v="2"/>
    <x v="1"/>
    <n v="30.286458333333329"/>
  </r>
  <r>
    <x v="669"/>
    <x v="0"/>
    <s v="San Jose, CA"/>
    <d v="2025-08-15T00:00:00"/>
    <d v="1899-12-30T19:00:00"/>
    <d v="2025-08-15T00:00:00"/>
    <d v="1899-12-30T19:35:00"/>
    <x v="6"/>
    <s v="Large"/>
    <s v="Cheese Burst"/>
    <n v="4"/>
    <n v="5"/>
    <s v="Medium"/>
    <s v="Card"/>
    <x v="0"/>
    <x v="0"/>
    <n v="7"/>
    <n v="0.8"/>
    <x v="5"/>
    <s v="Online"/>
    <n v="12"/>
    <n v="23"/>
    <x v="1"/>
    <n v="12"/>
    <n v="2"/>
    <x v="3"/>
    <n v="30.259433962264151"/>
  </r>
  <r>
    <x v="670"/>
    <x v="3"/>
    <s v="Austin, TX"/>
    <d v="2025-08-16T00:00:00"/>
    <d v="1899-12-30T18:30:00"/>
    <d v="2025-08-16T00:00:00"/>
    <d v="1899-12-30T19:10:00"/>
    <x v="4"/>
    <s v="Medium"/>
    <s v="Veg"/>
    <n v="2"/>
    <n v="6"/>
    <s v="High"/>
    <s v="Wallet"/>
    <x v="0"/>
    <x v="1"/>
    <n v="6.666666666666667"/>
    <n v="0.33333333333333331"/>
    <x v="5"/>
    <s v="Online"/>
    <n v="14.4"/>
    <n v="25.6"/>
    <x v="1"/>
    <n v="4"/>
    <n v="3"/>
    <x v="0"/>
    <n v="29.948453608247419"/>
  </r>
  <r>
    <x v="671"/>
    <x v="1"/>
    <s v="Columbus, OH"/>
    <d v="2025-08-17T00:00:00"/>
    <d v="1899-12-30T20:00:00"/>
    <d v="2025-08-17T00:00:00"/>
    <d v="1899-12-30T20:25:00"/>
    <x v="1"/>
    <s v="Medium"/>
    <s v="Gluten-Free"/>
    <n v="3"/>
    <n v="3.5"/>
    <s v="Low"/>
    <s v="UPI"/>
    <x v="0"/>
    <x v="1"/>
    <n v="7.1428571428571432"/>
    <n v="0.8571428571428571"/>
    <x v="5"/>
    <s v="Online"/>
    <n v="8.4"/>
    <n v="16.600000000000001"/>
    <x v="0"/>
    <n v="6"/>
    <n v="1"/>
    <x v="1"/>
    <n v="28.186274509803919"/>
  </r>
  <r>
    <x v="672"/>
    <x v="2"/>
    <s v="Fort Worth, TX"/>
    <d v="2025-08-18T00:00:00"/>
    <d v="1899-12-30T19:15:00"/>
    <d v="2025-08-18T00:00:00"/>
    <d v="1899-12-30T19:55:00"/>
    <x v="4"/>
    <s v="XL"/>
    <s v="Non-Veg"/>
    <n v="5"/>
    <n v="7"/>
    <s v="High"/>
    <s v="Cash"/>
    <x v="0"/>
    <x v="0"/>
    <n v="5.7142857142857144"/>
    <n v="0.7142857142857143"/>
    <x v="5"/>
    <s v="Offline"/>
    <n v="16.8"/>
    <n v="23.2"/>
    <x v="1"/>
    <n v="20"/>
    <n v="3"/>
    <x v="3"/>
    <n v="28.844221105527641"/>
  </r>
  <r>
    <x v="673"/>
    <x v="4"/>
    <s v="Jacksonville, FL"/>
    <d v="2025-08-19T00:00:00"/>
    <d v="1899-12-30T18:45:00"/>
    <d v="2025-08-19T00:00:00"/>
    <d v="1899-12-30T19:15:00"/>
    <x v="3"/>
    <s v="Medium"/>
    <s v="Thai Chicken"/>
    <n v="3"/>
    <n v="4"/>
    <s v="Medium"/>
    <s v="Card"/>
    <x v="0"/>
    <x v="0"/>
    <n v="7.5"/>
    <n v="0.75"/>
    <x v="5"/>
    <s v="Online"/>
    <n v="9.6"/>
    <n v="20.399999999999999"/>
    <x v="0"/>
    <n v="6"/>
    <n v="2"/>
    <x v="0"/>
    <n v="30.286458333333329"/>
  </r>
  <r>
    <x v="674"/>
    <x v="0"/>
    <s v="Indianapolis, IN"/>
    <d v="2025-08-20T00:00:00"/>
    <d v="1899-12-30T20:30:00"/>
    <d v="2025-08-20T00:00:00"/>
    <d v="1899-12-30T21:00:00"/>
    <x v="3"/>
    <s v="Large"/>
    <s v="Sicilian"/>
    <n v="4"/>
    <n v="5.5"/>
    <s v="Medium"/>
    <s v="UPI"/>
    <x v="0"/>
    <x v="0"/>
    <n v="5.4545454545454541"/>
    <n v="0.72727272727272729"/>
    <x v="5"/>
    <s v="Online"/>
    <n v="13.2"/>
    <n v="16.8"/>
    <x v="0"/>
    <n v="12"/>
    <n v="2"/>
    <x v="1"/>
    <n v="30.259433962264151"/>
  </r>
  <r>
    <x v="675"/>
    <x v="3"/>
    <s v="Charlotte, NC"/>
    <d v="2025-08-21T00:00:00"/>
    <d v="1899-12-30T19:00:00"/>
    <d v="2025-08-21T00:00:00"/>
    <d v="1899-12-30T19:30:00"/>
    <x v="3"/>
    <s v="Medium"/>
    <s v="Veg"/>
    <n v="2"/>
    <n v="4"/>
    <s v="Low"/>
    <s v="Wallet"/>
    <x v="0"/>
    <x v="0"/>
    <n v="7.5"/>
    <n v="0.5"/>
    <x v="5"/>
    <s v="Online"/>
    <n v="9.6"/>
    <n v="20.399999999999999"/>
    <x v="0"/>
    <n v="4"/>
    <n v="1"/>
    <x v="3"/>
    <n v="29.948453608247419"/>
  </r>
  <r>
    <x v="676"/>
    <x v="1"/>
    <s v="San Francisco, CA"/>
    <d v="2025-08-22T00:00:00"/>
    <d v="1899-12-30T18:15:00"/>
    <d v="2025-08-22T00:00:00"/>
    <d v="1899-12-30T18:50:00"/>
    <x v="6"/>
    <s v="Medium"/>
    <s v="Gluten-Free"/>
    <n v="3"/>
    <n v="5"/>
    <s v="Medium"/>
    <s v="Card"/>
    <x v="0"/>
    <x v="0"/>
    <n v="7"/>
    <n v="0.6"/>
    <x v="5"/>
    <s v="Online"/>
    <n v="12"/>
    <n v="23"/>
    <x v="1"/>
    <n v="6"/>
    <n v="2"/>
    <x v="0"/>
    <n v="28.186274509803919"/>
  </r>
  <r>
    <x v="677"/>
    <x v="2"/>
    <s v="Denver, CO"/>
    <d v="2025-08-23T00:00:00"/>
    <d v="1899-12-30T20:00:00"/>
    <d v="2025-08-23T00:00:00"/>
    <d v="1899-12-30T20:45:00"/>
    <x v="7"/>
    <s v="XL"/>
    <s v="Cheese Burst"/>
    <n v="5"/>
    <n v="8"/>
    <s v="High"/>
    <s v="Cash"/>
    <x v="0"/>
    <x v="1"/>
    <n v="5.625"/>
    <n v="0.625"/>
    <x v="5"/>
    <s v="Offline"/>
    <n v="19.2"/>
    <n v="25.8"/>
    <x v="1"/>
    <n v="20"/>
    <n v="3"/>
    <x v="1"/>
    <n v="28.844221105527641"/>
  </r>
  <r>
    <x v="678"/>
    <x v="4"/>
    <s v="Seattle, WA"/>
    <d v="2025-08-24T00:00:00"/>
    <d v="1899-12-30T19:30:00"/>
    <d v="2025-08-24T00:00:00"/>
    <d v="1899-12-30T20:00:00"/>
    <x v="3"/>
    <s v="Medium"/>
    <s v="Thai Chicken"/>
    <n v="3"/>
    <n v="4.5"/>
    <s v="Medium"/>
    <s v="UPI"/>
    <x v="0"/>
    <x v="1"/>
    <n v="6.666666666666667"/>
    <n v="0.66666666666666663"/>
    <x v="5"/>
    <s v="Online"/>
    <n v="10.8"/>
    <n v="19.2"/>
    <x v="0"/>
    <n v="6"/>
    <n v="2"/>
    <x v="3"/>
    <n v="30.286458333333329"/>
  </r>
  <r>
    <x v="679"/>
    <x v="0"/>
    <s v="Boston, MA"/>
    <d v="2025-08-25T00:00:00"/>
    <d v="1899-12-30T18:00:00"/>
    <d v="2025-08-25T00:00:00"/>
    <d v="1899-12-30T18:35:00"/>
    <x v="6"/>
    <s v="Large"/>
    <s v="Non-Veg"/>
    <n v="4"/>
    <n v="6"/>
    <s v="Medium"/>
    <s v="Card"/>
    <x v="0"/>
    <x v="0"/>
    <n v="5.833333333333333"/>
    <n v="0.66666666666666663"/>
    <x v="5"/>
    <s v="Online"/>
    <n v="14.4"/>
    <n v="20.6"/>
    <x v="1"/>
    <n v="12"/>
    <n v="2"/>
    <x v="0"/>
    <n v="30.259433962264151"/>
  </r>
  <r>
    <x v="680"/>
    <x v="3"/>
    <s v="Detroit, MI"/>
    <d v="2025-08-26T00:00:00"/>
    <d v="1899-12-30T19:15:00"/>
    <d v="2025-08-26T00:00:00"/>
    <d v="1899-12-30T19:45:00"/>
    <x v="3"/>
    <s v="Medium"/>
    <s v="Veg"/>
    <n v="2"/>
    <n v="4"/>
    <s v="Low"/>
    <s v="Wallet"/>
    <x v="0"/>
    <x v="0"/>
    <n v="7.5"/>
    <n v="0.5"/>
    <x v="5"/>
    <s v="Online"/>
    <n v="9.6"/>
    <n v="20.399999999999999"/>
    <x v="0"/>
    <n v="4"/>
    <n v="1"/>
    <x v="3"/>
    <n v="29.948453608247419"/>
  </r>
  <r>
    <x v="681"/>
    <x v="1"/>
    <s v="Memphis, TN"/>
    <d v="2025-08-27T00:00:00"/>
    <d v="1899-12-30T20:30:00"/>
    <d v="2025-08-27T00:00:00"/>
    <d v="1899-12-30T21:00:00"/>
    <x v="3"/>
    <s v="Medium"/>
    <s v="Gluten-Free"/>
    <n v="3"/>
    <n v="5"/>
    <s v="Medium"/>
    <s v="UPI"/>
    <x v="0"/>
    <x v="0"/>
    <n v="6"/>
    <n v="0.6"/>
    <x v="5"/>
    <s v="Online"/>
    <n v="12"/>
    <n v="18"/>
    <x v="0"/>
    <n v="6"/>
    <n v="2"/>
    <x v="1"/>
    <n v="28.186274509803919"/>
  </r>
  <r>
    <x v="682"/>
    <x v="2"/>
    <s v="Baltimore, MD"/>
    <d v="2025-08-28T00:00:00"/>
    <d v="1899-12-30T18:45:00"/>
    <d v="2025-08-28T00:00:00"/>
    <d v="1899-12-30T19:25:00"/>
    <x v="4"/>
    <s v="XL"/>
    <s v="Cheese Burst"/>
    <n v="5"/>
    <n v="7.5"/>
    <s v="High"/>
    <s v="Card"/>
    <x v="0"/>
    <x v="0"/>
    <n v="5.333333333333333"/>
    <n v="0.66666666666666663"/>
    <x v="5"/>
    <s v="Online"/>
    <n v="18"/>
    <n v="22"/>
    <x v="1"/>
    <n v="20"/>
    <n v="3"/>
    <x v="0"/>
    <n v="28.844221105527641"/>
  </r>
  <r>
    <x v="683"/>
    <x v="4"/>
    <s v="Nashville, TN"/>
    <d v="2025-08-29T00:00:00"/>
    <d v="1899-12-30T19:00:00"/>
    <d v="2025-08-29T00:00:00"/>
    <d v="1899-12-30T19:30:00"/>
    <x v="3"/>
    <s v="Medium"/>
    <s v="Thai Chicken"/>
    <n v="3"/>
    <n v="4"/>
    <s v="Medium"/>
    <s v="Cash"/>
    <x v="0"/>
    <x v="0"/>
    <n v="7.5"/>
    <n v="0.75"/>
    <x v="5"/>
    <s v="Offline"/>
    <n v="9.6"/>
    <n v="20.399999999999999"/>
    <x v="0"/>
    <n v="6"/>
    <n v="2"/>
    <x v="3"/>
    <n v="30.286458333333329"/>
  </r>
  <r>
    <x v="684"/>
    <x v="0"/>
    <s v="Portland, OR"/>
    <d v="2025-08-30T00:00:00"/>
    <d v="1899-12-30T20:15:00"/>
    <d v="2025-08-30T00:00:00"/>
    <d v="1899-12-30T20:45:00"/>
    <x v="3"/>
    <s v="Large"/>
    <s v="Sicilian"/>
    <n v="4"/>
    <n v="5.5"/>
    <s v="Medium"/>
    <s v="UPI"/>
    <x v="0"/>
    <x v="1"/>
    <n v="5.4545454545454541"/>
    <n v="0.72727272727272729"/>
    <x v="5"/>
    <s v="Online"/>
    <n v="13.2"/>
    <n v="16.8"/>
    <x v="0"/>
    <n v="12"/>
    <n v="2"/>
    <x v="1"/>
    <n v="30.259433962264151"/>
  </r>
  <r>
    <x v="685"/>
    <x v="3"/>
    <s v="Oklahoma City, OK"/>
    <d v="2025-08-31T00:00:00"/>
    <d v="1899-12-30T18:30:00"/>
    <d v="2025-08-31T00:00:00"/>
    <d v="1899-12-30T19:00:00"/>
    <x v="3"/>
    <s v="Medium"/>
    <s v="Veg"/>
    <n v="2"/>
    <n v="4"/>
    <s v="Low"/>
    <s v="Wallet"/>
    <x v="0"/>
    <x v="1"/>
    <n v="7.5"/>
    <n v="0.5"/>
    <x v="5"/>
    <s v="Online"/>
    <n v="9.6"/>
    <n v="20.399999999999999"/>
    <x v="0"/>
    <n v="4"/>
    <n v="1"/>
    <x v="0"/>
    <n v="29.948453608247419"/>
  </r>
  <r>
    <x v="686"/>
    <x v="1"/>
    <s v="Las Vegas, NV"/>
    <d v="2025-09-01T00:00:00"/>
    <d v="1899-12-30T19:45:00"/>
    <d v="2025-09-01T00:00:00"/>
    <d v="1899-12-30T20:15:00"/>
    <x v="3"/>
    <s v="Medium"/>
    <s v="Gluten-Free"/>
    <n v="3"/>
    <n v="5"/>
    <s v="Medium"/>
    <s v="Card"/>
    <x v="0"/>
    <x v="0"/>
    <n v="6"/>
    <n v="0.6"/>
    <x v="8"/>
    <s v="Online"/>
    <n v="12"/>
    <n v="18"/>
    <x v="0"/>
    <n v="6"/>
    <n v="2"/>
    <x v="3"/>
    <n v="28.186274509803919"/>
  </r>
  <r>
    <x v="687"/>
    <x v="2"/>
    <s v="Louisville, KY"/>
    <d v="2025-09-02T00:00:00"/>
    <d v="1899-12-30T20:00:00"/>
    <d v="2025-09-02T00:00:00"/>
    <d v="1899-12-30T20:40:00"/>
    <x v="4"/>
    <s v="XL"/>
    <s v="Cheese Burst"/>
    <n v="5"/>
    <n v="8"/>
    <s v="High"/>
    <s v="UPI"/>
    <x v="0"/>
    <x v="0"/>
    <n v="5"/>
    <n v="0.625"/>
    <x v="8"/>
    <s v="Online"/>
    <n v="19.2"/>
    <n v="20.8"/>
    <x v="1"/>
    <n v="20"/>
    <n v="3"/>
    <x v="1"/>
    <n v="28.844221105527641"/>
  </r>
  <r>
    <x v="688"/>
    <x v="4"/>
    <s v="Milwaukee, WI"/>
    <d v="2025-09-03T00:00:00"/>
    <d v="1899-12-30T18:15:00"/>
    <d v="2025-09-03T00:00:00"/>
    <d v="1899-12-30T18:45:00"/>
    <x v="3"/>
    <s v="Medium"/>
    <s v="Thai Chicken"/>
    <n v="3"/>
    <n v="4"/>
    <s v="Medium"/>
    <s v="Card"/>
    <x v="0"/>
    <x v="0"/>
    <n v="7.5"/>
    <n v="0.75"/>
    <x v="8"/>
    <s v="Online"/>
    <n v="9.6"/>
    <n v="20.399999999999999"/>
    <x v="0"/>
    <n v="6"/>
    <n v="2"/>
    <x v="0"/>
    <n v="30.286458333333329"/>
  </r>
  <r>
    <x v="689"/>
    <x v="0"/>
    <s v="Albuquerque, NM"/>
    <d v="2025-09-04T00:00:00"/>
    <d v="1899-12-30T19:30:00"/>
    <d v="2025-09-04T00:00:00"/>
    <d v="1899-12-30T20:00:00"/>
    <x v="3"/>
    <s v="Large"/>
    <s v="Non-Veg"/>
    <n v="4"/>
    <n v="6"/>
    <s v="Medium"/>
    <s v="Cash"/>
    <x v="0"/>
    <x v="0"/>
    <n v="5"/>
    <n v="0.66666666666666663"/>
    <x v="8"/>
    <s v="Offline"/>
    <n v="14.4"/>
    <n v="15.6"/>
    <x v="0"/>
    <n v="12"/>
    <n v="2"/>
    <x v="3"/>
    <n v="30.259433962264151"/>
  </r>
  <r>
    <x v="690"/>
    <x v="3"/>
    <s v="Tucson, AZ"/>
    <d v="2025-09-05T00:00:00"/>
    <d v="1899-12-30T20:45:00"/>
    <d v="2025-09-05T00:00:00"/>
    <d v="1899-12-30T21:15:00"/>
    <x v="3"/>
    <s v="Medium"/>
    <s v="Veg"/>
    <n v="2"/>
    <n v="4"/>
    <s v="Low"/>
    <s v="Wallet"/>
    <x v="0"/>
    <x v="0"/>
    <n v="7.5"/>
    <n v="0.5"/>
    <x v="8"/>
    <s v="Online"/>
    <n v="9.6"/>
    <n v="20.399999999999999"/>
    <x v="0"/>
    <n v="4"/>
    <n v="1"/>
    <x v="1"/>
    <n v="29.948453608247419"/>
  </r>
  <r>
    <x v="691"/>
    <x v="1"/>
    <s v="Fresno, CA"/>
    <d v="2025-09-06T00:00:00"/>
    <d v="1899-12-30T18:00:00"/>
    <d v="2025-09-06T00:00:00"/>
    <d v="1899-12-30T18:30:00"/>
    <x v="3"/>
    <s v="Medium"/>
    <s v="Gluten-Free"/>
    <n v="3"/>
    <n v="5"/>
    <s v="Medium"/>
    <s v="UPI"/>
    <x v="0"/>
    <x v="1"/>
    <n v="6"/>
    <n v="0.6"/>
    <x v="8"/>
    <s v="Online"/>
    <n v="12"/>
    <n v="18"/>
    <x v="0"/>
    <n v="6"/>
    <n v="2"/>
    <x v="0"/>
    <n v="28.186274509803919"/>
  </r>
  <r>
    <x v="692"/>
    <x v="2"/>
    <s v="Sacramento, CA"/>
    <d v="2025-09-07T00:00:00"/>
    <d v="1899-12-30T19:15:00"/>
    <d v="2025-09-07T00:00:00"/>
    <d v="1899-12-30T19:55:00"/>
    <x v="4"/>
    <s v="XL"/>
    <s v="Cheese Burst"/>
    <n v="5"/>
    <n v="7"/>
    <s v="High"/>
    <s v="Card"/>
    <x v="0"/>
    <x v="1"/>
    <n v="5.7142857142857144"/>
    <n v="0.7142857142857143"/>
    <x v="8"/>
    <s v="Online"/>
    <n v="16.8"/>
    <n v="23.2"/>
    <x v="1"/>
    <n v="20"/>
    <n v="3"/>
    <x v="3"/>
    <n v="28.844221105527641"/>
  </r>
  <r>
    <x v="693"/>
    <x v="4"/>
    <s v="Kansas City, MO"/>
    <d v="2025-09-08T00:00:00"/>
    <d v="1899-12-30T20:30:00"/>
    <d v="2025-09-08T00:00:00"/>
    <d v="1899-12-30T21:00:00"/>
    <x v="3"/>
    <s v="Medium"/>
    <s v="Thai Chicken"/>
    <n v="3"/>
    <n v="4.5"/>
    <s v="Medium"/>
    <s v="Cash"/>
    <x v="0"/>
    <x v="0"/>
    <n v="6.666666666666667"/>
    <n v="0.66666666666666663"/>
    <x v="8"/>
    <s v="Offline"/>
    <n v="10.8"/>
    <n v="19.2"/>
    <x v="0"/>
    <n v="6"/>
    <n v="2"/>
    <x v="1"/>
    <n v="30.286458333333329"/>
  </r>
  <r>
    <x v="694"/>
    <x v="0"/>
    <s v="Mesa, AZ"/>
    <d v="2025-09-09T00:00:00"/>
    <d v="1899-12-30T18:45:00"/>
    <d v="2025-09-09T00:00:00"/>
    <d v="1899-12-30T19:15:00"/>
    <x v="3"/>
    <s v="Large"/>
    <s v="Sicilian"/>
    <n v="4"/>
    <n v="5.5"/>
    <s v="Medium"/>
    <s v="UPI"/>
    <x v="0"/>
    <x v="0"/>
    <n v="5.4545454545454541"/>
    <n v="0.72727272727272729"/>
    <x v="8"/>
    <s v="Online"/>
    <n v="13.2"/>
    <n v="16.8"/>
    <x v="0"/>
    <n v="12"/>
    <n v="2"/>
    <x v="0"/>
    <n v="30.259433962264151"/>
  </r>
  <r>
    <x v="695"/>
    <x v="3"/>
    <s v="Atlanta, GA"/>
    <d v="2025-09-10T00:00:00"/>
    <d v="1899-12-30T19:00:00"/>
    <d v="2025-09-10T00:00:00"/>
    <d v="1899-12-30T19:30:00"/>
    <x v="3"/>
    <s v="Medium"/>
    <s v="Veg"/>
    <n v="2"/>
    <n v="4"/>
    <s v="Low"/>
    <s v="Wallet"/>
    <x v="0"/>
    <x v="0"/>
    <n v="7.5"/>
    <n v="0.5"/>
    <x v="8"/>
    <s v="Online"/>
    <n v="9.6"/>
    <n v="20.399999999999999"/>
    <x v="0"/>
    <n v="4"/>
    <n v="1"/>
    <x v="3"/>
    <n v="29.948453608247419"/>
  </r>
  <r>
    <x v="696"/>
    <x v="1"/>
    <s v="Omaha, NE"/>
    <d v="2025-09-11T00:00:00"/>
    <d v="1899-12-30T20:15:00"/>
    <d v="2025-09-11T00:00:00"/>
    <d v="1899-12-30T20:45:00"/>
    <x v="3"/>
    <s v="Medium"/>
    <s v="Gluten-Free"/>
    <n v="3"/>
    <n v="5"/>
    <s v="Medium"/>
    <s v="UPI"/>
    <x v="0"/>
    <x v="0"/>
    <n v="6"/>
    <n v="0.6"/>
    <x v="8"/>
    <s v="Online"/>
    <n v="12"/>
    <n v="18"/>
    <x v="0"/>
    <n v="6"/>
    <n v="2"/>
    <x v="1"/>
    <n v="28.186274509803919"/>
  </r>
  <r>
    <x v="697"/>
    <x v="2"/>
    <s v="Louisville, KY"/>
    <d v="2025-09-12T00:00:00"/>
    <d v="1899-12-30T19:30:00"/>
    <d v="2025-09-12T00:00:00"/>
    <d v="1899-12-30T20:00:00"/>
    <x v="3"/>
    <s v="XL"/>
    <s v="Cheese Burst"/>
    <n v="5"/>
    <n v="6"/>
    <s v="High"/>
    <s v="Card"/>
    <x v="0"/>
    <x v="0"/>
    <n v="5"/>
    <n v="0.83333333333333337"/>
    <x v="8"/>
    <s v="Online"/>
    <n v="14.4"/>
    <n v="15.6"/>
    <x v="0"/>
    <n v="20"/>
    <n v="3"/>
    <x v="3"/>
    <n v="28.844221105527641"/>
  </r>
  <r>
    <x v="698"/>
    <x v="4"/>
    <s v="Milwaukee, WI"/>
    <d v="2025-09-13T00:00:00"/>
    <d v="1899-12-30T18:45:00"/>
    <d v="2025-09-13T00:00:00"/>
    <d v="1899-12-30T19:15:00"/>
    <x v="3"/>
    <s v="Medium"/>
    <s v="Thai Chicken"/>
    <n v="3"/>
    <n v="4.5"/>
    <s v="Medium"/>
    <s v="Cash"/>
    <x v="0"/>
    <x v="1"/>
    <n v="6.666666666666667"/>
    <n v="0.66666666666666663"/>
    <x v="8"/>
    <s v="Offline"/>
    <n v="10.8"/>
    <n v="19.2"/>
    <x v="0"/>
    <n v="6"/>
    <n v="2"/>
    <x v="0"/>
    <n v="30.286458333333329"/>
  </r>
  <r>
    <x v="699"/>
    <x v="0"/>
    <s v="Albuquerque, NM"/>
    <d v="2025-09-14T00:00:00"/>
    <d v="1899-12-30T20:00:00"/>
    <d v="2025-09-14T00:00:00"/>
    <d v="1899-12-30T20:30:00"/>
    <x v="3"/>
    <s v="Large"/>
    <s v="Sicilian"/>
    <n v="4"/>
    <n v="5.5"/>
    <s v="Medium"/>
    <s v="UPI"/>
    <x v="0"/>
    <x v="1"/>
    <n v="5.4545454545454541"/>
    <n v="0.72727272727272729"/>
    <x v="8"/>
    <s v="Online"/>
    <n v="13.2"/>
    <n v="16.8"/>
    <x v="0"/>
    <n v="12"/>
    <n v="2"/>
    <x v="1"/>
    <n v="30.259433962264151"/>
  </r>
  <r>
    <x v="700"/>
    <x v="3"/>
    <s v="Atlanta, GA"/>
    <d v="2025-09-15T00:00:00"/>
    <d v="1899-12-30T19:15:00"/>
    <d v="2025-09-15T00:00:00"/>
    <d v="1899-12-30T19:45:00"/>
    <x v="3"/>
    <s v="Medium"/>
    <s v="Veg"/>
    <n v="2"/>
    <n v="4"/>
    <s v="Low"/>
    <s v="Wallet"/>
    <x v="0"/>
    <x v="0"/>
    <n v="7.5"/>
    <n v="0.5"/>
    <x v="8"/>
    <s v="Online"/>
    <n v="9.6"/>
    <n v="20.399999999999999"/>
    <x v="0"/>
    <n v="4"/>
    <n v="1"/>
    <x v="3"/>
    <n v="29.948453608247419"/>
  </r>
  <r>
    <x v="701"/>
    <x v="1"/>
    <s v="Omaha, NE"/>
    <d v="2025-09-16T00:00:00"/>
    <d v="1899-12-30T20:30:00"/>
    <d v="2025-09-16T00:00:00"/>
    <d v="1899-12-30T21:00:00"/>
    <x v="3"/>
    <s v="Medium"/>
    <s v="Gluten-Free"/>
    <n v="3"/>
    <n v="5"/>
    <s v="Medium"/>
    <s v="Card"/>
    <x v="0"/>
    <x v="0"/>
    <n v="6"/>
    <n v="0.6"/>
    <x v="8"/>
    <s v="Online"/>
    <n v="12"/>
    <n v="18"/>
    <x v="0"/>
    <n v="6"/>
    <n v="2"/>
    <x v="1"/>
    <n v="28.186274509803919"/>
  </r>
  <r>
    <x v="702"/>
    <x v="2"/>
    <s v="Louisville, KY"/>
    <d v="2025-09-17T00:00:00"/>
    <d v="1899-12-30T19:45:00"/>
    <d v="2025-09-17T00:00:00"/>
    <d v="1899-12-30T20:15:00"/>
    <x v="3"/>
    <s v="XL"/>
    <s v="Cheese Burst"/>
    <n v="5"/>
    <n v="6"/>
    <s v="High"/>
    <s v="UPI"/>
    <x v="0"/>
    <x v="0"/>
    <n v="5"/>
    <n v="0.83333333333333337"/>
    <x v="8"/>
    <s v="Online"/>
    <n v="14.4"/>
    <n v="15.6"/>
    <x v="0"/>
    <n v="20"/>
    <n v="3"/>
    <x v="3"/>
    <n v="28.844221105527641"/>
  </r>
  <r>
    <x v="703"/>
    <x v="4"/>
    <s v="Milwaukee, WI"/>
    <d v="2025-09-18T00:00:00"/>
    <d v="1899-12-30T18:00:00"/>
    <d v="2025-09-18T00:00:00"/>
    <d v="1899-12-30T18:30:00"/>
    <x v="3"/>
    <s v="Medium"/>
    <s v="Thai Chicken"/>
    <n v="3"/>
    <n v="4.5"/>
    <s v="Medium"/>
    <s v="Cash"/>
    <x v="0"/>
    <x v="0"/>
    <n v="6.666666666666667"/>
    <n v="0.66666666666666663"/>
    <x v="8"/>
    <s v="Offline"/>
    <n v="10.8"/>
    <n v="19.2"/>
    <x v="0"/>
    <n v="6"/>
    <n v="2"/>
    <x v="0"/>
    <n v="30.286458333333329"/>
  </r>
  <r>
    <x v="704"/>
    <x v="0"/>
    <s v="Albuquerque, NM"/>
    <d v="2025-09-19T00:00:00"/>
    <d v="1899-12-30T20:15:00"/>
    <d v="2025-09-19T00:00:00"/>
    <d v="1899-12-30T20:45:00"/>
    <x v="3"/>
    <s v="Large"/>
    <s v="Sicilian"/>
    <n v="4"/>
    <n v="5.5"/>
    <s v="Medium"/>
    <s v="UPI"/>
    <x v="0"/>
    <x v="0"/>
    <n v="5.4545454545454541"/>
    <n v="0.72727272727272729"/>
    <x v="8"/>
    <s v="Online"/>
    <n v="13.2"/>
    <n v="16.8"/>
    <x v="0"/>
    <n v="12"/>
    <n v="2"/>
    <x v="1"/>
    <n v="30.259433962264151"/>
  </r>
  <r>
    <x v="705"/>
    <x v="3"/>
    <s v="Atlanta, GA"/>
    <d v="2025-09-20T00:00:00"/>
    <d v="1899-12-30T19:30:00"/>
    <d v="2025-09-20T00:00:00"/>
    <d v="1899-12-30T20:00:00"/>
    <x v="3"/>
    <s v="Medium"/>
    <s v="Veg"/>
    <n v="2"/>
    <n v="4"/>
    <s v="Low"/>
    <s v="Wallet"/>
    <x v="0"/>
    <x v="1"/>
    <n v="7.5"/>
    <n v="0.5"/>
    <x v="8"/>
    <s v="Online"/>
    <n v="9.6"/>
    <n v="20.399999999999999"/>
    <x v="0"/>
    <n v="4"/>
    <n v="1"/>
    <x v="3"/>
    <n v="29.948453608247419"/>
  </r>
  <r>
    <x v="706"/>
    <x v="1"/>
    <s v="Omaha, NE"/>
    <d v="2025-09-21T00:00:00"/>
    <d v="1899-12-30T20:45:00"/>
    <d v="2025-09-21T00:00:00"/>
    <d v="1899-12-30T21:15:00"/>
    <x v="3"/>
    <s v="Medium"/>
    <s v="Gluten-Free"/>
    <n v="3"/>
    <n v="5"/>
    <s v="Medium"/>
    <s v="Card"/>
    <x v="0"/>
    <x v="1"/>
    <n v="6"/>
    <n v="0.6"/>
    <x v="8"/>
    <s v="Online"/>
    <n v="12"/>
    <n v="18"/>
    <x v="0"/>
    <n v="6"/>
    <n v="2"/>
    <x v="1"/>
    <n v="28.186274509803919"/>
  </r>
  <r>
    <x v="707"/>
    <x v="2"/>
    <s v="Louisville, KY"/>
    <d v="2025-09-22T00:00:00"/>
    <d v="1899-12-30T19:00:00"/>
    <d v="2025-09-22T00:00:00"/>
    <d v="1899-12-30T19:30:00"/>
    <x v="3"/>
    <s v="XL"/>
    <s v="Cheese Burst"/>
    <n v="5"/>
    <n v="6"/>
    <s v="High"/>
    <s v="UPI"/>
    <x v="0"/>
    <x v="0"/>
    <n v="5"/>
    <n v="0.83333333333333337"/>
    <x v="8"/>
    <s v="Online"/>
    <n v="14.4"/>
    <n v="15.6"/>
    <x v="0"/>
    <n v="20"/>
    <n v="3"/>
    <x v="3"/>
    <n v="28.844221105527641"/>
  </r>
  <r>
    <x v="708"/>
    <x v="4"/>
    <s v="Milwaukee, WI"/>
    <d v="2025-09-23T00:00:00"/>
    <d v="1899-12-30T18:15:00"/>
    <d v="2025-09-23T00:00:00"/>
    <d v="1899-12-30T18:45:00"/>
    <x v="3"/>
    <s v="Medium"/>
    <s v="Thai Chicken"/>
    <n v="3"/>
    <n v="4.5"/>
    <s v="Medium"/>
    <s v="Cash"/>
    <x v="0"/>
    <x v="0"/>
    <n v="6.666666666666667"/>
    <n v="0.66666666666666663"/>
    <x v="8"/>
    <s v="Offline"/>
    <n v="10.8"/>
    <n v="19.2"/>
    <x v="0"/>
    <n v="6"/>
    <n v="2"/>
    <x v="0"/>
    <n v="30.286458333333329"/>
  </r>
  <r>
    <x v="709"/>
    <x v="0"/>
    <s v="Albuquerque, NM"/>
    <d v="2025-09-24T00:00:00"/>
    <d v="1899-12-30T19:30:00"/>
    <d v="2025-09-24T00:00:00"/>
    <d v="1899-12-30T20:00:00"/>
    <x v="3"/>
    <s v="Large"/>
    <s v="Sicilian"/>
    <n v="4"/>
    <n v="5.5"/>
    <s v="Medium"/>
    <s v="UPI"/>
    <x v="0"/>
    <x v="0"/>
    <n v="5.4545454545454541"/>
    <n v="0.72727272727272729"/>
    <x v="8"/>
    <s v="Online"/>
    <n v="13.2"/>
    <n v="16.8"/>
    <x v="0"/>
    <n v="12"/>
    <n v="2"/>
    <x v="3"/>
    <n v="30.259433962264151"/>
  </r>
  <r>
    <x v="710"/>
    <x v="3"/>
    <s v="Atlanta, GA"/>
    <d v="2025-09-25T00:00:00"/>
    <d v="1899-12-30T20:45:00"/>
    <d v="2025-09-25T00:00:00"/>
    <d v="1899-12-30T21:15:00"/>
    <x v="3"/>
    <s v="Medium"/>
    <s v="Veg"/>
    <n v="2"/>
    <n v="4"/>
    <s v="Low"/>
    <s v="Wallet"/>
    <x v="0"/>
    <x v="0"/>
    <n v="7.5"/>
    <n v="0.5"/>
    <x v="8"/>
    <s v="Online"/>
    <n v="9.6"/>
    <n v="20.399999999999999"/>
    <x v="0"/>
    <n v="4"/>
    <n v="1"/>
    <x v="1"/>
    <n v="29.948453608247419"/>
  </r>
  <r>
    <x v="711"/>
    <x v="1"/>
    <s v="Omaha, NE"/>
    <d v="2025-09-26T00:00:00"/>
    <d v="1899-12-30T18:00:00"/>
    <d v="2025-09-26T00:00:00"/>
    <d v="1899-12-30T18:30:00"/>
    <x v="3"/>
    <s v="Medium"/>
    <s v="Gluten-Free"/>
    <n v="3"/>
    <n v="5"/>
    <s v="Medium"/>
    <s v="Card"/>
    <x v="0"/>
    <x v="0"/>
    <n v="6"/>
    <n v="0.6"/>
    <x v="8"/>
    <s v="Online"/>
    <n v="12"/>
    <n v="18"/>
    <x v="0"/>
    <n v="6"/>
    <n v="2"/>
    <x v="0"/>
    <n v="28.186274509803919"/>
  </r>
  <r>
    <x v="712"/>
    <x v="2"/>
    <s v="Louisville, KY"/>
    <d v="2025-09-27T00:00:00"/>
    <d v="1899-12-30T19:15:00"/>
    <d v="2025-09-27T00:00:00"/>
    <d v="1899-12-30T19:45:00"/>
    <x v="3"/>
    <s v="XL"/>
    <s v="Cheese Burst"/>
    <n v="5"/>
    <n v="6"/>
    <s v="High"/>
    <s v="UPI"/>
    <x v="0"/>
    <x v="1"/>
    <n v="5"/>
    <n v="0.83333333333333337"/>
    <x v="8"/>
    <s v="Online"/>
    <n v="14.4"/>
    <n v="15.6"/>
    <x v="0"/>
    <n v="20"/>
    <n v="3"/>
    <x v="3"/>
    <n v="28.844221105527641"/>
  </r>
  <r>
    <x v="713"/>
    <x v="4"/>
    <s v="Milwaukee, WI"/>
    <d v="2025-09-28T00:00:00"/>
    <d v="1899-12-30T20:30:00"/>
    <d v="2025-09-28T00:00:00"/>
    <d v="1899-12-30T21:00:00"/>
    <x v="3"/>
    <s v="Medium"/>
    <s v="Thai Chicken"/>
    <n v="3"/>
    <n v="4.5"/>
    <s v="Medium"/>
    <s v="Cash"/>
    <x v="0"/>
    <x v="1"/>
    <n v="6.666666666666667"/>
    <n v="0.66666666666666663"/>
    <x v="8"/>
    <s v="Offline"/>
    <n v="10.8"/>
    <n v="19.2"/>
    <x v="0"/>
    <n v="6"/>
    <n v="2"/>
    <x v="1"/>
    <n v="30.286458333333329"/>
  </r>
  <r>
    <x v="714"/>
    <x v="0"/>
    <s v="Albuquerque, NM"/>
    <d v="2025-09-29T00:00:00"/>
    <d v="1899-12-30T19:00:00"/>
    <d v="2025-09-29T00:00:00"/>
    <d v="1899-12-30T19:30:00"/>
    <x v="3"/>
    <s v="Large"/>
    <s v="Sicilian"/>
    <n v="4"/>
    <n v="5.5"/>
    <s v="Medium"/>
    <s v="UPI"/>
    <x v="0"/>
    <x v="0"/>
    <n v="5.4545454545454541"/>
    <n v="0.72727272727272729"/>
    <x v="8"/>
    <s v="Online"/>
    <n v="13.2"/>
    <n v="16.8"/>
    <x v="0"/>
    <n v="12"/>
    <n v="2"/>
    <x v="3"/>
    <n v="30.259433962264151"/>
  </r>
  <r>
    <x v="715"/>
    <x v="3"/>
    <s v="Atlanta, GA"/>
    <d v="2025-09-30T00:00:00"/>
    <d v="1899-12-30T20:15:00"/>
    <d v="2025-09-30T00:00:00"/>
    <d v="1899-12-30T20:45:00"/>
    <x v="3"/>
    <s v="Medium"/>
    <s v="Veg"/>
    <n v="2"/>
    <n v="4"/>
    <s v="Low"/>
    <s v="Wallet"/>
    <x v="0"/>
    <x v="0"/>
    <n v="7.5"/>
    <n v="0.5"/>
    <x v="8"/>
    <s v="Online"/>
    <n v="9.6"/>
    <n v="20.399999999999999"/>
    <x v="0"/>
    <n v="4"/>
    <n v="1"/>
    <x v="1"/>
    <n v="29.948453608247419"/>
  </r>
  <r>
    <x v="716"/>
    <x v="1"/>
    <s v="Omaha, NE"/>
    <d v="2025-10-01T00:00:00"/>
    <d v="1899-12-30T18:30:00"/>
    <d v="2025-10-01T00:00:00"/>
    <d v="1899-12-30T19:00:00"/>
    <x v="3"/>
    <s v="Medium"/>
    <s v="Gluten-Free"/>
    <n v="3"/>
    <n v="5"/>
    <s v="Medium"/>
    <s v="Card"/>
    <x v="0"/>
    <x v="0"/>
    <n v="6"/>
    <n v="0.6"/>
    <x v="9"/>
    <s v="Online"/>
    <n v="12"/>
    <n v="18"/>
    <x v="0"/>
    <n v="6"/>
    <n v="2"/>
    <x v="0"/>
    <n v="28.186274509803919"/>
  </r>
  <r>
    <x v="717"/>
    <x v="2"/>
    <s v="Louisville, KY"/>
    <d v="2025-10-02T00:00:00"/>
    <d v="1899-12-30T19:45:00"/>
    <d v="2025-10-02T00:00:00"/>
    <d v="1899-12-30T20:15:00"/>
    <x v="3"/>
    <s v="XL"/>
    <s v="Cheese Burst"/>
    <n v="5"/>
    <n v="6"/>
    <s v="High"/>
    <s v="UPI"/>
    <x v="0"/>
    <x v="0"/>
    <n v="5"/>
    <n v="0.83333333333333337"/>
    <x v="9"/>
    <s v="Online"/>
    <n v="14.4"/>
    <n v="15.6"/>
    <x v="0"/>
    <n v="20"/>
    <n v="3"/>
    <x v="3"/>
    <n v="28.844221105527641"/>
  </r>
  <r>
    <x v="718"/>
    <x v="4"/>
    <s v="Milwaukee, WI"/>
    <d v="2025-10-03T00:00:00"/>
    <d v="1899-12-30T18:00:00"/>
    <d v="2025-10-03T00:00:00"/>
    <d v="1899-12-30T18:30:00"/>
    <x v="3"/>
    <s v="Medium"/>
    <s v="Thai Chicken"/>
    <n v="3"/>
    <n v="4.5"/>
    <s v="Medium"/>
    <s v="Cash"/>
    <x v="0"/>
    <x v="0"/>
    <n v="6.666666666666667"/>
    <n v="0.66666666666666663"/>
    <x v="9"/>
    <s v="Offline"/>
    <n v="10.8"/>
    <n v="19.2"/>
    <x v="0"/>
    <n v="6"/>
    <n v="2"/>
    <x v="0"/>
    <n v="30.286458333333329"/>
  </r>
  <r>
    <x v="719"/>
    <x v="0"/>
    <s v="Albuquerque, NM"/>
    <d v="2025-10-04T00:00:00"/>
    <d v="1899-12-30T19:15:00"/>
    <d v="2025-10-04T00:00:00"/>
    <d v="1899-12-30T19:45:00"/>
    <x v="3"/>
    <s v="Large"/>
    <s v="Sicilian"/>
    <n v="4"/>
    <n v="5.5"/>
    <s v="Medium"/>
    <s v="UPI"/>
    <x v="0"/>
    <x v="1"/>
    <n v="5.4545454545454541"/>
    <n v="0.72727272727272729"/>
    <x v="9"/>
    <s v="Online"/>
    <n v="13.2"/>
    <n v="16.8"/>
    <x v="0"/>
    <n v="12"/>
    <n v="2"/>
    <x v="3"/>
    <n v="30.259433962264151"/>
  </r>
  <r>
    <x v="720"/>
    <x v="3"/>
    <s v="Atlanta, GA"/>
    <d v="2025-10-05T00:00:00"/>
    <d v="1899-12-30T20:30:00"/>
    <d v="2025-10-05T00:00:00"/>
    <d v="1899-12-30T21:00:00"/>
    <x v="3"/>
    <s v="Medium"/>
    <s v="Veg"/>
    <n v="2"/>
    <n v="4"/>
    <s v="Low"/>
    <s v="Wallet"/>
    <x v="0"/>
    <x v="1"/>
    <n v="7.5"/>
    <n v="0.5"/>
    <x v="9"/>
    <s v="Online"/>
    <n v="9.6"/>
    <n v="20.399999999999999"/>
    <x v="0"/>
    <n v="4"/>
    <n v="1"/>
    <x v="1"/>
    <n v="29.948453608247419"/>
  </r>
  <r>
    <x v="721"/>
    <x v="1"/>
    <s v="Omaha, NE"/>
    <d v="2025-10-06T00:00:00"/>
    <d v="1899-12-30T18:45:00"/>
    <d v="2025-10-06T00:00:00"/>
    <d v="1899-12-30T19:15:00"/>
    <x v="3"/>
    <s v="Medium"/>
    <s v="Gluten-Free"/>
    <n v="3"/>
    <n v="5"/>
    <s v="Medium"/>
    <s v="Card"/>
    <x v="0"/>
    <x v="0"/>
    <n v="6"/>
    <n v="0.6"/>
    <x v="9"/>
    <s v="Online"/>
    <n v="12"/>
    <n v="18"/>
    <x v="0"/>
    <n v="6"/>
    <n v="2"/>
    <x v="0"/>
    <n v="28.186274509803919"/>
  </r>
  <r>
    <x v="722"/>
    <x v="2"/>
    <s v="Louisville, KY"/>
    <d v="2025-10-07T00:00:00"/>
    <d v="1899-12-30T19:00:00"/>
    <d v="2025-10-07T00:00:00"/>
    <d v="1899-12-30T19:30:00"/>
    <x v="3"/>
    <s v="XL"/>
    <s v="Cheese Burst"/>
    <n v="5"/>
    <n v="6"/>
    <s v="High"/>
    <s v="UPI"/>
    <x v="0"/>
    <x v="0"/>
    <n v="5"/>
    <n v="0.83333333333333337"/>
    <x v="9"/>
    <s v="Online"/>
    <n v="14.4"/>
    <n v="15.6"/>
    <x v="0"/>
    <n v="20"/>
    <n v="3"/>
    <x v="3"/>
    <n v="28.844221105527641"/>
  </r>
  <r>
    <x v="723"/>
    <x v="4"/>
    <s v="Milwaukee, WI"/>
    <d v="2025-10-08T00:00:00"/>
    <d v="1899-12-30T20:15:00"/>
    <d v="2025-10-08T00:00:00"/>
    <d v="1899-12-30T20:45:00"/>
    <x v="3"/>
    <s v="Medium"/>
    <s v="Thai Chicken"/>
    <n v="3"/>
    <n v="4.5"/>
    <s v="Medium"/>
    <s v="UPI"/>
    <x v="0"/>
    <x v="0"/>
    <n v="6.666666666666667"/>
    <n v="0.66666666666666663"/>
    <x v="9"/>
    <s v="Online"/>
    <n v="10.8"/>
    <n v="19.2"/>
    <x v="0"/>
    <n v="6"/>
    <n v="2"/>
    <x v="1"/>
    <n v="30.286458333333329"/>
  </r>
  <r>
    <x v="724"/>
    <x v="1"/>
    <s v="Omaha, NE"/>
    <d v="2025-10-09T00:00:00"/>
    <d v="1899-12-30T20:30:00"/>
    <d v="2025-10-09T00:00:00"/>
    <d v="1899-12-30T21:00:00"/>
    <x v="3"/>
    <s v="Medium"/>
    <s v="Gluten-Free"/>
    <n v="3"/>
    <n v="5"/>
    <s v="Medium"/>
    <s v="UPI"/>
    <x v="0"/>
    <x v="0"/>
    <n v="6"/>
    <n v="0.6"/>
    <x v="9"/>
    <s v="Online"/>
    <n v="12"/>
    <n v="18"/>
    <x v="0"/>
    <n v="6"/>
    <n v="2"/>
    <x v="1"/>
    <n v="28.186274509803919"/>
  </r>
  <r>
    <x v="725"/>
    <x v="2"/>
    <s v="Louisville, KY"/>
    <d v="2025-10-10T00:00:00"/>
    <d v="1899-12-30T19:45:00"/>
    <d v="2025-10-10T00:00:00"/>
    <d v="1899-12-30T20:15:00"/>
    <x v="3"/>
    <s v="XL"/>
    <s v="Cheese Burst"/>
    <n v="5"/>
    <n v="6"/>
    <s v="High"/>
    <s v="Card"/>
    <x v="0"/>
    <x v="0"/>
    <n v="5"/>
    <n v="0.83333333333333337"/>
    <x v="9"/>
    <s v="Online"/>
    <n v="14.4"/>
    <n v="15.6"/>
    <x v="0"/>
    <n v="20"/>
    <n v="3"/>
    <x v="3"/>
    <n v="28.844221105527641"/>
  </r>
  <r>
    <x v="726"/>
    <x v="4"/>
    <s v="Milwaukee, WI"/>
    <d v="2025-10-11T00:00:00"/>
    <d v="1899-12-30T18:00:00"/>
    <d v="2025-10-11T00:00:00"/>
    <d v="1899-12-30T18:30:00"/>
    <x v="3"/>
    <s v="Medium"/>
    <s v="Thai Chicken"/>
    <n v="3"/>
    <n v="4.5"/>
    <s v="Medium"/>
    <s v="Cash"/>
    <x v="0"/>
    <x v="1"/>
    <n v="6.666666666666667"/>
    <n v="0.66666666666666663"/>
    <x v="9"/>
    <s v="Offline"/>
    <n v="10.8"/>
    <n v="19.2"/>
    <x v="0"/>
    <n v="6"/>
    <n v="2"/>
    <x v="0"/>
    <n v="30.286458333333329"/>
  </r>
  <r>
    <x v="727"/>
    <x v="0"/>
    <s v="Albuquerque, NM"/>
    <d v="2025-10-12T00:00:00"/>
    <d v="1899-12-30T19:15:00"/>
    <d v="2025-10-12T00:00:00"/>
    <d v="1899-12-30T19:45:00"/>
    <x v="3"/>
    <s v="Large"/>
    <s v="Sicilian"/>
    <n v="4"/>
    <n v="5.5"/>
    <s v="Medium"/>
    <s v="UPI"/>
    <x v="0"/>
    <x v="1"/>
    <n v="5.4545454545454541"/>
    <n v="0.72727272727272729"/>
    <x v="9"/>
    <s v="Online"/>
    <n v="13.2"/>
    <n v="16.8"/>
    <x v="0"/>
    <n v="12"/>
    <n v="2"/>
    <x v="3"/>
    <n v="30.259433962264151"/>
  </r>
  <r>
    <x v="728"/>
    <x v="3"/>
    <s v="Atlanta, GA"/>
    <d v="2025-10-13T00:00:00"/>
    <d v="1899-12-30T20:30:00"/>
    <d v="2025-10-13T00:00:00"/>
    <d v="1899-12-30T21:00:00"/>
    <x v="3"/>
    <s v="Medium"/>
    <s v="Veg"/>
    <n v="2"/>
    <n v="4"/>
    <s v="Low"/>
    <s v="Wallet"/>
    <x v="0"/>
    <x v="0"/>
    <n v="7.5"/>
    <n v="0.5"/>
    <x v="9"/>
    <s v="Online"/>
    <n v="9.6"/>
    <n v="20.399999999999999"/>
    <x v="0"/>
    <n v="4"/>
    <n v="1"/>
    <x v="1"/>
    <n v="29.948453608247419"/>
  </r>
  <r>
    <x v="729"/>
    <x v="1"/>
    <s v="Omaha, NE"/>
    <d v="2025-10-14T00:00:00"/>
    <d v="1899-12-30T18:45:00"/>
    <d v="2025-10-14T00:00:00"/>
    <d v="1899-12-30T19:15:00"/>
    <x v="3"/>
    <s v="Medium"/>
    <s v="Gluten-Free"/>
    <n v="3"/>
    <n v="5"/>
    <s v="Medium"/>
    <s v="Card"/>
    <x v="0"/>
    <x v="0"/>
    <n v="6"/>
    <n v="0.6"/>
    <x v="9"/>
    <s v="Online"/>
    <n v="12"/>
    <n v="18"/>
    <x v="0"/>
    <n v="6"/>
    <n v="2"/>
    <x v="0"/>
    <n v="28.186274509803919"/>
  </r>
  <r>
    <x v="730"/>
    <x v="2"/>
    <s v="Louisville, KY"/>
    <d v="2025-10-15T00:00:00"/>
    <d v="1899-12-30T19:00:00"/>
    <d v="2025-10-15T00:00:00"/>
    <d v="1899-12-30T19:30:00"/>
    <x v="3"/>
    <s v="XL"/>
    <s v="Cheese Burst"/>
    <n v="5"/>
    <n v="6"/>
    <s v="High"/>
    <s v="UPI"/>
    <x v="0"/>
    <x v="0"/>
    <n v="5"/>
    <n v="0.83333333333333337"/>
    <x v="9"/>
    <s v="Online"/>
    <n v="14.4"/>
    <n v="15.6"/>
    <x v="0"/>
    <n v="20"/>
    <n v="3"/>
    <x v="3"/>
    <n v="28.844221105527641"/>
  </r>
  <r>
    <x v="731"/>
    <x v="4"/>
    <s v="Milwaukee, WI"/>
    <d v="2025-10-16T00:00:00"/>
    <d v="1899-12-30T20:15:00"/>
    <d v="2025-10-16T00:00:00"/>
    <d v="1899-12-30T20:45:00"/>
    <x v="3"/>
    <s v="Medium"/>
    <s v="Thai Chicken"/>
    <n v="3"/>
    <n v="4.5"/>
    <s v="Medium"/>
    <s v="Cash"/>
    <x v="0"/>
    <x v="0"/>
    <n v="6.666666666666667"/>
    <n v="0.66666666666666663"/>
    <x v="9"/>
    <s v="Offline"/>
    <n v="10.8"/>
    <n v="19.2"/>
    <x v="0"/>
    <n v="6"/>
    <n v="2"/>
    <x v="1"/>
    <n v="30.286458333333329"/>
  </r>
  <r>
    <x v="732"/>
    <x v="0"/>
    <s v="Albuquerque, NM"/>
    <d v="2025-10-17T00:00:00"/>
    <d v="1899-12-30T19:30:00"/>
    <d v="2025-10-17T00:00:00"/>
    <d v="1899-12-30T20:00:00"/>
    <x v="3"/>
    <s v="Large"/>
    <s v="Sicilian"/>
    <n v="4"/>
    <n v="5.5"/>
    <s v="Medium"/>
    <s v="UPI"/>
    <x v="0"/>
    <x v="0"/>
    <n v="5.4545454545454541"/>
    <n v="0.72727272727272729"/>
    <x v="9"/>
    <s v="Online"/>
    <n v="13.2"/>
    <n v="16.8"/>
    <x v="0"/>
    <n v="12"/>
    <n v="2"/>
    <x v="3"/>
    <n v="30.259433962264151"/>
  </r>
  <r>
    <x v="733"/>
    <x v="3"/>
    <s v="Atlanta, GA"/>
    <d v="2025-10-18T00:00:00"/>
    <d v="1899-12-30T20:45:00"/>
    <d v="2025-10-18T00:00:00"/>
    <d v="1899-12-30T21:15:00"/>
    <x v="3"/>
    <s v="Medium"/>
    <s v="Veg"/>
    <n v="2"/>
    <n v="4"/>
    <s v="Low"/>
    <s v="Wallet"/>
    <x v="0"/>
    <x v="1"/>
    <n v="7.5"/>
    <n v="0.5"/>
    <x v="9"/>
    <s v="Online"/>
    <n v="9.6"/>
    <n v="20.399999999999999"/>
    <x v="0"/>
    <n v="4"/>
    <n v="1"/>
    <x v="1"/>
    <n v="29.948453608247419"/>
  </r>
  <r>
    <x v="734"/>
    <x v="1"/>
    <s v="Omaha, NE"/>
    <d v="2025-10-19T00:00:00"/>
    <d v="1899-12-30T18:00:00"/>
    <d v="2025-10-19T00:00:00"/>
    <d v="1899-12-30T18:30:00"/>
    <x v="3"/>
    <s v="Medium"/>
    <s v="Gluten-Free"/>
    <n v="3"/>
    <n v="5"/>
    <s v="Medium"/>
    <s v="Card"/>
    <x v="0"/>
    <x v="1"/>
    <n v="6"/>
    <n v="0.6"/>
    <x v="9"/>
    <s v="Online"/>
    <n v="12"/>
    <n v="18"/>
    <x v="0"/>
    <n v="6"/>
    <n v="2"/>
    <x v="0"/>
    <n v="28.186274509803919"/>
  </r>
  <r>
    <x v="735"/>
    <x v="2"/>
    <s v="Louisville, KY"/>
    <d v="2025-10-20T00:00:00"/>
    <d v="1899-12-30T19:15:00"/>
    <d v="2025-10-20T00:00:00"/>
    <d v="1899-12-30T19:45:00"/>
    <x v="3"/>
    <s v="XL"/>
    <s v="Cheese Burst"/>
    <n v="5"/>
    <n v="6"/>
    <s v="High"/>
    <s v="UPI"/>
    <x v="0"/>
    <x v="0"/>
    <n v="5"/>
    <n v="0.83333333333333337"/>
    <x v="9"/>
    <s v="Online"/>
    <n v="14.4"/>
    <n v="15.6"/>
    <x v="0"/>
    <n v="20"/>
    <n v="3"/>
    <x v="3"/>
    <n v="28.844221105527641"/>
  </r>
  <r>
    <x v="736"/>
    <x v="4"/>
    <s v="Milwaukee, WI"/>
    <d v="2025-10-21T00:00:00"/>
    <d v="1899-12-30T20:30:00"/>
    <d v="2025-10-21T00:00:00"/>
    <d v="1899-12-30T21:00:00"/>
    <x v="3"/>
    <s v="Medium"/>
    <s v="Thai Chicken"/>
    <n v="3"/>
    <n v="4.5"/>
    <s v="Medium"/>
    <s v="Cash"/>
    <x v="0"/>
    <x v="0"/>
    <n v="6.666666666666667"/>
    <n v="0.66666666666666663"/>
    <x v="9"/>
    <s v="Offline"/>
    <n v="10.8"/>
    <n v="19.2"/>
    <x v="0"/>
    <n v="6"/>
    <n v="2"/>
    <x v="1"/>
    <n v="30.286458333333329"/>
  </r>
  <r>
    <x v="737"/>
    <x v="0"/>
    <s v="Albuquerque, NM"/>
    <d v="2025-10-22T00:00:00"/>
    <d v="1899-12-30T19:00:00"/>
    <d v="2025-10-22T00:00:00"/>
    <d v="1899-12-30T19:30:00"/>
    <x v="3"/>
    <s v="Large"/>
    <s v="Sicilian"/>
    <n v="4"/>
    <n v="5.5"/>
    <s v="Medium"/>
    <s v="UPI"/>
    <x v="0"/>
    <x v="0"/>
    <n v="5.4545454545454541"/>
    <n v="0.72727272727272729"/>
    <x v="9"/>
    <s v="Online"/>
    <n v="13.2"/>
    <n v="16.8"/>
    <x v="0"/>
    <n v="12"/>
    <n v="2"/>
    <x v="3"/>
    <n v="30.259433962264151"/>
  </r>
  <r>
    <x v="738"/>
    <x v="3"/>
    <s v="Atlanta, GA"/>
    <d v="2025-10-23T00:00:00"/>
    <d v="1899-12-30T20:15:00"/>
    <d v="2025-10-23T00:00:00"/>
    <d v="1899-12-30T20:45:00"/>
    <x v="3"/>
    <s v="Medium"/>
    <s v="Veg"/>
    <n v="2"/>
    <n v="4"/>
    <s v="Low"/>
    <s v="Wallet"/>
    <x v="0"/>
    <x v="0"/>
    <n v="7.5"/>
    <n v="0.5"/>
    <x v="9"/>
    <s v="Online"/>
    <n v="9.6"/>
    <n v="20.399999999999999"/>
    <x v="0"/>
    <n v="4"/>
    <n v="1"/>
    <x v="1"/>
    <n v="29.948453608247419"/>
  </r>
  <r>
    <x v="739"/>
    <x v="1"/>
    <s v="Omaha, NE"/>
    <d v="2025-10-24T00:00:00"/>
    <d v="1899-12-30T18:30:00"/>
    <d v="2025-10-24T00:00:00"/>
    <d v="1899-12-30T19:00:00"/>
    <x v="3"/>
    <s v="Medium"/>
    <s v="Gluten-Free"/>
    <n v="3"/>
    <n v="5"/>
    <s v="Medium"/>
    <s v="Card"/>
    <x v="0"/>
    <x v="0"/>
    <n v="6"/>
    <n v="0.6"/>
    <x v="9"/>
    <s v="Online"/>
    <n v="12"/>
    <n v="18"/>
    <x v="0"/>
    <n v="6"/>
    <n v="2"/>
    <x v="0"/>
    <n v="28.186274509803919"/>
  </r>
  <r>
    <x v="740"/>
    <x v="2"/>
    <s v="Louisville, KY"/>
    <d v="2025-10-25T00:00:00"/>
    <d v="1899-12-30T19:45:00"/>
    <d v="2025-10-25T00:00:00"/>
    <d v="1899-12-30T20:15:00"/>
    <x v="3"/>
    <s v="XL"/>
    <s v="Cheese Burst"/>
    <n v="5"/>
    <n v="6"/>
    <s v="High"/>
    <s v="UPI"/>
    <x v="0"/>
    <x v="1"/>
    <n v="5"/>
    <n v="0.83333333333333337"/>
    <x v="9"/>
    <s v="Online"/>
    <n v="14.4"/>
    <n v="15.6"/>
    <x v="0"/>
    <n v="20"/>
    <n v="3"/>
    <x v="3"/>
    <n v="28.844221105527641"/>
  </r>
  <r>
    <x v="741"/>
    <x v="4"/>
    <s v="Milwaukee, WI"/>
    <d v="2025-10-26T00:00:00"/>
    <d v="1899-12-30T18:00:00"/>
    <d v="2025-10-26T00:00:00"/>
    <d v="1899-12-30T18:30:00"/>
    <x v="3"/>
    <s v="Medium"/>
    <s v="Thai Chicken"/>
    <n v="3"/>
    <n v="4.5"/>
    <s v="Medium"/>
    <s v="Cash"/>
    <x v="0"/>
    <x v="1"/>
    <n v="6.666666666666667"/>
    <n v="0.66666666666666663"/>
    <x v="9"/>
    <s v="Offline"/>
    <n v="10.8"/>
    <n v="19.2"/>
    <x v="0"/>
    <n v="6"/>
    <n v="2"/>
    <x v="0"/>
    <n v="30.286458333333329"/>
  </r>
  <r>
    <x v="742"/>
    <x v="0"/>
    <s v="Albuquerque, NM"/>
    <d v="2025-10-27T00:00:00"/>
    <d v="1899-12-30T19:15:00"/>
    <d v="2025-10-27T00:00:00"/>
    <d v="1899-12-30T19:45:00"/>
    <x v="3"/>
    <s v="Large"/>
    <s v="Sicilian"/>
    <n v="4"/>
    <n v="5.5"/>
    <s v="Medium"/>
    <s v="UPI"/>
    <x v="0"/>
    <x v="0"/>
    <n v="5.4545454545454541"/>
    <n v="0.72727272727272729"/>
    <x v="9"/>
    <s v="Online"/>
    <n v="13.2"/>
    <n v="16.8"/>
    <x v="0"/>
    <n v="12"/>
    <n v="2"/>
    <x v="3"/>
    <n v="30.259433962264151"/>
  </r>
  <r>
    <x v="743"/>
    <x v="3"/>
    <s v="Atlanta, GA"/>
    <d v="2025-10-28T00:00:00"/>
    <d v="1899-12-30T20:30:00"/>
    <d v="2025-10-28T00:00:00"/>
    <d v="1899-12-30T21:00:00"/>
    <x v="3"/>
    <s v="Medium"/>
    <s v="Veg"/>
    <n v="2"/>
    <n v="4"/>
    <s v="Low"/>
    <s v="Wallet"/>
    <x v="0"/>
    <x v="0"/>
    <n v="7.5"/>
    <n v="0.5"/>
    <x v="9"/>
    <s v="Online"/>
    <n v="9.6"/>
    <n v="20.399999999999999"/>
    <x v="0"/>
    <n v="4"/>
    <n v="1"/>
    <x v="1"/>
    <n v="29.948453608247419"/>
  </r>
  <r>
    <x v="744"/>
    <x v="1"/>
    <s v="Omaha, NE"/>
    <d v="2025-10-29T00:00:00"/>
    <d v="1899-12-30T18:45:00"/>
    <d v="2025-10-29T00:00:00"/>
    <d v="1899-12-30T19:15:00"/>
    <x v="3"/>
    <s v="Medium"/>
    <s v="Gluten-Free"/>
    <n v="3"/>
    <n v="5"/>
    <s v="Medium"/>
    <s v="Card"/>
    <x v="0"/>
    <x v="0"/>
    <n v="6"/>
    <n v="0.6"/>
    <x v="9"/>
    <s v="Online"/>
    <n v="12"/>
    <n v="18"/>
    <x v="0"/>
    <n v="6"/>
    <n v="2"/>
    <x v="0"/>
    <n v="28.186274509803919"/>
  </r>
  <r>
    <x v="745"/>
    <x v="2"/>
    <s v="Louisville, KY"/>
    <d v="2025-10-30T00:00:00"/>
    <d v="1899-12-30T19:00:00"/>
    <d v="2025-10-30T00:00:00"/>
    <d v="1899-12-30T19:30:00"/>
    <x v="3"/>
    <s v="XL"/>
    <s v="Cheese Burst"/>
    <n v="5"/>
    <n v="6"/>
    <s v="High"/>
    <s v="UPI"/>
    <x v="0"/>
    <x v="0"/>
    <n v="5"/>
    <n v="0.83333333333333337"/>
    <x v="9"/>
    <s v="Online"/>
    <n v="14.4"/>
    <n v="15.6"/>
    <x v="0"/>
    <n v="20"/>
    <n v="3"/>
    <x v="3"/>
    <n v="28.844221105527641"/>
  </r>
  <r>
    <x v="746"/>
    <x v="4"/>
    <s v="Milwaukee, WI"/>
    <d v="2025-10-31T00:00:00"/>
    <d v="1899-12-30T20:15:00"/>
    <d v="2025-10-31T00:00:00"/>
    <d v="1899-12-30T20:45:00"/>
    <x v="3"/>
    <s v="Medium"/>
    <s v="Thai Chicken"/>
    <n v="3"/>
    <n v="4.5"/>
    <s v="Medium"/>
    <s v="Cash"/>
    <x v="0"/>
    <x v="0"/>
    <n v="6.666666666666667"/>
    <n v="0.66666666666666663"/>
    <x v="9"/>
    <s v="Offline"/>
    <n v="10.8"/>
    <n v="19.2"/>
    <x v="0"/>
    <n v="6"/>
    <n v="2"/>
    <x v="1"/>
    <n v="30.286458333333329"/>
  </r>
  <r>
    <x v="747"/>
    <x v="0"/>
    <s v="Albuquerque, NM"/>
    <d v="2025-11-01T00:00:00"/>
    <d v="1899-12-30T19:30:00"/>
    <d v="2025-11-01T00:00:00"/>
    <d v="1899-12-30T20:00:00"/>
    <x v="3"/>
    <s v="Large"/>
    <s v="Sicilian"/>
    <n v="4"/>
    <n v="5.5"/>
    <s v="Medium"/>
    <s v="UPI"/>
    <x v="0"/>
    <x v="1"/>
    <n v="5.4545454545454541"/>
    <n v="0.72727272727272729"/>
    <x v="10"/>
    <s v="Online"/>
    <n v="13.2"/>
    <n v="16.8"/>
    <x v="0"/>
    <n v="12"/>
    <n v="2"/>
    <x v="3"/>
    <n v="30.259433962264151"/>
  </r>
  <r>
    <x v="748"/>
    <x v="3"/>
    <s v="Atlanta, GA"/>
    <d v="2025-11-02T00:00:00"/>
    <d v="1899-12-30T20:45:00"/>
    <d v="2025-11-02T00:00:00"/>
    <d v="1899-12-30T21:15:00"/>
    <x v="3"/>
    <s v="Medium"/>
    <s v="Veg"/>
    <n v="2"/>
    <n v="4"/>
    <s v="Low"/>
    <s v="Wallet"/>
    <x v="0"/>
    <x v="1"/>
    <n v="7.5"/>
    <n v="0.5"/>
    <x v="10"/>
    <s v="Online"/>
    <n v="9.6"/>
    <n v="20.399999999999999"/>
    <x v="0"/>
    <n v="4"/>
    <n v="1"/>
    <x v="1"/>
    <n v="29.948453608247419"/>
  </r>
  <r>
    <x v="749"/>
    <x v="1"/>
    <s v="Omaha, NE"/>
    <d v="2025-11-03T00:00:00"/>
    <d v="1899-12-30T18:00:00"/>
    <d v="2025-11-03T00:00:00"/>
    <d v="1899-12-30T18:30:00"/>
    <x v="3"/>
    <s v="Medium"/>
    <s v="Gluten-Free"/>
    <n v="3"/>
    <n v="5"/>
    <s v="Medium"/>
    <s v="Card"/>
    <x v="0"/>
    <x v="0"/>
    <n v="6"/>
    <n v="0.6"/>
    <x v="10"/>
    <s v="Online"/>
    <n v="12"/>
    <n v="18"/>
    <x v="0"/>
    <n v="6"/>
    <n v="2"/>
    <x v="0"/>
    <n v="28.186274509803919"/>
  </r>
  <r>
    <x v="750"/>
    <x v="2"/>
    <s v="Louisville, KY"/>
    <d v="2025-11-04T00:00:00"/>
    <d v="1899-12-30T19:15:00"/>
    <d v="2025-11-04T00:00:00"/>
    <d v="1899-12-30T19:45:00"/>
    <x v="3"/>
    <s v="XL"/>
    <s v="Cheese Burst"/>
    <n v="5"/>
    <n v="6"/>
    <s v="High"/>
    <s v="UPI"/>
    <x v="0"/>
    <x v="0"/>
    <n v="5"/>
    <n v="0.83333333333333337"/>
    <x v="10"/>
    <s v="Online"/>
    <n v="14.4"/>
    <n v="15.6"/>
    <x v="0"/>
    <n v="20"/>
    <n v="3"/>
    <x v="3"/>
    <n v="28.844221105527641"/>
  </r>
  <r>
    <x v="751"/>
    <x v="4"/>
    <s v="Milwaukee, WI"/>
    <d v="2025-11-05T00:00:00"/>
    <d v="1899-12-30T20:30:00"/>
    <d v="2025-11-05T00:00:00"/>
    <d v="1899-12-30T21:00:00"/>
    <x v="3"/>
    <s v="Medium"/>
    <s v="Thai Chicken"/>
    <n v="3"/>
    <n v="4.5"/>
    <s v="Medium"/>
    <s v="UPI"/>
    <x v="0"/>
    <x v="0"/>
    <n v="6.666666666666667"/>
    <n v="0.66666666666666663"/>
    <x v="10"/>
    <s v="Online"/>
    <n v="10.8"/>
    <n v="19.2"/>
    <x v="0"/>
    <n v="6"/>
    <n v="2"/>
    <x v="1"/>
    <n v="30.286458333333329"/>
  </r>
  <r>
    <x v="752"/>
    <x v="1"/>
    <s v="Omaha, NE"/>
    <d v="2025-11-06T00:00:00"/>
    <d v="1899-12-30T18:45:00"/>
    <d v="2025-11-06T00:00:00"/>
    <d v="1899-12-30T19:15:00"/>
    <x v="3"/>
    <s v="Medium"/>
    <s v="BBQ Chicken"/>
    <n v="3"/>
    <n v="5"/>
    <s v="Medium"/>
    <s v="UPI"/>
    <x v="0"/>
    <x v="0"/>
    <n v="6"/>
    <n v="0.6"/>
    <x v="10"/>
    <s v="Online"/>
    <n v="12"/>
    <n v="18"/>
    <x v="0"/>
    <n v="6"/>
    <n v="2"/>
    <x v="0"/>
    <n v="28.186274509803919"/>
  </r>
  <r>
    <x v="753"/>
    <x v="2"/>
    <s v="Louisville, KY"/>
    <d v="2025-11-07T00:00:00"/>
    <d v="1899-12-30T19:00:00"/>
    <d v="2025-11-07T00:00:00"/>
    <d v="1899-12-30T19:30:00"/>
    <x v="3"/>
    <s v="XL"/>
    <s v="Cheese Burst"/>
    <n v="5"/>
    <n v="6"/>
    <s v="High"/>
    <s v="Card"/>
    <x v="0"/>
    <x v="0"/>
    <n v="5"/>
    <n v="0.83333333333333337"/>
    <x v="10"/>
    <s v="Online"/>
    <n v="14.4"/>
    <n v="15.6"/>
    <x v="0"/>
    <n v="20"/>
    <n v="3"/>
    <x v="3"/>
    <n v="28.844221105527641"/>
  </r>
  <r>
    <x v="754"/>
    <x v="4"/>
    <s v="Milwaukee, WI"/>
    <d v="2025-11-08T00:00:00"/>
    <d v="1899-12-30T20:15:00"/>
    <d v="2025-11-08T00:00:00"/>
    <d v="1899-12-30T20:45:00"/>
    <x v="3"/>
    <s v="Medium"/>
    <s v="Margarita"/>
    <n v="3"/>
    <n v="4.5"/>
    <s v="Medium"/>
    <s v="Cash"/>
    <x v="0"/>
    <x v="1"/>
    <n v="6.666666666666667"/>
    <n v="0.66666666666666663"/>
    <x v="10"/>
    <s v="Offline"/>
    <n v="10.8"/>
    <n v="19.2"/>
    <x v="0"/>
    <n v="6"/>
    <n v="2"/>
    <x v="1"/>
    <n v="30.286458333333329"/>
  </r>
  <r>
    <x v="755"/>
    <x v="0"/>
    <s v="Albuquerque, NM"/>
    <d v="2025-11-09T00:00:00"/>
    <d v="1899-12-30T19:30:00"/>
    <d v="2025-11-09T00:00:00"/>
    <d v="1899-12-30T20:00:00"/>
    <x v="3"/>
    <s v="Large"/>
    <s v="Sicilian"/>
    <n v="4"/>
    <n v="5.5"/>
    <s v="Medium"/>
    <s v="UPI"/>
    <x v="0"/>
    <x v="1"/>
    <n v="5.4545454545454541"/>
    <n v="0.72727272727272729"/>
    <x v="10"/>
    <s v="Online"/>
    <n v="13.2"/>
    <n v="16.8"/>
    <x v="0"/>
    <n v="12"/>
    <n v="2"/>
    <x v="3"/>
    <n v="30.259433962264151"/>
  </r>
  <r>
    <x v="756"/>
    <x v="3"/>
    <s v="Atlanta, GA"/>
    <d v="2025-11-10T00:00:00"/>
    <d v="1899-12-30T20:45:00"/>
    <d v="2025-11-10T00:00:00"/>
    <d v="1899-12-30T21:15:00"/>
    <x v="3"/>
    <s v="Medium"/>
    <s v="Veg"/>
    <n v="2"/>
    <n v="4"/>
    <s v="Low"/>
    <s v="Wallet"/>
    <x v="0"/>
    <x v="0"/>
    <n v="7.5"/>
    <n v="0.5"/>
    <x v="10"/>
    <s v="Online"/>
    <n v="9.6"/>
    <n v="20.399999999999999"/>
    <x v="0"/>
    <n v="4"/>
    <n v="1"/>
    <x v="1"/>
    <n v="29.948453608247419"/>
  </r>
  <r>
    <x v="757"/>
    <x v="1"/>
    <s v="Omaha, NE"/>
    <d v="2025-11-11T00:00:00"/>
    <d v="1899-12-30T18:00:00"/>
    <d v="2025-11-11T00:00:00"/>
    <d v="1899-12-30T18:30:00"/>
    <x v="3"/>
    <s v="Medium"/>
    <s v="BBQ Chicken"/>
    <n v="3"/>
    <n v="5"/>
    <s v="Medium"/>
    <s v="Card"/>
    <x v="0"/>
    <x v="0"/>
    <n v="6"/>
    <n v="0.6"/>
    <x v="10"/>
    <s v="Online"/>
    <n v="12"/>
    <n v="18"/>
    <x v="0"/>
    <n v="6"/>
    <n v="2"/>
    <x v="0"/>
    <n v="28.186274509803919"/>
  </r>
  <r>
    <x v="758"/>
    <x v="2"/>
    <s v="Louisville, KY"/>
    <d v="2025-11-12T00:00:00"/>
    <d v="1899-12-30T19:15:00"/>
    <d v="2025-11-12T00:00:00"/>
    <d v="1899-12-30T19:45:00"/>
    <x v="3"/>
    <s v="XL"/>
    <s v="Cheese Burst"/>
    <n v="5"/>
    <n v="6"/>
    <s v="High"/>
    <s v="UPI"/>
    <x v="0"/>
    <x v="0"/>
    <n v="5"/>
    <n v="0.83333333333333337"/>
    <x v="10"/>
    <s v="Online"/>
    <n v="14.4"/>
    <n v="15.6"/>
    <x v="0"/>
    <n v="20"/>
    <n v="3"/>
    <x v="3"/>
    <n v="28.844221105527641"/>
  </r>
  <r>
    <x v="759"/>
    <x v="4"/>
    <s v="Milwaukee, WI"/>
    <d v="2025-11-13T00:00:00"/>
    <d v="1899-12-30T20:30:00"/>
    <d v="2025-11-13T00:00:00"/>
    <d v="1899-12-30T21:00:00"/>
    <x v="3"/>
    <s v="Medium"/>
    <s v="Margarita"/>
    <n v="3"/>
    <n v="4.5"/>
    <s v="Medium"/>
    <s v="Cash"/>
    <x v="0"/>
    <x v="0"/>
    <n v="6.666666666666667"/>
    <n v="0.66666666666666663"/>
    <x v="10"/>
    <s v="Offline"/>
    <n v="10.8"/>
    <n v="19.2"/>
    <x v="0"/>
    <n v="6"/>
    <n v="2"/>
    <x v="1"/>
    <n v="30.286458333333329"/>
  </r>
  <r>
    <x v="760"/>
    <x v="0"/>
    <s v="Albuquerque, NM"/>
    <d v="2025-11-14T00:00:00"/>
    <d v="1899-12-30T19:00:00"/>
    <d v="2025-11-14T00:00:00"/>
    <d v="1899-12-30T19:30:00"/>
    <x v="3"/>
    <s v="Large"/>
    <s v="Sicilian"/>
    <n v="4"/>
    <n v="5.5"/>
    <s v="Medium"/>
    <s v="UPI"/>
    <x v="0"/>
    <x v="0"/>
    <n v="5.4545454545454541"/>
    <n v="0.72727272727272729"/>
    <x v="10"/>
    <s v="Online"/>
    <n v="13.2"/>
    <n v="16.8"/>
    <x v="0"/>
    <n v="12"/>
    <n v="2"/>
    <x v="3"/>
    <n v="30.259433962264151"/>
  </r>
  <r>
    <x v="761"/>
    <x v="3"/>
    <s v="Atlanta, GA"/>
    <d v="2025-11-15T00:00:00"/>
    <d v="1899-12-30T20:15:00"/>
    <d v="2025-11-15T00:00:00"/>
    <d v="1899-12-30T20:45:00"/>
    <x v="3"/>
    <s v="Medium"/>
    <s v="Veg"/>
    <n v="2"/>
    <n v="4"/>
    <s v="Low"/>
    <s v="Wallet"/>
    <x v="0"/>
    <x v="1"/>
    <n v="7.5"/>
    <n v="0.5"/>
    <x v="10"/>
    <s v="Online"/>
    <n v="9.6"/>
    <n v="20.399999999999999"/>
    <x v="0"/>
    <n v="4"/>
    <n v="1"/>
    <x v="1"/>
    <n v="29.948453608247419"/>
  </r>
  <r>
    <x v="762"/>
    <x v="1"/>
    <s v="Omaha, NE"/>
    <d v="2025-11-16T00:00:00"/>
    <d v="1899-12-30T18:30:00"/>
    <d v="2025-11-16T00:00:00"/>
    <d v="1899-12-30T19:00:00"/>
    <x v="3"/>
    <s v="Medium"/>
    <s v="BBQ Chicken"/>
    <n v="3"/>
    <n v="5"/>
    <s v="Medium"/>
    <s v="Card"/>
    <x v="0"/>
    <x v="1"/>
    <n v="6"/>
    <n v="0.6"/>
    <x v="10"/>
    <s v="Online"/>
    <n v="12"/>
    <n v="18"/>
    <x v="0"/>
    <n v="6"/>
    <n v="2"/>
    <x v="0"/>
    <n v="28.186274509803919"/>
  </r>
  <r>
    <x v="763"/>
    <x v="2"/>
    <s v="Louisville, KY"/>
    <d v="2025-11-17T00:00:00"/>
    <d v="1899-12-30T19:45:00"/>
    <d v="2025-11-17T00:00:00"/>
    <d v="1899-12-30T20:15:00"/>
    <x v="3"/>
    <s v="XL"/>
    <s v="Cheese Burst"/>
    <n v="5"/>
    <n v="6"/>
    <s v="High"/>
    <s v="UPI"/>
    <x v="0"/>
    <x v="0"/>
    <n v="5"/>
    <n v="0.83333333333333337"/>
    <x v="10"/>
    <s v="Online"/>
    <n v="14.4"/>
    <n v="15.6"/>
    <x v="0"/>
    <n v="20"/>
    <n v="3"/>
    <x v="3"/>
    <n v="28.844221105527641"/>
  </r>
  <r>
    <x v="764"/>
    <x v="4"/>
    <s v="Milwaukee, WI"/>
    <d v="2025-11-18T00:00:00"/>
    <d v="1899-12-30T20:00:00"/>
    <d v="2025-11-18T00:00:00"/>
    <d v="1899-12-30T20:30:00"/>
    <x v="3"/>
    <s v="Medium"/>
    <s v="Margarita"/>
    <n v="3"/>
    <n v="4.5"/>
    <s v="Medium"/>
    <s v="Cash"/>
    <x v="0"/>
    <x v="0"/>
    <n v="6.666666666666667"/>
    <n v="0.66666666666666663"/>
    <x v="10"/>
    <s v="Offline"/>
    <n v="10.8"/>
    <n v="19.2"/>
    <x v="0"/>
    <n v="6"/>
    <n v="2"/>
    <x v="1"/>
    <n v="30.286458333333329"/>
  </r>
  <r>
    <x v="765"/>
    <x v="0"/>
    <s v="Albuquerque, NM"/>
    <d v="2025-11-19T00:00:00"/>
    <d v="1899-12-30T19:15:00"/>
    <d v="2025-11-19T00:00:00"/>
    <d v="1899-12-30T19:45:00"/>
    <x v="3"/>
    <s v="Large"/>
    <s v="Sicilian"/>
    <n v="4"/>
    <n v="5.5"/>
    <s v="Medium"/>
    <s v="UPI"/>
    <x v="0"/>
    <x v="0"/>
    <n v="5.4545454545454541"/>
    <n v="0.72727272727272729"/>
    <x v="10"/>
    <s v="Online"/>
    <n v="13.2"/>
    <n v="16.8"/>
    <x v="0"/>
    <n v="12"/>
    <n v="2"/>
    <x v="3"/>
    <n v="30.259433962264151"/>
  </r>
  <r>
    <x v="766"/>
    <x v="3"/>
    <s v="Atlanta, GA"/>
    <d v="2025-11-20T00:00:00"/>
    <d v="1899-12-30T20:30:00"/>
    <d v="2025-11-20T00:00:00"/>
    <d v="1899-12-30T21:00:00"/>
    <x v="3"/>
    <s v="Medium"/>
    <s v="Veg"/>
    <n v="2"/>
    <n v="4"/>
    <s v="Low"/>
    <s v="Wallet"/>
    <x v="0"/>
    <x v="0"/>
    <n v="7.5"/>
    <n v="0.5"/>
    <x v="10"/>
    <s v="Online"/>
    <n v="9.6"/>
    <n v="20.399999999999999"/>
    <x v="0"/>
    <n v="4"/>
    <n v="1"/>
    <x v="1"/>
    <n v="29.948453608247419"/>
  </r>
  <r>
    <x v="767"/>
    <x v="1"/>
    <s v="Omaha, NE"/>
    <d v="2025-11-21T00:00:00"/>
    <d v="1899-12-30T18:45:00"/>
    <d v="2025-11-21T00:00:00"/>
    <d v="1899-12-30T19:15:00"/>
    <x v="3"/>
    <s v="Medium"/>
    <s v="BBQ Chicken"/>
    <n v="3"/>
    <n v="5"/>
    <s v="Medium"/>
    <s v="Card"/>
    <x v="0"/>
    <x v="0"/>
    <n v="6"/>
    <n v="0.6"/>
    <x v="10"/>
    <s v="Online"/>
    <n v="12"/>
    <n v="18"/>
    <x v="0"/>
    <n v="6"/>
    <n v="2"/>
    <x v="0"/>
    <n v="28.186274509803919"/>
  </r>
  <r>
    <x v="768"/>
    <x v="2"/>
    <s v="Louisville, KY"/>
    <d v="2025-11-22T00:00:00"/>
    <d v="1899-12-30T19:00:00"/>
    <d v="2025-11-22T00:00:00"/>
    <d v="1899-12-30T19:30:00"/>
    <x v="3"/>
    <s v="XL"/>
    <s v="Cheese Burst"/>
    <n v="5"/>
    <n v="6"/>
    <s v="High"/>
    <s v="UPI"/>
    <x v="0"/>
    <x v="1"/>
    <n v="5"/>
    <n v="0.83333333333333337"/>
    <x v="10"/>
    <s v="Online"/>
    <n v="14.4"/>
    <n v="15.6"/>
    <x v="0"/>
    <n v="20"/>
    <n v="3"/>
    <x v="3"/>
    <n v="28.844221105527641"/>
  </r>
  <r>
    <x v="769"/>
    <x v="4"/>
    <s v="Milwaukee, WI"/>
    <d v="2025-11-23T00:00:00"/>
    <d v="1899-12-30T20:15:00"/>
    <d v="2025-11-23T00:00:00"/>
    <d v="1899-12-30T20:45:00"/>
    <x v="3"/>
    <s v="Medium"/>
    <s v="Margarita"/>
    <n v="3"/>
    <n v="4.5"/>
    <s v="Medium"/>
    <s v="Cash"/>
    <x v="0"/>
    <x v="1"/>
    <n v="6.666666666666667"/>
    <n v="0.66666666666666663"/>
    <x v="10"/>
    <s v="Offline"/>
    <n v="10.8"/>
    <n v="19.2"/>
    <x v="0"/>
    <n v="6"/>
    <n v="2"/>
    <x v="1"/>
    <n v="30.286458333333329"/>
  </r>
  <r>
    <x v="770"/>
    <x v="0"/>
    <s v="Albuquerque, NM"/>
    <d v="2025-11-24T00:00:00"/>
    <d v="1899-12-30T19:30:00"/>
    <d v="2025-11-24T00:00:00"/>
    <d v="1899-12-30T20:00:00"/>
    <x v="3"/>
    <s v="Large"/>
    <s v="Sicilian"/>
    <n v="4"/>
    <n v="5.5"/>
    <s v="Medium"/>
    <s v="UPI"/>
    <x v="0"/>
    <x v="0"/>
    <n v="5.4545454545454541"/>
    <n v="0.72727272727272729"/>
    <x v="10"/>
    <s v="Online"/>
    <n v="13.2"/>
    <n v="16.8"/>
    <x v="0"/>
    <n v="12"/>
    <n v="2"/>
    <x v="3"/>
    <n v="30.259433962264151"/>
  </r>
  <r>
    <x v="771"/>
    <x v="3"/>
    <s v="Atlanta, GA"/>
    <d v="2025-11-25T00:00:00"/>
    <d v="1899-12-30T20:45:00"/>
    <d v="2025-11-25T00:00:00"/>
    <d v="1899-12-30T21:15:00"/>
    <x v="3"/>
    <s v="Medium"/>
    <s v="Veg"/>
    <n v="2"/>
    <n v="4"/>
    <s v="Low"/>
    <s v="Wallet"/>
    <x v="0"/>
    <x v="0"/>
    <n v="7.5"/>
    <n v="0.5"/>
    <x v="10"/>
    <s v="Online"/>
    <n v="9.6"/>
    <n v="20.399999999999999"/>
    <x v="0"/>
    <n v="4"/>
    <n v="1"/>
    <x v="1"/>
    <n v="29.948453608247419"/>
  </r>
  <r>
    <x v="772"/>
    <x v="1"/>
    <s v="Omaha, NE"/>
    <d v="2025-11-26T00:00:00"/>
    <d v="1899-12-30T18:00:00"/>
    <d v="2025-11-26T00:00:00"/>
    <d v="1899-12-30T18:30:00"/>
    <x v="3"/>
    <s v="Medium"/>
    <s v="BBQ Chicken"/>
    <n v="3"/>
    <n v="5"/>
    <s v="Medium"/>
    <s v="Card"/>
    <x v="0"/>
    <x v="0"/>
    <n v="6"/>
    <n v="0.6"/>
    <x v="10"/>
    <s v="Online"/>
    <n v="12"/>
    <n v="18"/>
    <x v="0"/>
    <n v="6"/>
    <n v="2"/>
    <x v="0"/>
    <n v="28.186274509803919"/>
  </r>
  <r>
    <x v="773"/>
    <x v="2"/>
    <s v="Louisville, KY"/>
    <d v="2025-11-27T00:00:00"/>
    <d v="1899-12-30T19:15:00"/>
    <d v="2025-11-27T00:00:00"/>
    <d v="1899-12-30T19:45:00"/>
    <x v="3"/>
    <s v="XL"/>
    <s v="Cheese Burst"/>
    <n v="5"/>
    <n v="6"/>
    <s v="High"/>
    <s v="UPI"/>
    <x v="0"/>
    <x v="0"/>
    <n v="5"/>
    <n v="0.83333333333333337"/>
    <x v="10"/>
    <s v="Online"/>
    <n v="14.4"/>
    <n v="15.6"/>
    <x v="0"/>
    <n v="20"/>
    <n v="3"/>
    <x v="3"/>
    <n v="28.844221105527641"/>
  </r>
  <r>
    <x v="774"/>
    <x v="4"/>
    <s v="Milwaukee, WI"/>
    <d v="2025-11-28T00:00:00"/>
    <d v="1899-12-30T20:30:00"/>
    <d v="2025-11-28T00:00:00"/>
    <d v="1899-12-30T21:00:00"/>
    <x v="3"/>
    <s v="Medium"/>
    <s v="Margarita"/>
    <n v="3"/>
    <n v="4.5"/>
    <s v="Medium"/>
    <s v="Cash"/>
    <x v="0"/>
    <x v="0"/>
    <n v="6.666666666666667"/>
    <n v="0.66666666666666663"/>
    <x v="10"/>
    <s v="Offline"/>
    <n v="10.8"/>
    <n v="19.2"/>
    <x v="0"/>
    <n v="6"/>
    <n v="2"/>
    <x v="1"/>
    <n v="30.286458333333329"/>
  </r>
  <r>
    <x v="775"/>
    <x v="0"/>
    <s v="Albuquerque, NM"/>
    <d v="2025-11-29T00:00:00"/>
    <d v="1899-12-30T19:00:00"/>
    <d v="2025-11-29T00:00:00"/>
    <d v="1899-12-30T19:30:00"/>
    <x v="3"/>
    <s v="Large"/>
    <s v="Sicilian"/>
    <n v="4"/>
    <n v="5.5"/>
    <s v="Medium"/>
    <s v="UPI"/>
    <x v="0"/>
    <x v="1"/>
    <n v="5.4545454545454541"/>
    <n v="0.72727272727272729"/>
    <x v="10"/>
    <s v="Online"/>
    <n v="13.2"/>
    <n v="16.8"/>
    <x v="0"/>
    <n v="12"/>
    <n v="2"/>
    <x v="3"/>
    <n v="30.259433962264151"/>
  </r>
  <r>
    <x v="776"/>
    <x v="3"/>
    <s v="Atlanta, GA"/>
    <d v="2025-11-30T00:00:00"/>
    <d v="1899-12-30T20:15:00"/>
    <d v="2025-11-30T00:00:00"/>
    <d v="1899-12-30T20:45:00"/>
    <x v="3"/>
    <s v="Medium"/>
    <s v="Veg"/>
    <n v="2"/>
    <n v="4"/>
    <s v="Low"/>
    <s v="Wallet"/>
    <x v="0"/>
    <x v="1"/>
    <n v="7.5"/>
    <n v="0.5"/>
    <x v="10"/>
    <s v="Online"/>
    <n v="9.6"/>
    <n v="20.399999999999999"/>
    <x v="0"/>
    <n v="4"/>
    <n v="1"/>
    <x v="1"/>
    <n v="29.948453608247419"/>
  </r>
  <r>
    <x v="777"/>
    <x v="1"/>
    <s v="Omaha, NE"/>
    <d v="2025-12-01T00:00:00"/>
    <d v="1899-12-30T18:30:00"/>
    <d v="2025-12-01T00:00:00"/>
    <d v="1899-12-30T19:00:00"/>
    <x v="3"/>
    <s v="Medium"/>
    <s v="BBQ Chicken"/>
    <n v="3"/>
    <n v="5"/>
    <s v="Medium"/>
    <s v="Card"/>
    <x v="0"/>
    <x v="0"/>
    <n v="6"/>
    <n v="0.6"/>
    <x v="11"/>
    <s v="Online"/>
    <n v="12"/>
    <n v="18"/>
    <x v="0"/>
    <n v="6"/>
    <n v="2"/>
    <x v="0"/>
    <n v="28.186274509803919"/>
  </r>
  <r>
    <x v="778"/>
    <x v="2"/>
    <s v="Louisville, KY"/>
    <d v="2025-12-02T00:00:00"/>
    <d v="1899-12-30T19:45:00"/>
    <d v="2025-12-02T00:00:00"/>
    <d v="1899-12-30T20:15:00"/>
    <x v="3"/>
    <s v="XL"/>
    <s v="Cheese Burst"/>
    <n v="5"/>
    <n v="6"/>
    <s v="High"/>
    <s v="UPI"/>
    <x v="0"/>
    <x v="0"/>
    <n v="5"/>
    <n v="0.83333333333333337"/>
    <x v="11"/>
    <s v="Online"/>
    <n v="14.4"/>
    <n v="15.6"/>
    <x v="0"/>
    <n v="20"/>
    <n v="3"/>
    <x v="3"/>
    <n v="28.844221105527641"/>
  </r>
  <r>
    <x v="779"/>
    <x v="4"/>
    <s v="Milwaukee, WI"/>
    <d v="2025-12-03T00:00:00"/>
    <d v="1899-12-30T20:00:00"/>
    <d v="2025-12-03T00:00:00"/>
    <d v="1899-12-30T20:30:00"/>
    <x v="3"/>
    <s v="Medium"/>
    <s v="Margarita"/>
    <n v="3"/>
    <n v="4.5"/>
    <s v="Medium"/>
    <s v="Cash"/>
    <x v="0"/>
    <x v="0"/>
    <n v="6.666666666666667"/>
    <n v="0.66666666666666663"/>
    <x v="11"/>
    <s v="Offline"/>
    <n v="10.8"/>
    <n v="19.2"/>
    <x v="0"/>
    <n v="6"/>
    <n v="2"/>
    <x v="1"/>
    <n v="30.286458333333329"/>
  </r>
  <r>
    <x v="780"/>
    <x v="1"/>
    <s v="Omaha, NE"/>
    <d v="2025-12-04T00:00:00"/>
    <d v="1899-12-30T18:15:00"/>
    <d v="2025-12-04T00:00:00"/>
    <d v="1899-12-30T18:45:00"/>
    <x v="3"/>
    <s v="Medium"/>
    <s v="BBQ Chicken"/>
    <n v="3"/>
    <n v="5"/>
    <s v="Medium"/>
    <s v="UPI"/>
    <x v="0"/>
    <x v="0"/>
    <n v="6"/>
    <n v="0.6"/>
    <x v="11"/>
    <s v="Online"/>
    <n v="12"/>
    <n v="18"/>
    <x v="0"/>
    <n v="6"/>
    <n v="2"/>
    <x v="0"/>
    <n v="28.186274509803919"/>
  </r>
  <r>
    <x v="781"/>
    <x v="2"/>
    <s v="Louisville, KY"/>
    <d v="2025-12-05T00:00:00"/>
    <d v="1899-12-30T19:30:00"/>
    <d v="2025-12-05T00:00:00"/>
    <d v="1899-12-30T20:00:00"/>
    <x v="3"/>
    <s v="XL"/>
    <s v="Cheese Burst"/>
    <n v="5"/>
    <n v="6"/>
    <s v="High"/>
    <s v="Card"/>
    <x v="0"/>
    <x v="0"/>
    <n v="5"/>
    <n v="0.83333333333333337"/>
    <x v="11"/>
    <s v="Online"/>
    <n v="14.4"/>
    <n v="15.6"/>
    <x v="0"/>
    <n v="20"/>
    <n v="3"/>
    <x v="3"/>
    <n v="28.844221105527641"/>
  </r>
  <r>
    <x v="782"/>
    <x v="4"/>
    <s v="Milwaukee, WI"/>
    <d v="2025-12-06T00:00:00"/>
    <d v="1899-12-30T20:45:00"/>
    <d v="2025-12-06T00:00:00"/>
    <d v="1899-12-30T21:15:00"/>
    <x v="3"/>
    <s v="Medium"/>
    <s v="Margarita"/>
    <n v="3"/>
    <n v="4.5"/>
    <s v="Medium"/>
    <s v="Cash"/>
    <x v="0"/>
    <x v="1"/>
    <n v="6.666666666666667"/>
    <n v="0.66666666666666663"/>
    <x v="11"/>
    <s v="Offline"/>
    <n v="10.8"/>
    <n v="19.2"/>
    <x v="0"/>
    <n v="6"/>
    <n v="2"/>
    <x v="1"/>
    <n v="30.286458333333329"/>
  </r>
  <r>
    <x v="783"/>
    <x v="0"/>
    <s v="Albuquerque, NM"/>
    <d v="2025-12-07T00:00:00"/>
    <d v="1899-12-30T19:00:00"/>
    <d v="2025-12-07T00:00:00"/>
    <d v="1899-12-30T19:30:00"/>
    <x v="3"/>
    <s v="Large"/>
    <s v="Sicilian"/>
    <n v="4"/>
    <n v="5.5"/>
    <s v="Medium"/>
    <s v="UPI"/>
    <x v="0"/>
    <x v="1"/>
    <n v="5.4545454545454541"/>
    <n v="0.72727272727272729"/>
    <x v="11"/>
    <s v="Online"/>
    <n v="13.2"/>
    <n v="16.8"/>
    <x v="0"/>
    <n v="12"/>
    <n v="2"/>
    <x v="3"/>
    <n v="30.259433962264151"/>
  </r>
  <r>
    <x v="784"/>
    <x v="3"/>
    <s v="Atlanta, GA"/>
    <d v="2025-12-08T00:00:00"/>
    <d v="1899-12-30T20:15:00"/>
    <d v="2025-12-08T00:00:00"/>
    <d v="1899-12-30T20:45:00"/>
    <x v="3"/>
    <s v="Medium"/>
    <s v="Veg"/>
    <n v="2"/>
    <n v="4"/>
    <s v="Low"/>
    <s v="Wallet"/>
    <x v="0"/>
    <x v="0"/>
    <n v="7.5"/>
    <n v="0.5"/>
    <x v="11"/>
    <s v="Online"/>
    <n v="9.6"/>
    <n v="20.399999999999999"/>
    <x v="0"/>
    <n v="4"/>
    <n v="1"/>
    <x v="1"/>
    <n v="29.948453608247419"/>
  </r>
  <r>
    <x v="785"/>
    <x v="1"/>
    <s v="Omaha, NE"/>
    <d v="2025-12-09T00:00:00"/>
    <d v="1899-12-30T18:30:00"/>
    <d v="2025-12-09T00:00:00"/>
    <d v="1899-12-30T19:00:00"/>
    <x v="3"/>
    <s v="Medium"/>
    <s v="BBQ Chicken"/>
    <n v="3"/>
    <n v="5"/>
    <s v="Medium"/>
    <s v="Card"/>
    <x v="0"/>
    <x v="0"/>
    <n v="6"/>
    <n v="0.6"/>
    <x v="11"/>
    <s v="Online"/>
    <n v="12"/>
    <n v="18"/>
    <x v="0"/>
    <n v="6"/>
    <n v="2"/>
    <x v="0"/>
    <n v="28.186274509803919"/>
  </r>
  <r>
    <x v="786"/>
    <x v="2"/>
    <s v="Louisville, KY"/>
    <d v="2025-12-10T00:00:00"/>
    <d v="1899-12-30T19:45:00"/>
    <d v="2025-12-10T00:00:00"/>
    <d v="1899-12-30T20:15:00"/>
    <x v="3"/>
    <s v="XL"/>
    <s v="Cheese Burst"/>
    <n v="5"/>
    <n v="6"/>
    <s v="High"/>
    <s v="UPI"/>
    <x v="0"/>
    <x v="0"/>
    <n v="5"/>
    <n v="0.83333333333333337"/>
    <x v="11"/>
    <s v="Online"/>
    <n v="14.4"/>
    <n v="15.6"/>
    <x v="0"/>
    <n v="20"/>
    <n v="3"/>
    <x v="3"/>
    <n v="28.844221105527641"/>
  </r>
  <r>
    <x v="787"/>
    <x v="4"/>
    <s v="Milwaukee, WI"/>
    <d v="2025-12-11T00:00:00"/>
    <d v="1899-12-30T20:00:00"/>
    <d v="2025-12-11T00:00:00"/>
    <d v="1899-12-30T20:30:00"/>
    <x v="3"/>
    <s v="Medium"/>
    <s v="Margarita"/>
    <n v="3"/>
    <n v="4.5"/>
    <s v="Medium"/>
    <s v="Cash"/>
    <x v="0"/>
    <x v="0"/>
    <n v="6.666666666666667"/>
    <n v="0.66666666666666663"/>
    <x v="11"/>
    <s v="Offline"/>
    <n v="10.8"/>
    <n v="19.2"/>
    <x v="0"/>
    <n v="6"/>
    <n v="2"/>
    <x v="1"/>
    <n v="30.286458333333329"/>
  </r>
  <r>
    <x v="788"/>
    <x v="0"/>
    <s v="Albuquerque, NM"/>
    <d v="2025-12-12T00:00:00"/>
    <d v="1899-12-30T19:15:00"/>
    <d v="2025-12-12T00:00:00"/>
    <d v="1899-12-30T19:45:00"/>
    <x v="3"/>
    <s v="Large"/>
    <s v="Sicilian"/>
    <n v="4"/>
    <n v="5.5"/>
    <s v="Medium"/>
    <s v="UPI"/>
    <x v="0"/>
    <x v="0"/>
    <n v="5.4545454545454541"/>
    <n v="0.72727272727272729"/>
    <x v="11"/>
    <s v="Online"/>
    <n v="13.2"/>
    <n v="16.8"/>
    <x v="0"/>
    <n v="12"/>
    <n v="2"/>
    <x v="3"/>
    <n v="30.259433962264151"/>
  </r>
  <r>
    <x v="789"/>
    <x v="3"/>
    <s v="Atlanta, GA"/>
    <d v="2025-12-13T00:00:00"/>
    <d v="1899-12-30T20:30:00"/>
    <d v="2025-12-13T00:00:00"/>
    <d v="1899-12-30T21:00:00"/>
    <x v="3"/>
    <s v="Medium"/>
    <s v="Veg"/>
    <n v="2"/>
    <n v="4"/>
    <s v="Low"/>
    <s v="Wallet"/>
    <x v="0"/>
    <x v="1"/>
    <n v="7.5"/>
    <n v="0.5"/>
    <x v="11"/>
    <s v="Online"/>
    <n v="9.6"/>
    <n v="20.399999999999999"/>
    <x v="0"/>
    <n v="4"/>
    <n v="1"/>
    <x v="1"/>
    <n v="29.948453608247419"/>
  </r>
  <r>
    <x v="790"/>
    <x v="1"/>
    <s v="Omaha, NE"/>
    <d v="2025-12-14T00:00:00"/>
    <d v="1899-12-30T18:45:00"/>
    <d v="2025-12-14T00:00:00"/>
    <d v="1899-12-30T19:15:00"/>
    <x v="3"/>
    <s v="Medium"/>
    <s v="BBQ Chicken"/>
    <n v="3"/>
    <n v="5"/>
    <s v="Medium"/>
    <s v="Card"/>
    <x v="0"/>
    <x v="1"/>
    <n v="6"/>
    <n v="0.6"/>
    <x v="11"/>
    <s v="Online"/>
    <n v="12"/>
    <n v="18"/>
    <x v="0"/>
    <n v="6"/>
    <n v="2"/>
    <x v="0"/>
    <n v="28.186274509803919"/>
  </r>
  <r>
    <x v="791"/>
    <x v="2"/>
    <s v="Louisville, KY"/>
    <d v="2025-12-15T00:00:00"/>
    <d v="1899-12-30T19:00:00"/>
    <d v="2025-12-15T00:00:00"/>
    <d v="1899-12-30T19:30:00"/>
    <x v="3"/>
    <s v="XL"/>
    <s v="Cheese Burst"/>
    <n v="5"/>
    <n v="6"/>
    <s v="High"/>
    <s v="UPI"/>
    <x v="0"/>
    <x v="0"/>
    <n v="5"/>
    <n v="0.83333333333333337"/>
    <x v="11"/>
    <s v="Online"/>
    <n v="14.4"/>
    <n v="15.6"/>
    <x v="0"/>
    <n v="20"/>
    <n v="3"/>
    <x v="3"/>
    <n v="28.844221105527641"/>
  </r>
  <r>
    <x v="792"/>
    <x v="4"/>
    <s v="Milwaukee, WI"/>
    <d v="2025-12-16T00:00:00"/>
    <d v="1899-12-30T20:15:00"/>
    <d v="2025-12-16T00:00:00"/>
    <d v="1899-12-30T20:45:00"/>
    <x v="3"/>
    <s v="Medium"/>
    <s v="Margarita"/>
    <n v="3"/>
    <n v="4.5"/>
    <s v="Medium"/>
    <s v="Cash"/>
    <x v="0"/>
    <x v="0"/>
    <n v="6.666666666666667"/>
    <n v="0.66666666666666663"/>
    <x v="11"/>
    <s v="Offline"/>
    <n v="10.8"/>
    <n v="19.2"/>
    <x v="0"/>
    <n v="6"/>
    <n v="2"/>
    <x v="1"/>
    <n v="30.286458333333329"/>
  </r>
  <r>
    <x v="793"/>
    <x v="0"/>
    <s v="Albuquerque, NM"/>
    <d v="2025-12-17T00:00:00"/>
    <d v="1899-12-30T19:30:00"/>
    <d v="2025-12-17T00:00:00"/>
    <d v="1899-12-30T20:00:00"/>
    <x v="3"/>
    <s v="Large"/>
    <s v="Sicilian"/>
    <n v="4"/>
    <n v="5.5"/>
    <s v="Medium"/>
    <s v="UPI"/>
    <x v="0"/>
    <x v="0"/>
    <n v="5.4545454545454541"/>
    <n v="0.72727272727272729"/>
    <x v="11"/>
    <s v="Online"/>
    <n v="13.2"/>
    <n v="16.8"/>
    <x v="0"/>
    <n v="12"/>
    <n v="2"/>
    <x v="3"/>
    <n v="30.259433962264151"/>
  </r>
  <r>
    <x v="794"/>
    <x v="3"/>
    <s v="Atlanta, GA"/>
    <d v="2025-12-18T00:00:00"/>
    <d v="1899-12-30T20:45:00"/>
    <d v="2025-12-18T00:00:00"/>
    <d v="1899-12-30T21:15:00"/>
    <x v="3"/>
    <s v="Medium"/>
    <s v="Veg"/>
    <n v="2"/>
    <n v="4"/>
    <s v="Low"/>
    <s v="Wallet"/>
    <x v="0"/>
    <x v="0"/>
    <n v="7.5"/>
    <n v="0.5"/>
    <x v="11"/>
    <s v="Online"/>
    <n v="9.6"/>
    <n v="20.399999999999999"/>
    <x v="0"/>
    <n v="4"/>
    <n v="1"/>
    <x v="1"/>
    <n v="29.948453608247419"/>
  </r>
  <r>
    <x v="795"/>
    <x v="1"/>
    <s v="Omaha, NE"/>
    <d v="2025-12-19T00:00:00"/>
    <d v="1899-12-30T18:00:00"/>
    <d v="2025-12-19T00:00:00"/>
    <d v="1899-12-30T18:30:00"/>
    <x v="3"/>
    <s v="Medium"/>
    <s v="BBQ Chicken"/>
    <n v="3"/>
    <n v="5"/>
    <s v="Medium"/>
    <s v="Card"/>
    <x v="0"/>
    <x v="0"/>
    <n v="6"/>
    <n v="0.6"/>
    <x v="11"/>
    <s v="Online"/>
    <n v="12"/>
    <n v="18"/>
    <x v="0"/>
    <n v="6"/>
    <n v="2"/>
    <x v="0"/>
    <n v="28.186274509803919"/>
  </r>
  <r>
    <x v="796"/>
    <x v="2"/>
    <s v="Louisville, KY"/>
    <d v="2025-12-20T00:00:00"/>
    <d v="1899-12-30T19:15:00"/>
    <d v="2025-12-20T00:00:00"/>
    <d v="1899-12-30T19:45:00"/>
    <x v="3"/>
    <s v="XL"/>
    <s v="Cheese Burst"/>
    <n v="5"/>
    <n v="6"/>
    <s v="High"/>
    <s v="UPI"/>
    <x v="0"/>
    <x v="1"/>
    <n v="5"/>
    <n v="0.83333333333333337"/>
    <x v="11"/>
    <s v="Online"/>
    <n v="14.4"/>
    <n v="15.6"/>
    <x v="0"/>
    <n v="20"/>
    <n v="3"/>
    <x v="3"/>
    <n v="28.844221105527641"/>
  </r>
  <r>
    <x v="797"/>
    <x v="4"/>
    <s v="Milwaukee, WI"/>
    <d v="2025-12-21T00:00:00"/>
    <d v="1899-12-30T20:30:00"/>
    <d v="2025-12-21T00:00:00"/>
    <d v="1899-12-30T21:00:00"/>
    <x v="3"/>
    <s v="Medium"/>
    <s v="Margarita"/>
    <n v="3"/>
    <n v="4.5"/>
    <s v="Medium"/>
    <s v="Cash"/>
    <x v="0"/>
    <x v="1"/>
    <n v="6.666666666666667"/>
    <n v="0.66666666666666663"/>
    <x v="11"/>
    <s v="Offline"/>
    <n v="10.8"/>
    <n v="19.2"/>
    <x v="0"/>
    <n v="6"/>
    <n v="2"/>
    <x v="1"/>
    <n v="30.286458333333329"/>
  </r>
  <r>
    <x v="798"/>
    <x v="0"/>
    <s v="Albuquerque, NM"/>
    <d v="2025-12-22T00:00:00"/>
    <d v="1899-12-30T19:00:00"/>
    <d v="2025-12-22T00:00:00"/>
    <d v="1899-12-30T19:30:00"/>
    <x v="3"/>
    <s v="Large"/>
    <s v="Sicilian"/>
    <n v="4"/>
    <n v="5.5"/>
    <s v="Medium"/>
    <s v="UPI"/>
    <x v="0"/>
    <x v="0"/>
    <n v="5.4545454545454541"/>
    <n v="0.72727272727272729"/>
    <x v="11"/>
    <s v="Online"/>
    <n v="13.2"/>
    <n v="16.8"/>
    <x v="0"/>
    <n v="12"/>
    <n v="2"/>
    <x v="3"/>
    <n v="30.259433962264151"/>
  </r>
  <r>
    <x v="799"/>
    <x v="3"/>
    <s v="Atlanta, GA"/>
    <d v="2025-12-23T00:00:00"/>
    <d v="1899-12-30T20:15:00"/>
    <d v="2025-12-23T00:00:00"/>
    <d v="1899-12-30T20:45:00"/>
    <x v="3"/>
    <s v="Medium"/>
    <s v="Veg"/>
    <n v="2"/>
    <n v="4"/>
    <s v="Low"/>
    <s v="Wallet"/>
    <x v="0"/>
    <x v="0"/>
    <n v="7.5"/>
    <n v="0.5"/>
    <x v="11"/>
    <s v="Online"/>
    <n v="9.6"/>
    <n v="20.399999999999999"/>
    <x v="0"/>
    <n v="4"/>
    <n v="1"/>
    <x v="1"/>
    <n v="29.948453608247419"/>
  </r>
  <r>
    <x v="800"/>
    <x v="1"/>
    <s v="Omaha, NE"/>
    <d v="2025-12-24T00:00:00"/>
    <d v="1899-12-30T18:30:00"/>
    <d v="2025-12-24T00:00:00"/>
    <d v="1899-12-30T19:00:00"/>
    <x v="3"/>
    <s v="Medium"/>
    <s v="BBQ Chicken"/>
    <n v="3"/>
    <n v="5"/>
    <s v="Medium"/>
    <s v="Card"/>
    <x v="0"/>
    <x v="0"/>
    <n v="6"/>
    <n v="0.6"/>
    <x v="11"/>
    <s v="Online"/>
    <n v="12"/>
    <n v="18"/>
    <x v="0"/>
    <n v="6"/>
    <n v="2"/>
    <x v="0"/>
    <n v="28.186274509803919"/>
  </r>
  <r>
    <x v="801"/>
    <x v="2"/>
    <s v="Louisville, KY"/>
    <d v="2025-12-25T00:00:00"/>
    <d v="1899-12-30T19:45:00"/>
    <d v="2025-12-25T00:00:00"/>
    <d v="1899-12-30T20:15:00"/>
    <x v="3"/>
    <s v="XL"/>
    <s v="Cheese Burst"/>
    <n v="5"/>
    <n v="6"/>
    <s v="High"/>
    <s v="UPI"/>
    <x v="0"/>
    <x v="0"/>
    <n v="5"/>
    <n v="0.83333333333333337"/>
    <x v="11"/>
    <s v="Online"/>
    <n v="14.4"/>
    <n v="15.6"/>
    <x v="0"/>
    <n v="20"/>
    <n v="3"/>
    <x v="3"/>
    <n v="28.844221105527641"/>
  </r>
  <r>
    <x v="802"/>
    <x v="4"/>
    <s v="Milwaukee, WI"/>
    <d v="2025-12-26T00:00:00"/>
    <d v="1899-12-30T20:00:00"/>
    <d v="2025-12-26T00:00:00"/>
    <d v="1899-12-30T20:30:00"/>
    <x v="3"/>
    <s v="Medium"/>
    <s v="Margarita"/>
    <n v="3"/>
    <n v="4.5"/>
    <s v="Medium"/>
    <s v="Cash"/>
    <x v="0"/>
    <x v="0"/>
    <n v="6.666666666666667"/>
    <n v="0.66666666666666663"/>
    <x v="11"/>
    <s v="Offline"/>
    <n v="10.8"/>
    <n v="19.2"/>
    <x v="0"/>
    <n v="6"/>
    <n v="2"/>
    <x v="1"/>
    <n v="30.286458333333329"/>
  </r>
  <r>
    <x v="803"/>
    <x v="0"/>
    <s v="Albuquerque, NM"/>
    <d v="2025-12-27T00:00:00"/>
    <d v="1899-12-30T19:15:00"/>
    <d v="2025-12-27T00:00:00"/>
    <d v="1899-12-30T19:45:00"/>
    <x v="3"/>
    <s v="Large"/>
    <s v="Sicilian"/>
    <n v="4"/>
    <n v="5.5"/>
    <s v="Medium"/>
    <s v="UPI"/>
    <x v="0"/>
    <x v="1"/>
    <n v="5.4545454545454541"/>
    <n v="0.72727272727272729"/>
    <x v="11"/>
    <s v="Online"/>
    <n v="13.2"/>
    <n v="16.8"/>
    <x v="0"/>
    <n v="12"/>
    <n v="2"/>
    <x v="3"/>
    <n v="30.259433962264151"/>
  </r>
  <r>
    <x v="804"/>
    <x v="3"/>
    <s v="Atlanta, GA"/>
    <d v="2025-12-28T00:00:00"/>
    <d v="1899-12-30T20:30:00"/>
    <d v="2025-12-28T00:00:00"/>
    <d v="1899-12-30T21:00:00"/>
    <x v="3"/>
    <s v="Medium"/>
    <s v="Veg"/>
    <n v="2"/>
    <n v="4"/>
    <s v="Low"/>
    <s v="Wallet"/>
    <x v="0"/>
    <x v="1"/>
    <n v="7.5"/>
    <n v="0.5"/>
    <x v="11"/>
    <s v="Online"/>
    <n v="9.6"/>
    <n v="20.399999999999999"/>
    <x v="0"/>
    <n v="4"/>
    <n v="1"/>
    <x v="1"/>
    <n v="29.948453608247419"/>
  </r>
  <r>
    <x v="805"/>
    <x v="1"/>
    <s v="Omaha, NE"/>
    <d v="2025-12-29T00:00:00"/>
    <d v="1899-12-30T18:45:00"/>
    <d v="2025-12-29T00:00:00"/>
    <d v="1899-12-30T19:15:00"/>
    <x v="3"/>
    <s v="Medium"/>
    <s v="BBQ Chicken"/>
    <n v="3"/>
    <n v="5"/>
    <s v="Medium"/>
    <s v="Card"/>
    <x v="0"/>
    <x v="0"/>
    <n v="6"/>
    <n v="0.6"/>
    <x v="11"/>
    <s v="Online"/>
    <n v="12"/>
    <n v="18"/>
    <x v="0"/>
    <n v="6"/>
    <n v="2"/>
    <x v="0"/>
    <n v="28.186274509803919"/>
  </r>
  <r>
    <x v="806"/>
    <x v="2"/>
    <s v="Louisville, KY"/>
    <d v="2025-12-30T00:00:00"/>
    <d v="1899-12-30T19:00:00"/>
    <d v="2025-12-30T00:00:00"/>
    <d v="1899-12-30T19:30:00"/>
    <x v="3"/>
    <s v="XL"/>
    <s v="Cheese Burst"/>
    <n v="5"/>
    <n v="6"/>
    <s v="High"/>
    <s v="UPI"/>
    <x v="0"/>
    <x v="0"/>
    <n v="5"/>
    <n v="0.83333333333333337"/>
    <x v="11"/>
    <s v="Online"/>
    <n v="14.4"/>
    <n v="15.6"/>
    <x v="0"/>
    <n v="20"/>
    <n v="3"/>
    <x v="3"/>
    <n v="28.844221105527641"/>
  </r>
  <r>
    <x v="807"/>
    <x v="4"/>
    <s v="Milwaukee, WI"/>
    <d v="2025-12-31T00:00:00"/>
    <d v="1899-12-30T20:15:00"/>
    <d v="2025-12-31T00:00:00"/>
    <d v="1899-12-30T20:45:00"/>
    <x v="3"/>
    <s v="Medium"/>
    <s v="Margarita"/>
    <n v="3"/>
    <n v="4.5"/>
    <s v="Medium"/>
    <s v="Cash"/>
    <x v="0"/>
    <x v="0"/>
    <n v="6.666666666666667"/>
    <n v="0.66666666666666663"/>
    <x v="11"/>
    <s v="Offline"/>
    <n v="10.8"/>
    <n v="19.2"/>
    <x v="0"/>
    <n v="6"/>
    <n v="2"/>
    <x v="1"/>
    <n v="30.286458333333329"/>
  </r>
  <r>
    <x v="808"/>
    <x v="1"/>
    <s v="Omaha, NE"/>
    <d v="2025-12-24T00:00:00"/>
    <d v="1899-12-30T18:30:00"/>
    <d v="2025-12-24T00:00:00"/>
    <d v="1899-12-30T19:00:00"/>
    <x v="3"/>
    <s v="Medium"/>
    <s v="BBQ Chicken"/>
    <n v="3"/>
    <n v="5"/>
    <s v="Medium"/>
    <s v="UPI"/>
    <x v="0"/>
    <x v="0"/>
    <n v="6"/>
    <n v="0.6"/>
    <x v="11"/>
    <s v="Online"/>
    <n v="12"/>
    <n v="18"/>
    <x v="0"/>
    <n v="6"/>
    <n v="2"/>
    <x v="0"/>
    <n v="28.186274509803919"/>
  </r>
  <r>
    <x v="809"/>
    <x v="2"/>
    <s v="Louisville, KY"/>
    <d v="2025-12-25T00:00:00"/>
    <d v="1899-12-30T19:45:00"/>
    <d v="2025-12-25T00:00:00"/>
    <d v="1899-12-30T20:15:00"/>
    <x v="3"/>
    <s v="XL"/>
    <s v="Cheese Burst"/>
    <n v="5"/>
    <n v="6"/>
    <s v="High"/>
    <s v="Card"/>
    <x v="0"/>
    <x v="0"/>
    <n v="5"/>
    <n v="0.83333333333333337"/>
    <x v="11"/>
    <s v="Online"/>
    <n v="14.4"/>
    <n v="15.6"/>
    <x v="0"/>
    <n v="20"/>
    <n v="3"/>
    <x v="3"/>
    <n v="28.844221105527641"/>
  </r>
  <r>
    <x v="810"/>
    <x v="4"/>
    <s v="Milwaukee, WI"/>
    <d v="2025-12-26T00:00:00"/>
    <d v="1899-12-30T20:00:00"/>
    <d v="2025-12-26T00:00:00"/>
    <d v="1899-12-30T20:30:00"/>
    <x v="3"/>
    <s v="Medium"/>
    <s v="Margarita"/>
    <n v="3"/>
    <n v="4.5"/>
    <s v="Medium"/>
    <s v="Cash"/>
    <x v="0"/>
    <x v="0"/>
    <n v="6.666666666666667"/>
    <n v="0.66666666666666663"/>
    <x v="11"/>
    <s v="Offline"/>
    <n v="10.8"/>
    <n v="19.2"/>
    <x v="0"/>
    <n v="6"/>
    <n v="2"/>
    <x v="1"/>
    <n v="30.286458333333329"/>
  </r>
  <r>
    <x v="811"/>
    <x v="0"/>
    <s v="Albuquerque, NM"/>
    <d v="2025-12-27T00:00:00"/>
    <d v="1899-12-30T19:15:00"/>
    <d v="2025-12-27T00:00:00"/>
    <d v="1899-12-30T19:45:00"/>
    <x v="3"/>
    <s v="Large"/>
    <s v="Sicilian"/>
    <n v="4"/>
    <n v="5.5"/>
    <s v="Medium"/>
    <s v="UPI"/>
    <x v="0"/>
    <x v="1"/>
    <n v="5.4545454545454541"/>
    <n v="0.72727272727272729"/>
    <x v="11"/>
    <s v="Online"/>
    <n v="13.2"/>
    <n v="16.8"/>
    <x v="0"/>
    <n v="12"/>
    <n v="2"/>
    <x v="3"/>
    <n v="30.259433962264151"/>
  </r>
  <r>
    <x v="812"/>
    <x v="3"/>
    <s v="Atlanta, GA"/>
    <d v="2025-12-28T00:00:00"/>
    <d v="1899-12-30T20:30:00"/>
    <d v="2025-12-28T00:00:00"/>
    <d v="1899-12-30T21:00:00"/>
    <x v="3"/>
    <s v="Medium"/>
    <s v="Veg"/>
    <n v="2"/>
    <n v="4"/>
    <s v="Low"/>
    <s v="Wallet"/>
    <x v="0"/>
    <x v="1"/>
    <n v="7.5"/>
    <n v="0.5"/>
    <x v="11"/>
    <s v="Online"/>
    <n v="9.6"/>
    <n v="20.399999999999999"/>
    <x v="0"/>
    <n v="4"/>
    <n v="1"/>
    <x v="1"/>
    <n v="29.948453608247419"/>
  </r>
  <r>
    <x v="813"/>
    <x v="1"/>
    <s v="Omaha, NE"/>
    <d v="2025-12-29T00:00:00"/>
    <d v="1899-12-30T18:45:00"/>
    <d v="2025-12-29T00:00:00"/>
    <d v="1899-12-30T19:15:00"/>
    <x v="3"/>
    <s v="Medium"/>
    <s v="BBQ Chicken"/>
    <n v="3"/>
    <n v="5"/>
    <s v="Medium"/>
    <s v="Card"/>
    <x v="0"/>
    <x v="0"/>
    <n v="6"/>
    <n v="0.6"/>
    <x v="11"/>
    <s v="Online"/>
    <n v="12"/>
    <n v="18"/>
    <x v="0"/>
    <n v="6"/>
    <n v="2"/>
    <x v="0"/>
    <n v="28.186274509803919"/>
  </r>
  <r>
    <x v="814"/>
    <x v="2"/>
    <s v="Louisville, KY"/>
    <d v="2025-12-30T00:00:00"/>
    <d v="1899-12-30T19:00:00"/>
    <d v="2025-12-30T00:00:00"/>
    <d v="1899-12-30T19:30:00"/>
    <x v="3"/>
    <s v="XL"/>
    <s v="Cheese Burst"/>
    <n v="5"/>
    <n v="6"/>
    <s v="High"/>
    <s v="UPI"/>
    <x v="0"/>
    <x v="0"/>
    <n v="5"/>
    <n v="0.83333333333333337"/>
    <x v="11"/>
    <s v="Online"/>
    <n v="14.4"/>
    <n v="15.6"/>
    <x v="0"/>
    <n v="20"/>
    <n v="3"/>
    <x v="3"/>
    <n v="28.844221105527641"/>
  </r>
  <r>
    <x v="815"/>
    <x v="4"/>
    <s v="Milwaukee, WI"/>
    <d v="2025-12-31T00:00:00"/>
    <d v="1899-12-30T20:15:00"/>
    <d v="2025-12-31T00:00:00"/>
    <d v="1899-12-30T20:45:00"/>
    <x v="3"/>
    <s v="Medium"/>
    <s v="Margarita"/>
    <n v="3"/>
    <n v="4.5"/>
    <s v="Medium"/>
    <s v="Cash"/>
    <x v="0"/>
    <x v="0"/>
    <n v="6.666666666666667"/>
    <n v="0.66666666666666663"/>
    <x v="11"/>
    <s v="Offline"/>
    <n v="10.8"/>
    <n v="19.2"/>
    <x v="0"/>
    <n v="6"/>
    <n v="2"/>
    <x v="1"/>
    <n v="30.286458333333329"/>
  </r>
  <r>
    <x v="816"/>
    <x v="0"/>
    <s v="Albuquerque, NM"/>
    <d v="2025-01-01T00:00:00"/>
    <d v="1899-12-30T19:30:00"/>
    <d v="2025-01-01T00:00:00"/>
    <d v="1899-12-30T20:00:00"/>
    <x v="3"/>
    <s v="Large"/>
    <s v="Sicilian"/>
    <n v="4"/>
    <n v="5.5"/>
    <s v="Medium"/>
    <s v="UPI"/>
    <x v="0"/>
    <x v="0"/>
    <n v="5.4545454545454541"/>
    <n v="0.72727272727272729"/>
    <x v="0"/>
    <s v="Online"/>
    <n v="13.2"/>
    <n v="16.8"/>
    <x v="0"/>
    <n v="12"/>
    <n v="2"/>
    <x v="3"/>
    <n v="30.259433962264151"/>
  </r>
  <r>
    <x v="817"/>
    <x v="3"/>
    <s v="Atlanta, GA"/>
    <d v="2025-01-02T00:00:00"/>
    <d v="1899-12-30T20:45:00"/>
    <d v="2025-01-02T00:00:00"/>
    <d v="1899-12-30T21:15:00"/>
    <x v="3"/>
    <s v="Medium"/>
    <s v="Veg"/>
    <n v="2"/>
    <n v="4"/>
    <s v="Low"/>
    <s v="Wallet"/>
    <x v="0"/>
    <x v="0"/>
    <n v="7.5"/>
    <n v="0.5"/>
    <x v="0"/>
    <s v="Online"/>
    <n v="9.6"/>
    <n v="20.399999999999999"/>
    <x v="0"/>
    <n v="4"/>
    <n v="1"/>
    <x v="1"/>
    <n v="29.948453608247419"/>
  </r>
  <r>
    <x v="818"/>
    <x v="1"/>
    <s v="Omaha, NE"/>
    <d v="2025-01-03T00:00:00"/>
    <d v="1899-12-30T18:00:00"/>
    <d v="2025-01-03T00:00:00"/>
    <d v="1899-12-30T18:30:00"/>
    <x v="3"/>
    <s v="Medium"/>
    <s v="BBQ Chicken"/>
    <n v="3"/>
    <n v="5"/>
    <s v="Medium"/>
    <s v="Card"/>
    <x v="0"/>
    <x v="1"/>
    <n v="6"/>
    <n v="0.6"/>
    <x v="0"/>
    <s v="Online"/>
    <n v="12"/>
    <n v="18"/>
    <x v="0"/>
    <n v="6"/>
    <n v="2"/>
    <x v="0"/>
    <n v="28.186274509803919"/>
  </r>
  <r>
    <x v="819"/>
    <x v="2"/>
    <s v="Louisville, KY"/>
    <d v="2025-01-04T00:00:00"/>
    <d v="1899-12-30T19:15:00"/>
    <d v="2025-01-04T00:00:00"/>
    <d v="1899-12-30T19:45:00"/>
    <x v="3"/>
    <s v="XL"/>
    <s v="Cheese Burst"/>
    <n v="5"/>
    <n v="6"/>
    <s v="High"/>
    <s v="UPI"/>
    <x v="0"/>
    <x v="1"/>
    <n v="5"/>
    <n v="0.83333333333333337"/>
    <x v="0"/>
    <s v="Online"/>
    <n v="14.4"/>
    <n v="15.6"/>
    <x v="0"/>
    <n v="20"/>
    <n v="3"/>
    <x v="3"/>
    <n v="28.844221105527641"/>
  </r>
  <r>
    <x v="820"/>
    <x v="4"/>
    <s v="Milwaukee, WI"/>
    <d v="2025-01-05T00:00:00"/>
    <d v="1899-12-30T20:30:00"/>
    <d v="2025-01-05T00:00:00"/>
    <d v="1899-12-30T21:00:00"/>
    <x v="3"/>
    <s v="Medium"/>
    <s v="Margarita"/>
    <n v="3"/>
    <n v="4.5"/>
    <s v="Medium"/>
    <s v="Cash"/>
    <x v="0"/>
    <x v="0"/>
    <n v="6.666666666666667"/>
    <n v="0.66666666666666663"/>
    <x v="0"/>
    <s v="Offline"/>
    <n v="10.8"/>
    <n v="19.2"/>
    <x v="0"/>
    <n v="6"/>
    <n v="2"/>
    <x v="1"/>
    <n v="30.286458333333329"/>
  </r>
  <r>
    <x v="821"/>
    <x v="0"/>
    <s v="Albuquerque, NM"/>
    <d v="2025-01-06T00:00:00"/>
    <d v="1899-12-30T19:00:00"/>
    <d v="2025-01-06T00:00:00"/>
    <d v="1899-12-30T19:30:00"/>
    <x v="3"/>
    <s v="Large"/>
    <s v="Sicilian"/>
    <n v="4"/>
    <n v="5.5"/>
    <s v="Medium"/>
    <s v="UPI"/>
    <x v="0"/>
    <x v="0"/>
    <n v="5.4545454545454541"/>
    <n v="0.72727272727272729"/>
    <x v="0"/>
    <s v="Online"/>
    <n v="13.2"/>
    <n v="16.8"/>
    <x v="0"/>
    <n v="12"/>
    <n v="2"/>
    <x v="3"/>
    <n v="30.259433962264151"/>
  </r>
  <r>
    <x v="822"/>
    <x v="3"/>
    <s v="Atlanta, GA"/>
    <d v="2025-01-07T00:00:00"/>
    <d v="1899-12-30T20:15:00"/>
    <d v="2025-01-07T00:00:00"/>
    <d v="1899-12-30T20:45:00"/>
    <x v="3"/>
    <s v="Medium"/>
    <s v="Veg"/>
    <n v="2"/>
    <n v="4"/>
    <s v="Low"/>
    <s v="Wallet"/>
    <x v="0"/>
    <x v="0"/>
    <n v="7.5"/>
    <n v="0.5"/>
    <x v="0"/>
    <s v="Online"/>
    <n v="9.6"/>
    <n v="20.399999999999999"/>
    <x v="0"/>
    <n v="4"/>
    <n v="1"/>
    <x v="1"/>
    <n v="29.948453608247419"/>
  </r>
  <r>
    <x v="823"/>
    <x v="1"/>
    <s v="Omaha, NE"/>
    <d v="2025-01-08T00:00:00"/>
    <d v="1899-12-30T18:30:00"/>
    <d v="2025-01-08T00:00:00"/>
    <d v="1899-12-30T19:00:00"/>
    <x v="3"/>
    <s v="Medium"/>
    <s v="BBQ Chicken"/>
    <n v="3"/>
    <n v="5"/>
    <s v="Medium"/>
    <s v="Card"/>
    <x v="0"/>
    <x v="0"/>
    <n v="6"/>
    <n v="0.6"/>
    <x v="0"/>
    <s v="Online"/>
    <n v="12"/>
    <n v="18"/>
    <x v="0"/>
    <n v="6"/>
    <n v="2"/>
    <x v="0"/>
    <n v="28.186274509803919"/>
  </r>
  <r>
    <x v="824"/>
    <x v="2"/>
    <s v="Louisville, KY"/>
    <d v="2025-01-09T00:00:00"/>
    <d v="1899-12-30T19:45:00"/>
    <d v="2025-01-09T00:00:00"/>
    <d v="1899-12-30T20:15:00"/>
    <x v="3"/>
    <s v="XL"/>
    <s v="Cheese Burst"/>
    <n v="5"/>
    <n v="6"/>
    <s v="High"/>
    <s v="UPI"/>
    <x v="0"/>
    <x v="0"/>
    <n v="5"/>
    <n v="0.83333333333333337"/>
    <x v="0"/>
    <s v="Online"/>
    <n v="14.4"/>
    <n v="15.6"/>
    <x v="0"/>
    <n v="20"/>
    <n v="3"/>
    <x v="3"/>
    <n v="28.844221105527641"/>
  </r>
  <r>
    <x v="825"/>
    <x v="4"/>
    <s v="Milwaukee, WI"/>
    <d v="2025-01-10T00:00:00"/>
    <d v="1899-12-30T20:00:00"/>
    <d v="2025-01-10T00:00:00"/>
    <d v="1899-12-30T20:30:00"/>
    <x v="3"/>
    <s v="Medium"/>
    <s v="Margarita"/>
    <n v="3"/>
    <n v="4.5"/>
    <s v="Medium"/>
    <s v="Cash"/>
    <x v="0"/>
    <x v="1"/>
    <n v="6.666666666666667"/>
    <n v="0.66666666666666663"/>
    <x v="0"/>
    <s v="Offline"/>
    <n v="10.8"/>
    <n v="19.2"/>
    <x v="0"/>
    <n v="6"/>
    <n v="2"/>
    <x v="1"/>
    <n v="30.286458333333329"/>
  </r>
  <r>
    <x v="826"/>
    <x v="0"/>
    <s v="Albuquerque, NM"/>
    <d v="2025-01-11T00:00:00"/>
    <d v="1899-12-30T19:15:00"/>
    <d v="2025-01-11T00:00:00"/>
    <d v="1899-12-30T19:45:00"/>
    <x v="3"/>
    <s v="Large"/>
    <s v="Sicilian"/>
    <n v="4"/>
    <n v="5.5"/>
    <s v="Medium"/>
    <s v="UPI"/>
    <x v="0"/>
    <x v="1"/>
    <n v="5.4545454545454541"/>
    <n v="0.72727272727272729"/>
    <x v="0"/>
    <s v="Online"/>
    <n v="13.2"/>
    <n v="16.8"/>
    <x v="0"/>
    <n v="12"/>
    <n v="2"/>
    <x v="3"/>
    <n v="30.259433962264151"/>
  </r>
  <r>
    <x v="827"/>
    <x v="3"/>
    <s v="Atlanta, GA"/>
    <d v="2025-01-12T00:00:00"/>
    <d v="1899-12-30T20:30:00"/>
    <d v="2025-01-12T00:00:00"/>
    <d v="1899-12-30T21:00:00"/>
    <x v="3"/>
    <s v="Medium"/>
    <s v="Veg"/>
    <n v="2"/>
    <n v="4"/>
    <s v="Low"/>
    <s v="Wallet"/>
    <x v="0"/>
    <x v="0"/>
    <n v="7.5"/>
    <n v="0.5"/>
    <x v="0"/>
    <s v="Online"/>
    <n v="9.6"/>
    <n v="20.399999999999999"/>
    <x v="0"/>
    <n v="4"/>
    <n v="1"/>
    <x v="1"/>
    <n v="29.948453608247419"/>
  </r>
  <r>
    <x v="828"/>
    <x v="1"/>
    <s v="Omaha, NE"/>
    <d v="2025-01-13T00:00:00"/>
    <d v="1899-12-30T18:45:00"/>
    <d v="2025-01-13T00:00:00"/>
    <d v="1899-12-30T19:15:00"/>
    <x v="3"/>
    <s v="Medium"/>
    <s v="BBQ Chicken"/>
    <n v="3"/>
    <n v="5"/>
    <s v="Medium"/>
    <s v="Card"/>
    <x v="0"/>
    <x v="0"/>
    <n v="6"/>
    <n v="0.6"/>
    <x v="0"/>
    <s v="Online"/>
    <n v="12"/>
    <n v="18"/>
    <x v="0"/>
    <n v="6"/>
    <n v="2"/>
    <x v="0"/>
    <n v="28.186274509803919"/>
  </r>
  <r>
    <x v="829"/>
    <x v="2"/>
    <s v="Louisville, KY"/>
    <d v="2025-01-14T00:00:00"/>
    <d v="1899-12-30T19:00:00"/>
    <d v="2025-01-14T00:00:00"/>
    <d v="1899-12-30T19:30:00"/>
    <x v="3"/>
    <s v="XL"/>
    <s v="Cheese Burst"/>
    <n v="5"/>
    <n v="6"/>
    <s v="High"/>
    <s v="UPI"/>
    <x v="0"/>
    <x v="0"/>
    <n v="5"/>
    <n v="0.83333333333333337"/>
    <x v="0"/>
    <s v="Online"/>
    <n v="14.4"/>
    <n v="15.6"/>
    <x v="0"/>
    <n v="20"/>
    <n v="3"/>
    <x v="3"/>
    <n v="28.844221105527641"/>
  </r>
  <r>
    <x v="830"/>
    <x v="4"/>
    <s v="Milwaukee, WI"/>
    <d v="2025-01-15T00:00:00"/>
    <d v="1899-12-30T20:15:00"/>
    <d v="2025-01-15T00:00:00"/>
    <d v="1899-12-30T20:45:00"/>
    <x v="3"/>
    <s v="Medium"/>
    <s v="Margarita"/>
    <n v="3"/>
    <n v="4.5"/>
    <s v="Medium"/>
    <s v="Cash"/>
    <x v="0"/>
    <x v="0"/>
    <n v="6.666666666666667"/>
    <n v="0.66666666666666663"/>
    <x v="0"/>
    <s v="Offline"/>
    <n v="10.8"/>
    <n v="19.2"/>
    <x v="0"/>
    <n v="6"/>
    <n v="2"/>
    <x v="1"/>
    <n v="30.286458333333329"/>
  </r>
  <r>
    <x v="831"/>
    <x v="0"/>
    <s v="Albuquerque, NM"/>
    <d v="2025-01-16T00:00:00"/>
    <d v="1899-12-30T19:30:00"/>
    <d v="2025-01-16T00:00:00"/>
    <d v="1899-12-30T20:00:00"/>
    <x v="3"/>
    <s v="Large"/>
    <s v="Sicilian"/>
    <n v="4"/>
    <n v="5.5"/>
    <s v="Medium"/>
    <s v="UPI"/>
    <x v="0"/>
    <x v="0"/>
    <n v="5.4545454545454541"/>
    <n v="0.72727272727272729"/>
    <x v="0"/>
    <s v="Online"/>
    <n v="13.2"/>
    <n v="16.8"/>
    <x v="0"/>
    <n v="12"/>
    <n v="2"/>
    <x v="3"/>
    <n v="30.259433962264151"/>
  </r>
  <r>
    <x v="832"/>
    <x v="3"/>
    <s v="Atlanta, GA"/>
    <d v="2025-01-17T00:00:00"/>
    <d v="1899-12-30T20:45:00"/>
    <d v="2025-01-17T00:00:00"/>
    <d v="1899-12-30T21:15:00"/>
    <x v="3"/>
    <s v="Medium"/>
    <s v="Veg"/>
    <n v="2"/>
    <n v="4"/>
    <s v="Low"/>
    <s v="Wallet"/>
    <x v="0"/>
    <x v="1"/>
    <n v="7.5"/>
    <n v="0.5"/>
    <x v="0"/>
    <s v="Online"/>
    <n v="9.6"/>
    <n v="20.399999999999999"/>
    <x v="0"/>
    <n v="4"/>
    <n v="1"/>
    <x v="1"/>
    <n v="29.948453608247419"/>
  </r>
  <r>
    <x v="833"/>
    <x v="1"/>
    <s v="Omaha, NE"/>
    <d v="2025-01-18T00:00:00"/>
    <d v="1899-12-30T18:00:00"/>
    <d v="2025-01-18T00:00:00"/>
    <d v="1899-12-30T18:30:00"/>
    <x v="3"/>
    <s v="Medium"/>
    <s v="BBQ Chicken"/>
    <n v="3"/>
    <n v="5"/>
    <s v="Medium"/>
    <s v="Card"/>
    <x v="0"/>
    <x v="1"/>
    <n v="6"/>
    <n v="0.6"/>
    <x v="0"/>
    <s v="Online"/>
    <n v="12"/>
    <n v="18"/>
    <x v="0"/>
    <n v="6"/>
    <n v="2"/>
    <x v="0"/>
    <n v="28.186274509803919"/>
  </r>
  <r>
    <x v="834"/>
    <x v="2"/>
    <s v="Louisville, KY"/>
    <d v="2025-01-19T00:00:00"/>
    <d v="1899-12-30T19:15:00"/>
    <d v="2025-01-19T00:00:00"/>
    <d v="1899-12-30T19:45:00"/>
    <x v="3"/>
    <s v="XL"/>
    <s v="Cheese Burst"/>
    <n v="5"/>
    <n v="6"/>
    <s v="High"/>
    <s v="UPI"/>
    <x v="0"/>
    <x v="0"/>
    <n v="5"/>
    <n v="0.83333333333333337"/>
    <x v="0"/>
    <s v="Online"/>
    <n v="14.4"/>
    <n v="15.6"/>
    <x v="0"/>
    <n v="20"/>
    <n v="3"/>
    <x v="3"/>
    <n v="28.844221105527641"/>
  </r>
  <r>
    <x v="835"/>
    <x v="4"/>
    <s v="Milwaukee, WI"/>
    <d v="2025-01-20T00:00:00"/>
    <d v="1899-12-30T20:30:00"/>
    <d v="2025-01-20T00:00:00"/>
    <d v="1899-12-30T21:00:00"/>
    <x v="3"/>
    <s v="Medium"/>
    <s v="Margarita"/>
    <n v="3"/>
    <n v="4.5"/>
    <s v="Medium"/>
    <s v="Cash"/>
    <x v="0"/>
    <x v="0"/>
    <n v="6.666666666666667"/>
    <n v="0.66666666666666663"/>
    <x v="0"/>
    <s v="Offline"/>
    <n v="10.8"/>
    <n v="19.2"/>
    <x v="0"/>
    <n v="6"/>
    <n v="2"/>
    <x v="1"/>
    <n v="30.286458333333329"/>
  </r>
  <r>
    <x v="836"/>
    <x v="1"/>
    <s v="Omaha, NE"/>
    <d v="2025-01-21T00:00:00"/>
    <d v="1899-12-30T18:00:00"/>
    <d v="2025-01-21T00:00:00"/>
    <d v="1899-12-30T18:30:00"/>
    <x v="3"/>
    <s v="Medium"/>
    <s v="BBQ Chicken"/>
    <n v="3"/>
    <n v="5"/>
    <s v="Medium"/>
    <s v="UPI"/>
    <x v="0"/>
    <x v="0"/>
    <n v="6"/>
    <n v="0.6"/>
    <x v="0"/>
    <s v="Online"/>
    <n v="12"/>
    <n v="18"/>
    <x v="0"/>
    <n v="6"/>
    <n v="2"/>
    <x v="0"/>
    <n v="28.186274509803919"/>
  </r>
  <r>
    <x v="837"/>
    <x v="2"/>
    <s v="Louisville, KY"/>
    <d v="2025-01-22T00:00:00"/>
    <d v="1899-12-30T19:15:00"/>
    <d v="2025-01-22T00:00:00"/>
    <d v="1899-12-30T19:45:00"/>
    <x v="3"/>
    <s v="XL"/>
    <s v="Cheese Burst"/>
    <n v="5"/>
    <n v="6"/>
    <s v="High"/>
    <s v="Card"/>
    <x v="0"/>
    <x v="0"/>
    <n v="5"/>
    <n v="0.83333333333333337"/>
    <x v="0"/>
    <s v="Online"/>
    <n v="14.4"/>
    <n v="15.6"/>
    <x v="0"/>
    <n v="20"/>
    <n v="3"/>
    <x v="3"/>
    <n v="28.844221105527641"/>
  </r>
  <r>
    <x v="838"/>
    <x v="4"/>
    <s v="Milwaukee, WI"/>
    <d v="2025-01-23T00:00:00"/>
    <d v="1899-12-30T20:30:00"/>
    <d v="2025-01-23T00:00:00"/>
    <d v="1899-12-30T21:00:00"/>
    <x v="3"/>
    <s v="Medium"/>
    <s v="Margarita"/>
    <n v="3"/>
    <n v="4.5"/>
    <s v="Medium"/>
    <s v="Cash"/>
    <x v="0"/>
    <x v="0"/>
    <n v="6.666666666666667"/>
    <n v="0.66666666666666663"/>
    <x v="0"/>
    <s v="Offline"/>
    <n v="10.8"/>
    <n v="19.2"/>
    <x v="0"/>
    <n v="6"/>
    <n v="2"/>
    <x v="1"/>
    <n v="30.286458333333329"/>
  </r>
  <r>
    <x v="839"/>
    <x v="0"/>
    <s v="Albuquerque, NM"/>
    <d v="2025-01-24T00:00:00"/>
    <d v="1899-12-30T19:00:00"/>
    <d v="2025-01-24T00:00:00"/>
    <d v="1899-12-30T19:30:00"/>
    <x v="3"/>
    <s v="Large"/>
    <s v="Sicilian"/>
    <n v="4"/>
    <n v="5.5"/>
    <s v="Medium"/>
    <s v="UPI"/>
    <x v="0"/>
    <x v="1"/>
    <n v="5.4545454545454541"/>
    <n v="0.72727272727272729"/>
    <x v="0"/>
    <s v="Online"/>
    <n v="13.2"/>
    <n v="16.8"/>
    <x v="0"/>
    <n v="12"/>
    <n v="2"/>
    <x v="3"/>
    <n v="30.259433962264151"/>
  </r>
  <r>
    <x v="840"/>
    <x v="3"/>
    <s v="Atlanta, GA"/>
    <d v="2025-01-25T00:00:00"/>
    <d v="1899-12-30T20:15:00"/>
    <d v="2025-01-25T00:00:00"/>
    <d v="1899-12-30T20:45:00"/>
    <x v="3"/>
    <s v="Medium"/>
    <s v="Veg"/>
    <n v="2"/>
    <n v="4"/>
    <s v="Low"/>
    <s v="Wallet"/>
    <x v="0"/>
    <x v="1"/>
    <n v="7.5"/>
    <n v="0.5"/>
    <x v="0"/>
    <s v="Online"/>
    <n v="9.6"/>
    <n v="20.399999999999999"/>
    <x v="0"/>
    <n v="4"/>
    <n v="1"/>
    <x v="1"/>
    <n v="29.948453608247419"/>
  </r>
  <r>
    <x v="841"/>
    <x v="1"/>
    <s v="Omaha, NE"/>
    <d v="2025-01-26T00:00:00"/>
    <d v="1899-12-30T18:30:00"/>
    <d v="2025-01-26T00:00:00"/>
    <d v="1899-12-30T19:00:00"/>
    <x v="3"/>
    <s v="Medium"/>
    <s v="BBQ Chicken"/>
    <n v="3"/>
    <n v="5"/>
    <s v="Medium"/>
    <s v="Card"/>
    <x v="0"/>
    <x v="0"/>
    <n v="6"/>
    <n v="0.6"/>
    <x v="0"/>
    <s v="Online"/>
    <n v="12"/>
    <n v="18"/>
    <x v="0"/>
    <n v="6"/>
    <n v="2"/>
    <x v="0"/>
    <n v="28.186274509803919"/>
  </r>
  <r>
    <x v="842"/>
    <x v="2"/>
    <s v="Louisville, KY"/>
    <d v="2025-01-27T00:00:00"/>
    <d v="1899-12-30T19:45:00"/>
    <d v="2025-01-27T00:00:00"/>
    <d v="1899-12-30T20:15:00"/>
    <x v="3"/>
    <s v="XL"/>
    <s v="Cheese Burst"/>
    <n v="5"/>
    <n v="6"/>
    <s v="High"/>
    <s v="UPI"/>
    <x v="0"/>
    <x v="0"/>
    <n v="5"/>
    <n v="0.83333333333333337"/>
    <x v="0"/>
    <s v="Online"/>
    <n v="14.4"/>
    <n v="15.6"/>
    <x v="0"/>
    <n v="20"/>
    <n v="3"/>
    <x v="3"/>
    <n v="28.844221105527641"/>
  </r>
  <r>
    <x v="843"/>
    <x v="4"/>
    <s v="Milwaukee, WI"/>
    <d v="2025-01-28T00:00:00"/>
    <d v="1899-12-30T20:00:00"/>
    <d v="2025-01-28T00:00:00"/>
    <d v="1899-12-30T20:30:00"/>
    <x v="3"/>
    <s v="Medium"/>
    <s v="Margarita"/>
    <n v="3"/>
    <n v="4.5"/>
    <s v="Medium"/>
    <s v="Cash"/>
    <x v="0"/>
    <x v="0"/>
    <n v="6.666666666666667"/>
    <n v="0.66666666666666663"/>
    <x v="0"/>
    <s v="Offline"/>
    <n v="10.8"/>
    <n v="19.2"/>
    <x v="0"/>
    <n v="6"/>
    <n v="2"/>
    <x v="1"/>
    <n v="30.286458333333329"/>
  </r>
  <r>
    <x v="844"/>
    <x v="0"/>
    <s v="Albuquerque, NM"/>
    <d v="2025-01-29T00:00:00"/>
    <d v="1899-12-30T19:15:00"/>
    <d v="2025-01-29T00:00:00"/>
    <d v="1899-12-30T19:45:00"/>
    <x v="3"/>
    <s v="Large"/>
    <s v="Sicilian"/>
    <n v="4"/>
    <n v="5.5"/>
    <s v="Medium"/>
    <s v="UPI"/>
    <x v="0"/>
    <x v="0"/>
    <n v="5.4545454545454541"/>
    <n v="0.72727272727272729"/>
    <x v="0"/>
    <s v="Online"/>
    <n v="13.2"/>
    <n v="16.8"/>
    <x v="0"/>
    <n v="12"/>
    <n v="2"/>
    <x v="3"/>
    <n v="30.259433962264151"/>
  </r>
  <r>
    <x v="845"/>
    <x v="3"/>
    <s v="Atlanta, GA"/>
    <d v="2025-01-30T00:00:00"/>
    <d v="1899-12-30T20:30:00"/>
    <d v="2025-01-30T00:00:00"/>
    <d v="1899-12-30T21:00:00"/>
    <x v="3"/>
    <s v="Medium"/>
    <s v="Veg"/>
    <n v="2"/>
    <n v="4"/>
    <s v="Low"/>
    <s v="Wallet"/>
    <x v="0"/>
    <x v="0"/>
    <n v="7.5"/>
    <n v="0.5"/>
    <x v="0"/>
    <s v="Online"/>
    <n v="9.6"/>
    <n v="20.399999999999999"/>
    <x v="0"/>
    <n v="4"/>
    <n v="1"/>
    <x v="1"/>
    <n v="29.948453608247419"/>
  </r>
  <r>
    <x v="846"/>
    <x v="1"/>
    <s v="Omaha, NE"/>
    <d v="2025-01-31T00:00:00"/>
    <d v="1899-12-30T18:45:00"/>
    <d v="2025-01-31T00:00:00"/>
    <d v="1899-12-30T19:15:00"/>
    <x v="3"/>
    <s v="Medium"/>
    <s v="BBQ Chicken"/>
    <n v="3"/>
    <n v="5"/>
    <s v="Medium"/>
    <s v="Card"/>
    <x v="0"/>
    <x v="1"/>
    <n v="6"/>
    <n v="0.6"/>
    <x v="0"/>
    <s v="Online"/>
    <n v="12"/>
    <n v="18"/>
    <x v="0"/>
    <n v="6"/>
    <n v="2"/>
    <x v="0"/>
    <n v="28.186274509803919"/>
  </r>
  <r>
    <x v="847"/>
    <x v="2"/>
    <s v="Louisville, KY"/>
    <d v="2025-02-01T00:00:00"/>
    <d v="1899-12-30T19:00:00"/>
    <d v="2025-02-01T00:00:00"/>
    <d v="1899-12-30T19:30:00"/>
    <x v="3"/>
    <s v="XL"/>
    <s v="Cheese Burst"/>
    <n v="5"/>
    <n v="6"/>
    <s v="High"/>
    <s v="UPI"/>
    <x v="0"/>
    <x v="1"/>
    <n v="5"/>
    <n v="0.83333333333333337"/>
    <x v="1"/>
    <s v="Online"/>
    <n v="14.4"/>
    <n v="15.6"/>
    <x v="0"/>
    <n v="20"/>
    <n v="3"/>
    <x v="3"/>
    <n v="28.844221105527641"/>
  </r>
  <r>
    <x v="848"/>
    <x v="4"/>
    <s v="Milwaukee, WI"/>
    <d v="2025-02-02T00:00:00"/>
    <d v="1899-12-30T20:15:00"/>
    <d v="2025-02-02T00:00:00"/>
    <d v="1899-12-30T20:45:00"/>
    <x v="3"/>
    <s v="Medium"/>
    <s v="Margarita"/>
    <n v="3"/>
    <n v="4.5"/>
    <s v="Medium"/>
    <s v="Cash"/>
    <x v="0"/>
    <x v="0"/>
    <n v="6.666666666666667"/>
    <n v="0.66666666666666663"/>
    <x v="1"/>
    <s v="Offline"/>
    <n v="10.8"/>
    <n v="19.2"/>
    <x v="0"/>
    <n v="6"/>
    <n v="2"/>
    <x v="1"/>
    <n v="30.286458333333329"/>
  </r>
  <r>
    <x v="849"/>
    <x v="0"/>
    <s v="Albuquerque, NM"/>
    <d v="2025-02-03T00:00:00"/>
    <d v="1899-12-30T19:30:00"/>
    <d v="2025-02-03T00:00:00"/>
    <d v="1899-12-30T20:00:00"/>
    <x v="3"/>
    <s v="Large"/>
    <s v="Sicilian"/>
    <n v="4"/>
    <n v="5.5"/>
    <s v="Medium"/>
    <s v="UPI"/>
    <x v="0"/>
    <x v="0"/>
    <n v="5.4545454545454541"/>
    <n v="0.72727272727272729"/>
    <x v="1"/>
    <s v="Online"/>
    <n v="13.2"/>
    <n v="16.8"/>
    <x v="0"/>
    <n v="12"/>
    <n v="2"/>
    <x v="3"/>
    <n v="30.259433962264151"/>
  </r>
  <r>
    <x v="850"/>
    <x v="3"/>
    <s v="Atlanta, GA"/>
    <d v="2025-02-04T00:00:00"/>
    <d v="1899-12-30T20:45:00"/>
    <d v="2025-02-04T00:00:00"/>
    <d v="1899-12-30T21:15:00"/>
    <x v="3"/>
    <s v="Medium"/>
    <s v="Veg"/>
    <n v="2"/>
    <n v="4"/>
    <s v="Low"/>
    <s v="Wallet"/>
    <x v="0"/>
    <x v="0"/>
    <n v="7.5"/>
    <n v="0.5"/>
    <x v="1"/>
    <s v="Online"/>
    <n v="9.6"/>
    <n v="20.399999999999999"/>
    <x v="0"/>
    <n v="4"/>
    <n v="1"/>
    <x v="1"/>
    <n v="29.948453608247419"/>
  </r>
  <r>
    <x v="851"/>
    <x v="1"/>
    <s v="Omaha, NE"/>
    <d v="2025-02-05T00:00:00"/>
    <d v="1899-12-30T18:00:00"/>
    <d v="2025-02-05T00:00:00"/>
    <d v="1899-12-30T18:30:00"/>
    <x v="3"/>
    <s v="Medium"/>
    <s v="BBQ Chicken"/>
    <n v="3"/>
    <n v="5"/>
    <s v="Medium"/>
    <s v="Card"/>
    <x v="0"/>
    <x v="0"/>
    <n v="6"/>
    <n v="0.6"/>
    <x v="1"/>
    <s v="Online"/>
    <n v="12"/>
    <n v="18"/>
    <x v="0"/>
    <n v="6"/>
    <n v="2"/>
    <x v="0"/>
    <n v="28.186274509803919"/>
  </r>
  <r>
    <x v="852"/>
    <x v="2"/>
    <s v="Louisville, KY"/>
    <d v="2025-02-06T00:00:00"/>
    <d v="1899-12-30T19:15:00"/>
    <d v="2025-02-06T00:00:00"/>
    <d v="1899-12-30T19:45:00"/>
    <x v="3"/>
    <s v="XL"/>
    <s v="Cheese Burst"/>
    <n v="5"/>
    <n v="6"/>
    <s v="High"/>
    <s v="UPI"/>
    <x v="0"/>
    <x v="0"/>
    <n v="5"/>
    <n v="0.83333333333333337"/>
    <x v="1"/>
    <s v="Online"/>
    <n v="14.4"/>
    <n v="15.6"/>
    <x v="0"/>
    <n v="20"/>
    <n v="3"/>
    <x v="3"/>
    <n v="28.844221105527641"/>
  </r>
  <r>
    <x v="853"/>
    <x v="4"/>
    <s v="Milwaukee, WI"/>
    <d v="2025-02-07T00:00:00"/>
    <d v="1899-12-30T20:30:00"/>
    <d v="2025-02-07T00:00:00"/>
    <d v="1899-12-30T21:00:00"/>
    <x v="3"/>
    <s v="Medium"/>
    <s v="Margarita"/>
    <n v="3"/>
    <n v="4.5"/>
    <s v="Medium"/>
    <s v="Cash"/>
    <x v="0"/>
    <x v="1"/>
    <n v="6.666666666666667"/>
    <n v="0.66666666666666663"/>
    <x v="1"/>
    <s v="Offline"/>
    <n v="10.8"/>
    <n v="19.2"/>
    <x v="0"/>
    <n v="6"/>
    <n v="2"/>
    <x v="1"/>
    <n v="30.286458333333329"/>
  </r>
  <r>
    <x v="854"/>
    <x v="0"/>
    <s v="Albuquerque, NM"/>
    <d v="2025-02-08T00:00:00"/>
    <d v="1899-12-30T19:00:00"/>
    <d v="2025-02-08T00:00:00"/>
    <d v="1899-12-30T19:30:00"/>
    <x v="3"/>
    <s v="Large"/>
    <s v="Sicilian"/>
    <n v="4"/>
    <n v="5.5"/>
    <s v="Medium"/>
    <s v="UPI"/>
    <x v="0"/>
    <x v="1"/>
    <n v="5.4545454545454541"/>
    <n v="0.72727272727272729"/>
    <x v="1"/>
    <s v="Online"/>
    <n v="13.2"/>
    <n v="16.8"/>
    <x v="0"/>
    <n v="12"/>
    <n v="2"/>
    <x v="3"/>
    <n v="30.259433962264151"/>
  </r>
  <r>
    <x v="855"/>
    <x v="3"/>
    <s v="Atlanta, GA"/>
    <d v="2025-02-09T00:00:00"/>
    <d v="1899-12-30T20:15:00"/>
    <d v="2025-02-09T00:00:00"/>
    <d v="1899-12-30T20:45:00"/>
    <x v="3"/>
    <s v="Medium"/>
    <s v="Veg"/>
    <n v="2"/>
    <n v="4"/>
    <s v="Low"/>
    <s v="Wallet"/>
    <x v="0"/>
    <x v="0"/>
    <n v="7.5"/>
    <n v="0.5"/>
    <x v="1"/>
    <s v="Online"/>
    <n v="9.6"/>
    <n v="20.399999999999999"/>
    <x v="0"/>
    <n v="4"/>
    <n v="1"/>
    <x v="1"/>
    <n v="29.948453608247419"/>
  </r>
  <r>
    <x v="856"/>
    <x v="1"/>
    <s v="Omaha, NE"/>
    <d v="2025-02-10T00:00:00"/>
    <d v="1899-12-30T18:30:00"/>
    <d v="2025-02-10T00:00:00"/>
    <d v="1899-12-30T19:00:00"/>
    <x v="3"/>
    <s v="Medium"/>
    <s v="BBQ Chicken"/>
    <n v="3"/>
    <n v="5"/>
    <s v="Medium"/>
    <s v="Card"/>
    <x v="0"/>
    <x v="0"/>
    <n v="6"/>
    <n v="0.6"/>
    <x v="1"/>
    <s v="Online"/>
    <n v="12"/>
    <n v="18"/>
    <x v="0"/>
    <n v="6"/>
    <n v="2"/>
    <x v="0"/>
    <n v="28.186274509803919"/>
  </r>
  <r>
    <x v="857"/>
    <x v="2"/>
    <s v="Louisville, KY"/>
    <d v="2025-02-11T00:00:00"/>
    <d v="1899-12-30T19:45:00"/>
    <d v="2025-02-11T00:00:00"/>
    <d v="1899-12-30T20:15:00"/>
    <x v="3"/>
    <s v="XL"/>
    <s v="Cheese Burst"/>
    <n v="5"/>
    <n v="6"/>
    <s v="High"/>
    <s v="UPI"/>
    <x v="0"/>
    <x v="0"/>
    <n v="5"/>
    <n v="0.83333333333333337"/>
    <x v="1"/>
    <s v="Online"/>
    <n v="14.4"/>
    <n v="15.6"/>
    <x v="0"/>
    <n v="20"/>
    <n v="3"/>
    <x v="3"/>
    <n v="28.844221105527641"/>
  </r>
  <r>
    <x v="858"/>
    <x v="4"/>
    <s v="Milwaukee, WI"/>
    <d v="2025-02-12T00:00:00"/>
    <d v="1899-12-30T20:00:00"/>
    <d v="2025-02-12T00:00:00"/>
    <d v="1899-12-30T20:30:00"/>
    <x v="3"/>
    <s v="Medium"/>
    <s v="Margarita"/>
    <n v="3"/>
    <n v="4.5"/>
    <s v="Medium"/>
    <s v="Cash"/>
    <x v="0"/>
    <x v="0"/>
    <n v="6.666666666666667"/>
    <n v="0.66666666666666663"/>
    <x v="1"/>
    <s v="Offline"/>
    <n v="10.8"/>
    <n v="19.2"/>
    <x v="0"/>
    <n v="6"/>
    <n v="2"/>
    <x v="1"/>
    <n v="30.286458333333329"/>
  </r>
  <r>
    <x v="859"/>
    <x v="0"/>
    <s v="Albuquerque, NM"/>
    <d v="2025-02-13T00:00:00"/>
    <d v="1899-12-30T19:15:00"/>
    <d v="2025-02-13T00:00:00"/>
    <d v="1899-12-30T19:45:00"/>
    <x v="3"/>
    <s v="Large"/>
    <s v="Sicilian"/>
    <n v="4"/>
    <n v="5.5"/>
    <s v="Medium"/>
    <s v="UPI"/>
    <x v="0"/>
    <x v="0"/>
    <n v="5.4545454545454541"/>
    <n v="0.72727272727272729"/>
    <x v="1"/>
    <s v="Online"/>
    <n v="13.2"/>
    <n v="16.8"/>
    <x v="0"/>
    <n v="12"/>
    <n v="2"/>
    <x v="3"/>
    <n v="30.259433962264151"/>
  </r>
  <r>
    <x v="860"/>
    <x v="3"/>
    <s v="Atlanta, GA"/>
    <d v="2025-02-14T00:00:00"/>
    <d v="1899-12-30T20:30:00"/>
    <d v="2025-02-14T00:00:00"/>
    <d v="1899-12-30T21:00:00"/>
    <x v="3"/>
    <s v="Medium"/>
    <s v="Veg"/>
    <n v="2"/>
    <n v="4"/>
    <s v="Low"/>
    <s v="Wallet"/>
    <x v="0"/>
    <x v="1"/>
    <n v="7.5"/>
    <n v="0.5"/>
    <x v="1"/>
    <s v="Online"/>
    <n v="9.6"/>
    <n v="20.399999999999999"/>
    <x v="0"/>
    <n v="4"/>
    <n v="1"/>
    <x v="1"/>
    <n v="29.948453608247419"/>
  </r>
  <r>
    <x v="861"/>
    <x v="1"/>
    <s v="Omaha, NE"/>
    <d v="2025-02-15T00:00:00"/>
    <d v="1899-12-30T18:45:00"/>
    <d v="2025-02-15T00:00:00"/>
    <d v="1899-12-30T19:15:00"/>
    <x v="3"/>
    <s v="Medium"/>
    <s v="BBQ Chicken"/>
    <n v="3"/>
    <n v="5"/>
    <s v="Medium"/>
    <s v="Card"/>
    <x v="0"/>
    <x v="1"/>
    <n v="6"/>
    <n v="0.6"/>
    <x v="1"/>
    <s v="Online"/>
    <n v="12"/>
    <n v="18"/>
    <x v="0"/>
    <n v="6"/>
    <n v="2"/>
    <x v="0"/>
    <n v="28.186274509803919"/>
  </r>
  <r>
    <x v="862"/>
    <x v="2"/>
    <s v="Louisville, KY"/>
    <d v="2025-02-16T00:00:00"/>
    <d v="1899-12-30T19:00:00"/>
    <d v="2025-02-16T00:00:00"/>
    <d v="1899-12-30T19:30:00"/>
    <x v="3"/>
    <s v="XL"/>
    <s v="Cheese Burst"/>
    <n v="5"/>
    <n v="6"/>
    <s v="High"/>
    <s v="UPI"/>
    <x v="0"/>
    <x v="0"/>
    <n v="5"/>
    <n v="0.83333333333333337"/>
    <x v="1"/>
    <s v="Online"/>
    <n v="14.4"/>
    <n v="15.6"/>
    <x v="0"/>
    <n v="20"/>
    <n v="3"/>
    <x v="3"/>
    <n v="28.844221105527641"/>
  </r>
  <r>
    <x v="863"/>
    <x v="4"/>
    <s v="Milwaukee, WI"/>
    <d v="2025-02-17T00:00:00"/>
    <d v="1899-12-30T20:15:00"/>
    <d v="2025-02-17T00:00:00"/>
    <d v="1899-12-30T20:45:00"/>
    <x v="3"/>
    <s v="Medium"/>
    <s v="Margarita"/>
    <n v="3"/>
    <n v="4.5"/>
    <s v="Medium"/>
    <s v="Cash"/>
    <x v="0"/>
    <x v="0"/>
    <n v="6.666666666666667"/>
    <n v="0.66666666666666663"/>
    <x v="1"/>
    <s v="Offline"/>
    <n v="10.8"/>
    <n v="19.2"/>
    <x v="0"/>
    <n v="6"/>
    <n v="2"/>
    <x v="1"/>
    <n v="30.286458333333329"/>
  </r>
  <r>
    <x v="864"/>
    <x v="1"/>
    <s v="Omaha, NE"/>
    <d v="2025-02-18T00:00:00"/>
    <d v="1899-12-30T18:30:00"/>
    <d v="2025-02-18T00:00:00"/>
    <d v="1899-12-30T19:00:00"/>
    <x v="3"/>
    <s v="Medium"/>
    <s v="BBQ Chicken"/>
    <n v="3"/>
    <n v="5"/>
    <s v="Medium"/>
    <s v="UPI"/>
    <x v="0"/>
    <x v="0"/>
    <n v="6"/>
    <n v="0.6"/>
    <x v="1"/>
    <s v="Online"/>
    <n v="12"/>
    <n v="18"/>
    <x v="0"/>
    <n v="6"/>
    <n v="2"/>
    <x v="0"/>
    <n v="28.186274509803919"/>
  </r>
  <r>
    <x v="865"/>
    <x v="2"/>
    <s v="Louisville, KY"/>
    <d v="2025-02-19T00:00:00"/>
    <d v="1899-12-30T19:45:00"/>
    <d v="2025-02-19T00:00:00"/>
    <d v="1899-12-30T20:15:00"/>
    <x v="3"/>
    <s v="XL"/>
    <s v="Cheese Burst"/>
    <n v="5"/>
    <n v="6"/>
    <s v="High"/>
    <s v="Card"/>
    <x v="0"/>
    <x v="0"/>
    <n v="5"/>
    <n v="0.83333333333333337"/>
    <x v="1"/>
    <s v="Online"/>
    <n v="14.4"/>
    <n v="15.6"/>
    <x v="0"/>
    <n v="20"/>
    <n v="3"/>
    <x v="3"/>
    <n v="28.844221105527641"/>
  </r>
  <r>
    <x v="866"/>
    <x v="4"/>
    <s v="Milwaukee, WI"/>
    <d v="2025-02-20T00:00:00"/>
    <d v="1899-12-30T20:00:00"/>
    <d v="2025-02-20T00:00:00"/>
    <d v="1899-12-30T20:30:00"/>
    <x v="3"/>
    <s v="Medium"/>
    <s v="Margarita"/>
    <n v="3"/>
    <n v="4.5"/>
    <s v="Medium"/>
    <s v="Cash"/>
    <x v="0"/>
    <x v="0"/>
    <n v="6.666666666666667"/>
    <n v="0.66666666666666663"/>
    <x v="1"/>
    <s v="Offline"/>
    <n v="10.8"/>
    <n v="19.2"/>
    <x v="0"/>
    <n v="6"/>
    <n v="2"/>
    <x v="1"/>
    <n v="30.286458333333329"/>
  </r>
  <r>
    <x v="867"/>
    <x v="0"/>
    <s v="Albuquerque, NM"/>
    <d v="2025-02-21T00:00:00"/>
    <d v="1899-12-30T19:15:00"/>
    <d v="2025-02-21T00:00:00"/>
    <d v="1899-12-30T19:45:00"/>
    <x v="3"/>
    <s v="Large"/>
    <s v="Sicilian"/>
    <n v="4"/>
    <n v="5.5"/>
    <s v="Medium"/>
    <s v="UPI"/>
    <x v="0"/>
    <x v="1"/>
    <n v="5.4545454545454541"/>
    <n v="0.72727272727272729"/>
    <x v="1"/>
    <s v="Online"/>
    <n v="13.2"/>
    <n v="16.8"/>
    <x v="0"/>
    <n v="12"/>
    <n v="2"/>
    <x v="3"/>
    <n v="30.259433962264151"/>
  </r>
  <r>
    <x v="868"/>
    <x v="3"/>
    <s v="Atlanta, GA"/>
    <d v="2025-02-22T00:00:00"/>
    <d v="1899-12-30T20:30:00"/>
    <d v="2025-02-22T00:00:00"/>
    <d v="1899-12-30T21:00:00"/>
    <x v="3"/>
    <s v="Medium"/>
    <s v="Veg"/>
    <n v="2"/>
    <n v="4"/>
    <s v="Low"/>
    <s v="Wallet"/>
    <x v="0"/>
    <x v="1"/>
    <n v="7.5"/>
    <n v="0.5"/>
    <x v="1"/>
    <s v="Online"/>
    <n v="9.6"/>
    <n v="20.399999999999999"/>
    <x v="0"/>
    <n v="4"/>
    <n v="1"/>
    <x v="1"/>
    <n v="29.948453608247419"/>
  </r>
  <r>
    <x v="869"/>
    <x v="1"/>
    <s v="Omaha, NE"/>
    <d v="2025-02-23T00:00:00"/>
    <d v="1899-12-30T18:00:00"/>
    <d v="2025-02-23T00:00:00"/>
    <d v="1899-12-30T18:30:00"/>
    <x v="3"/>
    <s v="Medium"/>
    <s v="BBQ Chicken"/>
    <n v="3"/>
    <n v="5"/>
    <s v="Medium"/>
    <s v="Card"/>
    <x v="0"/>
    <x v="0"/>
    <n v="6"/>
    <n v="0.6"/>
    <x v="1"/>
    <s v="Online"/>
    <n v="12"/>
    <n v="18"/>
    <x v="0"/>
    <n v="6"/>
    <n v="2"/>
    <x v="0"/>
    <n v="28.186274509803919"/>
  </r>
  <r>
    <x v="870"/>
    <x v="2"/>
    <s v="Louisville, KY"/>
    <d v="2025-02-24T00:00:00"/>
    <d v="1899-12-30T19:15:00"/>
    <d v="2025-02-24T00:00:00"/>
    <d v="1899-12-30T19:45:00"/>
    <x v="3"/>
    <s v="XL"/>
    <s v="Cheese Burst"/>
    <n v="5"/>
    <n v="6"/>
    <s v="High"/>
    <s v="UPI"/>
    <x v="0"/>
    <x v="0"/>
    <n v="5"/>
    <n v="0.83333333333333337"/>
    <x v="1"/>
    <s v="Online"/>
    <n v="14.4"/>
    <n v="15.6"/>
    <x v="0"/>
    <n v="20"/>
    <n v="3"/>
    <x v="3"/>
    <n v="28.844221105527641"/>
  </r>
  <r>
    <x v="871"/>
    <x v="4"/>
    <s v="Milwaukee, WI"/>
    <d v="2025-02-25T00:00:00"/>
    <d v="1899-12-30T20:30:00"/>
    <d v="2025-02-25T00:00:00"/>
    <d v="1899-12-30T21:00:00"/>
    <x v="3"/>
    <s v="Medium"/>
    <s v="Margarita"/>
    <n v="3"/>
    <n v="4.5"/>
    <s v="Medium"/>
    <s v="Cash"/>
    <x v="0"/>
    <x v="0"/>
    <n v="6.666666666666667"/>
    <n v="0.66666666666666663"/>
    <x v="1"/>
    <s v="Offline"/>
    <n v="10.8"/>
    <n v="19.2"/>
    <x v="0"/>
    <n v="6"/>
    <n v="2"/>
    <x v="1"/>
    <n v="30.286458333333329"/>
  </r>
  <r>
    <x v="872"/>
    <x v="0"/>
    <s v="Albuquerque, NM"/>
    <d v="2025-02-26T00:00:00"/>
    <d v="1899-12-30T19:00:00"/>
    <d v="2025-02-26T00:00:00"/>
    <d v="1899-12-30T19:30:00"/>
    <x v="3"/>
    <s v="Large"/>
    <s v="Sicilian"/>
    <n v="4"/>
    <n v="5.5"/>
    <s v="Medium"/>
    <s v="UPI"/>
    <x v="0"/>
    <x v="0"/>
    <n v="5.4545454545454541"/>
    <n v="0.72727272727272729"/>
    <x v="1"/>
    <s v="Online"/>
    <n v="13.2"/>
    <n v="16.8"/>
    <x v="0"/>
    <n v="12"/>
    <n v="2"/>
    <x v="3"/>
    <n v="30.259433962264151"/>
  </r>
  <r>
    <x v="873"/>
    <x v="3"/>
    <s v="Atlanta, GA"/>
    <d v="2025-02-27T00:00:00"/>
    <d v="1899-12-30T20:15:00"/>
    <d v="2025-02-27T00:00:00"/>
    <d v="1899-12-30T20:45:00"/>
    <x v="3"/>
    <s v="Medium"/>
    <s v="Veg"/>
    <n v="2"/>
    <n v="4"/>
    <s v="Low"/>
    <s v="Wallet"/>
    <x v="0"/>
    <x v="0"/>
    <n v="7.5"/>
    <n v="0.5"/>
    <x v="1"/>
    <s v="Online"/>
    <n v="9.6"/>
    <n v="20.399999999999999"/>
    <x v="0"/>
    <n v="4"/>
    <n v="1"/>
    <x v="1"/>
    <n v="29.948453608247419"/>
  </r>
  <r>
    <x v="874"/>
    <x v="1"/>
    <s v="Omaha, NE"/>
    <d v="2025-02-28T00:00:00"/>
    <d v="1899-12-30T18:30:00"/>
    <d v="2025-02-28T00:00:00"/>
    <d v="1899-12-30T19:00:00"/>
    <x v="3"/>
    <s v="Medium"/>
    <s v="BBQ Chicken"/>
    <n v="3"/>
    <n v="5"/>
    <s v="Medium"/>
    <s v="Card"/>
    <x v="0"/>
    <x v="1"/>
    <n v="6"/>
    <n v="0.6"/>
    <x v="1"/>
    <s v="Online"/>
    <n v="12"/>
    <n v="18"/>
    <x v="0"/>
    <n v="6"/>
    <n v="2"/>
    <x v="0"/>
    <n v="28.186274509803919"/>
  </r>
  <r>
    <x v="875"/>
    <x v="2"/>
    <s v="Louisville, KY"/>
    <d v="2025-03-01T00:00:00"/>
    <d v="1899-12-30T19:45:00"/>
    <d v="2025-03-01T00:00:00"/>
    <d v="1899-12-30T20:15:00"/>
    <x v="3"/>
    <s v="XL"/>
    <s v="Cheese Burst"/>
    <n v="5"/>
    <n v="6"/>
    <s v="High"/>
    <s v="UPI"/>
    <x v="0"/>
    <x v="1"/>
    <n v="5"/>
    <n v="0.83333333333333337"/>
    <x v="2"/>
    <s v="Online"/>
    <n v="14.4"/>
    <n v="15.6"/>
    <x v="0"/>
    <n v="20"/>
    <n v="3"/>
    <x v="3"/>
    <n v="28.844221105527641"/>
  </r>
  <r>
    <x v="876"/>
    <x v="4"/>
    <s v="Milwaukee, WI"/>
    <d v="2025-03-02T00:00:00"/>
    <d v="1899-12-30T20:00:00"/>
    <d v="2025-03-02T00:00:00"/>
    <d v="1899-12-30T20:30:00"/>
    <x v="3"/>
    <s v="Medium"/>
    <s v="Margarita"/>
    <n v="3"/>
    <n v="4.5"/>
    <s v="Medium"/>
    <s v="Cash"/>
    <x v="0"/>
    <x v="0"/>
    <n v="6.666666666666667"/>
    <n v="0.66666666666666663"/>
    <x v="2"/>
    <s v="Offline"/>
    <n v="10.8"/>
    <n v="19.2"/>
    <x v="0"/>
    <n v="6"/>
    <n v="2"/>
    <x v="1"/>
    <n v="30.286458333333329"/>
  </r>
  <r>
    <x v="877"/>
    <x v="0"/>
    <s v="Albuquerque, NM"/>
    <d v="2025-03-03T00:00:00"/>
    <d v="1899-12-30T19:15:00"/>
    <d v="2025-03-03T00:00:00"/>
    <d v="1899-12-30T19:45:00"/>
    <x v="3"/>
    <s v="Large"/>
    <s v="Sicilian"/>
    <n v="4"/>
    <n v="5.5"/>
    <s v="Medium"/>
    <s v="UPI"/>
    <x v="0"/>
    <x v="0"/>
    <n v="5.4545454545454541"/>
    <n v="0.72727272727272729"/>
    <x v="2"/>
    <s v="Online"/>
    <n v="13.2"/>
    <n v="16.8"/>
    <x v="0"/>
    <n v="12"/>
    <n v="2"/>
    <x v="3"/>
    <n v="30.259433962264151"/>
  </r>
  <r>
    <x v="878"/>
    <x v="3"/>
    <s v="Atlanta, GA"/>
    <d v="2025-03-04T00:00:00"/>
    <d v="1899-12-30T20:30:00"/>
    <d v="2025-03-04T00:00:00"/>
    <d v="1899-12-30T21:00:00"/>
    <x v="3"/>
    <s v="Medium"/>
    <s v="Veg"/>
    <n v="2"/>
    <n v="4"/>
    <s v="Low"/>
    <s v="Wallet"/>
    <x v="0"/>
    <x v="0"/>
    <n v="7.5"/>
    <n v="0.5"/>
    <x v="2"/>
    <s v="Online"/>
    <n v="9.6"/>
    <n v="20.399999999999999"/>
    <x v="0"/>
    <n v="4"/>
    <n v="1"/>
    <x v="1"/>
    <n v="29.948453608247419"/>
  </r>
  <r>
    <x v="879"/>
    <x v="1"/>
    <s v="Omaha, NE"/>
    <d v="2025-03-05T00:00:00"/>
    <d v="1899-12-30T18:00:00"/>
    <d v="2025-03-05T00:00:00"/>
    <d v="1899-12-30T18:30:00"/>
    <x v="3"/>
    <s v="Medium"/>
    <s v="BBQ Chicken"/>
    <n v="3"/>
    <n v="5"/>
    <s v="Medium"/>
    <s v="Card"/>
    <x v="0"/>
    <x v="0"/>
    <n v="6"/>
    <n v="0.6"/>
    <x v="2"/>
    <s v="Online"/>
    <n v="12"/>
    <n v="18"/>
    <x v="0"/>
    <n v="6"/>
    <n v="2"/>
    <x v="0"/>
    <n v="28.186274509803919"/>
  </r>
  <r>
    <x v="880"/>
    <x v="2"/>
    <s v="Louisville, KY"/>
    <d v="2025-03-06T00:00:00"/>
    <d v="1899-12-30T19:15:00"/>
    <d v="2025-03-06T00:00:00"/>
    <d v="1899-12-30T19:45:00"/>
    <x v="3"/>
    <s v="XL"/>
    <s v="Cheese Burst"/>
    <n v="5"/>
    <n v="6"/>
    <s v="High"/>
    <s v="UPI"/>
    <x v="0"/>
    <x v="0"/>
    <n v="5"/>
    <n v="0.83333333333333337"/>
    <x v="2"/>
    <s v="Online"/>
    <n v="14.4"/>
    <n v="15.6"/>
    <x v="0"/>
    <n v="20"/>
    <n v="3"/>
    <x v="3"/>
    <n v="28.844221105527641"/>
  </r>
  <r>
    <x v="881"/>
    <x v="4"/>
    <s v="Milwaukee, WI"/>
    <d v="2025-03-07T00:00:00"/>
    <d v="1899-12-30T20:30:00"/>
    <d v="2025-03-07T00:00:00"/>
    <d v="1899-12-30T21:00:00"/>
    <x v="3"/>
    <s v="Medium"/>
    <s v="Margarita"/>
    <n v="3"/>
    <n v="4.5"/>
    <s v="Medium"/>
    <s v="Cash"/>
    <x v="0"/>
    <x v="1"/>
    <n v="6.666666666666667"/>
    <n v="0.66666666666666663"/>
    <x v="2"/>
    <s v="Offline"/>
    <n v="10.8"/>
    <n v="19.2"/>
    <x v="0"/>
    <n v="6"/>
    <n v="2"/>
    <x v="1"/>
    <n v="30.286458333333329"/>
  </r>
  <r>
    <x v="882"/>
    <x v="0"/>
    <s v="Albuquerque, NM"/>
    <d v="2025-03-08T00:00:00"/>
    <d v="1899-12-30T19:00:00"/>
    <d v="2025-03-08T00:00:00"/>
    <d v="1899-12-30T19:30:00"/>
    <x v="3"/>
    <s v="Large"/>
    <s v="Sicilian"/>
    <n v="4"/>
    <n v="5.5"/>
    <s v="Medium"/>
    <s v="UPI"/>
    <x v="0"/>
    <x v="1"/>
    <n v="5.4545454545454541"/>
    <n v="0.72727272727272729"/>
    <x v="2"/>
    <s v="Online"/>
    <n v="13.2"/>
    <n v="16.8"/>
    <x v="0"/>
    <n v="12"/>
    <n v="2"/>
    <x v="3"/>
    <n v="30.259433962264151"/>
  </r>
  <r>
    <x v="883"/>
    <x v="3"/>
    <s v="Atlanta, GA"/>
    <d v="2025-03-09T00:00:00"/>
    <d v="1899-12-30T20:15:00"/>
    <d v="2025-03-09T00:00:00"/>
    <d v="1899-12-30T20:45:00"/>
    <x v="3"/>
    <s v="Medium"/>
    <s v="Veg"/>
    <n v="2"/>
    <n v="4"/>
    <s v="Low"/>
    <s v="Wallet"/>
    <x v="0"/>
    <x v="0"/>
    <n v="7.5"/>
    <n v="0.5"/>
    <x v="2"/>
    <s v="Online"/>
    <n v="9.6"/>
    <n v="20.399999999999999"/>
    <x v="0"/>
    <n v="4"/>
    <n v="1"/>
    <x v="1"/>
    <n v="29.948453608247419"/>
  </r>
  <r>
    <x v="884"/>
    <x v="1"/>
    <s v="Omaha, NE"/>
    <d v="2025-03-10T00:00:00"/>
    <d v="1899-12-30T18:30:00"/>
    <d v="2025-03-10T00:00:00"/>
    <d v="1899-12-30T19:00:00"/>
    <x v="3"/>
    <s v="Medium"/>
    <s v="BBQ Chicken"/>
    <n v="3"/>
    <n v="5"/>
    <s v="Medium"/>
    <s v="Card"/>
    <x v="0"/>
    <x v="0"/>
    <n v="6"/>
    <n v="0.6"/>
    <x v="2"/>
    <s v="Online"/>
    <n v="12"/>
    <n v="18"/>
    <x v="0"/>
    <n v="6"/>
    <n v="2"/>
    <x v="0"/>
    <n v="28.186274509803919"/>
  </r>
  <r>
    <x v="885"/>
    <x v="2"/>
    <s v="Louisville, KY"/>
    <d v="2025-03-11T00:00:00"/>
    <d v="1899-12-30T19:45:00"/>
    <d v="2025-03-11T00:00:00"/>
    <d v="1899-12-30T20:15:00"/>
    <x v="3"/>
    <s v="XL"/>
    <s v="Cheese Burst"/>
    <n v="5"/>
    <n v="6"/>
    <s v="High"/>
    <s v="UPI"/>
    <x v="0"/>
    <x v="0"/>
    <n v="5"/>
    <n v="0.83333333333333337"/>
    <x v="2"/>
    <s v="Online"/>
    <n v="14.4"/>
    <n v="15.6"/>
    <x v="0"/>
    <n v="20"/>
    <n v="3"/>
    <x v="3"/>
    <n v="28.844221105527641"/>
  </r>
  <r>
    <x v="886"/>
    <x v="4"/>
    <s v="Milwaukee, WI"/>
    <d v="2025-03-12T00:00:00"/>
    <d v="1899-12-30T20:00:00"/>
    <d v="2025-03-12T00:00:00"/>
    <d v="1899-12-30T20:30:00"/>
    <x v="3"/>
    <s v="Medium"/>
    <s v="Margarita"/>
    <n v="3"/>
    <n v="4.5"/>
    <s v="Medium"/>
    <s v="Cash"/>
    <x v="0"/>
    <x v="0"/>
    <n v="6.666666666666667"/>
    <n v="0.66666666666666663"/>
    <x v="2"/>
    <s v="Offline"/>
    <n v="10.8"/>
    <n v="19.2"/>
    <x v="0"/>
    <n v="6"/>
    <n v="2"/>
    <x v="1"/>
    <n v="30.286458333333329"/>
  </r>
  <r>
    <x v="887"/>
    <x v="0"/>
    <s v="Albuquerque, NM"/>
    <d v="2025-03-13T00:00:00"/>
    <d v="1899-12-30T19:15:00"/>
    <d v="2025-03-13T00:00:00"/>
    <d v="1899-12-30T19:45:00"/>
    <x v="3"/>
    <s v="Large"/>
    <s v="Sicilian"/>
    <n v="4"/>
    <n v="5.5"/>
    <s v="Medium"/>
    <s v="UPI"/>
    <x v="0"/>
    <x v="0"/>
    <n v="5.4545454545454541"/>
    <n v="0.72727272727272729"/>
    <x v="2"/>
    <s v="Online"/>
    <n v="13.2"/>
    <n v="16.8"/>
    <x v="0"/>
    <n v="12"/>
    <n v="2"/>
    <x v="3"/>
    <n v="30.259433962264151"/>
  </r>
  <r>
    <x v="888"/>
    <x v="3"/>
    <s v="Atlanta, GA"/>
    <d v="2025-03-14T00:00:00"/>
    <d v="1899-12-30T20:30:00"/>
    <d v="2025-03-14T00:00:00"/>
    <d v="1899-12-30T21:00:00"/>
    <x v="3"/>
    <s v="Medium"/>
    <s v="Veg"/>
    <n v="2"/>
    <n v="4"/>
    <s v="Low"/>
    <s v="Wallet"/>
    <x v="0"/>
    <x v="1"/>
    <n v="7.5"/>
    <n v="0.5"/>
    <x v="2"/>
    <s v="Online"/>
    <n v="9.6"/>
    <n v="20.399999999999999"/>
    <x v="0"/>
    <n v="4"/>
    <n v="1"/>
    <x v="1"/>
    <n v="29.948453608247419"/>
  </r>
  <r>
    <x v="889"/>
    <x v="1"/>
    <s v="Omaha, NE"/>
    <d v="2025-03-15T00:00:00"/>
    <d v="1899-12-30T18:00:00"/>
    <d v="2025-03-15T00:00:00"/>
    <d v="1899-12-30T18:30:00"/>
    <x v="3"/>
    <s v="Medium"/>
    <s v="BBQ Chicken"/>
    <n v="3"/>
    <n v="5"/>
    <s v="Medium"/>
    <s v="Card"/>
    <x v="0"/>
    <x v="1"/>
    <n v="6"/>
    <n v="0.6"/>
    <x v="2"/>
    <s v="Online"/>
    <n v="12"/>
    <n v="18"/>
    <x v="0"/>
    <n v="6"/>
    <n v="2"/>
    <x v="0"/>
    <n v="28.186274509803919"/>
  </r>
  <r>
    <x v="890"/>
    <x v="2"/>
    <s v="Louisville, KY"/>
    <d v="2025-03-16T00:00:00"/>
    <d v="1899-12-30T19:15:00"/>
    <d v="2025-03-16T00:00:00"/>
    <d v="1899-12-30T19:45:00"/>
    <x v="3"/>
    <s v="XL"/>
    <s v="Cheese Burst"/>
    <n v="5"/>
    <n v="6"/>
    <s v="High"/>
    <s v="UPI"/>
    <x v="0"/>
    <x v="0"/>
    <n v="5"/>
    <n v="0.83333333333333337"/>
    <x v="2"/>
    <s v="Online"/>
    <n v="14.4"/>
    <n v="15.6"/>
    <x v="0"/>
    <n v="20"/>
    <n v="3"/>
    <x v="3"/>
    <n v="28.844221105527641"/>
  </r>
  <r>
    <x v="891"/>
    <x v="4"/>
    <s v="Milwaukee, WI"/>
    <d v="2025-03-17T00:00:00"/>
    <d v="1899-12-30T20:30:00"/>
    <d v="2025-03-17T00:00:00"/>
    <d v="1899-12-30T21:00:00"/>
    <x v="3"/>
    <s v="Medium"/>
    <s v="Margarita"/>
    <n v="3"/>
    <n v="4.5"/>
    <s v="Medium"/>
    <s v="Cash"/>
    <x v="0"/>
    <x v="0"/>
    <n v="6.666666666666667"/>
    <n v="0.66666666666666663"/>
    <x v="2"/>
    <s v="Offline"/>
    <n v="10.8"/>
    <n v="19.2"/>
    <x v="0"/>
    <n v="6"/>
    <n v="2"/>
    <x v="1"/>
    <n v="30.286458333333329"/>
  </r>
  <r>
    <x v="892"/>
    <x v="1"/>
    <s v="Omaha, NE"/>
    <d v="2025-03-18T00:00:00"/>
    <d v="1899-12-30T18:00:00"/>
    <d v="2025-03-18T00:00:00"/>
    <d v="1899-12-30T18:30:00"/>
    <x v="3"/>
    <s v="Medium"/>
    <s v="BBQ Chicken"/>
    <n v="3"/>
    <n v="5"/>
    <s v="Medium"/>
    <s v="UPI"/>
    <x v="0"/>
    <x v="0"/>
    <n v="6"/>
    <n v="0.6"/>
    <x v="2"/>
    <s v="Online"/>
    <n v="12"/>
    <n v="18"/>
    <x v="0"/>
    <n v="6"/>
    <n v="2"/>
    <x v="0"/>
    <n v="28.186274509803919"/>
  </r>
  <r>
    <x v="893"/>
    <x v="2"/>
    <s v="Louisville, KY"/>
    <d v="2025-03-19T00:00:00"/>
    <d v="1899-12-30T19:15:00"/>
    <d v="2025-03-19T00:00:00"/>
    <d v="1899-12-30T19:45:00"/>
    <x v="3"/>
    <s v="XL"/>
    <s v="Cheese Burst"/>
    <n v="5"/>
    <n v="6"/>
    <s v="High"/>
    <s v="Card"/>
    <x v="0"/>
    <x v="0"/>
    <n v="5"/>
    <n v="0.83333333333333337"/>
    <x v="2"/>
    <s v="Online"/>
    <n v="14.4"/>
    <n v="15.6"/>
    <x v="0"/>
    <n v="20"/>
    <n v="3"/>
    <x v="3"/>
    <n v="28.844221105527641"/>
  </r>
  <r>
    <x v="894"/>
    <x v="4"/>
    <s v="Milwaukee, WI"/>
    <d v="2025-03-20T00:00:00"/>
    <d v="1899-12-30T20:30:00"/>
    <d v="2025-03-20T00:00:00"/>
    <d v="1899-12-30T21:00:00"/>
    <x v="3"/>
    <s v="Medium"/>
    <s v="Margarita"/>
    <n v="3"/>
    <n v="4.5"/>
    <s v="Medium"/>
    <s v="Cash"/>
    <x v="0"/>
    <x v="0"/>
    <n v="6.666666666666667"/>
    <n v="0.66666666666666663"/>
    <x v="2"/>
    <s v="Offline"/>
    <n v="10.8"/>
    <n v="19.2"/>
    <x v="0"/>
    <n v="6"/>
    <n v="2"/>
    <x v="1"/>
    <n v="30.286458333333329"/>
  </r>
  <r>
    <x v="895"/>
    <x v="0"/>
    <s v="Albuquerque, NM"/>
    <d v="2025-03-21T00:00:00"/>
    <d v="1899-12-30T19:00:00"/>
    <d v="2025-03-21T00:00:00"/>
    <d v="1899-12-30T19:30:00"/>
    <x v="3"/>
    <s v="Large"/>
    <s v="Sicilian"/>
    <n v="4"/>
    <n v="5.5"/>
    <s v="Medium"/>
    <s v="UPI"/>
    <x v="0"/>
    <x v="1"/>
    <n v="5.4545454545454541"/>
    <n v="0.72727272727272729"/>
    <x v="2"/>
    <s v="Online"/>
    <n v="13.2"/>
    <n v="16.8"/>
    <x v="0"/>
    <n v="12"/>
    <n v="2"/>
    <x v="3"/>
    <n v="30.259433962264151"/>
  </r>
  <r>
    <x v="896"/>
    <x v="3"/>
    <s v="Atlanta, GA"/>
    <d v="2025-03-22T00:00:00"/>
    <d v="1899-12-30T20:15:00"/>
    <d v="2025-03-22T00:00:00"/>
    <d v="1899-12-30T20:45:00"/>
    <x v="3"/>
    <s v="Medium"/>
    <s v="Veg"/>
    <n v="2"/>
    <n v="4"/>
    <s v="Low"/>
    <s v="Wallet"/>
    <x v="0"/>
    <x v="1"/>
    <n v="7.5"/>
    <n v="0.5"/>
    <x v="2"/>
    <s v="Online"/>
    <n v="9.6"/>
    <n v="20.399999999999999"/>
    <x v="0"/>
    <n v="4"/>
    <n v="1"/>
    <x v="1"/>
    <n v="29.948453608247419"/>
  </r>
  <r>
    <x v="897"/>
    <x v="1"/>
    <s v="Omaha, NE"/>
    <d v="2025-03-23T00:00:00"/>
    <d v="1899-12-30T18:30:00"/>
    <d v="2025-03-23T00:00:00"/>
    <d v="1899-12-30T19:00:00"/>
    <x v="3"/>
    <s v="Medium"/>
    <s v="BBQ Chicken"/>
    <n v="3"/>
    <n v="5"/>
    <s v="Medium"/>
    <s v="Card"/>
    <x v="0"/>
    <x v="0"/>
    <n v="6"/>
    <n v="0.6"/>
    <x v="2"/>
    <s v="Online"/>
    <n v="12"/>
    <n v="18"/>
    <x v="0"/>
    <n v="6"/>
    <n v="2"/>
    <x v="0"/>
    <n v="28.186274509803919"/>
  </r>
  <r>
    <x v="898"/>
    <x v="2"/>
    <s v="Louisville, KY"/>
    <d v="2025-03-24T00:00:00"/>
    <d v="1899-12-30T19:45:00"/>
    <d v="2025-03-24T00:00:00"/>
    <d v="1899-12-30T20:15:00"/>
    <x v="3"/>
    <s v="XL"/>
    <s v="Cheese Burst"/>
    <n v="5"/>
    <n v="6"/>
    <s v="High"/>
    <s v="UPI"/>
    <x v="0"/>
    <x v="0"/>
    <n v="5"/>
    <n v="0.83333333333333337"/>
    <x v="2"/>
    <s v="Online"/>
    <n v="14.4"/>
    <n v="15.6"/>
    <x v="0"/>
    <n v="20"/>
    <n v="3"/>
    <x v="3"/>
    <n v="28.844221105527641"/>
  </r>
  <r>
    <x v="899"/>
    <x v="4"/>
    <s v="Milwaukee, WI"/>
    <d v="2025-03-25T00:00:00"/>
    <d v="1899-12-30T20:00:00"/>
    <d v="2025-03-25T00:00:00"/>
    <d v="1899-12-30T20:30:00"/>
    <x v="3"/>
    <s v="Medium"/>
    <s v="Margarita"/>
    <n v="3"/>
    <n v="4.5"/>
    <s v="Medium"/>
    <s v="Cash"/>
    <x v="0"/>
    <x v="0"/>
    <n v="6.666666666666667"/>
    <n v="0.66666666666666663"/>
    <x v="2"/>
    <s v="Offline"/>
    <n v="10.8"/>
    <n v="19.2"/>
    <x v="0"/>
    <n v="6"/>
    <n v="2"/>
    <x v="1"/>
    <n v="30.286458333333329"/>
  </r>
  <r>
    <x v="900"/>
    <x v="0"/>
    <s v="Albuquerque, NM"/>
    <d v="2025-03-26T00:00:00"/>
    <d v="1899-12-30T19:15:00"/>
    <d v="2025-03-26T00:00:00"/>
    <d v="1899-12-30T19:45:00"/>
    <x v="3"/>
    <s v="Large"/>
    <s v="Sicilian"/>
    <n v="4"/>
    <n v="5.5"/>
    <s v="Medium"/>
    <s v="UPI"/>
    <x v="0"/>
    <x v="0"/>
    <n v="5.4545454545454541"/>
    <n v="0.72727272727272729"/>
    <x v="2"/>
    <s v="Online"/>
    <n v="13.2"/>
    <n v="16.8"/>
    <x v="0"/>
    <n v="12"/>
    <n v="2"/>
    <x v="3"/>
    <n v="30.259433962264151"/>
  </r>
  <r>
    <x v="901"/>
    <x v="3"/>
    <s v="Atlanta, GA"/>
    <d v="2025-03-27T00:00:00"/>
    <d v="1899-12-30T20:30:00"/>
    <d v="2025-03-27T00:00:00"/>
    <d v="1899-12-30T21:00:00"/>
    <x v="3"/>
    <s v="Medium"/>
    <s v="Veg"/>
    <n v="2"/>
    <n v="4"/>
    <s v="Low"/>
    <s v="Wallet"/>
    <x v="0"/>
    <x v="0"/>
    <n v="7.5"/>
    <n v="0.5"/>
    <x v="2"/>
    <s v="Online"/>
    <n v="9.6"/>
    <n v="20.399999999999999"/>
    <x v="0"/>
    <n v="4"/>
    <n v="1"/>
    <x v="1"/>
    <n v="29.948453608247419"/>
  </r>
  <r>
    <x v="902"/>
    <x v="1"/>
    <s v="Omaha, NE"/>
    <d v="2025-03-28T00:00:00"/>
    <d v="1899-12-30T18:00:00"/>
    <d v="2025-03-28T00:00:00"/>
    <d v="1899-12-30T18:30:00"/>
    <x v="3"/>
    <s v="Medium"/>
    <s v="BBQ Chicken"/>
    <n v="3"/>
    <n v="5"/>
    <s v="Medium"/>
    <s v="Card"/>
    <x v="0"/>
    <x v="1"/>
    <n v="6"/>
    <n v="0.6"/>
    <x v="2"/>
    <s v="Online"/>
    <n v="12"/>
    <n v="18"/>
    <x v="0"/>
    <n v="6"/>
    <n v="2"/>
    <x v="0"/>
    <n v="28.186274509803919"/>
  </r>
  <r>
    <x v="903"/>
    <x v="2"/>
    <s v="Louisville, KY"/>
    <d v="2025-03-29T00:00:00"/>
    <d v="1899-12-30T19:15:00"/>
    <d v="2025-03-29T00:00:00"/>
    <d v="1899-12-30T19:45:00"/>
    <x v="3"/>
    <s v="XL"/>
    <s v="Cheese Burst"/>
    <n v="5"/>
    <n v="6"/>
    <s v="High"/>
    <s v="UPI"/>
    <x v="0"/>
    <x v="1"/>
    <n v="5"/>
    <n v="0.83333333333333337"/>
    <x v="2"/>
    <s v="Online"/>
    <n v="14.4"/>
    <n v="15.6"/>
    <x v="0"/>
    <n v="20"/>
    <n v="3"/>
    <x v="3"/>
    <n v="28.844221105527641"/>
  </r>
  <r>
    <x v="904"/>
    <x v="4"/>
    <s v="Milwaukee, WI"/>
    <d v="2025-03-30T00:00:00"/>
    <d v="1899-12-30T20:30:00"/>
    <d v="2025-03-30T00:00:00"/>
    <d v="1899-12-30T21:00:00"/>
    <x v="3"/>
    <s v="Medium"/>
    <s v="Margarita"/>
    <n v="3"/>
    <n v="4.5"/>
    <s v="Medium"/>
    <s v="Cash"/>
    <x v="0"/>
    <x v="0"/>
    <n v="6.666666666666667"/>
    <n v="0.66666666666666663"/>
    <x v="2"/>
    <s v="Offline"/>
    <n v="10.8"/>
    <n v="19.2"/>
    <x v="0"/>
    <n v="6"/>
    <n v="2"/>
    <x v="1"/>
    <n v="30.286458333333329"/>
  </r>
  <r>
    <x v="905"/>
    <x v="0"/>
    <s v="Albuquerque, NM"/>
    <d v="2025-03-31T00:00:00"/>
    <d v="1899-12-30T19:00:00"/>
    <d v="2025-03-31T00:00:00"/>
    <d v="1899-12-30T19:30:00"/>
    <x v="3"/>
    <s v="Large"/>
    <s v="Sicilian"/>
    <n v="4"/>
    <n v="5.5"/>
    <s v="Medium"/>
    <s v="UPI"/>
    <x v="0"/>
    <x v="0"/>
    <n v="5.4545454545454541"/>
    <n v="0.72727272727272729"/>
    <x v="2"/>
    <s v="Online"/>
    <n v="13.2"/>
    <n v="16.8"/>
    <x v="0"/>
    <n v="12"/>
    <n v="2"/>
    <x v="3"/>
    <n v="30.259433962264151"/>
  </r>
  <r>
    <x v="906"/>
    <x v="3"/>
    <s v="Atlanta, GA"/>
    <d v="2025-04-01T00:00:00"/>
    <d v="1899-12-30T20:15:00"/>
    <d v="2025-04-01T00:00:00"/>
    <d v="1899-12-30T20:45:00"/>
    <x v="3"/>
    <s v="Medium"/>
    <s v="Veg"/>
    <n v="2"/>
    <n v="4"/>
    <s v="Low"/>
    <s v="Wallet"/>
    <x v="0"/>
    <x v="0"/>
    <n v="7.5"/>
    <n v="0.5"/>
    <x v="3"/>
    <s v="Online"/>
    <n v="9.6"/>
    <n v="20.399999999999999"/>
    <x v="0"/>
    <n v="4"/>
    <n v="1"/>
    <x v="1"/>
    <n v="29.948453608247419"/>
  </r>
  <r>
    <x v="907"/>
    <x v="1"/>
    <s v="Omaha, NE"/>
    <d v="2025-04-02T00:00:00"/>
    <d v="1899-12-30T18:30:00"/>
    <d v="2025-04-02T00:00:00"/>
    <d v="1899-12-30T19:00:00"/>
    <x v="3"/>
    <s v="Medium"/>
    <s v="BBQ Chicken"/>
    <n v="3"/>
    <n v="5"/>
    <s v="Medium"/>
    <s v="Card"/>
    <x v="0"/>
    <x v="0"/>
    <n v="6"/>
    <n v="0.6"/>
    <x v="3"/>
    <s v="Online"/>
    <n v="12"/>
    <n v="18"/>
    <x v="0"/>
    <n v="6"/>
    <n v="2"/>
    <x v="0"/>
    <n v="28.186274509803919"/>
  </r>
  <r>
    <x v="908"/>
    <x v="2"/>
    <s v="Louisville, KY"/>
    <d v="2025-04-03T00:00:00"/>
    <d v="1899-12-30T19:45:00"/>
    <d v="2025-04-03T00:00:00"/>
    <d v="1899-12-30T20:15:00"/>
    <x v="3"/>
    <s v="XL"/>
    <s v="Cheese Burst"/>
    <n v="5"/>
    <n v="6"/>
    <s v="High"/>
    <s v="UPI"/>
    <x v="0"/>
    <x v="0"/>
    <n v="5"/>
    <n v="0.83333333333333337"/>
    <x v="3"/>
    <s v="Online"/>
    <n v="14.4"/>
    <n v="15.6"/>
    <x v="0"/>
    <n v="20"/>
    <n v="3"/>
    <x v="3"/>
    <n v="28.844221105527641"/>
  </r>
  <r>
    <x v="909"/>
    <x v="4"/>
    <s v="Milwaukee, WI"/>
    <d v="2025-04-04T00:00:00"/>
    <d v="1899-12-30T20:00:00"/>
    <d v="2025-04-04T00:00:00"/>
    <d v="1899-12-30T20:30:00"/>
    <x v="3"/>
    <s v="Medium"/>
    <s v="Margarita"/>
    <n v="3"/>
    <n v="4.5"/>
    <s v="Medium"/>
    <s v="Cash"/>
    <x v="0"/>
    <x v="1"/>
    <n v="6.666666666666667"/>
    <n v="0.66666666666666663"/>
    <x v="3"/>
    <s v="Offline"/>
    <n v="10.8"/>
    <n v="19.2"/>
    <x v="0"/>
    <n v="6"/>
    <n v="2"/>
    <x v="1"/>
    <n v="30.286458333333329"/>
  </r>
  <r>
    <x v="910"/>
    <x v="0"/>
    <s v="Albuquerque, NM"/>
    <d v="2025-04-05T00:00:00"/>
    <d v="1899-12-30T19:15:00"/>
    <d v="2025-04-05T00:00:00"/>
    <d v="1899-12-30T19:45:00"/>
    <x v="3"/>
    <s v="Large"/>
    <s v="Sicilian"/>
    <n v="4"/>
    <n v="5.5"/>
    <s v="Medium"/>
    <s v="UPI"/>
    <x v="0"/>
    <x v="1"/>
    <n v="5.4545454545454541"/>
    <n v="0.72727272727272729"/>
    <x v="3"/>
    <s v="Online"/>
    <n v="13.2"/>
    <n v="16.8"/>
    <x v="0"/>
    <n v="12"/>
    <n v="2"/>
    <x v="3"/>
    <n v="30.259433962264151"/>
  </r>
  <r>
    <x v="911"/>
    <x v="3"/>
    <s v="Atlanta, GA"/>
    <d v="2025-04-06T00:00:00"/>
    <d v="1899-12-30T20:30:00"/>
    <d v="2025-04-06T00:00:00"/>
    <d v="1899-12-30T21:00:00"/>
    <x v="3"/>
    <s v="Medium"/>
    <s v="Veg"/>
    <n v="2"/>
    <n v="4"/>
    <s v="Low"/>
    <s v="Wallet"/>
    <x v="0"/>
    <x v="0"/>
    <n v="7.5"/>
    <n v="0.5"/>
    <x v="3"/>
    <s v="Online"/>
    <n v="9.6"/>
    <n v="20.399999999999999"/>
    <x v="0"/>
    <n v="4"/>
    <n v="1"/>
    <x v="1"/>
    <n v="29.948453608247419"/>
  </r>
  <r>
    <x v="912"/>
    <x v="1"/>
    <s v="Omaha, NE"/>
    <d v="2025-04-07T00:00:00"/>
    <d v="1899-12-30T18:00:00"/>
    <d v="2025-04-07T00:00:00"/>
    <d v="1899-12-30T18:30:00"/>
    <x v="3"/>
    <s v="Medium"/>
    <s v="BBQ Chicken"/>
    <n v="3"/>
    <n v="5"/>
    <s v="Medium"/>
    <s v="Card"/>
    <x v="0"/>
    <x v="0"/>
    <n v="6"/>
    <n v="0.6"/>
    <x v="3"/>
    <s v="Online"/>
    <n v="12"/>
    <n v="18"/>
    <x v="0"/>
    <n v="6"/>
    <n v="2"/>
    <x v="0"/>
    <n v="28.186274509803919"/>
  </r>
  <r>
    <x v="913"/>
    <x v="2"/>
    <s v="Louisville, KY"/>
    <d v="2025-04-08T00:00:00"/>
    <d v="1899-12-30T19:15:00"/>
    <d v="2025-04-08T00:00:00"/>
    <d v="1899-12-30T19:45:00"/>
    <x v="3"/>
    <s v="XL"/>
    <s v="Cheese Burst"/>
    <n v="5"/>
    <n v="6"/>
    <s v="High"/>
    <s v="UPI"/>
    <x v="0"/>
    <x v="0"/>
    <n v="5"/>
    <n v="0.83333333333333337"/>
    <x v="3"/>
    <s v="Online"/>
    <n v="14.4"/>
    <n v="15.6"/>
    <x v="0"/>
    <n v="20"/>
    <n v="3"/>
    <x v="3"/>
    <n v="28.844221105527641"/>
  </r>
  <r>
    <x v="914"/>
    <x v="4"/>
    <s v="Milwaukee, WI"/>
    <d v="2025-04-09T00:00:00"/>
    <d v="1899-12-30T20:30:00"/>
    <d v="2025-04-09T00:00:00"/>
    <d v="1899-12-30T21:00:00"/>
    <x v="3"/>
    <s v="Medium"/>
    <s v="Margarita"/>
    <n v="3"/>
    <n v="4.5"/>
    <s v="Medium"/>
    <s v="Cash"/>
    <x v="0"/>
    <x v="0"/>
    <n v="6.666666666666667"/>
    <n v="0.66666666666666663"/>
    <x v="3"/>
    <s v="Offline"/>
    <n v="10.8"/>
    <n v="19.2"/>
    <x v="0"/>
    <n v="6"/>
    <n v="2"/>
    <x v="1"/>
    <n v="30.286458333333329"/>
  </r>
  <r>
    <x v="915"/>
    <x v="0"/>
    <s v="Albuquerque, NM"/>
    <d v="2025-04-10T00:00:00"/>
    <d v="1899-12-30T19:00:00"/>
    <d v="2025-04-10T00:00:00"/>
    <d v="1899-12-30T19:30:00"/>
    <x v="3"/>
    <s v="Large"/>
    <s v="Sicilian"/>
    <n v="4"/>
    <n v="5.5"/>
    <s v="Medium"/>
    <s v="UPI"/>
    <x v="0"/>
    <x v="0"/>
    <n v="5.4545454545454541"/>
    <n v="0.72727272727272729"/>
    <x v="3"/>
    <s v="Online"/>
    <n v="13.2"/>
    <n v="16.8"/>
    <x v="0"/>
    <n v="12"/>
    <n v="2"/>
    <x v="3"/>
    <n v="30.259433962264151"/>
  </r>
  <r>
    <x v="916"/>
    <x v="3"/>
    <s v="Atlanta, GA"/>
    <d v="2025-04-11T00:00:00"/>
    <d v="1899-12-30T20:15:00"/>
    <d v="2025-04-11T00:00:00"/>
    <d v="1899-12-30T20:45:00"/>
    <x v="3"/>
    <s v="Medium"/>
    <s v="Veg"/>
    <n v="2"/>
    <n v="4"/>
    <s v="Low"/>
    <s v="Wallet"/>
    <x v="0"/>
    <x v="1"/>
    <n v="7.5"/>
    <n v="0.5"/>
    <x v="3"/>
    <s v="Online"/>
    <n v="9.6"/>
    <n v="20.399999999999999"/>
    <x v="0"/>
    <n v="4"/>
    <n v="1"/>
    <x v="1"/>
    <n v="29.948453608247419"/>
  </r>
  <r>
    <x v="917"/>
    <x v="1"/>
    <s v="Omaha, NE"/>
    <d v="2025-04-12T00:00:00"/>
    <d v="1899-12-30T18:30:00"/>
    <d v="2025-04-12T00:00:00"/>
    <d v="1899-12-30T19:00:00"/>
    <x v="3"/>
    <s v="Medium"/>
    <s v="BBQ Chicken"/>
    <n v="3"/>
    <n v="5"/>
    <s v="Medium"/>
    <s v="Card"/>
    <x v="0"/>
    <x v="1"/>
    <n v="6"/>
    <n v="0.6"/>
    <x v="3"/>
    <s v="Online"/>
    <n v="12"/>
    <n v="18"/>
    <x v="0"/>
    <n v="6"/>
    <n v="2"/>
    <x v="0"/>
    <n v="28.186274509803919"/>
  </r>
  <r>
    <x v="918"/>
    <x v="2"/>
    <s v="Louisville, KY"/>
    <d v="2025-04-13T00:00:00"/>
    <d v="1899-12-30T19:45:00"/>
    <d v="2025-04-13T00:00:00"/>
    <d v="1899-12-30T20:15:00"/>
    <x v="3"/>
    <s v="XL"/>
    <s v="Cheese Burst"/>
    <n v="5"/>
    <n v="6"/>
    <s v="High"/>
    <s v="UPI"/>
    <x v="0"/>
    <x v="0"/>
    <n v="5"/>
    <n v="0.83333333333333337"/>
    <x v="3"/>
    <s v="Online"/>
    <n v="14.4"/>
    <n v="15.6"/>
    <x v="0"/>
    <n v="20"/>
    <n v="3"/>
    <x v="3"/>
    <n v="28.844221105527641"/>
  </r>
  <r>
    <x v="919"/>
    <x v="4"/>
    <s v="Milwaukee, WI"/>
    <d v="2025-04-14T00:00:00"/>
    <d v="1899-12-30T20:00:00"/>
    <d v="2025-04-14T00:00:00"/>
    <d v="1899-12-30T20:30:00"/>
    <x v="3"/>
    <s v="Medium"/>
    <s v="Margarita"/>
    <n v="3"/>
    <n v="4.5"/>
    <s v="Medium"/>
    <s v="Cash"/>
    <x v="0"/>
    <x v="0"/>
    <n v="6.666666666666667"/>
    <n v="0.66666666666666663"/>
    <x v="3"/>
    <s v="Offline"/>
    <n v="10.8"/>
    <n v="19.2"/>
    <x v="0"/>
    <n v="6"/>
    <n v="2"/>
    <x v="1"/>
    <n v="30.286458333333329"/>
  </r>
  <r>
    <x v="920"/>
    <x v="1"/>
    <s v="Omaha, NE"/>
    <d v="2025-04-15T00:00:00"/>
    <d v="1899-12-30T18:00:00"/>
    <d v="2025-04-15T00:00:00"/>
    <d v="1899-12-30T18:30:00"/>
    <x v="3"/>
    <s v="Medium"/>
    <s v="BBQ Chicken"/>
    <n v="3"/>
    <n v="5"/>
    <s v="Medium"/>
    <s v="UPI"/>
    <x v="0"/>
    <x v="0"/>
    <n v="6"/>
    <n v="0.6"/>
    <x v="3"/>
    <s v="Online"/>
    <n v="12"/>
    <n v="18"/>
    <x v="0"/>
    <n v="6"/>
    <n v="2"/>
    <x v="0"/>
    <n v="28.186274509803919"/>
  </r>
  <r>
    <x v="921"/>
    <x v="2"/>
    <s v="Louisville, KY"/>
    <d v="2025-04-16T00:00:00"/>
    <d v="1899-12-30T19:15:00"/>
    <d v="2025-04-16T00:00:00"/>
    <d v="1899-12-30T19:45:00"/>
    <x v="3"/>
    <s v="XL"/>
    <s v="Cheese Burst"/>
    <n v="5"/>
    <n v="6"/>
    <s v="High"/>
    <s v="Card"/>
    <x v="0"/>
    <x v="0"/>
    <n v="5"/>
    <n v="0.83333333333333337"/>
    <x v="3"/>
    <s v="Online"/>
    <n v="14.4"/>
    <n v="15.6"/>
    <x v="0"/>
    <n v="20"/>
    <n v="3"/>
    <x v="3"/>
    <n v="28.844221105527641"/>
  </r>
  <r>
    <x v="922"/>
    <x v="4"/>
    <s v="Milwaukee, WI"/>
    <d v="2025-04-17T00:00:00"/>
    <d v="1899-12-30T20:30:00"/>
    <d v="2025-04-17T00:00:00"/>
    <d v="1899-12-30T21:00:00"/>
    <x v="3"/>
    <s v="Medium"/>
    <s v="Margarita"/>
    <n v="3"/>
    <n v="4.5"/>
    <s v="Medium"/>
    <s v="Cash"/>
    <x v="0"/>
    <x v="0"/>
    <n v="6.666666666666667"/>
    <n v="0.66666666666666663"/>
    <x v="3"/>
    <s v="Offline"/>
    <n v="10.8"/>
    <n v="19.2"/>
    <x v="0"/>
    <n v="6"/>
    <n v="2"/>
    <x v="1"/>
    <n v="30.286458333333329"/>
  </r>
  <r>
    <x v="923"/>
    <x v="0"/>
    <s v="Albuquerque, NM"/>
    <d v="2025-04-18T00:00:00"/>
    <d v="1899-12-30T19:00:00"/>
    <d v="2025-04-18T00:00:00"/>
    <d v="1899-12-30T19:30:00"/>
    <x v="3"/>
    <s v="Large"/>
    <s v="Sicilian"/>
    <n v="4"/>
    <n v="5.5"/>
    <s v="Medium"/>
    <s v="UPI"/>
    <x v="0"/>
    <x v="1"/>
    <n v="5.4545454545454541"/>
    <n v="0.72727272727272729"/>
    <x v="3"/>
    <s v="Online"/>
    <n v="13.2"/>
    <n v="16.8"/>
    <x v="0"/>
    <n v="12"/>
    <n v="2"/>
    <x v="3"/>
    <n v="30.259433962264151"/>
  </r>
  <r>
    <x v="924"/>
    <x v="3"/>
    <s v="Atlanta, GA"/>
    <d v="2025-04-19T00:00:00"/>
    <d v="1899-12-30T20:15:00"/>
    <d v="2025-04-19T00:00:00"/>
    <d v="1899-12-30T20:45:00"/>
    <x v="3"/>
    <s v="Medium"/>
    <s v="Veg"/>
    <n v="2"/>
    <n v="4"/>
    <s v="Low"/>
    <s v="Wallet"/>
    <x v="0"/>
    <x v="1"/>
    <n v="7.5"/>
    <n v="0.5"/>
    <x v="3"/>
    <s v="Online"/>
    <n v="9.6"/>
    <n v="20.399999999999999"/>
    <x v="0"/>
    <n v="4"/>
    <n v="1"/>
    <x v="1"/>
    <n v="29.948453608247419"/>
  </r>
  <r>
    <x v="925"/>
    <x v="1"/>
    <s v="Omaha, NE"/>
    <d v="2025-04-20T00:00:00"/>
    <d v="1899-12-30T18:30:00"/>
    <d v="2025-04-20T00:00:00"/>
    <d v="1899-12-30T19:00:00"/>
    <x v="3"/>
    <s v="Medium"/>
    <s v="BBQ Chicken"/>
    <n v="3"/>
    <n v="5"/>
    <s v="Medium"/>
    <s v="Card"/>
    <x v="0"/>
    <x v="0"/>
    <n v="6"/>
    <n v="0.6"/>
    <x v="3"/>
    <s v="Online"/>
    <n v="12"/>
    <n v="18"/>
    <x v="0"/>
    <n v="6"/>
    <n v="2"/>
    <x v="0"/>
    <n v="28.186274509803919"/>
  </r>
  <r>
    <x v="926"/>
    <x v="2"/>
    <s v="Louisville, KY"/>
    <d v="2025-04-21T00:00:00"/>
    <d v="1899-12-30T19:45:00"/>
    <d v="2025-04-21T00:00:00"/>
    <d v="1899-12-30T20:15:00"/>
    <x v="3"/>
    <s v="XL"/>
    <s v="Cheese Burst"/>
    <n v="5"/>
    <n v="6"/>
    <s v="High"/>
    <s v="UPI"/>
    <x v="0"/>
    <x v="0"/>
    <n v="5"/>
    <n v="0.83333333333333337"/>
    <x v="3"/>
    <s v="Online"/>
    <n v="14.4"/>
    <n v="15.6"/>
    <x v="0"/>
    <n v="20"/>
    <n v="3"/>
    <x v="3"/>
    <n v="28.844221105527641"/>
  </r>
  <r>
    <x v="927"/>
    <x v="4"/>
    <s v="Milwaukee, WI"/>
    <d v="2025-04-22T00:00:00"/>
    <d v="1899-12-30T20:00:00"/>
    <d v="2025-04-22T00:00:00"/>
    <d v="1899-12-30T20:30:00"/>
    <x v="3"/>
    <s v="Medium"/>
    <s v="Margarita"/>
    <n v="3"/>
    <n v="4.5"/>
    <s v="Medium"/>
    <s v="Cash"/>
    <x v="0"/>
    <x v="0"/>
    <n v="6.666666666666667"/>
    <n v="0.66666666666666663"/>
    <x v="3"/>
    <s v="Offline"/>
    <n v="10.8"/>
    <n v="19.2"/>
    <x v="0"/>
    <n v="6"/>
    <n v="2"/>
    <x v="1"/>
    <n v="30.286458333333329"/>
  </r>
  <r>
    <x v="928"/>
    <x v="0"/>
    <s v="Albuquerque, NM"/>
    <d v="2025-04-23T00:00:00"/>
    <d v="1899-12-30T19:15:00"/>
    <d v="2025-04-23T00:00:00"/>
    <d v="1899-12-30T19:45:00"/>
    <x v="3"/>
    <s v="Large"/>
    <s v="Sicilian"/>
    <n v="4"/>
    <n v="5.5"/>
    <s v="Medium"/>
    <s v="UPI"/>
    <x v="0"/>
    <x v="0"/>
    <n v="5.4545454545454541"/>
    <n v="0.72727272727272729"/>
    <x v="3"/>
    <s v="Online"/>
    <n v="13.2"/>
    <n v="16.8"/>
    <x v="0"/>
    <n v="12"/>
    <n v="2"/>
    <x v="3"/>
    <n v="30.259433962264151"/>
  </r>
  <r>
    <x v="929"/>
    <x v="3"/>
    <s v="Atlanta, GA"/>
    <d v="2025-04-24T00:00:00"/>
    <d v="1899-12-30T20:30:00"/>
    <d v="2025-04-24T00:00:00"/>
    <d v="1899-12-30T21:00:00"/>
    <x v="3"/>
    <s v="Medium"/>
    <s v="Veg"/>
    <n v="2"/>
    <n v="4"/>
    <s v="Low"/>
    <s v="Wallet"/>
    <x v="0"/>
    <x v="0"/>
    <n v="7.5"/>
    <n v="0.5"/>
    <x v="3"/>
    <s v="Online"/>
    <n v="9.6"/>
    <n v="20.399999999999999"/>
    <x v="0"/>
    <n v="4"/>
    <n v="1"/>
    <x v="1"/>
    <n v="29.948453608247419"/>
  </r>
  <r>
    <x v="930"/>
    <x v="1"/>
    <s v="Omaha, NE"/>
    <d v="2025-04-25T00:00:00"/>
    <d v="1899-12-30T18:00:00"/>
    <d v="2025-04-25T00:00:00"/>
    <d v="1899-12-30T18:30:00"/>
    <x v="3"/>
    <s v="Medium"/>
    <s v="BBQ Chicken"/>
    <n v="3"/>
    <n v="5"/>
    <s v="Medium"/>
    <s v="Card"/>
    <x v="0"/>
    <x v="1"/>
    <n v="6"/>
    <n v="0.6"/>
    <x v="3"/>
    <s v="Online"/>
    <n v="12"/>
    <n v="18"/>
    <x v="0"/>
    <n v="6"/>
    <n v="2"/>
    <x v="0"/>
    <n v="28.186274509803919"/>
  </r>
  <r>
    <x v="931"/>
    <x v="2"/>
    <s v="Louisville, KY"/>
    <d v="2025-04-26T00:00:00"/>
    <d v="1899-12-30T19:15:00"/>
    <d v="2025-04-26T00:00:00"/>
    <d v="1899-12-30T19:45:00"/>
    <x v="3"/>
    <s v="XL"/>
    <s v="Cheese Burst"/>
    <n v="5"/>
    <n v="6"/>
    <s v="High"/>
    <s v="UPI"/>
    <x v="0"/>
    <x v="1"/>
    <n v="5"/>
    <n v="0.83333333333333337"/>
    <x v="3"/>
    <s v="Online"/>
    <n v="14.4"/>
    <n v="15.6"/>
    <x v="0"/>
    <n v="20"/>
    <n v="3"/>
    <x v="3"/>
    <n v="28.844221105527641"/>
  </r>
  <r>
    <x v="932"/>
    <x v="4"/>
    <s v="Milwaukee, WI"/>
    <d v="2025-04-27T00:00:00"/>
    <d v="1899-12-30T20:30:00"/>
    <d v="2025-04-27T00:00:00"/>
    <d v="1899-12-30T21:00:00"/>
    <x v="3"/>
    <s v="Medium"/>
    <s v="Margarita"/>
    <n v="3"/>
    <n v="4.5"/>
    <s v="Medium"/>
    <s v="Cash"/>
    <x v="0"/>
    <x v="0"/>
    <n v="6.666666666666667"/>
    <n v="0.66666666666666663"/>
    <x v="3"/>
    <s v="Offline"/>
    <n v="10.8"/>
    <n v="19.2"/>
    <x v="0"/>
    <n v="6"/>
    <n v="2"/>
    <x v="1"/>
    <n v="30.286458333333329"/>
  </r>
  <r>
    <x v="933"/>
    <x v="0"/>
    <s v="Albuquerque, NM"/>
    <d v="2025-04-28T00:00:00"/>
    <d v="1899-12-30T19:00:00"/>
    <d v="2025-04-28T00:00:00"/>
    <d v="1899-12-30T19:30:00"/>
    <x v="3"/>
    <s v="Large"/>
    <s v="Sicilian"/>
    <n v="4"/>
    <n v="5.5"/>
    <s v="Medium"/>
    <s v="UPI"/>
    <x v="0"/>
    <x v="0"/>
    <n v="5.4545454545454541"/>
    <n v="0.72727272727272729"/>
    <x v="3"/>
    <s v="Online"/>
    <n v="13.2"/>
    <n v="16.8"/>
    <x v="0"/>
    <n v="12"/>
    <n v="2"/>
    <x v="3"/>
    <n v="30.259433962264151"/>
  </r>
  <r>
    <x v="934"/>
    <x v="3"/>
    <s v="Atlanta, GA"/>
    <d v="2025-04-29T00:00:00"/>
    <d v="1899-12-30T20:15:00"/>
    <d v="2025-04-29T00:00:00"/>
    <d v="1899-12-30T20:45:00"/>
    <x v="3"/>
    <s v="Medium"/>
    <s v="Veg"/>
    <n v="2"/>
    <n v="4"/>
    <s v="Low"/>
    <s v="Wallet"/>
    <x v="0"/>
    <x v="0"/>
    <n v="7.5"/>
    <n v="0.5"/>
    <x v="3"/>
    <s v="Online"/>
    <n v="9.6"/>
    <n v="20.399999999999999"/>
    <x v="0"/>
    <n v="4"/>
    <n v="1"/>
    <x v="1"/>
    <n v="29.948453608247419"/>
  </r>
  <r>
    <x v="935"/>
    <x v="1"/>
    <s v="Omaha, NE"/>
    <d v="2025-04-30T00:00:00"/>
    <d v="1899-12-30T18:30:00"/>
    <d v="2025-04-30T00:00:00"/>
    <d v="1899-12-30T19:00:00"/>
    <x v="3"/>
    <s v="Medium"/>
    <s v="BBQ Chicken"/>
    <n v="3"/>
    <n v="5"/>
    <s v="Medium"/>
    <s v="Card"/>
    <x v="0"/>
    <x v="0"/>
    <n v="6"/>
    <n v="0.6"/>
    <x v="3"/>
    <s v="Online"/>
    <n v="12"/>
    <n v="18"/>
    <x v="0"/>
    <n v="6"/>
    <n v="2"/>
    <x v="0"/>
    <n v="28.186274509803919"/>
  </r>
  <r>
    <x v="936"/>
    <x v="2"/>
    <s v="Louisville, KY"/>
    <d v="2025-05-01T00:00:00"/>
    <d v="1899-12-30T19:45:00"/>
    <d v="2025-05-01T00:00:00"/>
    <d v="1899-12-30T20:15:00"/>
    <x v="3"/>
    <s v="XL"/>
    <s v="Cheese Burst"/>
    <n v="5"/>
    <n v="6"/>
    <s v="High"/>
    <s v="UPI"/>
    <x v="0"/>
    <x v="0"/>
    <n v="5"/>
    <n v="0.83333333333333337"/>
    <x v="4"/>
    <s v="Online"/>
    <n v="14.4"/>
    <n v="15.6"/>
    <x v="0"/>
    <n v="20"/>
    <n v="3"/>
    <x v="3"/>
    <n v="28.844221105527641"/>
  </r>
  <r>
    <x v="937"/>
    <x v="4"/>
    <s v="Milwaukee, WI"/>
    <d v="2025-05-02T00:00:00"/>
    <d v="1899-12-30T20:00:00"/>
    <d v="2025-05-02T00:00:00"/>
    <d v="1899-12-30T20:30:00"/>
    <x v="3"/>
    <s v="Medium"/>
    <s v="Margarita"/>
    <n v="3"/>
    <n v="4.5"/>
    <s v="Medium"/>
    <s v="Cash"/>
    <x v="0"/>
    <x v="1"/>
    <n v="6.666666666666667"/>
    <n v="0.66666666666666663"/>
    <x v="4"/>
    <s v="Offline"/>
    <n v="10.8"/>
    <n v="19.2"/>
    <x v="0"/>
    <n v="6"/>
    <n v="2"/>
    <x v="1"/>
    <n v="30.286458333333329"/>
  </r>
  <r>
    <x v="938"/>
    <x v="0"/>
    <s v="Albuquerque, NM"/>
    <d v="2025-05-03T00:00:00"/>
    <d v="1899-12-30T19:15:00"/>
    <d v="2025-05-03T00:00:00"/>
    <d v="1899-12-30T19:45:00"/>
    <x v="3"/>
    <s v="Large"/>
    <s v="Sicilian"/>
    <n v="4"/>
    <n v="5.5"/>
    <s v="Medium"/>
    <s v="UPI"/>
    <x v="0"/>
    <x v="1"/>
    <n v="5.4545454545454541"/>
    <n v="0.72727272727272729"/>
    <x v="4"/>
    <s v="Online"/>
    <n v="13.2"/>
    <n v="16.8"/>
    <x v="0"/>
    <n v="12"/>
    <n v="2"/>
    <x v="3"/>
    <n v="30.259433962264151"/>
  </r>
  <r>
    <x v="939"/>
    <x v="3"/>
    <s v="Atlanta, GA"/>
    <d v="2025-05-04T00:00:00"/>
    <d v="1899-12-30T20:30:00"/>
    <d v="2025-05-04T00:00:00"/>
    <d v="1899-12-30T21:00:00"/>
    <x v="3"/>
    <s v="Medium"/>
    <s v="Veg"/>
    <n v="2"/>
    <n v="4"/>
    <s v="Low"/>
    <s v="Wallet"/>
    <x v="0"/>
    <x v="0"/>
    <n v="7.5"/>
    <n v="0.5"/>
    <x v="4"/>
    <s v="Online"/>
    <n v="9.6"/>
    <n v="20.399999999999999"/>
    <x v="0"/>
    <n v="4"/>
    <n v="1"/>
    <x v="1"/>
    <n v="29.948453608247419"/>
  </r>
  <r>
    <x v="940"/>
    <x v="1"/>
    <s v="Omaha, NE"/>
    <d v="2025-05-05T00:00:00"/>
    <d v="1899-12-30T18:00:00"/>
    <d v="2025-05-05T00:00:00"/>
    <d v="1899-12-30T18:30:00"/>
    <x v="3"/>
    <s v="Medium"/>
    <s v="BBQ Chicken"/>
    <n v="3"/>
    <n v="5"/>
    <s v="Medium"/>
    <s v="Card"/>
    <x v="0"/>
    <x v="0"/>
    <n v="6"/>
    <n v="0.6"/>
    <x v="4"/>
    <s v="Online"/>
    <n v="12"/>
    <n v="18"/>
    <x v="0"/>
    <n v="6"/>
    <n v="2"/>
    <x v="0"/>
    <n v="28.186274509803919"/>
  </r>
  <r>
    <x v="941"/>
    <x v="2"/>
    <s v="Louisville, KY"/>
    <d v="2025-05-06T00:00:00"/>
    <d v="1899-12-30T19:15:00"/>
    <d v="2025-05-06T00:00:00"/>
    <d v="1899-12-30T19:45:00"/>
    <x v="3"/>
    <s v="XL"/>
    <s v="Cheese Burst"/>
    <n v="5"/>
    <n v="6"/>
    <s v="High"/>
    <s v="UPI"/>
    <x v="0"/>
    <x v="0"/>
    <n v="5"/>
    <n v="0.83333333333333337"/>
    <x v="4"/>
    <s v="Online"/>
    <n v="14.4"/>
    <n v="15.6"/>
    <x v="0"/>
    <n v="20"/>
    <n v="3"/>
    <x v="3"/>
    <n v="28.844221105527641"/>
  </r>
  <r>
    <x v="942"/>
    <x v="4"/>
    <s v="Milwaukee, WI"/>
    <d v="2025-05-07T00:00:00"/>
    <d v="1899-12-30T20:30:00"/>
    <d v="2025-05-07T00:00:00"/>
    <d v="1899-12-30T21:00:00"/>
    <x v="3"/>
    <s v="Medium"/>
    <s v="Margarita"/>
    <n v="3"/>
    <n v="4.5"/>
    <s v="Medium"/>
    <s v="Cash"/>
    <x v="0"/>
    <x v="0"/>
    <n v="6.666666666666667"/>
    <n v="0.66666666666666663"/>
    <x v="4"/>
    <s v="Offline"/>
    <n v="10.8"/>
    <n v="19.2"/>
    <x v="0"/>
    <n v="6"/>
    <n v="2"/>
    <x v="1"/>
    <n v="30.286458333333329"/>
  </r>
  <r>
    <x v="943"/>
    <x v="0"/>
    <s v="Albuquerque, NM"/>
    <d v="2025-05-08T00:00:00"/>
    <d v="1899-12-30T19:00:00"/>
    <d v="2025-05-08T00:00:00"/>
    <d v="1899-12-30T19:30:00"/>
    <x v="3"/>
    <s v="Large"/>
    <s v="Sicilian"/>
    <n v="4"/>
    <n v="5.5"/>
    <s v="Medium"/>
    <s v="UPI"/>
    <x v="0"/>
    <x v="0"/>
    <n v="5.4545454545454541"/>
    <n v="0.72727272727272729"/>
    <x v="4"/>
    <s v="Online"/>
    <n v="13.2"/>
    <n v="16.8"/>
    <x v="0"/>
    <n v="12"/>
    <n v="2"/>
    <x v="3"/>
    <n v="30.259433962264151"/>
  </r>
  <r>
    <x v="944"/>
    <x v="3"/>
    <s v="Atlanta, GA"/>
    <d v="2025-05-09T00:00:00"/>
    <d v="1899-12-30T20:15:00"/>
    <d v="2025-05-09T00:00:00"/>
    <d v="1899-12-30T20:45:00"/>
    <x v="3"/>
    <s v="Medium"/>
    <s v="Veg"/>
    <n v="2"/>
    <n v="4"/>
    <s v="Low"/>
    <s v="Wallet"/>
    <x v="0"/>
    <x v="1"/>
    <n v="7.5"/>
    <n v="0.5"/>
    <x v="4"/>
    <s v="Online"/>
    <n v="9.6"/>
    <n v="20.399999999999999"/>
    <x v="0"/>
    <n v="4"/>
    <n v="1"/>
    <x v="1"/>
    <n v="29.948453608247419"/>
  </r>
  <r>
    <x v="945"/>
    <x v="1"/>
    <s v="Omaha, NE"/>
    <d v="2025-05-10T00:00:00"/>
    <d v="1899-12-30T18:30:00"/>
    <d v="2025-05-10T00:00:00"/>
    <d v="1899-12-30T19:00:00"/>
    <x v="3"/>
    <s v="Medium"/>
    <s v="BBQ Chicken"/>
    <n v="3"/>
    <n v="5"/>
    <s v="Medium"/>
    <s v="Card"/>
    <x v="0"/>
    <x v="1"/>
    <n v="6"/>
    <n v="0.6"/>
    <x v="4"/>
    <s v="Online"/>
    <n v="12"/>
    <n v="18"/>
    <x v="0"/>
    <n v="6"/>
    <n v="2"/>
    <x v="0"/>
    <n v="28.186274509803919"/>
  </r>
  <r>
    <x v="946"/>
    <x v="2"/>
    <s v="Louisville, KY"/>
    <d v="2025-05-11T00:00:00"/>
    <d v="1899-12-30T19:45:00"/>
    <d v="2025-05-11T00:00:00"/>
    <d v="1899-12-30T20:15:00"/>
    <x v="3"/>
    <s v="XL"/>
    <s v="Cheese Burst"/>
    <n v="5"/>
    <n v="6"/>
    <s v="High"/>
    <s v="UPI"/>
    <x v="0"/>
    <x v="0"/>
    <n v="5"/>
    <n v="0.83333333333333337"/>
    <x v="4"/>
    <s v="Online"/>
    <n v="14.4"/>
    <n v="15.6"/>
    <x v="0"/>
    <n v="20"/>
    <n v="3"/>
    <x v="3"/>
    <n v="28.844221105527641"/>
  </r>
  <r>
    <x v="947"/>
    <x v="4"/>
    <s v="Milwaukee, WI"/>
    <d v="2025-05-12T00:00:00"/>
    <d v="1899-12-30T20:00:00"/>
    <d v="2025-05-12T00:00:00"/>
    <d v="1899-12-30T20:30:00"/>
    <x v="3"/>
    <s v="Medium"/>
    <s v="Margarita"/>
    <n v="3"/>
    <n v="4.5"/>
    <s v="Medium"/>
    <s v="Cash"/>
    <x v="0"/>
    <x v="0"/>
    <n v="6.666666666666667"/>
    <n v="0.66666666666666663"/>
    <x v="4"/>
    <s v="Offline"/>
    <n v="10.8"/>
    <n v="19.2"/>
    <x v="0"/>
    <n v="6"/>
    <n v="2"/>
    <x v="1"/>
    <n v="30.286458333333329"/>
  </r>
  <r>
    <x v="948"/>
    <x v="1"/>
    <s v="Omaha, NE"/>
    <d v="2025-05-13T00:00:00"/>
    <d v="1899-12-30T18:00:00"/>
    <d v="2025-05-13T00:00:00"/>
    <d v="1899-12-30T18:30:00"/>
    <x v="3"/>
    <s v="Medium"/>
    <s v="BBQ Chicken"/>
    <n v="3"/>
    <n v="5"/>
    <s v="Medium"/>
    <s v="UPI"/>
    <x v="0"/>
    <x v="0"/>
    <n v="6"/>
    <n v="0.6"/>
    <x v="4"/>
    <s v="Online"/>
    <n v="12"/>
    <n v="18"/>
    <x v="0"/>
    <n v="6"/>
    <n v="2"/>
    <x v="0"/>
    <n v="28.186274509803919"/>
  </r>
  <r>
    <x v="949"/>
    <x v="2"/>
    <s v="Louisville, KY"/>
    <d v="2025-05-14T00:00:00"/>
    <d v="1899-12-30T19:15:00"/>
    <d v="2025-05-14T00:00:00"/>
    <d v="1899-12-30T19:45:00"/>
    <x v="3"/>
    <s v="XL"/>
    <s v="Cheese Burst"/>
    <n v="5"/>
    <n v="6"/>
    <s v="High"/>
    <s v="Card"/>
    <x v="0"/>
    <x v="0"/>
    <n v="5"/>
    <n v="0.83333333333333337"/>
    <x v="4"/>
    <s v="Online"/>
    <n v="14.4"/>
    <n v="15.6"/>
    <x v="0"/>
    <n v="20"/>
    <n v="3"/>
    <x v="3"/>
    <n v="28.844221105527641"/>
  </r>
  <r>
    <x v="950"/>
    <x v="4"/>
    <s v="Milwaukee, WI"/>
    <d v="2025-05-15T00:00:00"/>
    <d v="1899-12-30T20:30:00"/>
    <d v="2025-05-15T00:00:00"/>
    <d v="1899-12-30T21:00:00"/>
    <x v="3"/>
    <s v="Medium"/>
    <s v="Margarita"/>
    <n v="3"/>
    <n v="4.5"/>
    <s v="Medium"/>
    <s v="Cash"/>
    <x v="0"/>
    <x v="0"/>
    <n v="6.666666666666667"/>
    <n v="0.66666666666666663"/>
    <x v="4"/>
    <s v="Offline"/>
    <n v="10.8"/>
    <n v="19.2"/>
    <x v="0"/>
    <n v="6"/>
    <n v="2"/>
    <x v="1"/>
    <n v="30.286458333333329"/>
  </r>
  <r>
    <x v="951"/>
    <x v="0"/>
    <s v="Albuquerque, NM"/>
    <d v="2025-05-16T00:00:00"/>
    <d v="1899-12-30T19:00:00"/>
    <d v="2025-05-16T00:00:00"/>
    <d v="1899-12-30T19:30:00"/>
    <x v="3"/>
    <s v="Large"/>
    <s v="Sicilian"/>
    <n v="4"/>
    <n v="5.5"/>
    <s v="Medium"/>
    <s v="UPI"/>
    <x v="0"/>
    <x v="1"/>
    <n v="5.4545454545454541"/>
    <n v="0.72727272727272729"/>
    <x v="4"/>
    <s v="Online"/>
    <n v="13.2"/>
    <n v="16.8"/>
    <x v="0"/>
    <n v="12"/>
    <n v="2"/>
    <x v="3"/>
    <n v="30.259433962264151"/>
  </r>
  <r>
    <x v="952"/>
    <x v="3"/>
    <s v="Atlanta, GA"/>
    <d v="2025-05-17T00:00:00"/>
    <d v="1899-12-30T20:15:00"/>
    <d v="2025-05-17T00:00:00"/>
    <d v="1899-12-30T20:45:00"/>
    <x v="3"/>
    <s v="Medium"/>
    <s v="Veg"/>
    <n v="2"/>
    <n v="4"/>
    <s v="Low"/>
    <s v="Wallet"/>
    <x v="0"/>
    <x v="1"/>
    <n v="7.5"/>
    <n v="0.5"/>
    <x v="4"/>
    <s v="Online"/>
    <n v="9.6"/>
    <n v="20.399999999999999"/>
    <x v="0"/>
    <n v="4"/>
    <n v="1"/>
    <x v="1"/>
    <n v="29.948453608247419"/>
  </r>
  <r>
    <x v="953"/>
    <x v="1"/>
    <s v="Omaha, NE"/>
    <d v="2025-05-18T00:00:00"/>
    <d v="1899-12-30T18:30:00"/>
    <d v="2025-05-18T00:00:00"/>
    <d v="1899-12-30T19:00:00"/>
    <x v="3"/>
    <s v="Medium"/>
    <s v="BBQ Chicken"/>
    <n v="3"/>
    <n v="5"/>
    <s v="Medium"/>
    <s v="Card"/>
    <x v="0"/>
    <x v="0"/>
    <n v="6"/>
    <n v="0.6"/>
    <x v="4"/>
    <s v="Online"/>
    <n v="12"/>
    <n v="18"/>
    <x v="0"/>
    <n v="6"/>
    <n v="2"/>
    <x v="0"/>
    <n v="28.186274509803919"/>
  </r>
  <r>
    <x v="954"/>
    <x v="2"/>
    <s v="Louisville, KY"/>
    <d v="2025-05-19T00:00:00"/>
    <d v="1899-12-30T19:45:00"/>
    <d v="2025-05-19T00:00:00"/>
    <d v="1899-12-30T20:15:00"/>
    <x v="3"/>
    <s v="XL"/>
    <s v="Cheese Burst"/>
    <n v="5"/>
    <n v="6"/>
    <s v="High"/>
    <s v="UPI"/>
    <x v="0"/>
    <x v="0"/>
    <n v="5"/>
    <n v="0.83333333333333337"/>
    <x v="4"/>
    <s v="Online"/>
    <n v="14.4"/>
    <n v="15.6"/>
    <x v="0"/>
    <n v="20"/>
    <n v="3"/>
    <x v="3"/>
    <n v="28.844221105527641"/>
  </r>
  <r>
    <x v="955"/>
    <x v="4"/>
    <s v="Milwaukee, WI"/>
    <d v="2025-05-20T00:00:00"/>
    <d v="1899-12-30T20:00:00"/>
    <d v="2025-05-20T00:00:00"/>
    <d v="1899-12-30T20:30:00"/>
    <x v="3"/>
    <s v="Medium"/>
    <s v="Margarita"/>
    <n v="3"/>
    <n v="4.5"/>
    <s v="Medium"/>
    <s v="Cash"/>
    <x v="0"/>
    <x v="0"/>
    <n v="6.666666666666667"/>
    <n v="0.66666666666666663"/>
    <x v="4"/>
    <s v="Offline"/>
    <n v="10.8"/>
    <n v="19.2"/>
    <x v="0"/>
    <n v="6"/>
    <n v="2"/>
    <x v="1"/>
    <n v="30.286458333333329"/>
  </r>
  <r>
    <x v="956"/>
    <x v="0"/>
    <s v="Albuquerque, NM"/>
    <d v="2025-05-21T00:00:00"/>
    <d v="1899-12-30T19:15:00"/>
    <d v="2025-05-21T00:00:00"/>
    <d v="1899-12-30T19:45:00"/>
    <x v="3"/>
    <s v="Large"/>
    <s v="Sicilian"/>
    <n v="4"/>
    <n v="5.5"/>
    <s v="Medium"/>
    <s v="UPI"/>
    <x v="0"/>
    <x v="0"/>
    <n v="5.4545454545454541"/>
    <n v="0.72727272727272729"/>
    <x v="4"/>
    <s v="Online"/>
    <n v="13.2"/>
    <n v="16.8"/>
    <x v="0"/>
    <n v="12"/>
    <n v="2"/>
    <x v="3"/>
    <n v="30.259433962264151"/>
  </r>
  <r>
    <x v="957"/>
    <x v="3"/>
    <s v="Atlanta, GA"/>
    <d v="2025-05-22T00:00:00"/>
    <d v="1899-12-30T20:30:00"/>
    <d v="2025-05-22T00:00:00"/>
    <d v="1899-12-30T21:00:00"/>
    <x v="3"/>
    <s v="Medium"/>
    <s v="Veg"/>
    <n v="2"/>
    <n v="4"/>
    <s v="Low"/>
    <s v="Wallet"/>
    <x v="0"/>
    <x v="0"/>
    <n v="7.5"/>
    <n v="0.5"/>
    <x v="4"/>
    <s v="Online"/>
    <n v="9.6"/>
    <n v="20.399999999999999"/>
    <x v="0"/>
    <n v="4"/>
    <n v="1"/>
    <x v="1"/>
    <n v="29.948453608247419"/>
  </r>
  <r>
    <x v="958"/>
    <x v="1"/>
    <s v="Omaha, NE"/>
    <d v="2025-05-23T00:00:00"/>
    <d v="1899-12-30T18:00:00"/>
    <d v="2025-05-23T00:00:00"/>
    <d v="1899-12-30T18:30:00"/>
    <x v="3"/>
    <s v="Medium"/>
    <s v="BBQ Chicken"/>
    <n v="3"/>
    <n v="5"/>
    <s v="Medium"/>
    <s v="UPI"/>
    <x v="0"/>
    <x v="1"/>
    <n v="6"/>
    <n v="0.6"/>
    <x v="4"/>
    <s v="Online"/>
    <n v="12"/>
    <n v="18"/>
    <x v="0"/>
    <n v="6"/>
    <n v="2"/>
    <x v="0"/>
    <n v="28.186274509803919"/>
  </r>
  <r>
    <x v="959"/>
    <x v="2"/>
    <s v="Louisville, KY"/>
    <d v="2025-05-24T00:00:00"/>
    <d v="1899-12-30T19:15:00"/>
    <d v="2025-05-24T00:00:00"/>
    <d v="1899-12-30T19:45:00"/>
    <x v="3"/>
    <s v="XL"/>
    <s v="Cheese Burst"/>
    <n v="5"/>
    <n v="6"/>
    <s v="High"/>
    <s v="Card"/>
    <x v="0"/>
    <x v="1"/>
    <n v="5"/>
    <n v="0.83333333333333337"/>
    <x v="4"/>
    <s v="Online"/>
    <n v="14.4"/>
    <n v="15.6"/>
    <x v="0"/>
    <n v="20"/>
    <n v="3"/>
    <x v="3"/>
    <n v="28.844221105527641"/>
  </r>
  <r>
    <x v="960"/>
    <x v="4"/>
    <s v="Milwaukee, WI"/>
    <d v="2025-05-25T00:00:00"/>
    <d v="1899-12-30T20:30:00"/>
    <d v="2025-05-25T00:00:00"/>
    <d v="1899-12-30T21:00:00"/>
    <x v="3"/>
    <s v="Medium"/>
    <s v="Margarita"/>
    <n v="3"/>
    <n v="4.5"/>
    <s v="Medium"/>
    <s v="Cash"/>
    <x v="0"/>
    <x v="0"/>
    <n v="6.666666666666667"/>
    <n v="0.66666666666666663"/>
    <x v="4"/>
    <s v="Offline"/>
    <n v="10.8"/>
    <n v="19.2"/>
    <x v="0"/>
    <n v="6"/>
    <n v="2"/>
    <x v="1"/>
    <n v="30.286458333333329"/>
  </r>
  <r>
    <x v="961"/>
    <x v="0"/>
    <s v="Albuquerque, NM"/>
    <d v="2025-05-26T00:00:00"/>
    <d v="1899-12-30T19:00:00"/>
    <d v="2025-05-26T00:00:00"/>
    <d v="1899-12-30T19:30:00"/>
    <x v="3"/>
    <s v="Large"/>
    <s v="Sicilian"/>
    <n v="4"/>
    <n v="5.5"/>
    <s v="Medium"/>
    <s v="UPI"/>
    <x v="0"/>
    <x v="0"/>
    <n v="5.4545454545454541"/>
    <n v="0.72727272727272729"/>
    <x v="4"/>
    <s v="Online"/>
    <n v="13.2"/>
    <n v="16.8"/>
    <x v="0"/>
    <n v="12"/>
    <n v="2"/>
    <x v="3"/>
    <n v="30.259433962264151"/>
  </r>
  <r>
    <x v="962"/>
    <x v="3"/>
    <s v="Atlanta, GA"/>
    <d v="2025-05-27T00:00:00"/>
    <d v="1899-12-30T20:15:00"/>
    <d v="2025-05-27T00:00:00"/>
    <d v="1899-12-30T20:45:00"/>
    <x v="3"/>
    <s v="Medium"/>
    <s v="Veg"/>
    <n v="2"/>
    <n v="4"/>
    <s v="Low"/>
    <s v="Wallet"/>
    <x v="0"/>
    <x v="0"/>
    <n v="7.5"/>
    <n v="0.5"/>
    <x v="4"/>
    <s v="Online"/>
    <n v="9.6"/>
    <n v="20.399999999999999"/>
    <x v="0"/>
    <n v="4"/>
    <n v="1"/>
    <x v="1"/>
    <n v="29.948453608247419"/>
  </r>
  <r>
    <x v="963"/>
    <x v="1"/>
    <s v="Omaha, NE"/>
    <d v="2025-05-28T00:00:00"/>
    <d v="1899-12-30T18:30:00"/>
    <d v="2025-05-28T00:00:00"/>
    <d v="1899-12-30T19:00:00"/>
    <x v="3"/>
    <s v="Medium"/>
    <s v="BBQ Chicken"/>
    <n v="3"/>
    <n v="5"/>
    <s v="Medium"/>
    <s v="Card"/>
    <x v="0"/>
    <x v="0"/>
    <n v="6"/>
    <n v="0.6"/>
    <x v="4"/>
    <s v="Online"/>
    <n v="12"/>
    <n v="18"/>
    <x v="0"/>
    <n v="6"/>
    <n v="2"/>
    <x v="0"/>
    <n v="28.186274509803919"/>
  </r>
  <r>
    <x v="964"/>
    <x v="2"/>
    <s v="Louisville, KY"/>
    <d v="2025-05-29T00:00:00"/>
    <d v="1899-12-30T19:45:00"/>
    <d v="2025-05-29T00:00:00"/>
    <d v="1899-12-30T20:15:00"/>
    <x v="3"/>
    <s v="XL"/>
    <s v="Cheese Burst"/>
    <n v="5"/>
    <n v="6"/>
    <s v="High"/>
    <s v="UPI"/>
    <x v="0"/>
    <x v="0"/>
    <n v="5"/>
    <n v="0.83333333333333337"/>
    <x v="4"/>
    <s v="Online"/>
    <n v="14.4"/>
    <n v="15.6"/>
    <x v="0"/>
    <n v="20"/>
    <n v="3"/>
    <x v="3"/>
    <n v="28.844221105527641"/>
  </r>
  <r>
    <x v="965"/>
    <x v="4"/>
    <s v="Milwaukee, WI"/>
    <d v="2025-05-30T00:00:00"/>
    <d v="1899-12-30T20:00:00"/>
    <d v="2025-05-30T00:00:00"/>
    <d v="1899-12-30T20:30:00"/>
    <x v="3"/>
    <s v="Medium"/>
    <s v="Margarita"/>
    <n v="3"/>
    <n v="4.5"/>
    <s v="Medium"/>
    <s v="Cash"/>
    <x v="0"/>
    <x v="1"/>
    <n v="6.666666666666667"/>
    <n v="0.66666666666666663"/>
    <x v="4"/>
    <s v="Offline"/>
    <n v="10.8"/>
    <n v="19.2"/>
    <x v="0"/>
    <n v="6"/>
    <n v="2"/>
    <x v="1"/>
    <n v="30.286458333333329"/>
  </r>
  <r>
    <x v="966"/>
    <x v="0"/>
    <s v="Albuquerque, NM"/>
    <d v="2025-05-31T00:00:00"/>
    <d v="1899-12-30T19:15:00"/>
    <d v="2025-05-31T00:00:00"/>
    <d v="1899-12-30T19:45:00"/>
    <x v="3"/>
    <s v="Large"/>
    <s v="Sicilian"/>
    <n v="4"/>
    <n v="5.5"/>
    <s v="Medium"/>
    <s v="UPI"/>
    <x v="0"/>
    <x v="1"/>
    <n v="5.4545454545454541"/>
    <n v="0.72727272727272729"/>
    <x v="4"/>
    <s v="Online"/>
    <n v="13.2"/>
    <n v="16.8"/>
    <x v="0"/>
    <n v="12"/>
    <n v="2"/>
    <x v="3"/>
    <n v="30.259433962264151"/>
  </r>
  <r>
    <x v="967"/>
    <x v="3"/>
    <s v="Atlanta, GA"/>
    <d v="2025-06-01T00:00:00"/>
    <d v="1899-12-30T20:30:00"/>
    <d v="2025-06-01T00:00:00"/>
    <d v="1899-12-30T21:00:00"/>
    <x v="3"/>
    <s v="Medium"/>
    <s v="Veg"/>
    <n v="2"/>
    <n v="4"/>
    <s v="Low"/>
    <s v="Wallet"/>
    <x v="0"/>
    <x v="0"/>
    <n v="7.5"/>
    <n v="0.5"/>
    <x v="6"/>
    <s v="Online"/>
    <n v="9.6"/>
    <n v="20.399999999999999"/>
    <x v="0"/>
    <n v="4"/>
    <n v="1"/>
    <x v="1"/>
    <n v="29.948453608247419"/>
  </r>
  <r>
    <x v="968"/>
    <x v="1"/>
    <s v="Omaha, NE"/>
    <d v="2025-06-02T00:00:00"/>
    <d v="1899-12-30T18:00:00"/>
    <d v="2025-06-02T00:00:00"/>
    <d v="1899-12-30T18:30:00"/>
    <x v="3"/>
    <s v="Medium"/>
    <s v="BBQ Chicken"/>
    <n v="3"/>
    <n v="5"/>
    <s v="Medium"/>
    <s v="UPI"/>
    <x v="0"/>
    <x v="0"/>
    <n v="6"/>
    <n v="0.6"/>
    <x v="6"/>
    <s v="Online"/>
    <n v="12"/>
    <n v="18"/>
    <x v="0"/>
    <n v="6"/>
    <n v="2"/>
    <x v="0"/>
    <n v="28.186274509803919"/>
  </r>
  <r>
    <x v="969"/>
    <x v="2"/>
    <s v="Louisville, KY"/>
    <d v="2025-06-03T00:00:00"/>
    <d v="1899-12-30T19:15:00"/>
    <d v="2025-06-03T00:00:00"/>
    <d v="1899-12-30T19:45:00"/>
    <x v="3"/>
    <s v="XL"/>
    <s v="Cheese Burst"/>
    <n v="5"/>
    <n v="6"/>
    <s v="High"/>
    <s v="Card"/>
    <x v="0"/>
    <x v="0"/>
    <n v="5"/>
    <n v="0.83333333333333337"/>
    <x v="6"/>
    <s v="Online"/>
    <n v="14.4"/>
    <n v="15.6"/>
    <x v="0"/>
    <n v="20"/>
    <n v="3"/>
    <x v="3"/>
    <n v="28.844221105527641"/>
  </r>
  <r>
    <x v="970"/>
    <x v="4"/>
    <s v="Milwaukee, WI"/>
    <d v="2025-06-04T00:00:00"/>
    <d v="1899-12-30T20:30:00"/>
    <d v="2025-06-04T00:00:00"/>
    <d v="1899-12-30T21:00:00"/>
    <x v="3"/>
    <s v="Medium"/>
    <s v="Margarita"/>
    <n v="3"/>
    <n v="4.5"/>
    <s v="Medium"/>
    <s v="Cash"/>
    <x v="0"/>
    <x v="0"/>
    <n v="6.666666666666667"/>
    <n v="0.66666666666666663"/>
    <x v="6"/>
    <s v="Offline"/>
    <n v="10.8"/>
    <n v="19.2"/>
    <x v="0"/>
    <n v="6"/>
    <n v="2"/>
    <x v="1"/>
    <n v="30.286458333333329"/>
  </r>
  <r>
    <x v="971"/>
    <x v="0"/>
    <s v="Albuquerque, NM"/>
    <d v="2025-06-05T00:00:00"/>
    <d v="1899-12-30T19:00:00"/>
    <d v="2025-06-05T00:00:00"/>
    <d v="1899-12-30T19:30:00"/>
    <x v="3"/>
    <s v="Large"/>
    <s v="Sicilian"/>
    <n v="4"/>
    <n v="5.5"/>
    <s v="Medium"/>
    <s v="UPI"/>
    <x v="0"/>
    <x v="0"/>
    <n v="5.4545454545454541"/>
    <n v="0.72727272727272729"/>
    <x v="6"/>
    <s v="Online"/>
    <n v="13.2"/>
    <n v="16.8"/>
    <x v="0"/>
    <n v="12"/>
    <n v="2"/>
    <x v="3"/>
    <n v="30.259433962264151"/>
  </r>
  <r>
    <x v="972"/>
    <x v="3"/>
    <s v="Atlanta, GA"/>
    <d v="2025-06-06T00:00:00"/>
    <d v="1899-12-30T20:15:00"/>
    <d v="2025-06-06T00:00:00"/>
    <d v="1899-12-30T20:45:00"/>
    <x v="3"/>
    <s v="Medium"/>
    <s v="Veg"/>
    <n v="2"/>
    <n v="4"/>
    <s v="Low"/>
    <s v="Wallet"/>
    <x v="0"/>
    <x v="1"/>
    <n v="7.5"/>
    <n v="0.5"/>
    <x v="6"/>
    <s v="Online"/>
    <n v="9.6"/>
    <n v="20.399999999999999"/>
    <x v="0"/>
    <n v="4"/>
    <n v="1"/>
    <x v="1"/>
    <n v="29.948453608247419"/>
  </r>
  <r>
    <x v="973"/>
    <x v="1"/>
    <s v="Omaha, NE"/>
    <d v="2025-06-07T00:00:00"/>
    <d v="1899-12-30T18:30:00"/>
    <d v="2025-06-07T00:00:00"/>
    <d v="1899-12-30T19:00:00"/>
    <x v="3"/>
    <s v="Medium"/>
    <s v="BBQ Chicken"/>
    <n v="3"/>
    <n v="5"/>
    <s v="Medium"/>
    <s v="Card"/>
    <x v="0"/>
    <x v="1"/>
    <n v="6"/>
    <n v="0.6"/>
    <x v="6"/>
    <s v="Online"/>
    <n v="12"/>
    <n v="18"/>
    <x v="0"/>
    <n v="6"/>
    <n v="2"/>
    <x v="0"/>
    <n v="28.186274509803919"/>
  </r>
  <r>
    <x v="974"/>
    <x v="2"/>
    <s v="Louisville, KY"/>
    <d v="2025-06-08T00:00:00"/>
    <d v="1899-12-30T19:45:00"/>
    <d v="2025-06-08T00:00:00"/>
    <d v="1899-12-30T20:15:00"/>
    <x v="3"/>
    <s v="XL"/>
    <s v="Cheese Burst"/>
    <n v="5"/>
    <n v="6"/>
    <s v="High"/>
    <s v="UPI"/>
    <x v="0"/>
    <x v="0"/>
    <n v="5"/>
    <n v="0.83333333333333337"/>
    <x v="6"/>
    <s v="Online"/>
    <n v="14.4"/>
    <n v="15.6"/>
    <x v="0"/>
    <n v="20"/>
    <n v="3"/>
    <x v="3"/>
    <n v="28.844221105527641"/>
  </r>
  <r>
    <x v="975"/>
    <x v="4"/>
    <s v="Milwaukee, WI"/>
    <d v="2025-06-09T00:00:00"/>
    <d v="1899-12-30T20:00:00"/>
    <d v="2025-06-09T00:00:00"/>
    <d v="1899-12-30T20:30:00"/>
    <x v="3"/>
    <s v="Medium"/>
    <s v="Margarita"/>
    <n v="3"/>
    <n v="4.5"/>
    <s v="Medium"/>
    <s v="Cash"/>
    <x v="0"/>
    <x v="0"/>
    <n v="6.666666666666667"/>
    <n v="0.66666666666666663"/>
    <x v="6"/>
    <s v="Offline"/>
    <n v="10.8"/>
    <n v="19.2"/>
    <x v="0"/>
    <n v="6"/>
    <n v="2"/>
    <x v="1"/>
    <n v="30.286458333333329"/>
  </r>
  <r>
    <x v="976"/>
    <x v="1"/>
    <s v="Omaha, NE"/>
    <d v="2025-06-10T00:00:00"/>
    <d v="1899-12-30T18:00:00"/>
    <d v="2025-06-10T00:00:00"/>
    <d v="1899-12-30T18:30:00"/>
    <x v="3"/>
    <s v="Medium"/>
    <s v="BBQ Chicken"/>
    <n v="3"/>
    <n v="5"/>
    <s v="Medium"/>
    <s v="UPI"/>
    <x v="0"/>
    <x v="0"/>
    <n v="6"/>
    <n v="0.6"/>
    <x v="6"/>
    <s v="Online"/>
    <n v="12"/>
    <n v="18"/>
    <x v="0"/>
    <n v="6"/>
    <n v="2"/>
    <x v="0"/>
    <n v="28.186274509803919"/>
  </r>
  <r>
    <x v="977"/>
    <x v="2"/>
    <s v="Louisville, KY"/>
    <d v="2025-06-11T00:00:00"/>
    <d v="1899-12-30T19:15:00"/>
    <d v="2025-06-11T00:00:00"/>
    <d v="1899-12-30T19:45:00"/>
    <x v="3"/>
    <s v="XL"/>
    <s v="Cheese Burst"/>
    <n v="5"/>
    <n v="6"/>
    <s v="High"/>
    <s v="Card"/>
    <x v="0"/>
    <x v="0"/>
    <n v="5"/>
    <n v="0.83333333333333337"/>
    <x v="6"/>
    <s v="Online"/>
    <n v="14.4"/>
    <n v="15.6"/>
    <x v="0"/>
    <n v="20"/>
    <n v="3"/>
    <x v="3"/>
    <n v="28.844221105527641"/>
  </r>
  <r>
    <x v="978"/>
    <x v="4"/>
    <s v="Milwaukee, WI"/>
    <d v="2025-06-12T00:00:00"/>
    <d v="1899-12-30T20:30:00"/>
    <d v="2025-06-12T00:00:00"/>
    <d v="1899-12-30T21:00:00"/>
    <x v="3"/>
    <s v="Medium"/>
    <s v="Margarita"/>
    <n v="3"/>
    <n v="4.5"/>
    <s v="Medium"/>
    <s v="Cash"/>
    <x v="0"/>
    <x v="0"/>
    <n v="6.666666666666667"/>
    <n v="0.66666666666666663"/>
    <x v="6"/>
    <s v="Offline"/>
    <n v="10.8"/>
    <n v="19.2"/>
    <x v="0"/>
    <n v="6"/>
    <n v="2"/>
    <x v="1"/>
    <n v="30.286458333333329"/>
  </r>
  <r>
    <x v="979"/>
    <x v="0"/>
    <s v="Albuquerque, NM"/>
    <d v="2025-06-13T00:00:00"/>
    <d v="1899-12-30T19:00:00"/>
    <d v="2025-06-13T00:00:00"/>
    <d v="1899-12-30T19:30:00"/>
    <x v="3"/>
    <s v="Large"/>
    <s v="Sicilian"/>
    <n v="4"/>
    <n v="5.5"/>
    <s v="Medium"/>
    <s v="UPI"/>
    <x v="0"/>
    <x v="1"/>
    <n v="5.4545454545454541"/>
    <n v="0.72727272727272729"/>
    <x v="6"/>
    <s v="Online"/>
    <n v="13.2"/>
    <n v="16.8"/>
    <x v="0"/>
    <n v="12"/>
    <n v="2"/>
    <x v="3"/>
    <n v="30.259433962264151"/>
  </r>
  <r>
    <x v="980"/>
    <x v="3"/>
    <s v="Atlanta, GA"/>
    <d v="2025-06-14T00:00:00"/>
    <d v="1899-12-30T20:15:00"/>
    <d v="2025-06-14T00:00:00"/>
    <d v="1899-12-30T20:45:00"/>
    <x v="3"/>
    <s v="Medium"/>
    <s v="Veg"/>
    <n v="2"/>
    <n v="4"/>
    <s v="Low"/>
    <s v="Wallet"/>
    <x v="0"/>
    <x v="1"/>
    <n v="7.5"/>
    <n v="0.5"/>
    <x v="6"/>
    <s v="Online"/>
    <n v="9.6"/>
    <n v="20.399999999999999"/>
    <x v="0"/>
    <n v="4"/>
    <n v="1"/>
    <x v="1"/>
    <n v="29.948453608247419"/>
  </r>
  <r>
    <x v="981"/>
    <x v="1"/>
    <s v="Omaha, NE"/>
    <d v="2025-06-15T00:00:00"/>
    <d v="1899-12-30T18:30:00"/>
    <d v="2025-06-15T00:00:00"/>
    <d v="1899-12-30T19:00:00"/>
    <x v="3"/>
    <s v="Medium"/>
    <s v="BBQ Chicken"/>
    <n v="3"/>
    <n v="5"/>
    <s v="Medium"/>
    <s v="Card"/>
    <x v="0"/>
    <x v="0"/>
    <n v="6"/>
    <n v="0.6"/>
    <x v="6"/>
    <s v="Online"/>
    <n v="12"/>
    <n v="18"/>
    <x v="0"/>
    <n v="6"/>
    <n v="2"/>
    <x v="0"/>
    <n v="28.186274509803919"/>
  </r>
  <r>
    <x v="982"/>
    <x v="2"/>
    <s v="Louisville, KY"/>
    <d v="2025-06-16T00:00:00"/>
    <d v="1899-12-30T19:45:00"/>
    <d v="2025-06-16T00:00:00"/>
    <d v="1899-12-30T20:15:00"/>
    <x v="3"/>
    <s v="XL"/>
    <s v="Cheese Burst"/>
    <n v="5"/>
    <n v="6"/>
    <s v="High"/>
    <s v="UPI"/>
    <x v="0"/>
    <x v="0"/>
    <n v="5"/>
    <n v="0.83333333333333337"/>
    <x v="6"/>
    <s v="Online"/>
    <n v="14.4"/>
    <n v="15.6"/>
    <x v="0"/>
    <n v="20"/>
    <n v="3"/>
    <x v="3"/>
    <n v="28.844221105527641"/>
  </r>
  <r>
    <x v="983"/>
    <x v="4"/>
    <s v="Milwaukee, WI"/>
    <d v="2025-06-17T00:00:00"/>
    <d v="1899-12-30T20:00:00"/>
    <d v="2025-06-17T00:00:00"/>
    <d v="1899-12-30T20:30:00"/>
    <x v="3"/>
    <s v="Medium"/>
    <s v="Margarita"/>
    <n v="3"/>
    <n v="4.5"/>
    <s v="Medium"/>
    <s v="Cash"/>
    <x v="0"/>
    <x v="0"/>
    <n v="6.666666666666667"/>
    <n v="0.66666666666666663"/>
    <x v="6"/>
    <s v="Offline"/>
    <n v="10.8"/>
    <n v="19.2"/>
    <x v="0"/>
    <n v="6"/>
    <n v="2"/>
    <x v="1"/>
    <n v="30.286458333333329"/>
  </r>
  <r>
    <x v="984"/>
    <x v="0"/>
    <s v="Albuquerque, NM"/>
    <d v="2025-06-18T00:00:00"/>
    <d v="1899-12-30T19:15:00"/>
    <d v="2025-06-18T00:00:00"/>
    <d v="1899-12-30T19:45:00"/>
    <x v="3"/>
    <s v="Large"/>
    <s v="Sicilian"/>
    <n v="4"/>
    <n v="5.5"/>
    <s v="Medium"/>
    <s v="UPI"/>
    <x v="0"/>
    <x v="0"/>
    <n v="5.4545454545454541"/>
    <n v="0.72727272727272729"/>
    <x v="6"/>
    <s v="Online"/>
    <n v="13.2"/>
    <n v="16.8"/>
    <x v="0"/>
    <n v="12"/>
    <n v="2"/>
    <x v="3"/>
    <n v="30.259433962264151"/>
  </r>
  <r>
    <x v="985"/>
    <x v="3"/>
    <s v="Atlanta, GA"/>
    <d v="2025-06-19T00:00:00"/>
    <d v="1899-12-30T20:30:00"/>
    <d v="2025-06-19T00:00:00"/>
    <d v="1899-12-30T21:00:00"/>
    <x v="3"/>
    <s v="Medium"/>
    <s v="Veg"/>
    <n v="2"/>
    <n v="4"/>
    <s v="Low"/>
    <s v="Wallet"/>
    <x v="0"/>
    <x v="0"/>
    <n v="7.5"/>
    <n v="0.5"/>
    <x v="6"/>
    <s v="Online"/>
    <n v="9.6"/>
    <n v="20.399999999999999"/>
    <x v="0"/>
    <n v="4"/>
    <n v="1"/>
    <x v="1"/>
    <n v="29.948453608247419"/>
  </r>
  <r>
    <x v="986"/>
    <x v="1"/>
    <s v="Omaha, NE"/>
    <d v="2025-06-20T00:00:00"/>
    <d v="1899-12-30T18:00:00"/>
    <d v="2025-06-20T00:00:00"/>
    <d v="1899-12-30T18:30:00"/>
    <x v="3"/>
    <s v="Medium"/>
    <s v="BBQ Chicken"/>
    <n v="3"/>
    <n v="5"/>
    <s v="Medium"/>
    <s v="UPI"/>
    <x v="0"/>
    <x v="1"/>
    <n v="6"/>
    <n v="0.6"/>
    <x v="6"/>
    <s v="Online"/>
    <n v="12"/>
    <n v="18"/>
    <x v="0"/>
    <n v="6"/>
    <n v="2"/>
    <x v="0"/>
    <n v="28.186274509803919"/>
  </r>
  <r>
    <x v="987"/>
    <x v="2"/>
    <s v="Louisville, KY"/>
    <d v="2025-06-21T00:00:00"/>
    <d v="1899-12-30T19:15:00"/>
    <d v="2025-06-21T00:00:00"/>
    <d v="1899-12-30T19:45:00"/>
    <x v="3"/>
    <s v="XL"/>
    <s v="Cheese Burst"/>
    <n v="5"/>
    <n v="6"/>
    <s v="High"/>
    <s v="Card"/>
    <x v="0"/>
    <x v="1"/>
    <n v="5"/>
    <n v="0.83333333333333337"/>
    <x v="6"/>
    <s v="Online"/>
    <n v="14.4"/>
    <n v="15.6"/>
    <x v="0"/>
    <n v="20"/>
    <n v="3"/>
    <x v="3"/>
    <n v="28.844221105527641"/>
  </r>
  <r>
    <x v="988"/>
    <x v="4"/>
    <s v="Milwaukee, WI"/>
    <d v="2025-06-22T00:00:00"/>
    <d v="1899-12-30T20:30:00"/>
    <d v="2025-06-22T00:00:00"/>
    <d v="1899-12-30T21:00:00"/>
    <x v="3"/>
    <s v="Medium"/>
    <s v="Margarita"/>
    <n v="3"/>
    <n v="4.5"/>
    <s v="Medium"/>
    <s v="Cash"/>
    <x v="0"/>
    <x v="0"/>
    <n v="6.666666666666667"/>
    <n v="0.66666666666666663"/>
    <x v="6"/>
    <s v="Offline"/>
    <n v="10.8"/>
    <n v="19.2"/>
    <x v="0"/>
    <n v="6"/>
    <n v="2"/>
    <x v="1"/>
    <n v="30.286458333333329"/>
  </r>
  <r>
    <x v="989"/>
    <x v="0"/>
    <s v="Albuquerque, NM"/>
    <d v="2025-06-23T00:00:00"/>
    <d v="1899-12-30T19:00:00"/>
    <d v="2025-06-23T00:00:00"/>
    <d v="1899-12-30T19:30:00"/>
    <x v="3"/>
    <s v="Large"/>
    <s v="Sicilian"/>
    <n v="4"/>
    <n v="5.5"/>
    <s v="Medium"/>
    <s v="UPI"/>
    <x v="0"/>
    <x v="0"/>
    <n v="5.4545454545454541"/>
    <n v="0.72727272727272729"/>
    <x v="6"/>
    <s v="Online"/>
    <n v="13.2"/>
    <n v="16.8"/>
    <x v="0"/>
    <n v="12"/>
    <n v="2"/>
    <x v="3"/>
    <n v="30.259433962264151"/>
  </r>
  <r>
    <x v="990"/>
    <x v="3"/>
    <s v="Atlanta, GA"/>
    <d v="2025-06-24T00:00:00"/>
    <d v="1899-12-30T20:15:00"/>
    <d v="2025-06-24T00:00:00"/>
    <d v="1899-12-30T20:45:00"/>
    <x v="3"/>
    <s v="Medium"/>
    <s v="Veg"/>
    <n v="2"/>
    <n v="4"/>
    <s v="Low"/>
    <s v="Wallet"/>
    <x v="0"/>
    <x v="0"/>
    <n v="7.5"/>
    <n v="0.5"/>
    <x v="6"/>
    <s v="Online"/>
    <n v="9.6"/>
    <n v="20.399999999999999"/>
    <x v="0"/>
    <n v="4"/>
    <n v="1"/>
    <x v="1"/>
    <n v="29.948453608247419"/>
  </r>
  <r>
    <x v="991"/>
    <x v="1"/>
    <s v="Omaha, NE"/>
    <d v="2025-06-25T00:00:00"/>
    <d v="1899-12-30T18:30:00"/>
    <d v="2025-06-25T00:00:00"/>
    <d v="1899-12-30T19:00:00"/>
    <x v="3"/>
    <s v="Medium"/>
    <s v="BBQ Chicken"/>
    <n v="3"/>
    <n v="5"/>
    <s v="Medium"/>
    <s v="Card"/>
    <x v="0"/>
    <x v="0"/>
    <n v="6"/>
    <n v="0.6"/>
    <x v="6"/>
    <s v="Online"/>
    <n v="12"/>
    <n v="18"/>
    <x v="0"/>
    <n v="6"/>
    <n v="2"/>
    <x v="0"/>
    <n v="28.186274509803919"/>
  </r>
  <r>
    <x v="992"/>
    <x v="2"/>
    <s v="Louisville, KY"/>
    <d v="2025-06-26T00:00:00"/>
    <d v="1899-12-30T19:45:00"/>
    <d v="2025-06-26T00:00:00"/>
    <d v="1899-12-30T20:15:00"/>
    <x v="3"/>
    <s v="XL"/>
    <s v="Cheese Burst"/>
    <n v="5"/>
    <n v="6"/>
    <s v="High"/>
    <s v="UPI"/>
    <x v="0"/>
    <x v="0"/>
    <n v="5"/>
    <n v="0.83333333333333337"/>
    <x v="6"/>
    <s v="Online"/>
    <n v="14.4"/>
    <n v="15.6"/>
    <x v="0"/>
    <n v="20"/>
    <n v="3"/>
    <x v="3"/>
    <n v="28.844221105527641"/>
  </r>
  <r>
    <x v="993"/>
    <x v="4"/>
    <s v="Milwaukee, WI"/>
    <d v="2025-06-27T00:00:00"/>
    <d v="1899-12-30T20:00:00"/>
    <d v="2025-06-27T00:00:00"/>
    <d v="1899-12-30T20:30:00"/>
    <x v="3"/>
    <s v="Medium"/>
    <s v="Margarita"/>
    <n v="3"/>
    <n v="4.5"/>
    <s v="Medium"/>
    <s v="Cash"/>
    <x v="0"/>
    <x v="1"/>
    <n v="6.666666666666667"/>
    <n v="0.66666666666666663"/>
    <x v="6"/>
    <s v="Offline"/>
    <n v="10.8"/>
    <n v="19.2"/>
    <x v="0"/>
    <n v="6"/>
    <n v="2"/>
    <x v="1"/>
    <n v="30.286458333333329"/>
  </r>
  <r>
    <x v="994"/>
    <x v="0"/>
    <s v="Albuquerque, NM"/>
    <d v="2025-06-28T00:00:00"/>
    <d v="1899-12-30T19:15:00"/>
    <d v="2025-06-28T00:00:00"/>
    <d v="1899-12-30T19:45:00"/>
    <x v="3"/>
    <s v="Large"/>
    <s v="Sicilian"/>
    <n v="4"/>
    <n v="5.5"/>
    <s v="Medium"/>
    <s v="UPI"/>
    <x v="0"/>
    <x v="1"/>
    <n v="5.4545454545454541"/>
    <n v="0.72727272727272729"/>
    <x v="6"/>
    <s v="Online"/>
    <n v="13.2"/>
    <n v="16.8"/>
    <x v="0"/>
    <n v="12"/>
    <n v="2"/>
    <x v="3"/>
    <n v="30.259433962264151"/>
  </r>
  <r>
    <x v="995"/>
    <x v="3"/>
    <s v="Atlanta, GA"/>
    <d v="2025-06-29T00:00:00"/>
    <d v="1899-12-30T20:30:00"/>
    <d v="2025-06-29T00:00:00"/>
    <d v="1899-12-30T21:00:00"/>
    <x v="3"/>
    <s v="Medium"/>
    <s v="Veg"/>
    <n v="2"/>
    <n v="4"/>
    <s v="Low"/>
    <s v="Wallet"/>
    <x v="0"/>
    <x v="0"/>
    <n v="7.5"/>
    <n v="0.5"/>
    <x v="6"/>
    <s v="Online"/>
    <n v="9.6"/>
    <n v="20.399999999999999"/>
    <x v="0"/>
    <n v="4"/>
    <n v="1"/>
    <x v="1"/>
    <n v="29.948453608247419"/>
  </r>
  <r>
    <x v="996"/>
    <x v="1"/>
    <s v="Omaha, NE"/>
    <d v="2025-06-30T00:00:00"/>
    <d v="1899-12-30T18:00:00"/>
    <d v="2025-06-30T00:00:00"/>
    <d v="1899-12-30T18:30:00"/>
    <x v="3"/>
    <s v="Medium"/>
    <s v="BBQ Chicken"/>
    <n v="3"/>
    <n v="5"/>
    <s v="Medium"/>
    <s v="UPI"/>
    <x v="0"/>
    <x v="0"/>
    <n v="6"/>
    <n v="0.6"/>
    <x v="6"/>
    <s v="Online"/>
    <n v="12"/>
    <n v="18"/>
    <x v="0"/>
    <n v="6"/>
    <n v="2"/>
    <x v="0"/>
    <n v="28.186274509803919"/>
  </r>
  <r>
    <x v="997"/>
    <x v="2"/>
    <s v="Louisville, KY"/>
    <d v="2025-07-01T00:00:00"/>
    <d v="1899-12-30T19:15:00"/>
    <d v="2025-07-01T00:00:00"/>
    <d v="1899-12-30T19:45:00"/>
    <x v="3"/>
    <s v="XL"/>
    <s v="Cheese Burst"/>
    <n v="5"/>
    <n v="6"/>
    <s v="High"/>
    <s v="Card"/>
    <x v="0"/>
    <x v="0"/>
    <n v="5"/>
    <n v="0.83333333333333337"/>
    <x v="7"/>
    <s v="Online"/>
    <n v="14.4"/>
    <n v="15.6"/>
    <x v="0"/>
    <n v="20"/>
    <n v="3"/>
    <x v="3"/>
    <n v="28.844221105527641"/>
  </r>
  <r>
    <x v="998"/>
    <x v="4"/>
    <s v="Milwaukee, WI"/>
    <d v="2025-07-02T00:00:00"/>
    <d v="1899-12-30T20:30:00"/>
    <d v="2025-07-02T00:00:00"/>
    <d v="1899-12-30T21:00:00"/>
    <x v="3"/>
    <s v="Medium"/>
    <s v="Margarita"/>
    <n v="3"/>
    <n v="4.5"/>
    <s v="Medium"/>
    <s v="Cash"/>
    <x v="0"/>
    <x v="0"/>
    <n v="6.666666666666667"/>
    <n v="0.66666666666666663"/>
    <x v="7"/>
    <s v="Offline"/>
    <n v="10.8"/>
    <n v="19.2"/>
    <x v="0"/>
    <n v="6"/>
    <n v="2"/>
    <x v="1"/>
    <n v="30.286458333333329"/>
  </r>
  <r>
    <x v="999"/>
    <x v="0"/>
    <s v="Albuquerque, NM"/>
    <d v="2025-07-03T00:00:00"/>
    <d v="1899-12-30T19:00:00"/>
    <d v="2025-07-03T00:00:00"/>
    <d v="1899-12-30T19:30:00"/>
    <x v="3"/>
    <s v="Large"/>
    <s v="Sicilian"/>
    <n v="4"/>
    <n v="5.5"/>
    <s v="Medium"/>
    <s v="UPI"/>
    <x v="0"/>
    <x v="0"/>
    <n v="5.4545454545454541"/>
    <n v="0.72727272727272729"/>
    <x v="7"/>
    <s v="Online"/>
    <n v="13.2"/>
    <n v="16.8"/>
    <x v="0"/>
    <n v="12"/>
    <n v="2"/>
    <x v="3"/>
    <n v="30.259433962264151"/>
  </r>
  <r>
    <x v="1000"/>
    <x v="3"/>
    <s v="Atlanta, GA"/>
    <d v="2025-07-04T00:00:00"/>
    <d v="1899-12-30T20:15:00"/>
    <d v="2025-07-04T00:00:00"/>
    <d v="1899-12-30T20:45:00"/>
    <x v="3"/>
    <s v="Medium"/>
    <s v="Veg"/>
    <n v="2"/>
    <n v="4"/>
    <s v="Low"/>
    <s v="Wallet"/>
    <x v="0"/>
    <x v="1"/>
    <n v="7.5"/>
    <n v="0.5"/>
    <x v="7"/>
    <s v="Online"/>
    <n v="9.6"/>
    <n v="20.399999999999999"/>
    <x v="0"/>
    <n v="4"/>
    <n v="1"/>
    <x v="1"/>
    <n v="29.948453608247419"/>
  </r>
  <r>
    <x v="1001"/>
    <x v="1"/>
    <s v="Omaha, NE"/>
    <d v="2025-07-05T00:00:00"/>
    <d v="1899-12-30T18:30:00"/>
    <d v="2025-07-05T00:00:00"/>
    <d v="1899-12-30T19:00:00"/>
    <x v="3"/>
    <s v="Medium"/>
    <s v="BBQ Chicken"/>
    <n v="3"/>
    <n v="5"/>
    <s v="Medium"/>
    <s v="Card"/>
    <x v="0"/>
    <x v="1"/>
    <n v="6"/>
    <n v="0.6"/>
    <x v="7"/>
    <s v="Online"/>
    <n v="12"/>
    <n v="18"/>
    <x v="0"/>
    <n v="6"/>
    <n v="2"/>
    <x v="0"/>
    <n v="28.186274509803919"/>
  </r>
  <r>
    <x v="1002"/>
    <x v="2"/>
    <s v="Louisville, KY"/>
    <d v="2025-07-06T00:00:00"/>
    <d v="1899-12-30T19:45:00"/>
    <d v="2025-07-06T00:00:00"/>
    <d v="1899-12-30T20:15:00"/>
    <x v="3"/>
    <s v="XL"/>
    <s v="Cheese Burst"/>
    <n v="5"/>
    <n v="6"/>
    <s v="High"/>
    <s v="UPI"/>
    <x v="0"/>
    <x v="0"/>
    <n v="5"/>
    <n v="0.83333333333333337"/>
    <x v="7"/>
    <s v="Online"/>
    <n v="14.4"/>
    <n v="15.6"/>
    <x v="0"/>
    <n v="20"/>
    <n v="3"/>
    <x v="3"/>
    <n v="28.844221105527641"/>
  </r>
  <r>
    <x v="1003"/>
    <x v="4"/>
    <s v="Milwaukee, WI"/>
    <d v="2025-07-07T00:00:00"/>
    <d v="1899-12-30T20:00:00"/>
    <d v="2025-07-07T00:00:00"/>
    <d v="1899-12-30T20:30:00"/>
    <x v="3"/>
    <s v="Medium"/>
    <s v="Margarita"/>
    <n v="3"/>
    <n v="4.5"/>
    <s v="Medium"/>
    <s v="UPI"/>
    <x v="0"/>
    <x v="0"/>
    <n v="6.666666666666667"/>
    <n v="0.66666666666666663"/>
    <x v="7"/>
    <s v="Online"/>
    <n v="10.8"/>
    <n v="19.2"/>
    <x v="0"/>
    <n v="6"/>
    <n v="2"/>
    <x v="1"/>
    <n v="30.286458333333329"/>
  </r>
  <r>
    <x v="1004"/>
    <x v="5"/>
    <m/>
    <m/>
    <m/>
    <m/>
    <m/>
    <x v="8"/>
    <m/>
    <m/>
    <m/>
    <m/>
    <m/>
    <m/>
    <x v="2"/>
    <x v="2"/>
    <m/>
    <m/>
    <x v="12"/>
    <m/>
    <m/>
    <m/>
    <x v="2"/>
    <m/>
    <m/>
    <x v="8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5">
  <r>
    <s v="ORD001"/>
    <x v="0"/>
    <s v="New York, NY"/>
    <d v="2024-01-05T00:00:00"/>
    <d v="1899-12-30T18:30:00"/>
    <d v="2024-01-05T00:00:00"/>
    <d v="1899-12-30T18:45:00"/>
    <n v="15"/>
    <s v="Medium"/>
    <s v="Veg"/>
    <n v="3"/>
    <x v="0"/>
    <x v="0"/>
    <s v="Card"/>
    <x v="0"/>
    <x v="0"/>
    <n v="6"/>
    <n v="1.2"/>
    <x v="0"/>
    <s v="Online"/>
    <n v="6"/>
    <n v="9"/>
    <x v="0"/>
    <n v="6"/>
    <n v="2"/>
    <x v="0"/>
    <n v="30.259433962264151"/>
    <n v="0"/>
  </r>
  <r>
    <s v="ORD002"/>
    <x v="1"/>
    <s v="Los Angeles, CA"/>
    <d v="2024-02-14T00:00:00"/>
    <d v="1899-12-30T20:00:00"/>
    <d v="2024-02-14T00:00:00"/>
    <d v="1899-12-30T20:25:00"/>
    <n v="25"/>
    <s v="Large"/>
    <s v="Non-Veg"/>
    <n v="4"/>
    <x v="1"/>
    <x v="1"/>
    <s v="Wallet"/>
    <x v="0"/>
    <x v="0"/>
    <n v="5"/>
    <n v="0.8"/>
    <x v="1"/>
    <s v="Online"/>
    <n v="12"/>
    <n v="13"/>
    <x v="0"/>
    <n v="12"/>
    <n v="3"/>
    <x v="1"/>
    <n v="28.186274509803919"/>
    <n v="0"/>
  </r>
  <r>
    <s v="ORD003"/>
    <x v="2"/>
    <s v="Chicago, IL"/>
    <d v="2024-03-21T00:00:00"/>
    <d v="1899-12-30T12:15:00"/>
    <d v="2024-03-21T00:00:00"/>
    <d v="1899-12-30T12:35:00"/>
    <n v="20"/>
    <s v="Small"/>
    <s v="Vegan"/>
    <n v="2"/>
    <x v="2"/>
    <x v="2"/>
    <s v="UPI"/>
    <x v="1"/>
    <x v="0"/>
    <n v="6.666666666666667"/>
    <n v="0.66666666666666663"/>
    <x v="2"/>
    <s v="Online"/>
    <n v="7.1999999999999993"/>
    <n v="12.8"/>
    <x v="0"/>
    <n v="2"/>
    <n v="1"/>
    <x v="2"/>
    <n v="28.844221105527641"/>
    <n v="0"/>
  </r>
  <r>
    <s v="ORD004"/>
    <x v="3"/>
    <s v="Miami, FL"/>
    <d v="2024-04-10T00:00:00"/>
    <d v="1899-12-30T19:45:00"/>
    <d v="2024-04-10T00:00:00"/>
    <d v="1899-12-30T20:10:00"/>
    <n v="25"/>
    <s v="XL"/>
    <s v="Cheese Burst"/>
    <n v="5"/>
    <x v="3"/>
    <x v="0"/>
    <s v="Cash"/>
    <x v="0"/>
    <x v="0"/>
    <n v="5.5555555555555554"/>
    <n v="1.1111111111111109"/>
    <x v="3"/>
    <s v="Offline"/>
    <n v="10.8"/>
    <n v="14.2"/>
    <x v="0"/>
    <n v="20"/>
    <n v="2"/>
    <x v="3"/>
    <n v="29.948453608247419"/>
    <n v="0"/>
  </r>
  <r>
    <s v="ORD005"/>
    <x v="4"/>
    <s v="Dallas, TX"/>
    <d v="2024-05-05T00:00:00"/>
    <d v="1899-12-30T13:00:00"/>
    <d v="2024-05-05T00:00:00"/>
    <d v="1899-12-30T13:20:00"/>
    <n v="20"/>
    <s v="Medium"/>
    <s v="Non-Veg"/>
    <n v="3"/>
    <x v="4"/>
    <x v="1"/>
    <s v="Card"/>
    <x v="1"/>
    <x v="1"/>
    <n v="10"/>
    <n v="1.5"/>
    <x v="4"/>
    <s v="Online"/>
    <n v="4.8"/>
    <n v="15.2"/>
    <x v="0"/>
    <n v="6"/>
    <n v="3"/>
    <x v="4"/>
    <n v="30.286458333333329"/>
    <n v="0"/>
  </r>
  <r>
    <s v="ORD006"/>
    <x v="0"/>
    <s v="New York, NY"/>
    <d v="2024-01-06T00:00:00"/>
    <d v="1899-12-30T19:00:00"/>
    <d v="2024-01-06T00:00:00"/>
    <d v="1899-12-30T19:20:00"/>
    <n v="20"/>
    <s v="Medium"/>
    <s v="Non-Veg"/>
    <n v="3"/>
    <x v="2"/>
    <x v="1"/>
    <s v="Card"/>
    <x v="0"/>
    <x v="1"/>
    <n v="6.666666666666667"/>
    <n v="1"/>
    <x v="0"/>
    <s v="Online"/>
    <n v="7.1999999999999993"/>
    <n v="12.8"/>
    <x v="0"/>
    <n v="6"/>
    <n v="3"/>
    <x v="3"/>
    <n v="30.259433962264151"/>
    <n v="0"/>
  </r>
  <r>
    <s v="ORD007"/>
    <x v="1"/>
    <s v="Los Angeles, CA"/>
    <d v="2024-01-07T00:00:00"/>
    <d v="1899-12-30T20:15:00"/>
    <d v="2024-01-07T00:00:00"/>
    <d v="1899-12-30T20:40:00"/>
    <n v="25"/>
    <s v="Large"/>
    <s v="Veg"/>
    <n v="4"/>
    <x v="3"/>
    <x v="0"/>
    <s v="UPI"/>
    <x v="0"/>
    <x v="1"/>
    <n v="5.5555555555555554"/>
    <n v="0.88888888888888884"/>
    <x v="0"/>
    <s v="Online"/>
    <n v="10.8"/>
    <n v="14.2"/>
    <x v="0"/>
    <n v="12"/>
    <n v="2"/>
    <x v="1"/>
    <n v="28.186274509803919"/>
    <n v="0"/>
  </r>
  <r>
    <s v="ORD008"/>
    <x v="2"/>
    <s v="Chicago, IL"/>
    <d v="2024-01-08T00:00:00"/>
    <d v="1899-12-30T18:30:00"/>
    <d v="2024-01-08T00:00:00"/>
    <d v="1899-12-30T18:50:00"/>
    <n v="20"/>
    <s v="Small"/>
    <s v="Vegan"/>
    <n v="2"/>
    <x v="4"/>
    <x v="2"/>
    <s v="Cash"/>
    <x v="0"/>
    <x v="0"/>
    <n v="10"/>
    <n v="1"/>
    <x v="0"/>
    <s v="Offline"/>
    <n v="4.8"/>
    <n v="15.2"/>
    <x v="0"/>
    <n v="2"/>
    <n v="1"/>
    <x v="0"/>
    <n v="28.844221105527641"/>
    <n v="0"/>
  </r>
  <r>
    <s v="ORD009"/>
    <x v="3"/>
    <s v="Miami, FL"/>
    <d v="2024-01-09T00:00:00"/>
    <d v="1899-12-30T19:45:00"/>
    <d v="2024-01-09T00:00:00"/>
    <d v="1899-12-30T20:10:00"/>
    <n v="25"/>
    <s v="XL"/>
    <s v="Cheese Burst"/>
    <n v="5"/>
    <x v="1"/>
    <x v="1"/>
    <s v="Wallet"/>
    <x v="0"/>
    <x v="0"/>
    <n v="5"/>
    <n v="1"/>
    <x v="0"/>
    <s v="Online"/>
    <n v="12"/>
    <n v="13"/>
    <x v="0"/>
    <n v="20"/>
    <n v="3"/>
    <x v="3"/>
    <n v="29.948453608247419"/>
    <n v="0"/>
  </r>
  <r>
    <s v="ORD010"/>
    <x v="4"/>
    <s v="Dallas, TX"/>
    <d v="2024-01-10T00:00:00"/>
    <d v="1899-12-30T13:00:00"/>
    <d v="2024-01-10T00:00:00"/>
    <d v="1899-12-30T13:20:00"/>
    <n v="20"/>
    <s v="Medium"/>
    <s v="Non-Veg"/>
    <n v="3"/>
    <x v="5"/>
    <x v="0"/>
    <s v="Card"/>
    <x v="1"/>
    <x v="0"/>
    <n v="5.7142857142857144"/>
    <n v="0.8571428571428571"/>
    <x v="0"/>
    <s v="Online"/>
    <n v="8.4"/>
    <n v="11.6"/>
    <x v="0"/>
    <n v="6"/>
    <n v="2"/>
    <x v="4"/>
    <n v="30.286458333333329"/>
    <n v="0"/>
  </r>
  <r>
    <s v="ORD011"/>
    <x v="0"/>
    <s v="San Francisco, CA"/>
    <d v="2024-01-11T00:00:00"/>
    <d v="1899-12-30T17:30:00"/>
    <d v="2024-01-11T00:00:00"/>
    <d v="1899-12-30T17:50:00"/>
    <n v="20"/>
    <s v="Large"/>
    <s v="Veg"/>
    <n v="4"/>
    <x v="6"/>
    <x v="2"/>
    <s v="UPI"/>
    <x v="1"/>
    <x v="0"/>
    <n v="5"/>
    <n v="1"/>
    <x v="0"/>
    <s v="Online"/>
    <n v="9.6"/>
    <n v="10.4"/>
    <x v="0"/>
    <n v="12"/>
    <n v="1"/>
    <x v="5"/>
    <n v="30.259433962264151"/>
    <n v="0"/>
  </r>
  <r>
    <s v="ORD012"/>
    <x v="1"/>
    <s v="Houston, TX"/>
    <d v="2024-01-12T00:00:00"/>
    <d v="1899-12-30T19:00:00"/>
    <d v="2024-01-12T00:00:00"/>
    <d v="1899-12-30T19:25:00"/>
    <n v="25"/>
    <s v="Medium"/>
    <s v="Non-Veg"/>
    <n v="3"/>
    <x v="2"/>
    <x v="0"/>
    <s v="Cash"/>
    <x v="0"/>
    <x v="0"/>
    <n v="8.3333333333333339"/>
    <n v="1"/>
    <x v="0"/>
    <s v="Offline"/>
    <n v="7.1999999999999993"/>
    <n v="17.8"/>
    <x v="0"/>
    <n v="6"/>
    <n v="2"/>
    <x v="3"/>
    <n v="28.186274509803919"/>
    <n v="0"/>
  </r>
  <r>
    <s v="ORD013"/>
    <x v="2"/>
    <s v="Phoenix, AZ"/>
    <d v="2024-01-13T00:00:00"/>
    <d v="1899-12-30T18:15:00"/>
    <d v="2024-01-13T00:00:00"/>
    <d v="1899-12-30T18:35:00"/>
    <n v="20"/>
    <s v="Small"/>
    <s v="Vegan"/>
    <n v="2"/>
    <x v="0"/>
    <x v="1"/>
    <s v="Wallet"/>
    <x v="0"/>
    <x v="1"/>
    <n v="8"/>
    <n v="0.8"/>
    <x v="0"/>
    <s v="Online"/>
    <n v="6"/>
    <n v="14"/>
    <x v="0"/>
    <n v="2"/>
    <n v="3"/>
    <x v="0"/>
    <n v="28.844221105527641"/>
    <n v="0"/>
  </r>
  <r>
    <s v="ORD014"/>
    <x v="3"/>
    <s v="Atlanta, GA"/>
    <d v="2024-01-14T00:00:00"/>
    <d v="1899-12-30T20:30:00"/>
    <d v="2024-01-14T00:00:00"/>
    <d v="1899-12-30T20:55:00"/>
    <n v="25"/>
    <s v="XL"/>
    <s v="Cheese Burst"/>
    <n v="5"/>
    <x v="6"/>
    <x v="2"/>
    <s v="Card"/>
    <x v="0"/>
    <x v="1"/>
    <n v="6.25"/>
    <n v="1.25"/>
    <x v="0"/>
    <s v="Online"/>
    <n v="9.6"/>
    <n v="15.4"/>
    <x v="0"/>
    <n v="20"/>
    <n v="1"/>
    <x v="1"/>
    <n v="29.948453608247419"/>
    <n v="0"/>
  </r>
  <r>
    <s v="ORD015"/>
    <x v="4"/>
    <s v="Seattle, WA"/>
    <d v="2024-01-15T00:00:00"/>
    <d v="1899-12-30T14:00:00"/>
    <d v="2024-01-15T00:00:00"/>
    <d v="1899-12-30T14:20:00"/>
    <n v="20"/>
    <s v="Medium"/>
    <s v="Non-Veg"/>
    <n v="3"/>
    <x v="2"/>
    <x v="0"/>
    <s v="UPI"/>
    <x v="1"/>
    <x v="0"/>
    <n v="6.666666666666667"/>
    <n v="1"/>
    <x v="0"/>
    <s v="Online"/>
    <n v="7.1999999999999993"/>
    <n v="12.8"/>
    <x v="0"/>
    <n v="6"/>
    <n v="2"/>
    <x v="6"/>
    <n v="30.286458333333329"/>
    <n v="0"/>
  </r>
  <r>
    <s v="ORD016"/>
    <x v="0"/>
    <s v="Denver, CO"/>
    <d v="2024-01-16T00:00:00"/>
    <d v="1899-12-30T19:45:00"/>
    <d v="2024-01-16T00:00:00"/>
    <d v="1899-12-30T20:10:00"/>
    <n v="25"/>
    <s v="Large"/>
    <s v="Veg"/>
    <n v="4"/>
    <x v="3"/>
    <x v="1"/>
    <s v="Cash"/>
    <x v="0"/>
    <x v="0"/>
    <n v="5.5555555555555554"/>
    <n v="0.88888888888888884"/>
    <x v="0"/>
    <s v="Offline"/>
    <n v="10.8"/>
    <n v="14.2"/>
    <x v="0"/>
    <n v="12"/>
    <n v="3"/>
    <x v="3"/>
    <n v="30.259433962264151"/>
    <n v="0"/>
  </r>
  <r>
    <s v="ORD017"/>
    <x v="1"/>
    <s v="Boston, MA"/>
    <d v="2024-01-17T00:00:00"/>
    <d v="1899-12-30T18:30:00"/>
    <d v="2024-01-17T00:00:00"/>
    <d v="1899-12-30T18:55:00"/>
    <n v="25"/>
    <s v="Small"/>
    <s v="Vegan"/>
    <n v="2"/>
    <x v="4"/>
    <x v="2"/>
    <s v="Wallet"/>
    <x v="0"/>
    <x v="0"/>
    <n v="12.5"/>
    <n v="1"/>
    <x v="0"/>
    <s v="Online"/>
    <n v="4.8"/>
    <n v="20.2"/>
    <x v="0"/>
    <n v="2"/>
    <n v="1"/>
    <x v="0"/>
    <n v="28.186274509803919"/>
    <n v="0"/>
  </r>
  <r>
    <s v="ORD018"/>
    <x v="2"/>
    <s v="Dallas, TX"/>
    <d v="2024-01-18T00:00:00"/>
    <d v="1899-12-30T20:00:00"/>
    <d v="2024-01-18T00:00:00"/>
    <d v="1899-12-30T20:20:00"/>
    <n v="20"/>
    <s v="Medium"/>
    <s v="Non-Veg"/>
    <n v="3"/>
    <x v="5"/>
    <x v="0"/>
    <s v="Card"/>
    <x v="0"/>
    <x v="0"/>
    <n v="5.7142857142857144"/>
    <n v="0.8571428571428571"/>
    <x v="0"/>
    <s v="Online"/>
    <n v="8.4"/>
    <n v="11.6"/>
    <x v="0"/>
    <n v="6"/>
    <n v="2"/>
    <x v="1"/>
    <n v="28.844221105527641"/>
    <n v="0"/>
  </r>
  <r>
    <s v="ORD019"/>
    <x v="3"/>
    <s v="Los Angeles, CA"/>
    <d v="2024-01-19T00:00:00"/>
    <d v="1899-12-30T19:15:00"/>
    <d v="2024-01-19T00:00:00"/>
    <d v="1899-12-30T19:40:00"/>
    <n v="25"/>
    <s v="XL"/>
    <s v="Cheese Burst"/>
    <n v="5"/>
    <x v="6"/>
    <x v="1"/>
    <s v="UPI"/>
    <x v="0"/>
    <x v="0"/>
    <n v="6.25"/>
    <n v="1.25"/>
    <x v="0"/>
    <s v="Online"/>
    <n v="9.6"/>
    <n v="15.4"/>
    <x v="0"/>
    <n v="20"/>
    <n v="3"/>
    <x v="3"/>
    <n v="29.948453608247419"/>
    <n v="0"/>
  </r>
  <r>
    <s v="ORD020"/>
    <x v="4"/>
    <s v="Chicago, IL"/>
    <d v="2024-01-20T00:00:00"/>
    <d v="1899-12-30T13:30:00"/>
    <d v="2024-01-20T00:00:00"/>
    <d v="1899-12-30T13:50:00"/>
    <n v="20"/>
    <s v="Medium"/>
    <s v="Non-Veg"/>
    <n v="3"/>
    <x v="2"/>
    <x v="2"/>
    <s v="Cash"/>
    <x v="1"/>
    <x v="1"/>
    <n v="6.666666666666667"/>
    <n v="1"/>
    <x v="0"/>
    <s v="Offline"/>
    <n v="7.1999999999999993"/>
    <n v="12.8"/>
    <x v="0"/>
    <n v="6"/>
    <n v="1"/>
    <x v="4"/>
    <n v="30.286458333333329"/>
    <n v="0"/>
  </r>
  <r>
    <s v="ORD021"/>
    <x v="0"/>
    <s v="Miami, FL"/>
    <d v="2024-01-21T00:00:00"/>
    <d v="1899-12-30T18:45:00"/>
    <d v="2024-01-21T00:00:00"/>
    <d v="1899-12-30T19:10:00"/>
    <n v="25"/>
    <s v="Large"/>
    <s v="Veg"/>
    <n v="4"/>
    <x v="3"/>
    <x v="0"/>
    <s v="Wallet"/>
    <x v="0"/>
    <x v="1"/>
    <n v="5.5555555555555554"/>
    <n v="0.88888888888888884"/>
    <x v="0"/>
    <s v="Online"/>
    <n v="10.8"/>
    <n v="14.2"/>
    <x v="0"/>
    <n v="12"/>
    <n v="2"/>
    <x v="0"/>
    <n v="30.259433962264151"/>
    <n v="0"/>
  </r>
  <r>
    <s v="ORD022"/>
    <x v="1"/>
    <s v="Dallas, TX"/>
    <d v="2024-01-22T00:00:00"/>
    <d v="1899-12-30T20:00:00"/>
    <d v="2024-01-22T00:00:00"/>
    <d v="1899-12-30T20:25:00"/>
    <n v="25"/>
    <s v="Small"/>
    <s v="Vegan"/>
    <n v="2"/>
    <x v="4"/>
    <x v="1"/>
    <s v="Card"/>
    <x v="0"/>
    <x v="0"/>
    <n v="12.5"/>
    <n v="1"/>
    <x v="0"/>
    <s v="Online"/>
    <n v="4.8"/>
    <n v="20.2"/>
    <x v="0"/>
    <n v="2"/>
    <n v="3"/>
    <x v="1"/>
    <n v="28.186274509803919"/>
    <n v="0"/>
  </r>
  <r>
    <s v="ORD023"/>
    <x v="2"/>
    <s v="Houston, TX"/>
    <d v="2024-01-23T00:00:00"/>
    <d v="1899-12-30T19:30:00"/>
    <d v="2024-01-23T00:00:00"/>
    <d v="1899-12-30T19:50:00"/>
    <n v="20"/>
    <s v="Medium"/>
    <s v="Non-Veg"/>
    <n v="3"/>
    <x v="5"/>
    <x v="2"/>
    <s v="UPI"/>
    <x v="0"/>
    <x v="0"/>
    <n v="5.7142857142857144"/>
    <n v="0.8571428571428571"/>
    <x v="0"/>
    <s v="Online"/>
    <n v="8.4"/>
    <n v="11.6"/>
    <x v="0"/>
    <n v="6"/>
    <n v="1"/>
    <x v="3"/>
    <n v="28.844221105527641"/>
    <n v="0"/>
  </r>
  <r>
    <s v="ORD024"/>
    <x v="3"/>
    <s v="Phoenix, AZ"/>
    <d v="2024-01-24T00:00:00"/>
    <d v="1899-12-30T18:15:00"/>
    <d v="2024-01-24T00:00:00"/>
    <d v="1899-12-30T18:40:00"/>
    <n v="25"/>
    <s v="XL"/>
    <s v="Cheese Burst"/>
    <n v="5"/>
    <x v="6"/>
    <x v="0"/>
    <s v="Cash"/>
    <x v="0"/>
    <x v="0"/>
    <n v="6.25"/>
    <n v="1.25"/>
    <x v="0"/>
    <s v="Offline"/>
    <n v="9.6"/>
    <n v="15.4"/>
    <x v="0"/>
    <n v="20"/>
    <n v="2"/>
    <x v="0"/>
    <n v="29.948453608247419"/>
    <n v="0"/>
  </r>
  <r>
    <s v="ORD025"/>
    <x v="4"/>
    <s v="Atlanta, GA"/>
    <d v="2024-01-25T00:00:00"/>
    <d v="1899-12-30T14:30:00"/>
    <d v="2024-01-25T00:00:00"/>
    <d v="1899-12-30T14:50:00"/>
    <n v="20"/>
    <s v="Medium"/>
    <s v="Non-Veg"/>
    <n v="3"/>
    <x v="2"/>
    <x v="1"/>
    <s v="Wallet"/>
    <x v="1"/>
    <x v="0"/>
    <n v="6.666666666666667"/>
    <n v="1"/>
    <x v="0"/>
    <s v="Online"/>
    <n v="7.1999999999999993"/>
    <n v="12.8"/>
    <x v="0"/>
    <n v="6"/>
    <n v="3"/>
    <x v="6"/>
    <n v="30.286458333333329"/>
    <n v="0"/>
  </r>
  <r>
    <s v="ORD026"/>
    <x v="0"/>
    <s v="Seattle, WA"/>
    <d v="2024-01-26T00:00:00"/>
    <d v="1899-12-30T20:00:00"/>
    <d v="2024-01-26T00:00:00"/>
    <d v="1899-12-30T20:25:00"/>
    <n v="25"/>
    <s v="Large"/>
    <s v="Veg"/>
    <n v="4"/>
    <x v="3"/>
    <x v="2"/>
    <s v="Card"/>
    <x v="0"/>
    <x v="0"/>
    <n v="5.5555555555555554"/>
    <n v="0.88888888888888884"/>
    <x v="0"/>
    <s v="Online"/>
    <n v="10.8"/>
    <n v="14.2"/>
    <x v="0"/>
    <n v="12"/>
    <n v="1"/>
    <x v="1"/>
    <n v="30.259433962264151"/>
    <n v="0"/>
  </r>
  <r>
    <s v="ORD027"/>
    <x v="1"/>
    <s v="Denver, CO"/>
    <d v="2024-01-27T00:00:00"/>
    <d v="1899-12-30T19:15:00"/>
    <d v="2024-01-27T00:00:00"/>
    <d v="1899-12-30T19:40:00"/>
    <n v="25"/>
    <s v="Small"/>
    <s v="Vegan"/>
    <n v="2"/>
    <x v="4"/>
    <x v="0"/>
    <s v="UPI"/>
    <x v="0"/>
    <x v="1"/>
    <n v="12.5"/>
    <n v="1"/>
    <x v="0"/>
    <s v="Online"/>
    <n v="4.8"/>
    <n v="20.2"/>
    <x v="0"/>
    <n v="2"/>
    <n v="2"/>
    <x v="3"/>
    <n v="28.186274509803919"/>
    <n v="0"/>
  </r>
  <r>
    <s v="ORD028"/>
    <x v="2"/>
    <s v="Boston, MA"/>
    <d v="2024-01-28T00:00:00"/>
    <d v="1899-12-30T18:30:00"/>
    <d v="2024-01-28T00:00:00"/>
    <d v="1899-12-30T18:50:00"/>
    <n v="20"/>
    <s v="Medium"/>
    <s v="Non-Veg"/>
    <n v="3"/>
    <x v="5"/>
    <x v="1"/>
    <s v="Cash"/>
    <x v="0"/>
    <x v="1"/>
    <n v="5.7142857142857144"/>
    <n v="0.8571428571428571"/>
    <x v="0"/>
    <s v="Offline"/>
    <n v="8.4"/>
    <n v="11.6"/>
    <x v="0"/>
    <n v="6"/>
    <n v="3"/>
    <x v="0"/>
    <n v="28.844221105527641"/>
    <n v="0"/>
  </r>
  <r>
    <s v="ORD029"/>
    <x v="3"/>
    <s v="Chicago, IL"/>
    <d v="2024-01-29T00:00:00"/>
    <d v="1899-12-30T20:00:00"/>
    <d v="2024-01-29T00:00:00"/>
    <d v="1899-12-30T20:25:00"/>
    <n v="25"/>
    <s v="XL"/>
    <s v="Cheese Burst"/>
    <n v="5"/>
    <x v="6"/>
    <x v="2"/>
    <s v="Wallet"/>
    <x v="0"/>
    <x v="0"/>
    <n v="6.25"/>
    <n v="1.25"/>
    <x v="0"/>
    <s v="Online"/>
    <n v="9.6"/>
    <n v="15.4"/>
    <x v="0"/>
    <n v="20"/>
    <n v="1"/>
    <x v="1"/>
    <n v="29.948453608247419"/>
    <n v="0"/>
  </r>
  <r>
    <s v="ORD030"/>
    <x v="4"/>
    <s v="Miami, FL"/>
    <d v="2024-01-30T00:00:00"/>
    <d v="1899-12-30T13:15:00"/>
    <d v="2024-01-30T00:00:00"/>
    <d v="1899-12-30T13:35:00"/>
    <n v="20"/>
    <s v="Medium"/>
    <s v="Non-Veg"/>
    <n v="3"/>
    <x v="2"/>
    <x v="0"/>
    <s v="Card"/>
    <x v="1"/>
    <x v="0"/>
    <n v="6.666666666666667"/>
    <n v="1"/>
    <x v="0"/>
    <s v="Online"/>
    <n v="7.1999999999999993"/>
    <n v="12.8"/>
    <x v="0"/>
    <n v="6"/>
    <n v="2"/>
    <x v="4"/>
    <n v="30.286458333333329"/>
    <n v="0"/>
  </r>
  <r>
    <s v="ORD031"/>
    <x v="0"/>
    <s v="Los Angeles, CA"/>
    <d v="2024-02-01T00:00:00"/>
    <d v="1899-12-30T19:45:00"/>
    <d v="2024-02-01T00:00:00"/>
    <d v="1899-12-30T20:10:00"/>
    <n v="25"/>
    <s v="Large"/>
    <s v="Veg"/>
    <n v="4"/>
    <x v="3"/>
    <x v="1"/>
    <s v="UPI"/>
    <x v="0"/>
    <x v="0"/>
    <n v="5.5555555555555554"/>
    <n v="0.88888888888888884"/>
    <x v="1"/>
    <s v="Online"/>
    <n v="10.8"/>
    <n v="14.2"/>
    <x v="0"/>
    <n v="12"/>
    <n v="3"/>
    <x v="3"/>
    <n v="30.259433962264151"/>
    <n v="0"/>
  </r>
  <r>
    <s v="ORD032"/>
    <x v="1"/>
    <s v="Phoenix, AZ"/>
    <d v="2024-02-02T00:00:00"/>
    <d v="1899-12-30T18:00:00"/>
    <d v="2024-02-02T00:00:00"/>
    <d v="1899-12-30T18:25:00"/>
    <n v="25"/>
    <s v="Small"/>
    <s v="Vegan"/>
    <n v="2"/>
    <x v="4"/>
    <x v="2"/>
    <s v="Cash"/>
    <x v="0"/>
    <x v="0"/>
    <n v="12.5"/>
    <n v="1"/>
    <x v="1"/>
    <s v="Offline"/>
    <n v="4.8"/>
    <n v="20.2"/>
    <x v="0"/>
    <n v="2"/>
    <n v="1"/>
    <x v="0"/>
    <n v="28.186274509803919"/>
    <n v="0"/>
  </r>
  <r>
    <s v="ORD033"/>
    <x v="2"/>
    <s v="Atlanta, GA"/>
    <d v="2024-02-03T00:00:00"/>
    <d v="1899-12-30T20:30:00"/>
    <d v="2024-02-03T00:00:00"/>
    <d v="1899-12-30T20:55:00"/>
    <n v="25"/>
    <s v="Medium"/>
    <s v="Non-Veg"/>
    <n v="3"/>
    <x v="5"/>
    <x v="0"/>
    <s v="Wallet"/>
    <x v="0"/>
    <x v="1"/>
    <n v="7.1428571428571432"/>
    <n v="0.8571428571428571"/>
    <x v="1"/>
    <s v="Online"/>
    <n v="8.4"/>
    <n v="16.600000000000001"/>
    <x v="0"/>
    <n v="6"/>
    <n v="2"/>
    <x v="1"/>
    <n v="28.844221105527641"/>
    <n v="0"/>
  </r>
  <r>
    <s v="ORD034"/>
    <x v="3"/>
    <s v="Dallas, TX"/>
    <d v="2024-02-04T00:00:00"/>
    <d v="1899-12-30T14:15:00"/>
    <d v="2024-02-04T00:00:00"/>
    <d v="1899-12-30T14:35:00"/>
    <n v="20"/>
    <s v="XL"/>
    <s v="Cheese Burst"/>
    <n v="5"/>
    <x v="6"/>
    <x v="1"/>
    <s v="Card"/>
    <x v="1"/>
    <x v="1"/>
    <n v="5"/>
    <n v="1.25"/>
    <x v="1"/>
    <s v="Online"/>
    <n v="9.6"/>
    <n v="10.4"/>
    <x v="0"/>
    <n v="20"/>
    <n v="3"/>
    <x v="6"/>
    <n v="29.948453608247419"/>
    <n v="0"/>
  </r>
  <r>
    <s v="ORD035"/>
    <x v="4"/>
    <s v="Seattle, WA"/>
    <d v="2024-02-05T00:00:00"/>
    <d v="1899-12-30T19:00:00"/>
    <d v="2024-02-05T00:00:00"/>
    <d v="1899-12-30T19:25:00"/>
    <n v="25"/>
    <s v="Medium"/>
    <s v="Non-Veg"/>
    <n v="3"/>
    <x v="2"/>
    <x v="2"/>
    <s v="UPI"/>
    <x v="0"/>
    <x v="0"/>
    <n v="8.3333333333333339"/>
    <n v="1"/>
    <x v="1"/>
    <s v="Online"/>
    <n v="7.1999999999999993"/>
    <n v="17.8"/>
    <x v="0"/>
    <n v="6"/>
    <n v="1"/>
    <x v="3"/>
    <n v="30.286458333333329"/>
    <n v="0"/>
  </r>
  <r>
    <s v="ORD036"/>
    <x v="0"/>
    <s v="Houston, TX"/>
    <d v="2024-02-06T00:00:00"/>
    <d v="1899-12-30T18:45:00"/>
    <d v="2024-02-06T00:00:00"/>
    <d v="1899-12-30T19:10:00"/>
    <n v="25"/>
    <s v="Large"/>
    <s v="Veg"/>
    <n v="4"/>
    <x v="3"/>
    <x v="0"/>
    <s v="Card"/>
    <x v="0"/>
    <x v="0"/>
    <n v="5.5555555555555554"/>
    <n v="0.88888888888888884"/>
    <x v="1"/>
    <s v="Online"/>
    <n v="10.8"/>
    <n v="14.2"/>
    <x v="0"/>
    <n v="12"/>
    <n v="2"/>
    <x v="0"/>
    <n v="30.259433962264151"/>
    <n v="0"/>
  </r>
  <r>
    <s v="ORD037"/>
    <x v="1"/>
    <s v="Phoenix, AZ"/>
    <d v="2024-02-07T00:00:00"/>
    <d v="1899-12-30T20:00:00"/>
    <d v="2024-02-07T00:00:00"/>
    <d v="1899-12-30T20:25:00"/>
    <n v="25"/>
    <s v="Medium"/>
    <s v="Non-Veg"/>
    <n v="3"/>
    <x v="2"/>
    <x v="1"/>
    <s v="UPI"/>
    <x v="0"/>
    <x v="0"/>
    <n v="8.3333333333333339"/>
    <n v="1"/>
    <x v="1"/>
    <s v="Online"/>
    <n v="7.1999999999999993"/>
    <n v="17.8"/>
    <x v="0"/>
    <n v="6"/>
    <n v="3"/>
    <x v="1"/>
    <n v="28.186274509803919"/>
    <n v="0"/>
  </r>
  <r>
    <s v="ORD038"/>
    <x v="2"/>
    <s v="Atlanta, GA"/>
    <d v="2024-02-08T00:00:00"/>
    <d v="1899-12-30T19:30:00"/>
    <d v="2024-02-08T00:00:00"/>
    <d v="1899-12-30T19:50:00"/>
    <n v="20"/>
    <s v="Small"/>
    <s v="Vegan"/>
    <n v="2"/>
    <x v="0"/>
    <x v="2"/>
    <s v="Cash"/>
    <x v="0"/>
    <x v="0"/>
    <n v="8"/>
    <n v="0.8"/>
    <x v="1"/>
    <s v="Offline"/>
    <n v="6"/>
    <n v="14"/>
    <x v="0"/>
    <n v="2"/>
    <n v="1"/>
    <x v="3"/>
    <n v="28.844221105527641"/>
    <n v="0"/>
  </r>
  <r>
    <s v="ORD039"/>
    <x v="3"/>
    <s v="Dallas, TX"/>
    <d v="2024-02-09T00:00:00"/>
    <d v="1899-12-30T18:15:00"/>
    <d v="2024-02-09T00:00:00"/>
    <d v="1899-12-30T18:40:00"/>
    <n v="25"/>
    <s v="XL"/>
    <s v="Cheese Burst"/>
    <n v="5"/>
    <x v="6"/>
    <x v="0"/>
    <s v="Wallet"/>
    <x v="0"/>
    <x v="0"/>
    <n v="6.25"/>
    <n v="1.25"/>
    <x v="1"/>
    <s v="Online"/>
    <n v="9.6"/>
    <n v="15.4"/>
    <x v="0"/>
    <n v="20"/>
    <n v="2"/>
    <x v="0"/>
    <n v="29.948453608247419"/>
    <n v="0"/>
  </r>
  <r>
    <s v="ORD040"/>
    <x v="4"/>
    <s v="Seattle, WA"/>
    <d v="2024-02-10T00:00:00"/>
    <d v="1899-12-30T14:30:00"/>
    <d v="2024-02-10T00:00:00"/>
    <d v="1899-12-30T14:50:00"/>
    <n v="20"/>
    <s v="Medium"/>
    <s v="Non-Veg"/>
    <n v="3"/>
    <x v="5"/>
    <x v="1"/>
    <s v="Card"/>
    <x v="1"/>
    <x v="1"/>
    <n v="5.7142857142857144"/>
    <n v="0.8571428571428571"/>
    <x v="1"/>
    <s v="Online"/>
    <n v="8.4"/>
    <n v="11.6"/>
    <x v="0"/>
    <n v="6"/>
    <n v="3"/>
    <x v="6"/>
    <n v="30.286458333333329"/>
    <n v="0"/>
  </r>
  <r>
    <s v="ORD041"/>
    <x v="0"/>
    <s v="Denver, CO"/>
    <d v="2024-02-11T00:00:00"/>
    <d v="1899-12-30T19:00:00"/>
    <d v="2024-02-11T00:00:00"/>
    <d v="1899-12-30T19:20:00"/>
    <n v="20"/>
    <s v="Large"/>
    <s v="Veg"/>
    <n v="4"/>
    <x v="6"/>
    <x v="2"/>
    <s v="UPI"/>
    <x v="0"/>
    <x v="1"/>
    <n v="5"/>
    <n v="1"/>
    <x v="1"/>
    <s v="Online"/>
    <n v="9.6"/>
    <n v="10.4"/>
    <x v="0"/>
    <n v="12"/>
    <n v="1"/>
    <x v="3"/>
    <n v="30.259433962264151"/>
    <n v="0"/>
  </r>
  <r>
    <s v="ORD042"/>
    <x v="1"/>
    <s v="Boston, MA"/>
    <d v="2024-02-12T00:00:00"/>
    <d v="1899-12-30T20:15:00"/>
    <d v="2024-02-12T00:00:00"/>
    <d v="1899-12-30T20:40:00"/>
    <n v="25"/>
    <s v="Small"/>
    <s v="Vegan"/>
    <n v="2"/>
    <x v="4"/>
    <x v="0"/>
    <s v="Cash"/>
    <x v="0"/>
    <x v="0"/>
    <n v="12.5"/>
    <n v="1"/>
    <x v="1"/>
    <s v="Offline"/>
    <n v="4.8"/>
    <n v="20.2"/>
    <x v="0"/>
    <n v="2"/>
    <n v="2"/>
    <x v="1"/>
    <n v="28.186274509803919"/>
    <n v="0"/>
  </r>
  <r>
    <s v="ORD043"/>
    <x v="2"/>
    <s v="Dallas, TX"/>
    <d v="2024-02-13T00:00:00"/>
    <d v="1899-12-30T18:30:00"/>
    <d v="2024-02-13T00:00:00"/>
    <d v="1899-12-30T18:50:00"/>
    <n v="20"/>
    <s v="Medium"/>
    <s v="Non-Veg"/>
    <n v="3"/>
    <x v="2"/>
    <x v="1"/>
    <s v="Wallet"/>
    <x v="0"/>
    <x v="0"/>
    <n v="6.666666666666667"/>
    <n v="1"/>
    <x v="1"/>
    <s v="Online"/>
    <n v="7.1999999999999993"/>
    <n v="12.8"/>
    <x v="0"/>
    <n v="6"/>
    <n v="3"/>
    <x v="0"/>
    <n v="28.844221105527641"/>
    <n v="0"/>
  </r>
  <r>
    <s v="ORD044"/>
    <x v="3"/>
    <s v="Los Angeles, CA"/>
    <d v="2024-02-14T00:00:00"/>
    <d v="1899-12-30T19:45:00"/>
    <d v="2024-02-14T00:00:00"/>
    <d v="1899-12-30T20:10:00"/>
    <n v="25"/>
    <s v="XL"/>
    <s v="Cheese Burst"/>
    <n v="5"/>
    <x v="1"/>
    <x v="2"/>
    <s v="Card"/>
    <x v="0"/>
    <x v="0"/>
    <n v="5"/>
    <n v="1"/>
    <x v="1"/>
    <s v="Online"/>
    <n v="12"/>
    <n v="13"/>
    <x v="0"/>
    <n v="20"/>
    <n v="1"/>
    <x v="3"/>
    <n v="29.948453608247419"/>
    <n v="0"/>
  </r>
  <r>
    <s v="ORD045"/>
    <x v="4"/>
    <s v="Chicago, IL"/>
    <d v="2024-02-15T00:00:00"/>
    <d v="1899-12-30T13:00:00"/>
    <d v="2024-02-15T00:00:00"/>
    <d v="1899-12-30T13:20:00"/>
    <n v="20"/>
    <s v="Medium"/>
    <s v="Non-Veg"/>
    <n v="3"/>
    <x v="5"/>
    <x v="0"/>
    <s v="UPI"/>
    <x v="1"/>
    <x v="0"/>
    <n v="5.7142857142857144"/>
    <n v="0.8571428571428571"/>
    <x v="1"/>
    <s v="Online"/>
    <n v="8.4"/>
    <n v="11.6"/>
    <x v="0"/>
    <n v="6"/>
    <n v="2"/>
    <x v="4"/>
    <n v="30.286458333333329"/>
    <n v="0"/>
  </r>
  <r>
    <s v="ORD046"/>
    <x v="0"/>
    <s v="Miami, FL"/>
    <d v="2024-02-16T00:00:00"/>
    <d v="1899-12-30T18:30:00"/>
    <d v="2024-02-16T00:00:00"/>
    <d v="1899-12-30T18:50:00"/>
    <n v="20"/>
    <s v="Large"/>
    <s v="Veg"/>
    <n v="4"/>
    <x v="6"/>
    <x v="1"/>
    <s v="Cash"/>
    <x v="0"/>
    <x v="0"/>
    <n v="5"/>
    <n v="1"/>
    <x v="1"/>
    <s v="Offline"/>
    <n v="9.6"/>
    <n v="10.4"/>
    <x v="0"/>
    <n v="12"/>
    <n v="3"/>
    <x v="0"/>
    <n v="30.259433962264151"/>
    <n v="0"/>
  </r>
  <r>
    <s v="ORD047"/>
    <x v="1"/>
    <s v="Dallas, TX"/>
    <d v="2024-02-17T00:00:00"/>
    <d v="1899-12-30T20:00:00"/>
    <d v="2024-02-17T00:00:00"/>
    <d v="1899-12-30T20:25:00"/>
    <n v="25"/>
    <s v="Medium"/>
    <s v="Non-Veg"/>
    <n v="3"/>
    <x v="2"/>
    <x v="2"/>
    <s v="Wallet"/>
    <x v="0"/>
    <x v="1"/>
    <n v="8.3333333333333339"/>
    <n v="1"/>
    <x v="1"/>
    <s v="Online"/>
    <n v="7.1999999999999993"/>
    <n v="17.8"/>
    <x v="0"/>
    <n v="6"/>
    <n v="1"/>
    <x v="1"/>
    <n v="28.186274509803919"/>
    <n v="0"/>
  </r>
  <r>
    <s v="ORD048"/>
    <x v="2"/>
    <s v="Houston, TX"/>
    <d v="2024-02-18T00:00:00"/>
    <d v="1899-12-30T19:15:00"/>
    <d v="2024-02-18T00:00:00"/>
    <d v="1899-12-30T19:35:00"/>
    <n v="20"/>
    <s v="Small"/>
    <s v="Vegan"/>
    <n v="2"/>
    <x v="0"/>
    <x v="0"/>
    <s v="Card"/>
    <x v="0"/>
    <x v="1"/>
    <n v="8"/>
    <n v="0.8"/>
    <x v="1"/>
    <s v="Online"/>
    <n v="6"/>
    <n v="14"/>
    <x v="0"/>
    <n v="2"/>
    <n v="2"/>
    <x v="3"/>
    <n v="28.844221105527641"/>
    <n v="0"/>
  </r>
  <r>
    <s v="ORD049"/>
    <x v="3"/>
    <s v="Phoenix, AZ"/>
    <d v="2024-02-19T00:00:00"/>
    <d v="1899-12-30T20:30:00"/>
    <d v="2024-02-19T00:00:00"/>
    <d v="1899-12-30T20:55:00"/>
    <n v="25"/>
    <s v="XL"/>
    <s v="Cheese Burst"/>
    <n v="5"/>
    <x v="3"/>
    <x v="1"/>
    <s v="UPI"/>
    <x v="0"/>
    <x v="0"/>
    <n v="5.5555555555555554"/>
    <n v="1.1111111111111109"/>
    <x v="1"/>
    <s v="Online"/>
    <n v="10.8"/>
    <n v="14.2"/>
    <x v="0"/>
    <n v="20"/>
    <n v="3"/>
    <x v="1"/>
    <n v="29.948453608247419"/>
    <n v="0"/>
  </r>
  <r>
    <s v="ORD050"/>
    <x v="4"/>
    <s v="Atlanta, GA"/>
    <d v="2024-02-20T00:00:00"/>
    <d v="1899-12-30T14:45:00"/>
    <d v="2024-02-20T00:00:00"/>
    <d v="1899-12-30T15:05:00"/>
    <n v="20"/>
    <s v="Medium"/>
    <s v="Non-Veg"/>
    <n v="3"/>
    <x v="2"/>
    <x v="2"/>
    <s v="Cash"/>
    <x v="1"/>
    <x v="0"/>
    <n v="6.666666666666667"/>
    <n v="1"/>
    <x v="1"/>
    <s v="Offline"/>
    <n v="7.1999999999999993"/>
    <n v="12.8"/>
    <x v="0"/>
    <n v="6"/>
    <n v="1"/>
    <x v="6"/>
    <n v="30.286458333333329"/>
    <n v="0"/>
  </r>
  <r>
    <s v="ORD051"/>
    <x v="0"/>
    <s v="Seattle, WA"/>
    <d v="2024-02-21T00:00:00"/>
    <d v="1899-12-30T19:00:00"/>
    <d v="2024-02-21T00:00:00"/>
    <d v="1899-12-30T19:20:00"/>
    <n v="20"/>
    <s v="Large"/>
    <s v="Veg"/>
    <n v="4"/>
    <x v="6"/>
    <x v="0"/>
    <s v="Wallet"/>
    <x v="0"/>
    <x v="0"/>
    <n v="5"/>
    <n v="1"/>
    <x v="1"/>
    <s v="Online"/>
    <n v="9.6"/>
    <n v="10.4"/>
    <x v="0"/>
    <n v="12"/>
    <n v="2"/>
    <x v="3"/>
    <n v="30.259433962264151"/>
    <n v="0"/>
  </r>
  <r>
    <s v="ORD052"/>
    <x v="1"/>
    <s v="Denver, CO"/>
    <d v="2024-02-22T00:00:00"/>
    <d v="1899-12-30T20:15:00"/>
    <d v="2024-02-22T00:00:00"/>
    <d v="1899-12-30T20:40:00"/>
    <n v="25"/>
    <s v="Small"/>
    <s v="Vegan"/>
    <n v="2"/>
    <x v="4"/>
    <x v="1"/>
    <s v="Card"/>
    <x v="0"/>
    <x v="0"/>
    <n v="12.5"/>
    <n v="1"/>
    <x v="1"/>
    <s v="Online"/>
    <n v="4.8"/>
    <n v="20.2"/>
    <x v="0"/>
    <n v="2"/>
    <n v="3"/>
    <x v="1"/>
    <n v="28.186274509803919"/>
    <n v="0"/>
  </r>
  <r>
    <s v="ORD053"/>
    <x v="2"/>
    <s v="Boston, MA"/>
    <d v="2024-02-23T00:00:00"/>
    <d v="1899-12-30T18:30:00"/>
    <d v="2024-02-23T00:00:00"/>
    <d v="1899-12-30T18:50:00"/>
    <n v="20"/>
    <s v="Medium"/>
    <s v="Non-Veg"/>
    <n v="3"/>
    <x v="5"/>
    <x v="2"/>
    <s v="UPI"/>
    <x v="0"/>
    <x v="0"/>
    <n v="5.7142857142857144"/>
    <n v="0.8571428571428571"/>
    <x v="1"/>
    <s v="Online"/>
    <n v="8.4"/>
    <n v="11.6"/>
    <x v="0"/>
    <n v="6"/>
    <n v="1"/>
    <x v="0"/>
    <n v="28.844221105527641"/>
    <n v="0"/>
  </r>
  <r>
    <s v="ORD054"/>
    <x v="3"/>
    <s v="Chicago, IL"/>
    <d v="2024-02-24T00:00:00"/>
    <d v="1899-12-30T19:45:00"/>
    <d v="2024-02-24T00:00:00"/>
    <d v="1899-12-30T20:10:00"/>
    <n v="25"/>
    <s v="XL"/>
    <s v="Cheese Burst"/>
    <n v="5"/>
    <x v="6"/>
    <x v="0"/>
    <s v="Cash"/>
    <x v="0"/>
    <x v="1"/>
    <n v="6.25"/>
    <n v="1.25"/>
    <x v="1"/>
    <s v="Offline"/>
    <n v="9.6"/>
    <n v="15.4"/>
    <x v="0"/>
    <n v="20"/>
    <n v="2"/>
    <x v="3"/>
    <n v="29.948453608247419"/>
    <n v="0"/>
  </r>
  <r>
    <s v="ORD055"/>
    <x v="4"/>
    <s v="Miami, FL"/>
    <d v="2024-02-25T00:00:00"/>
    <d v="1899-12-30T13:00:00"/>
    <d v="2024-02-25T00:00:00"/>
    <d v="1899-12-30T13:20:00"/>
    <n v="20"/>
    <s v="Medium"/>
    <s v="Non-Veg"/>
    <n v="3"/>
    <x v="2"/>
    <x v="1"/>
    <s v="Wallet"/>
    <x v="1"/>
    <x v="1"/>
    <n v="6.666666666666667"/>
    <n v="1"/>
    <x v="1"/>
    <s v="Online"/>
    <n v="7.1999999999999993"/>
    <n v="12.8"/>
    <x v="0"/>
    <n v="6"/>
    <n v="3"/>
    <x v="4"/>
    <n v="30.286458333333329"/>
    <n v="0"/>
  </r>
  <r>
    <s v="ORD056"/>
    <x v="0"/>
    <s v="Los Angeles, CA"/>
    <d v="2024-02-26T00:00:00"/>
    <d v="1899-12-30T18:30:00"/>
    <d v="2024-02-26T00:00:00"/>
    <d v="1899-12-30T18:50:00"/>
    <n v="20"/>
    <s v="Large"/>
    <s v="Veg"/>
    <n v="4"/>
    <x v="3"/>
    <x v="2"/>
    <s v="Card"/>
    <x v="0"/>
    <x v="0"/>
    <n v="4.4444444444444446"/>
    <n v="0.88888888888888884"/>
    <x v="1"/>
    <s v="Online"/>
    <n v="10.8"/>
    <n v="9.2000000000000011"/>
    <x v="0"/>
    <n v="12"/>
    <n v="1"/>
    <x v="0"/>
    <n v="30.259433962264151"/>
    <n v="0"/>
  </r>
  <r>
    <s v="ORD057"/>
    <x v="1"/>
    <s v="Phoenix, AZ"/>
    <d v="2024-02-27T00:00:00"/>
    <d v="1899-12-30T20:00:00"/>
    <d v="2024-02-27T00:00:00"/>
    <d v="1899-12-30T20:25:00"/>
    <n v="25"/>
    <s v="Medium"/>
    <s v="Non-Veg"/>
    <n v="3"/>
    <x v="2"/>
    <x v="1"/>
    <s v="UPI"/>
    <x v="0"/>
    <x v="0"/>
    <n v="8.3333333333333339"/>
    <n v="1"/>
    <x v="1"/>
    <s v="Online"/>
    <n v="7.1999999999999993"/>
    <n v="17.8"/>
    <x v="0"/>
    <n v="6"/>
    <n v="3"/>
    <x v="1"/>
    <n v="28.186274509803919"/>
    <n v="0"/>
  </r>
  <r>
    <s v="ORD058"/>
    <x v="2"/>
    <s v="Atlanta, GA"/>
    <d v="2024-02-28T00:00:00"/>
    <d v="1899-12-30T19:15:00"/>
    <d v="2024-02-28T00:00:00"/>
    <d v="1899-12-30T19:35:00"/>
    <n v="20"/>
    <s v="Small"/>
    <s v="Vegan"/>
    <n v="2"/>
    <x v="0"/>
    <x v="2"/>
    <s v="Cash"/>
    <x v="0"/>
    <x v="0"/>
    <n v="8"/>
    <n v="0.8"/>
    <x v="1"/>
    <s v="Offline"/>
    <n v="6"/>
    <n v="14"/>
    <x v="0"/>
    <n v="2"/>
    <n v="1"/>
    <x v="3"/>
    <n v="28.844221105527641"/>
    <n v="0"/>
  </r>
  <r>
    <s v="ORD059"/>
    <x v="3"/>
    <s v="Dallas, TX"/>
    <d v="2024-02-29T00:00:00"/>
    <d v="1899-12-30T20:30:00"/>
    <d v="2024-02-29T00:00:00"/>
    <d v="1899-12-30T20:55:00"/>
    <n v="25"/>
    <s v="XL"/>
    <s v="Cheese Burst"/>
    <n v="5"/>
    <x v="6"/>
    <x v="0"/>
    <s v="Wallet"/>
    <x v="0"/>
    <x v="0"/>
    <n v="6.25"/>
    <n v="1.25"/>
    <x v="1"/>
    <s v="Online"/>
    <n v="9.6"/>
    <n v="15.4"/>
    <x v="0"/>
    <n v="20"/>
    <n v="2"/>
    <x v="1"/>
    <n v="29.948453608247419"/>
    <n v="0"/>
  </r>
  <r>
    <s v="ORD060"/>
    <x v="4"/>
    <s v="Seattle, WA"/>
    <d v="2024-03-01T00:00:00"/>
    <d v="1899-12-30T14:45:00"/>
    <d v="2024-03-01T00:00:00"/>
    <d v="1899-12-30T15:05:00"/>
    <n v="20"/>
    <s v="Medium"/>
    <s v="Non-Veg"/>
    <n v="3"/>
    <x v="5"/>
    <x v="1"/>
    <s v="Card"/>
    <x v="1"/>
    <x v="0"/>
    <n v="5.7142857142857144"/>
    <n v="0.8571428571428571"/>
    <x v="2"/>
    <s v="Online"/>
    <n v="8.4"/>
    <n v="11.6"/>
    <x v="0"/>
    <n v="6"/>
    <n v="3"/>
    <x v="6"/>
    <n v="30.286458333333329"/>
    <n v="0"/>
  </r>
  <r>
    <s v="ORD061"/>
    <x v="0"/>
    <s v="Denver, CO"/>
    <d v="2024-03-02T00:00:00"/>
    <d v="1899-12-30T19:00:00"/>
    <d v="2024-03-02T00:00:00"/>
    <d v="1899-12-30T19:20:00"/>
    <n v="20"/>
    <s v="Large"/>
    <s v="Veg"/>
    <n v="4"/>
    <x v="6"/>
    <x v="2"/>
    <s v="UPI"/>
    <x v="0"/>
    <x v="1"/>
    <n v="5"/>
    <n v="1"/>
    <x v="2"/>
    <s v="Online"/>
    <n v="9.6"/>
    <n v="10.4"/>
    <x v="0"/>
    <n v="12"/>
    <n v="1"/>
    <x v="3"/>
    <n v="30.259433962264151"/>
    <n v="0"/>
  </r>
  <r>
    <s v="ORD062"/>
    <x v="1"/>
    <s v="Boston, MA"/>
    <d v="2024-03-03T00:00:00"/>
    <d v="1899-12-30T20:15:00"/>
    <d v="2024-03-03T00:00:00"/>
    <d v="1899-12-30T20:40:00"/>
    <n v="25"/>
    <s v="Small"/>
    <s v="Vegan"/>
    <n v="2"/>
    <x v="4"/>
    <x v="0"/>
    <s v="Cash"/>
    <x v="0"/>
    <x v="1"/>
    <n v="12.5"/>
    <n v="1"/>
    <x v="2"/>
    <s v="Offline"/>
    <n v="4.8"/>
    <n v="20.2"/>
    <x v="0"/>
    <n v="2"/>
    <n v="2"/>
    <x v="1"/>
    <n v="28.186274509803919"/>
    <n v="0"/>
  </r>
  <r>
    <s v="ORD063"/>
    <x v="2"/>
    <s v="Dallas, TX"/>
    <d v="2024-03-04T00:00:00"/>
    <d v="1899-12-30T18:30:00"/>
    <d v="2024-03-04T00:00:00"/>
    <d v="1899-12-30T18:50:00"/>
    <n v="20"/>
    <s v="Medium"/>
    <s v="Non-Veg"/>
    <n v="3"/>
    <x v="2"/>
    <x v="1"/>
    <s v="Wallet"/>
    <x v="0"/>
    <x v="0"/>
    <n v="6.666666666666667"/>
    <n v="1"/>
    <x v="2"/>
    <s v="Online"/>
    <n v="7.1999999999999993"/>
    <n v="12.8"/>
    <x v="0"/>
    <n v="6"/>
    <n v="3"/>
    <x v="0"/>
    <n v="28.844221105527641"/>
    <n v="0"/>
  </r>
  <r>
    <s v="ORD064"/>
    <x v="3"/>
    <s v="Los Angeles, CA"/>
    <d v="2024-03-05T00:00:00"/>
    <d v="1899-12-30T19:45:00"/>
    <d v="2024-03-05T00:00:00"/>
    <d v="1899-12-30T20:10:00"/>
    <n v="25"/>
    <s v="XL"/>
    <s v="Cheese Burst"/>
    <n v="5"/>
    <x v="3"/>
    <x v="2"/>
    <s v="Card"/>
    <x v="0"/>
    <x v="0"/>
    <n v="5.5555555555555554"/>
    <n v="1.1111111111111109"/>
    <x v="2"/>
    <s v="Online"/>
    <n v="10.8"/>
    <n v="14.2"/>
    <x v="0"/>
    <n v="20"/>
    <n v="1"/>
    <x v="3"/>
    <n v="29.948453608247419"/>
    <n v="0"/>
  </r>
  <r>
    <s v="ORD065"/>
    <x v="4"/>
    <s v="Chicago, IL"/>
    <d v="2024-03-06T00:00:00"/>
    <d v="1899-12-30T13:00:00"/>
    <d v="2024-03-06T00:00:00"/>
    <d v="1899-12-30T13:20:00"/>
    <n v="20"/>
    <s v="Medium"/>
    <s v="Non-Veg"/>
    <n v="3"/>
    <x v="5"/>
    <x v="2"/>
    <s v="Card"/>
    <x v="1"/>
    <x v="0"/>
    <n v="5.7142857142857144"/>
    <n v="0.8571428571428571"/>
    <x v="2"/>
    <s v="Online"/>
    <n v="8.4"/>
    <n v="11.6"/>
    <x v="0"/>
    <n v="6"/>
    <n v="1"/>
    <x v="4"/>
    <n v="30.286458333333329"/>
    <n v="0"/>
  </r>
  <r>
    <s v="ORD066"/>
    <x v="0"/>
    <s v="Miami, FL"/>
    <d v="2024-03-07T00:00:00"/>
    <d v="1899-12-30T18:30:00"/>
    <d v="2024-03-07T00:00:00"/>
    <d v="1899-12-30T18:50:00"/>
    <n v="20"/>
    <s v="Large"/>
    <s v="Veg"/>
    <n v="4"/>
    <x v="6"/>
    <x v="1"/>
    <s v="Card"/>
    <x v="0"/>
    <x v="0"/>
    <n v="5"/>
    <n v="1"/>
    <x v="2"/>
    <s v="Online"/>
    <n v="9.6"/>
    <n v="10.4"/>
    <x v="0"/>
    <n v="12"/>
    <n v="3"/>
    <x v="0"/>
    <n v="30.259433962264151"/>
    <n v="0"/>
  </r>
  <r>
    <s v="ORD067"/>
    <x v="1"/>
    <s v="Dallas, TX"/>
    <d v="2024-03-08T00:00:00"/>
    <d v="1899-12-30T20:00:00"/>
    <d v="2024-03-08T00:00:00"/>
    <d v="1899-12-30T20:25:00"/>
    <n v="25"/>
    <s v="Medium"/>
    <s v="Non-Veg"/>
    <n v="3"/>
    <x v="5"/>
    <x v="0"/>
    <s v="UPI"/>
    <x v="0"/>
    <x v="0"/>
    <n v="7.1428571428571432"/>
    <n v="0.8571428571428571"/>
    <x v="2"/>
    <s v="Online"/>
    <n v="8.4"/>
    <n v="16.600000000000001"/>
    <x v="0"/>
    <n v="6"/>
    <n v="2"/>
    <x v="1"/>
    <n v="28.186274509803919"/>
    <n v="0"/>
  </r>
  <r>
    <s v="ORD068"/>
    <x v="2"/>
    <s v="Chicago, IL"/>
    <d v="2024-03-09T00:00:00"/>
    <d v="1899-12-30T19:15:00"/>
    <d v="2024-03-09T00:00:00"/>
    <d v="1899-12-30T19:35:00"/>
    <n v="20"/>
    <s v="Small"/>
    <s v="Vegan"/>
    <n v="2"/>
    <x v="0"/>
    <x v="2"/>
    <s v="Cash"/>
    <x v="0"/>
    <x v="1"/>
    <n v="8"/>
    <n v="0.8"/>
    <x v="2"/>
    <s v="Offline"/>
    <n v="6"/>
    <n v="14"/>
    <x v="0"/>
    <n v="2"/>
    <n v="1"/>
    <x v="3"/>
    <n v="28.844221105527641"/>
    <n v="0"/>
  </r>
  <r>
    <s v="ORD069"/>
    <x v="3"/>
    <s v="Phoenix, AZ"/>
    <d v="2024-03-10T00:00:00"/>
    <d v="1899-12-30T19:45:00"/>
    <d v="2024-03-10T00:00:00"/>
    <d v="1899-12-30T20:10:00"/>
    <n v="25"/>
    <s v="XL"/>
    <s v="Cheese Burst"/>
    <n v="5"/>
    <x v="3"/>
    <x v="1"/>
    <s v="Wallet"/>
    <x v="0"/>
    <x v="1"/>
    <n v="5.5555555555555554"/>
    <n v="1.1111111111111109"/>
    <x v="2"/>
    <s v="Online"/>
    <n v="10.8"/>
    <n v="14.2"/>
    <x v="0"/>
    <n v="20"/>
    <n v="3"/>
    <x v="3"/>
    <n v="29.948453608247419"/>
    <n v="0"/>
  </r>
  <r>
    <s v="ORD070"/>
    <x v="4"/>
    <s v="Atlanta, GA"/>
    <d v="2024-03-11T00:00:00"/>
    <d v="1899-12-30T13:00:00"/>
    <d v="2024-03-11T00:00:00"/>
    <d v="1899-12-30T13:20:00"/>
    <n v="20"/>
    <s v="Medium"/>
    <s v="Non-Veg"/>
    <n v="3"/>
    <x v="2"/>
    <x v="2"/>
    <s v="Card"/>
    <x v="1"/>
    <x v="0"/>
    <n v="6.666666666666667"/>
    <n v="1"/>
    <x v="2"/>
    <s v="Online"/>
    <n v="7.1999999999999993"/>
    <n v="12.8"/>
    <x v="0"/>
    <n v="6"/>
    <n v="1"/>
    <x v="4"/>
    <n v="30.286458333333329"/>
    <n v="0"/>
  </r>
  <r>
    <s v="ORD071"/>
    <x v="0"/>
    <s v="Seattle, WA"/>
    <d v="2024-03-12T00:00:00"/>
    <d v="1899-12-30T18:30:00"/>
    <d v="2024-03-12T00:00:00"/>
    <d v="1899-12-30T18:50:00"/>
    <n v="20"/>
    <s v="Large"/>
    <s v="Veg"/>
    <n v="4"/>
    <x v="6"/>
    <x v="0"/>
    <s v="UPI"/>
    <x v="0"/>
    <x v="0"/>
    <n v="5"/>
    <n v="1"/>
    <x v="2"/>
    <s v="Online"/>
    <n v="9.6"/>
    <n v="10.4"/>
    <x v="0"/>
    <n v="12"/>
    <n v="2"/>
    <x v="0"/>
    <n v="30.259433962264151"/>
    <n v="0"/>
  </r>
  <r>
    <s v="ORD072"/>
    <x v="1"/>
    <s v="Denver, CO"/>
    <d v="2024-03-13T00:00:00"/>
    <d v="1899-12-30T20:15:00"/>
    <d v="2024-03-13T00:00:00"/>
    <d v="1899-12-30T20:40:00"/>
    <n v="25"/>
    <s v="Small"/>
    <s v="Vegan"/>
    <n v="2"/>
    <x v="4"/>
    <x v="1"/>
    <s v="Cash"/>
    <x v="0"/>
    <x v="0"/>
    <n v="12.5"/>
    <n v="1"/>
    <x v="2"/>
    <s v="Offline"/>
    <n v="4.8"/>
    <n v="20.2"/>
    <x v="0"/>
    <n v="2"/>
    <n v="3"/>
    <x v="1"/>
    <n v="28.186274509803919"/>
    <n v="0"/>
  </r>
  <r>
    <s v="ORD073"/>
    <x v="2"/>
    <s v="Boston, MA"/>
    <d v="2024-03-14T00:00:00"/>
    <d v="1899-12-30T18:30:00"/>
    <d v="2024-03-14T00:00:00"/>
    <d v="1899-12-30T18:50:00"/>
    <n v="20"/>
    <s v="Medium"/>
    <s v="Non-Veg"/>
    <n v="3"/>
    <x v="5"/>
    <x v="2"/>
    <s v="Wallet"/>
    <x v="0"/>
    <x v="0"/>
    <n v="5.7142857142857144"/>
    <n v="0.8571428571428571"/>
    <x v="2"/>
    <s v="Online"/>
    <n v="8.4"/>
    <n v="11.6"/>
    <x v="0"/>
    <n v="6"/>
    <n v="1"/>
    <x v="0"/>
    <n v="28.844221105527641"/>
    <n v="0"/>
  </r>
  <r>
    <s v="ORD074"/>
    <x v="3"/>
    <s v="Chicago, IL"/>
    <d v="2024-03-15T00:00:00"/>
    <d v="1899-12-30T19:45:00"/>
    <d v="2024-03-15T00:00:00"/>
    <d v="1899-12-30T20:10:00"/>
    <n v="25"/>
    <s v="XL"/>
    <s v="Cheese Burst"/>
    <n v="5"/>
    <x v="6"/>
    <x v="0"/>
    <s v="Card"/>
    <x v="0"/>
    <x v="0"/>
    <n v="6.25"/>
    <n v="1.25"/>
    <x v="2"/>
    <s v="Online"/>
    <n v="9.6"/>
    <n v="15.4"/>
    <x v="0"/>
    <n v="20"/>
    <n v="2"/>
    <x v="3"/>
    <n v="29.948453608247419"/>
    <n v="0"/>
  </r>
  <r>
    <s v="ORD075"/>
    <x v="4"/>
    <s v="Miami, FL"/>
    <d v="2024-03-16T00:00:00"/>
    <d v="1899-12-30T13:00:00"/>
    <d v="2024-03-16T00:00:00"/>
    <d v="1899-12-30T13:20:00"/>
    <n v="20"/>
    <s v="Medium"/>
    <s v="Non-Veg"/>
    <n v="3"/>
    <x v="2"/>
    <x v="1"/>
    <s v="UPI"/>
    <x v="1"/>
    <x v="1"/>
    <n v="6.666666666666667"/>
    <n v="1"/>
    <x v="2"/>
    <s v="Online"/>
    <n v="7.1999999999999993"/>
    <n v="12.8"/>
    <x v="0"/>
    <n v="6"/>
    <n v="3"/>
    <x v="4"/>
    <n v="30.286458333333329"/>
    <n v="0"/>
  </r>
  <r>
    <s v="ORD076"/>
    <x v="0"/>
    <s v="Los Angeles, CA"/>
    <d v="2024-03-17T00:00:00"/>
    <d v="1899-12-30T18:30:00"/>
    <d v="2024-03-17T00:00:00"/>
    <d v="1899-12-30T18:50:00"/>
    <n v="20"/>
    <s v="Large"/>
    <s v="Veg"/>
    <n v="4"/>
    <x v="3"/>
    <x v="2"/>
    <s v="Cash"/>
    <x v="0"/>
    <x v="1"/>
    <n v="4.4444444444444446"/>
    <n v="0.88888888888888884"/>
    <x v="2"/>
    <s v="Offline"/>
    <n v="10.8"/>
    <n v="9.2000000000000011"/>
    <x v="0"/>
    <n v="12"/>
    <n v="1"/>
    <x v="0"/>
    <n v="30.259433962264151"/>
    <n v="0"/>
  </r>
  <r>
    <s v="ORD077"/>
    <x v="1"/>
    <s v="Phoenix, AZ"/>
    <d v="2024-03-18T00:00:00"/>
    <d v="1899-12-30T20:00:00"/>
    <d v="2024-03-18T00:00:00"/>
    <d v="1899-12-30T20:25:00"/>
    <n v="25"/>
    <s v="Medium"/>
    <s v="Non-Veg"/>
    <n v="3"/>
    <x v="2"/>
    <x v="1"/>
    <s v="Wallet"/>
    <x v="0"/>
    <x v="0"/>
    <n v="8.3333333333333339"/>
    <n v="1"/>
    <x v="2"/>
    <s v="Online"/>
    <n v="7.1999999999999993"/>
    <n v="17.8"/>
    <x v="0"/>
    <n v="6"/>
    <n v="3"/>
    <x v="1"/>
    <n v="28.186274509803919"/>
    <n v="0"/>
  </r>
  <r>
    <s v="ORD078"/>
    <x v="2"/>
    <s v="Atlanta, GA"/>
    <d v="2024-03-19T00:00:00"/>
    <d v="1899-12-30T19:15:00"/>
    <d v="2024-03-19T00:00:00"/>
    <d v="1899-12-30T19:35:00"/>
    <n v="20"/>
    <s v="Small"/>
    <s v="Vegan"/>
    <n v="2"/>
    <x v="0"/>
    <x v="2"/>
    <s v="Card"/>
    <x v="0"/>
    <x v="0"/>
    <n v="8"/>
    <n v="0.8"/>
    <x v="2"/>
    <s v="Online"/>
    <n v="6"/>
    <n v="14"/>
    <x v="0"/>
    <n v="2"/>
    <n v="1"/>
    <x v="3"/>
    <n v="28.844221105527641"/>
    <n v="0"/>
  </r>
  <r>
    <s v="ORD079"/>
    <x v="3"/>
    <s v="Dallas, TX"/>
    <d v="2024-03-20T00:00:00"/>
    <d v="1899-12-30T19:45:00"/>
    <d v="2024-03-20T00:00:00"/>
    <d v="1899-12-30T20:10:00"/>
    <n v="25"/>
    <s v="XL"/>
    <s v="Cheese Burst"/>
    <n v="5"/>
    <x v="6"/>
    <x v="0"/>
    <s v="UPI"/>
    <x v="0"/>
    <x v="0"/>
    <n v="6.25"/>
    <n v="1.25"/>
    <x v="2"/>
    <s v="Online"/>
    <n v="9.6"/>
    <n v="15.4"/>
    <x v="0"/>
    <n v="20"/>
    <n v="2"/>
    <x v="3"/>
    <n v="29.948453608247419"/>
    <n v="0"/>
  </r>
  <r>
    <s v="ORD080"/>
    <x v="4"/>
    <s v="Seattle, WA"/>
    <d v="2024-03-21T00:00:00"/>
    <d v="1899-12-30T13:00:00"/>
    <d v="2024-03-21T00:00:00"/>
    <d v="1899-12-30T13:20:00"/>
    <n v="20"/>
    <s v="Medium"/>
    <s v="Non-Veg"/>
    <n v="3"/>
    <x v="5"/>
    <x v="1"/>
    <s v="Cash"/>
    <x v="1"/>
    <x v="0"/>
    <n v="5.7142857142857144"/>
    <n v="0.8571428571428571"/>
    <x v="2"/>
    <s v="Offline"/>
    <n v="8.4"/>
    <n v="11.6"/>
    <x v="0"/>
    <n v="6"/>
    <n v="3"/>
    <x v="4"/>
    <n v="30.286458333333329"/>
    <n v="0"/>
  </r>
  <r>
    <s v="ORD081"/>
    <x v="0"/>
    <s v="Denver, CO"/>
    <d v="2024-03-22T00:00:00"/>
    <d v="1899-12-30T18:30:00"/>
    <d v="2024-03-22T00:00:00"/>
    <d v="1899-12-30T18:50:00"/>
    <n v="20"/>
    <s v="Large"/>
    <s v="Veg"/>
    <n v="4"/>
    <x v="6"/>
    <x v="2"/>
    <s v="Wallet"/>
    <x v="0"/>
    <x v="0"/>
    <n v="5"/>
    <n v="1"/>
    <x v="2"/>
    <s v="Online"/>
    <n v="9.6"/>
    <n v="10.4"/>
    <x v="0"/>
    <n v="12"/>
    <n v="1"/>
    <x v="0"/>
    <n v="30.259433962264151"/>
    <n v="0"/>
  </r>
  <r>
    <s v="ORD082"/>
    <x v="1"/>
    <s v="Boston, MA"/>
    <d v="2024-03-23T00:00:00"/>
    <d v="1899-12-30T20:15:00"/>
    <d v="2024-03-23T00:00:00"/>
    <d v="1899-12-30T20:40:00"/>
    <n v="25"/>
    <s v="Small"/>
    <s v="Vegan"/>
    <n v="2"/>
    <x v="4"/>
    <x v="1"/>
    <s v="Card"/>
    <x v="0"/>
    <x v="1"/>
    <n v="12.5"/>
    <n v="1"/>
    <x v="2"/>
    <s v="Online"/>
    <n v="4.8"/>
    <n v="20.2"/>
    <x v="0"/>
    <n v="2"/>
    <n v="3"/>
    <x v="1"/>
    <n v="28.186274509803919"/>
    <n v="0"/>
  </r>
  <r>
    <s v="ORD083"/>
    <x v="2"/>
    <s v="Dallas, TX"/>
    <d v="2024-03-24T00:00:00"/>
    <d v="1899-12-30T18:30:00"/>
    <d v="2024-03-24T00:00:00"/>
    <d v="1899-12-30T18:50:00"/>
    <n v="20"/>
    <s v="Medium"/>
    <s v="Non-Veg"/>
    <n v="3"/>
    <x v="2"/>
    <x v="1"/>
    <s v="UPI"/>
    <x v="0"/>
    <x v="1"/>
    <n v="6.666666666666667"/>
    <n v="1"/>
    <x v="2"/>
    <s v="Online"/>
    <n v="7.1999999999999993"/>
    <n v="12.8"/>
    <x v="0"/>
    <n v="6"/>
    <n v="3"/>
    <x v="0"/>
    <n v="28.844221105527641"/>
    <n v="0"/>
  </r>
  <r>
    <s v="ORD084"/>
    <x v="3"/>
    <s v="Los Angeles, CA"/>
    <d v="2024-03-25T00:00:00"/>
    <d v="1899-12-30T19:45:00"/>
    <d v="2024-03-25T00:00:00"/>
    <d v="1899-12-30T20:10:00"/>
    <n v="25"/>
    <s v="XL"/>
    <s v="Cheese Burst"/>
    <n v="5"/>
    <x v="3"/>
    <x v="2"/>
    <s v="Cash"/>
    <x v="0"/>
    <x v="0"/>
    <n v="5.5555555555555554"/>
    <n v="1.1111111111111109"/>
    <x v="2"/>
    <s v="Offline"/>
    <n v="10.8"/>
    <n v="14.2"/>
    <x v="0"/>
    <n v="20"/>
    <n v="1"/>
    <x v="3"/>
    <n v="29.948453608247419"/>
    <n v="0"/>
  </r>
  <r>
    <s v="ORD085"/>
    <x v="4"/>
    <s v="Chicago, IL"/>
    <d v="2024-03-26T00:00:00"/>
    <d v="1899-12-30T13:00:00"/>
    <d v="2024-03-26T00:00:00"/>
    <d v="1899-12-30T13:20:00"/>
    <n v="20"/>
    <s v="Medium"/>
    <s v="Non-Veg"/>
    <n v="3"/>
    <x v="5"/>
    <x v="0"/>
    <s v="Wallet"/>
    <x v="1"/>
    <x v="0"/>
    <n v="5.7142857142857144"/>
    <n v="0.8571428571428571"/>
    <x v="2"/>
    <s v="Online"/>
    <n v="8.4"/>
    <n v="11.6"/>
    <x v="0"/>
    <n v="6"/>
    <n v="2"/>
    <x v="4"/>
    <n v="30.286458333333329"/>
    <n v="0"/>
  </r>
  <r>
    <s v="ORD086"/>
    <x v="0"/>
    <s v="Miami, FL"/>
    <d v="2024-03-27T00:00:00"/>
    <d v="1899-12-30T18:30:00"/>
    <d v="2024-03-27T00:00:00"/>
    <d v="1899-12-30T18:50:00"/>
    <n v="20"/>
    <s v="Large"/>
    <s v="Veg"/>
    <n v="4"/>
    <x v="6"/>
    <x v="1"/>
    <s v="Card"/>
    <x v="0"/>
    <x v="0"/>
    <n v="5"/>
    <n v="1"/>
    <x v="2"/>
    <s v="Online"/>
    <n v="9.6"/>
    <n v="10.4"/>
    <x v="0"/>
    <n v="12"/>
    <n v="3"/>
    <x v="0"/>
    <n v="30.259433962264151"/>
    <n v="0"/>
  </r>
  <r>
    <s v="ORD087"/>
    <x v="1"/>
    <s v="Dallas, TX"/>
    <d v="2024-03-28T00:00:00"/>
    <d v="1899-12-30T20:00:00"/>
    <d v="2024-03-28T00:00:00"/>
    <d v="1899-12-30T20:25:00"/>
    <n v="25"/>
    <s v="Medium"/>
    <s v="Non-Veg"/>
    <n v="3"/>
    <x v="2"/>
    <x v="2"/>
    <s v="UPI"/>
    <x v="0"/>
    <x v="0"/>
    <n v="8.3333333333333339"/>
    <n v="1"/>
    <x v="2"/>
    <s v="Online"/>
    <n v="7.1999999999999993"/>
    <n v="17.8"/>
    <x v="0"/>
    <n v="6"/>
    <n v="1"/>
    <x v="1"/>
    <n v="28.186274509803919"/>
    <n v="0"/>
  </r>
  <r>
    <s v="ORD088"/>
    <x v="2"/>
    <s v="Houston, TX"/>
    <d v="2024-03-29T00:00:00"/>
    <d v="1899-12-30T19:15:00"/>
    <d v="2024-03-29T00:00:00"/>
    <d v="1899-12-30T19:35:00"/>
    <n v="20"/>
    <s v="Small"/>
    <s v="Vegan"/>
    <n v="2"/>
    <x v="0"/>
    <x v="2"/>
    <s v="Cash"/>
    <x v="0"/>
    <x v="0"/>
    <n v="8"/>
    <n v="0.8"/>
    <x v="2"/>
    <s v="Offline"/>
    <n v="6"/>
    <n v="14"/>
    <x v="0"/>
    <n v="2"/>
    <n v="1"/>
    <x v="3"/>
    <n v="28.844221105527641"/>
    <n v="0"/>
  </r>
  <r>
    <s v="ORD089"/>
    <x v="3"/>
    <s v="Phoenix, AZ"/>
    <d v="2024-03-30T00:00:00"/>
    <d v="1899-12-30T19:45:00"/>
    <d v="2024-03-30T00:00:00"/>
    <d v="1899-12-30T20:10:00"/>
    <n v="25"/>
    <s v="XL"/>
    <s v="Cheese Burst"/>
    <n v="5"/>
    <x v="3"/>
    <x v="1"/>
    <s v="Wallet"/>
    <x v="0"/>
    <x v="1"/>
    <n v="5.5555555555555554"/>
    <n v="1.1111111111111109"/>
    <x v="2"/>
    <s v="Online"/>
    <n v="10.8"/>
    <n v="14.2"/>
    <x v="0"/>
    <n v="20"/>
    <n v="3"/>
    <x v="3"/>
    <n v="29.948453608247419"/>
    <n v="0"/>
  </r>
  <r>
    <s v="ORD090"/>
    <x v="4"/>
    <s v="Atlanta, GA"/>
    <d v="2024-03-31T00:00:00"/>
    <d v="1899-12-30T13:00:00"/>
    <d v="2024-03-31T00:00:00"/>
    <d v="1899-12-30T13:20:00"/>
    <n v="20"/>
    <s v="Medium"/>
    <s v="Non-Veg"/>
    <n v="3"/>
    <x v="2"/>
    <x v="0"/>
    <s v="Card"/>
    <x v="1"/>
    <x v="1"/>
    <n v="6.666666666666667"/>
    <n v="1"/>
    <x v="2"/>
    <s v="Online"/>
    <n v="7.1999999999999993"/>
    <n v="12.8"/>
    <x v="0"/>
    <n v="6"/>
    <n v="2"/>
    <x v="4"/>
    <n v="30.286458333333329"/>
    <n v="0"/>
  </r>
  <r>
    <s v="ORD091"/>
    <x v="0"/>
    <s v="Seattle, WA"/>
    <d v="2024-04-01T00:00:00"/>
    <d v="1899-12-30T18:30:00"/>
    <d v="2024-04-01T00:00:00"/>
    <d v="1899-12-30T18:50:00"/>
    <n v="20"/>
    <s v="Large"/>
    <s v="Veg"/>
    <n v="4"/>
    <x v="6"/>
    <x v="2"/>
    <s v="UPI"/>
    <x v="0"/>
    <x v="0"/>
    <n v="5"/>
    <n v="1"/>
    <x v="3"/>
    <s v="Online"/>
    <n v="9.6"/>
    <n v="10.4"/>
    <x v="0"/>
    <n v="12"/>
    <n v="1"/>
    <x v="0"/>
    <n v="30.259433962264151"/>
    <n v="0"/>
  </r>
  <r>
    <s v="ORD092"/>
    <x v="1"/>
    <s v="Denver, CO"/>
    <d v="2024-04-02T00:00:00"/>
    <d v="1899-12-30T20:15:00"/>
    <d v="2024-04-02T00:00:00"/>
    <d v="1899-12-30T20:40:00"/>
    <n v="25"/>
    <s v="Small"/>
    <s v="Vegan"/>
    <n v="2"/>
    <x v="4"/>
    <x v="1"/>
    <s v="Cash"/>
    <x v="0"/>
    <x v="0"/>
    <n v="12.5"/>
    <n v="1"/>
    <x v="3"/>
    <s v="Offline"/>
    <n v="4.8"/>
    <n v="20.2"/>
    <x v="0"/>
    <n v="2"/>
    <n v="3"/>
    <x v="1"/>
    <n v="28.186274509803919"/>
    <n v="0"/>
  </r>
  <r>
    <s v="ORD093"/>
    <x v="2"/>
    <s v="Boston, MA"/>
    <d v="2024-04-03T00:00:00"/>
    <d v="1899-12-30T18:30:00"/>
    <d v="2024-04-03T00:00:00"/>
    <d v="1899-12-30T18:50:00"/>
    <n v="20"/>
    <s v="Medium"/>
    <s v="Non-Veg"/>
    <n v="3"/>
    <x v="5"/>
    <x v="2"/>
    <s v="Wallet"/>
    <x v="0"/>
    <x v="0"/>
    <n v="5.7142857142857144"/>
    <n v="0.8571428571428571"/>
    <x v="3"/>
    <s v="Online"/>
    <n v="8.4"/>
    <n v="11.6"/>
    <x v="0"/>
    <n v="6"/>
    <n v="1"/>
    <x v="0"/>
    <n v="28.844221105527641"/>
    <n v="0"/>
  </r>
  <r>
    <s v="ORD094"/>
    <x v="3"/>
    <s v="Chicago, IL"/>
    <d v="2024-04-04T00:00:00"/>
    <d v="1899-12-30T19:45:00"/>
    <d v="2024-04-04T00:00:00"/>
    <d v="1899-12-30T20:10:00"/>
    <n v="25"/>
    <s v="XL"/>
    <s v="Cheese Burst"/>
    <n v="5"/>
    <x v="6"/>
    <x v="0"/>
    <s v="Card"/>
    <x v="0"/>
    <x v="0"/>
    <n v="6.25"/>
    <n v="1.25"/>
    <x v="3"/>
    <s v="Online"/>
    <n v="9.6"/>
    <n v="15.4"/>
    <x v="0"/>
    <n v="20"/>
    <n v="2"/>
    <x v="3"/>
    <n v="29.948453608247419"/>
    <n v="0"/>
  </r>
  <r>
    <s v="ORD095"/>
    <x v="4"/>
    <s v="Miami, FL"/>
    <d v="2024-04-05T00:00:00"/>
    <d v="1899-12-30T13:00:00"/>
    <d v="2024-04-05T00:00:00"/>
    <d v="1899-12-30T13:20:00"/>
    <n v="20"/>
    <s v="Medium"/>
    <s v="Non-Veg"/>
    <n v="3"/>
    <x v="2"/>
    <x v="1"/>
    <s v="UPI"/>
    <x v="1"/>
    <x v="0"/>
    <n v="6.666666666666667"/>
    <n v="1"/>
    <x v="3"/>
    <s v="Online"/>
    <n v="7.1999999999999993"/>
    <n v="12.8"/>
    <x v="0"/>
    <n v="6"/>
    <n v="3"/>
    <x v="4"/>
    <n v="30.286458333333329"/>
    <n v="0"/>
  </r>
  <r>
    <s v="ORD096"/>
    <x v="0"/>
    <s v="Los Angeles, CA"/>
    <d v="2024-04-06T00:00:00"/>
    <d v="1899-12-30T18:30:00"/>
    <d v="2024-04-06T00:00:00"/>
    <d v="1899-12-30T18:50:00"/>
    <n v="20"/>
    <s v="Large"/>
    <s v="Veg"/>
    <n v="4"/>
    <x v="3"/>
    <x v="1"/>
    <s v="Card"/>
    <x v="0"/>
    <x v="1"/>
    <n v="4.4444444444444446"/>
    <n v="0.88888888888888884"/>
    <x v="3"/>
    <s v="Online"/>
    <n v="10.8"/>
    <n v="9.2000000000000011"/>
    <x v="0"/>
    <n v="12"/>
    <n v="3"/>
    <x v="0"/>
    <n v="30.259433962264151"/>
    <n v="0"/>
  </r>
  <r>
    <s v="ORD097"/>
    <x v="1"/>
    <s v="Dallas, TX"/>
    <d v="2024-04-07T00:00:00"/>
    <d v="1899-12-30T20:00:00"/>
    <d v="2024-04-07T00:00:00"/>
    <d v="1899-12-30T20:25:00"/>
    <n v="25"/>
    <s v="Medium"/>
    <s v="Non-Veg"/>
    <n v="3"/>
    <x v="2"/>
    <x v="0"/>
    <s v="UPI"/>
    <x v="0"/>
    <x v="1"/>
    <n v="8.3333333333333339"/>
    <n v="1"/>
    <x v="3"/>
    <s v="Online"/>
    <n v="7.1999999999999993"/>
    <n v="17.8"/>
    <x v="0"/>
    <n v="6"/>
    <n v="2"/>
    <x v="1"/>
    <n v="28.186274509803919"/>
    <n v="0"/>
  </r>
  <r>
    <s v="ORD098"/>
    <x v="2"/>
    <s v="Chicago, IL"/>
    <d v="2024-04-08T00:00:00"/>
    <d v="1899-12-30T19:15:00"/>
    <d v="2024-04-08T00:00:00"/>
    <d v="1899-12-30T19:35:00"/>
    <n v="20"/>
    <s v="Small"/>
    <s v="Vegan"/>
    <n v="2"/>
    <x v="0"/>
    <x v="2"/>
    <s v="Cash"/>
    <x v="0"/>
    <x v="0"/>
    <n v="8"/>
    <n v="0.8"/>
    <x v="3"/>
    <s v="Offline"/>
    <n v="6"/>
    <n v="14"/>
    <x v="0"/>
    <n v="2"/>
    <n v="1"/>
    <x v="3"/>
    <n v="28.844221105527641"/>
    <n v="0"/>
  </r>
  <r>
    <s v="ORD099"/>
    <x v="3"/>
    <s v="Phoenix, AZ"/>
    <d v="2024-04-09T00:00:00"/>
    <d v="1899-12-30T19:45:00"/>
    <d v="2024-04-09T00:00:00"/>
    <d v="1899-12-30T20:10:00"/>
    <n v="25"/>
    <s v="XL"/>
    <s v="Cheese Burst"/>
    <n v="5"/>
    <x v="6"/>
    <x v="1"/>
    <s v="Wallet"/>
    <x v="0"/>
    <x v="0"/>
    <n v="6.25"/>
    <n v="1.25"/>
    <x v="3"/>
    <s v="Online"/>
    <n v="9.6"/>
    <n v="15.4"/>
    <x v="0"/>
    <n v="20"/>
    <n v="3"/>
    <x v="3"/>
    <n v="29.948453608247419"/>
    <n v="0"/>
  </r>
  <r>
    <s v="ORD100"/>
    <x v="4"/>
    <s v="Atlanta, GA"/>
    <d v="2024-04-10T00:00:00"/>
    <d v="1899-12-30T13:00:00"/>
    <d v="2024-04-10T00:00:00"/>
    <d v="1899-12-30T13:20:00"/>
    <n v="20"/>
    <s v="Medium"/>
    <s v="Non-Veg"/>
    <n v="3"/>
    <x v="5"/>
    <x v="2"/>
    <s v="Card"/>
    <x v="1"/>
    <x v="0"/>
    <n v="5.7142857142857144"/>
    <n v="0.8571428571428571"/>
    <x v="3"/>
    <s v="Online"/>
    <n v="8.4"/>
    <n v="11.6"/>
    <x v="0"/>
    <n v="6"/>
    <n v="1"/>
    <x v="4"/>
    <n v="30.286458333333329"/>
    <n v="0"/>
  </r>
  <r>
    <s v="ORD101"/>
    <x v="0"/>
    <s v="Seattle, WA"/>
    <d v="2024-04-11T00:00:00"/>
    <d v="1899-12-30T18:30:00"/>
    <d v="2024-04-11T00:00:00"/>
    <d v="1899-12-30T18:50:00"/>
    <n v="20"/>
    <s v="Large"/>
    <s v="Veg"/>
    <n v="4"/>
    <x v="3"/>
    <x v="0"/>
    <s v="UPI"/>
    <x v="0"/>
    <x v="0"/>
    <n v="4.4444444444444446"/>
    <n v="0.88888888888888884"/>
    <x v="3"/>
    <s v="Online"/>
    <n v="10.8"/>
    <n v="9.2000000000000011"/>
    <x v="0"/>
    <n v="12"/>
    <n v="2"/>
    <x v="0"/>
    <n v="30.259433962264151"/>
    <n v="0"/>
  </r>
  <r>
    <s v="ORD102"/>
    <x v="1"/>
    <s v="Denver, CO"/>
    <d v="2024-04-12T00:00:00"/>
    <d v="1899-12-30T20:15:00"/>
    <d v="2024-04-12T00:00:00"/>
    <d v="1899-12-30T20:40:00"/>
    <n v="25"/>
    <s v="Small"/>
    <s v="Vegan"/>
    <n v="2"/>
    <x v="4"/>
    <x v="1"/>
    <s v="Cash"/>
    <x v="0"/>
    <x v="0"/>
    <n v="12.5"/>
    <n v="1"/>
    <x v="3"/>
    <s v="Offline"/>
    <n v="4.8"/>
    <n v="20.2"/>
    <x v="0"/>
    <n v="2"/>
    <n v="3"/>
    <x v="1"/>
    <n v="28.186274509803919"/>
    <n v="0"/>
  </r>
  <r>
    <s v="ORD103"/>
    <x v="2"/>
    <s v="Boston, MA"/>
    <d v="2024-04-13T00:00:00"/>
    <d v="1899-12-30T18:30:00"/>
    <d v="2024-04-13T00:00:00"/>
    <d v="1899-12-30T18:50:00"/>
    <n v="20"/>
    <s v="Medium"/>
    <s v="Non-Veg"/>
    <n v="3"/>
    <x v="5"/>
    <x v="2"/>
    <s v="Wallet"/>
    <x v="0"/>
    <x v="1"/>
    <n v="5.7142857142857144"/>
    <n v="0.8571428571428571"/>
    <x v="3"/>
    <s v="Online"/>
    <n v="8.4"/>
    <n v="11.6"/>
    <x v="0"/>
    <n v="6"/>
    <n v="1"/>
    <x v="0"/>
    <n v="28.844221105527641"/>
    <n v="0"/>
  </r>
  <r>
    <s v="ORD104"/>
    <x v="3"/>
    <s v="Chicago, IL"/>
    <d v="2024-04-14T00:00:00"/>
    <d v="1899-12-30T19:45:00"/>
    <d v="2024-04-14T00:00:00"/>
    <d v="1899-12-30T20:10:00"/>
    <n v="25"/>
    <s v="XL"/>
    <s v="Cheese Burst"/>
    <n v="5"/>
    <x v="6"/>
    <x v="0"/>
    <s v="Card"/>
    <x v="0"/>
    <x v="1"/>
    <n v="6.25"/>
    <n v="1.25"/>
    <x v="3"/>
    <s v="Online"/>
    <n v="9.6"/>
    <n v="15.4"/>
    <x v="0"/>
    <n v="20"/>
    <n v="2"/>
    <x v="3"/>
    <n v="29.948453608247419"/>
    <n v="0"/>
  </r>
  <r>
    <s v="ORD105"/>
    <x v="4"/>
    <s v="Miami, FL"/>
    <d v="2024-04-15T00:00:00"/>
    <d v="1899-12-30T13:00:00"/>
    <d v="2024-04-15T00:00:00"/>
    <d v="1899-12-30T13:20:00"/>
    <n v="20"/>
    <s v="Medium"/>
    <s v="Non-Veg"/>
    <n v="3"/>
    <x v="2"/>
    <x v="1"/>
    <s v="UPI"/>
    <x v="1"/>
    <x v="0"/>
    <n v="6.666666666666667"/>
    <n v="1"/>
    <x v="3"/>
    <s v="Online"/>
    <n v="7.1999999999999993"/>
    <n v="12.8"/>
    <x v="0"/>
    <n v="6"/>
    <n v="3"/>
    <x v="4"/>
    <n v="30.286458333333329"/>
    <n v="0"/>
  </r>
  <r>
    <s v="ORD106"/>
    <x v="0"/>
    <s v="Los Angeles, CA"/>
    <d v="2024-04-16T00:00:00"/>
    <d v="1899-12-30T18:30:00"/>
    <d v="2024-04-16T00:00:00"/>
    <d v="1899-12-30T18:50:00"/>
    <n v="20"/>
    <s v="Large"/>
    <s v="Veg"/>
    <n v="4"/>
    <x v="3"/>
    <x v="2"/>
    <s v="Cash"/>
    <x v="0"/>
    <x v="0"/>
    <n v="4.4444444444444446"/>
    <n v="0.88888888888888884"/>
    <x v="3"/>
    <s v="Offline"/>
    <n v="10.8"/>
    <n v="9.2000000000000011"/>
    <x v="0"/>
    <n v="12"/>
    <n v="1"/>
    <x v="0"/>
    <n v="30.259433962264151"/>
    <n v="0"/>
  </r>
  <r>
    <s v="ORD107"/>
    <x v="1"/>
    <s v="Phoenix, AZ"/>
    <d v="2024-04-17T00:00:00"/>
    <d v="1899-12-30T20:00:00"/>
    <d v="2024-04-17T00:00:00"/>
    <d v="1899-12-30T20:25:00"/>
    <n v="25"/>
    <s v="Medium"/>
    <s v="Non-Veg"/>
    <n v="3"/>
    <x v="2"/>
    <x v="1"/>
    <s v="Wallet"/>
    <x v="0"/>
    <x v="0"/>
    <n v="8.3333333333333339"/>
    <n v="1"/>
    <x v="3"/>
    <s v="Online"/>
    <n v="7.1999999999999993"/>
    <n v="17.8"/>
    <x v="0"/>
    <n v="6"/>
    <n v="3"/>
    <x v="1"/>
    <n v="28.186274509803919"/>
    <n v="0"/>
  </r>
  <r>
    <s v="ORD108"/>
    <x v="2"/>
    <s v="Atlanta, GA"/>
    <d v="2024-04-18T00:00:00"/>
    <d v="1899-12-30T19:15:00"/>
    <d v="2024-04-18T00:00:00"/>
    <d v="1899-12-30T19:35:00"/>
    <n v="20"/>
    <s v="Small"/>
    <s v="Vegan"/>
    <n v="2"/>
    <x v="0"/>
    <x v="2"/>
    <s v="Card"/>
    <x v="0"/>
    <x v="0"/>
    <n v="8"/>
    <n v="0.8"/>
    <x v="3"/>
    <s v="Online"/>
    <n v="6"/>
    <n v="14"/>
    <x v="0"/>
    <n v="2"/>
    <n v="1"/>
    <x v="3"/>
    <n v="28.844221105527641"/>
    <n v="0"/>
  </r>
  <r>
    <s v="ORD109"/>
    <x v="3"/>
    <s v="Dallas, TX"/>
    <d v="2024-04-19T00:00:00"/>
    <d v="1899-12-30T19:45:00"/>
    <d v="2024-04-19T00:00:00"/>
    <d v="1899-12-30T20:10:00"/>
    <n v="25"/>
    <s v="XL"/>
    <s v="Cheese Burst"/>
    <n v="5"/>
    <x v="6"/>
    <x v="0"/>
    <s v="UPI"/>
    <x v="0"/>
    <x v="0"/>
    <n v="6.25"/>
    <n v="1.25"/>
    <x v="3"/>
    <s v="Online"/>
    <n v="9.6"/>
    <n v="15.4"/>
    <x v="0"/>
    <n v="20"/>
    <n v="2"/>
    <x v="3"/>
    <n v="29.948453608247419"/>
    <n v="0"/>
  </r>
  <r>
    <s v="ORD110"/>
    <x v="4"/>
    <s v="Seattle, WA"/>
    <d v="2024-04-20T00:00:00"/>
    <d v="1899-12-30T13:00:00"/>
    <d v="2024-04-20T00:00:00"/>
    <d v="1899-12-30T13:20:00"/>
    <n v="20"/>
    <s v="Medium"/>
    <s v="Non-Veg"/>
    <n v="3"/>
    <x v="5"/>
    <x v="1"/>
    <s v="Cash"/>
    <x v="1"/>
    <x v="1"/>
    <n v="5.7142857142857144"/>
    <n v="0.8571428571428571"/>
    <x v="3"/>
    <s v="Offline"/>
    <n v="8.4"/>
    <n v="11.6"/>
    <x v="0"/>
    <n v="6"/>
    <n v="3"/>
    <x v="4"/>
    <n v="30.286458333333329"/>
    <n v="0"/>
  </r>
  <r>
    <s v="ORD111"/>
    <x v="0"/>
    <s v="Denver, CO"/>
    <d v="2024-04-21T00:00:00"/>
    <d v="1899-12-30T18:30:00"/>
    <d v="2024-04-21T00:00:00"/>
    <d v="1899-12-30T18:50:00"/>
    <n v="20"/>
    <s v="Large"/>
    <s v="Veg"/>
    <n v="4"/>
    <x v="3"/>
    <x v="2"/>
    <s v="Wallet"/>
    <x v="0"/>
    <x v="1"/>
    <n v="4.4444444444444446"/>
    <n v="0.88888888888888884"/>
    <x v="3"/>
    <s v="Online"/>
    <n v="10.8"/>
    <n v="9.2000000000000011"/>
    <x v="0"/>
    <n v="12"/>
    <n v="1"/>
    <x v="0"/>
    <n v="30.259433962264151"/>
    <n v="0"/>
  </r>
  <r>
    <s v="ORD112"/>
    <x v="1"/>
    <s v="Boston, MA"/>
    <d v="2024-04-22T00:00:00"/>
    <d v="1899-12-30T20:15:00"/>
    <d v="2024-04-22T00:00:00"/>
    <d v="1899-12-30T20:40:00"/>
    <n v="25"/>
    <s v="Small"/>
    <s v="Vegan"/>
    <n v="2"/>
    <x v="4"/>
    <x v="1"/>
    <s v="Card"/>
    <x v="0"/>
    <x v="0"/>
    <n v="12.5"/>
    <n v="1"/>
    <x v="3"/>
    <s v="Online"/>
    <n v="4.8"/>
    <n v="20.2"/>
    <x v="0"/>
    <n v="2"/>
    <n v="3"/>
    <x v="1"/>
    <n v="28.186274509803919"/>
    <n v="0"/>
  </r>
  <r>
    <s v="ORD113"/>
    <x v="2"/>
    <s v="Dallas, TX"/>
    <d v="2024-04-23T00:00:00"/>
    <d v="1899-12-30T18:30:00"/>
    <d v="2024-04-23T00:00:00"/>
    <d v="1899-12-30T18:50:00"/>
    <n v="20"/>
    <s v="Medium"/>
    <s v="Non-Veg"/>
    <n v="3"/>
    <x v="2"/>
    <x v="1"/>
    <s v="UPI"/>
    <x v="0"/>
    <x v="0"/>
    <n v="6.666666666666667"/>
    <n v="1"/>
    <x v="3"/>
    <s v="Online"/>
    <n v="7.1999999999999993"/>
    <n v="12.8"/>
    <x v="0"/>
    <n v="6"/>
    <n v="3"/>
    <x v="0"/>
    <n v="28.844221105527641"/>
    <n v="0"/>
  </r>
  <r>
    <s v="ORD114"/>
    <x v="3"/>
    <s v="Los Angeles, CA"/>
    <d v="2024-04-24T00:00:00"/>
    <d v="1899-12-30T19:45:00"/>
    <d v="2024-04-24T00:00:00"/>
    <d v="1899-12-30T20:10:00"/>
    <n v="25"/>
    <s v="XL"/>
    <s v="Cheese Burst"/>
    <n v="5"/>
    <x v="3"/>
    <x v="2"/>
    <s v="Cash"/>
    <x v="0"/>
    <x v="0"/>
    <n v="5.5555555555555554"/>
    <n v="1.1111111111111109"/>
    <x v="3"/>
    <s v="Offline"/>
    <n v="10.8"/>
    <n v="14.2"/>
    <x v="0"/>
    <n v="20"/>
    <n v="1"/>
    <x v="3"/>
    <n v="29.948453608247419"/>
    <n v="0"/>
  </r>
  <r>
    <s v="ORD115"/>
    <x v="4"/>
    <s v="Chicago, IL"/>
    <d v="2024-04-25T00:00:00"/>
    <d v="1899-12-30T13:00:00"/>
    <d v="2024-04-25T00:00:00"/>
    <d v="1899-12-30T13:20:00"/>
    <n v="20"/>
    <s v="Medium"/>
    <s v="Non-Veg"/>
    <n v="3"/>
    <x v="5"/>
    <x v="0"/>
    <s v="Wallet"/>
    <x v="1"/>
    <x v="0"/>
    <n v="5.7142857142857144"/>
    <n v="0.8571428571428571"/>
    <x v="3"/>
    <s v="Online"/>
    <n v="8.4"/>
    <n v="11.6"/>
    <x v="0"/>
    <n v="6"/>
    <n v="2"/>
    <x v="4"/>
    <n v="30.286458333333329"/>
    <n v="0"/>
  </r>
  <r>
    <s v="ORD116"/>
    <x v="0"/>
    <s v="Miami, FL"/>
    <d v="2024-04-26T00:00:00"/>
    <d v="1899-12-30T18:30:00"/>
    <d v="2024-04-26T00:00:00"/>
    <d v="1899-12-30T18:50:00"/>
    <n v="20"/>
    <s v="Large"/>
    <s v="Veg"/>
    <n v="4"/>
    <x v="6"/>
    <x v="1"/>
    <s v="Card"/>
    <x v="0"/>
    <x v="0"/>
    <n v="5"/>
    <n v="1"/>
    <x v="3"/>
    <s v="Online"/>
    <n v="9.6"/>
    <n v="10.4"/>
    <x v="0"/>
    <n v="12"/>
    <n v="3"/>
    <x v="0"/>
    <n v="30.259433962264151"/>
    <n v="0"/>
  </r>
  <r>
    <s v="ORD117"/>
    <x v="1"/>
    <s v="Dallas, TX"/>
    <d v="2024-04-27T00:00:00"/>
    <d v="1899-12-30T20:00:00"/>
    <d v="2024-04-27T00:00:00"/>
    <d v="1899-12-30T20:25:00"/>
    <n v="25"/>
    <s v="Medium"/>
    <s v="Non-Veg"/>
    <n v="3"/>
    <x v="2"/>
    <x v="2"/>
    <s v="UPI"/>
    <x v="0"/>
    <x v="1"/>
    <n v="8.3333333333333339"/>
    <n v="1"/>
    <x v="3"/>
    <s v="Online"/>
    <n v="7.1999999999999993"/>
    <n v="17.8"/>
    <x v="0"/>
    <n v="6"/>
    <n v="1"/>
    <x v="1"/>
    <n v="28.186274509803919"/>
    <n v="0"/>
  </r>
  <r>
    <s v="ORD118"/>
    <x v="2"/>
    <s v="Houston, TX"/>
    <d v="2024-04-28T00:00:00"/>
    <d v="1899-12-30T19:15:00"/>
    <d v="2024-04-28T00:00:00"/>
    <d v="1899-12-30T19:35:00"/>
    <n v="20"/>
    <s v="Small"/>
    <s v="Vegan"/>
    <n v="2"/>
    <x v="0"/>
    <x v="2"/>
    <s v="Cash"/>
    <x v="0"/>
    <x v="1"/>
    <n v="8"/>
    <n v="0.8"/>
    <x v="3"/>
    <s v="Offline"/>
    <n v="6"/>
    <n v="14"/>
    <x v="0"/>
    <n v="2"/>
    <n v="1"/>
    <x v="3"/>
    <n v="28.844221105527641"/>
    <n v="0"/>
  </r>
  <r>
    <s v="ORD119"/>
    <x v="3"/>
    <s v="Phoenix, AZ"/>
    <d v="2024-04-29T00:00:00"/>
    <d v="1899-12-30T19:45:00"/>
    <d v="2024-04-29T00:00:00"/>
    <d v="1899-12-30T20:10:00"/>
    <n v="25"/>
    <s v="XL"/>
    <s v="Cheese Burst"/>
    <n v="5"/>
    <x v="3"/>
    <x v="1"/>
    <s v="Wallet"/>
    <x v="0"/>
    <x v="0"/>
    <n v="5.5555555555555554"/>
    <n v="1.1111111111111109"/>
    <x v="3"/>
    <s v="Online"/>
    <n v="10.8"/>
    <n v="14.2"/>
    <x v="0"/>
    <n v="20"/>
    <n v="3"/>
    <x v="3"/>
    <n v="29.948453608247419"/>
    <n v="0"/>
  </r>
  <r>
    <s v="ORD120"/>
    <x v="4"/>
    <s v="Atlanta, GA"/>
    <d v="2024-04-30T00:00:00"/>
    <d v="1899-12-30T13:00:00"/>
    <d v="2024-04-30T00:00:00"/>
    <d v="1899-12-30T13:20:00"/>
    <n v="20"/>
    <s v="Medium"/>
    <s v="Non-Veg"/>
    <n v="3"/>
    <x v="2"/>
    <x v="0"/>
    <s v="Card"/>
    <x v="1"/>
    <x v="0"/>
    <n v="6.666666666666667"/>
    <n v="1"/>
    <x v="3"/>
    <s v="Online"/>
    <n v="7.1999999999999993"/>
    <n v="12.8"/>
    <x v="0"/>
    <n v="6"/>
    <n v="2"/>
    <x v="4"/>
    <n v="30.286458333333329"/>
    <n v="0"/>
  </r>
  <r>
    <s v="ORD121"/>
    <x v="0"/>
    <s v="Seattle, WA"/>
    <d v="2024-05-01T00:00:00"/>
    <d v="1899-12-30T18:30:00"/>
    <d v="2024-05-01T00:00:00"/>
    <d v="1899-12-30T18:50:00"/>
    <n v="20"/>
    <s v="Large"/>
    <s v="Veg"/>
    <n v="4"/>
    <x v="3"/>
    <x v="2"/>
    <s v="UPI"/>
    <x v="0"/>
    <x v="0"/>
    <n v="4.4444444444444446"/>
    <n v="0.88888888888888884"/>
    <x v="4"/>
    <s v="Online"/>
    <n v="10.8"/>
    <n v="9.2000000000000011"/>
    <x v="0"/>
    <n v="12"/>
    <n v="1"/>
    <x v="0"/>
    <n v="30.259433962264151"/>
    <n v="0"/>
  </r>
  <r>
    <s v="ORD122"/>
    <x v="1"/>
    <s v="Denver, CO"/>
    <d v="2024-05-02T00:00:00"/>
    <d v="1899-12-30T20:15:00"/>
    <d v="2024-05-02T00:00:00"/>
    <d v="1899-12-30T20:40:00"/>
    <n v="25"/>
    <s v="Small"/>
    <s v="Vegan"/>
    <n v="2"/>
    <x v="4"/>
    <x v="1"/>
    <s v="Cash"/>
    <x v="0"/>
    <x v="0"/>
    <n v="12.5"/>
    <n v="1"/>
    <x v="4"/>
    <s v="Offline"/>
    <n v="4.8"/>
    <n v="20.2"/>
    <x v="0"/>
    <n v="2"/>
    <n v="3"/>
    <x v="1"/>
    <n v="28.186274509803919"/>
    <n v="0"/>
  </r>
  <r>
    <s v="ORD123"/>
    <x v="2"/>
    <s v="Boston, MA"/>
    <d v="2024-05-03T00:00:00"/>
    <d v="1899-12-30T18:30:00"/>
    <d v="2024-05-03T00:00:00"/>
    <d v="1899-12-30T18:50:00"/>
    <n v="20"/>
    <s v="Medium"/>
    <s v="Non-Veg"/>
    <n v="3"/>
    <x v="5"/>
    <x v="2"/>
    <s v="Wallet"/>
    <x v="0"/>
    <x v="0"/>
    <n v="5.7142857142857144"/>
    <n v="0.8571428571428571"/>
    <x v="4"/>
    <s v="Online"/>
    <n v="8.4"/>
    <n v="11.6"/>
    <x v="0"/>
    <n v="6"/>
    <n v="1"/>
    <x v="0"/>
    <n v="28.844221105527641"/>
    <n v="0"/>
  </r>
  <r>
    <s v="ORD124"/>
    <x v="3"/>
    <s v="Chicago, IL"/>
    <d v="2024-05-04T00:00:00"/>
    <d v="1899-12-30T19:45:00"/>
    <d v="2024-05-04T00:00:00"/>
    <d v="1899-12-30T20:10:00"/>
    <n v="25"/>
    <s v="XL"/>
    <s v="Cheese Burst"/>
    <n v="5"/>
    <x v="6"/>
    <x v="0"/>
    <s v="Card"/>
    <x v="0"/>
    <x v="1"/>
    <n v="6.25"/>
    <n v="1.25"/>
    <x v="4"/>
    <s v="Online"/>
    <n v="9.6"/>
    <n v="15.4"/>
    <x v="0"/>
    <n v="20"/>
    <n v="2"/>
    <x v="3"/>
    <n v="29.948453608247419"/>
    <n v="0"/>
  </r>
  <r>
    <s v="ORD125"/>
    <x v="4"/>
    <s v="Miami, FL"/>
    <d v="2024-05-05T00:00:00"/>
    <d v="1899-12-30T13:00:00"/>
    <d v="2024-05-05T00:00:00"/>
    <d v="1899-12-30T13:20:00"/>
    <n v="20"/>
    <s v="Medium"/>
    <s v="Non-Veg"/>
    <n v="3"/>
    <x v="2"/>
    <x v="1"/>
    <s v="UPI"/>
    <x v="1"/>
    <x v="1"/>
    <n v="6.666666666666667"/>
    <n v="1"/>
    <x v="4"/>
    <s v="Online"/>
    <n v="7.1999999999999993"/>
    <n v="12.8"/>
    <x v="0"/>
    <n v="6"/>
    <n v="3"/>
    <x v="4"/>
    <n v="30.286458333333329"/>
    <n v="0"/>
  </r>
  <r>
    <s v="ORD126"/>
    <x v="0"/>
    <s v="New York, NY"/>
    <d v="2024-08-01T00:00:00"/>
    <d v="1899-12-30T18:00:00"/>
    <d v="2024-08-01T00:00:00"/>
    <d v="1899-12-30T18:20:00"/>
    <n v="20"/>
    <s v="Medium"/>
    <s v="Veg"/>
    <n v="2"/>
    <x v="2"/>
    <x v="2"/>
    <s v="Card"/>
    <x v="0"/>
    <x v="0"/>
    <n v="6.666666666666667"/>
    <n v="0.66666666666666663"/>
    <x v="5"/>
    <s v="Online"/>
    <n v="7.1999999999999993"/>
    <n v="12.8"/>
    <x v="0"/>
    <n v="4"/>
    <n v="1"/>
    <x v="0"/>
    <n v="30.259433962264151"/>
    <n v="0"/>
  </r>
  <r>
    <s v="ORD127"/>
    <x v="1"/>
    <s v="Chicago, IL"/>
    <d v="2024-08-02T00:00:00"/>
    <d v="1899-12-30T19:15:00"/>
    <d v="2024-08-02T00:00:00"/>
    <d v="1899-12-30T19:45:00"/>
    <n v="30"/>
    <s v="Large"/>
    <s v="Non-Veg"/>
    <n v="4"/>
    <x v="7"/>
    <x v="0"/>
    <s v="UPI"/>
    <x v="0"/>
    <x v="0"/>
    <n v="5"/>
    <n v="0.66666666666666663"/>
    <x v="5"/>
    <s v="Online"/>
    <n v="14.4"/>
    <n v="15.6"/>
    <x v="0"/>
    <n v="12"/>
    <n v="2"/>
    <x v="3"/>
    <n v="28.186274509803919"/>
    <n v="0"/>
  </r>
  <r>
    <s v="ORD128"/>
    <x v="3"/>
    <s v="Los Angeles, CA"/>
    <d v="2024-08-03T00:00:00"/>
    <d v="1899-12-30T20:30:00"/>
    <d v="2024-08-03T00:00:00"/>
    <d v="1899-12-30T21:10:00"/>
    <n v="40"/>
    <s v="XL"/>
    <s v="Cheese Burst"/>
    <n v="5"/>
    <x v="8"/>
    <x v="1"/>
    <s v="Wallet"/>
    <x v="0"/>
    <x v="1"/>
    <n v="5"/>
    <n v="0.625"/>
    <x v="5"/>
    <s v="Online"/>
    <n v="19.2"/>
    <n v="20.8"/>
    <x v="1"/>
    <n v="20"/>
    <n v="3"/>
    <x v="1"/>
    <n v="29.948453608247419"/>
    <n v="1"/>
  </r>
  <r>
    <s v="ORD129"/>
    <x v="2"/>
    <s v="Houston, TX"/>
    <d v="2024-08-04T00:00:00"/>
    <d v="1899-12-30T18:45:00"/>
    <d v="2024-08-04T00:00:00"/>
    <d v="1899-12-30T19:05:00"/>
    <n v="20"/>
    <s v="Small"/>
    <s v="Vegan"/>
    <n v="1"/>
    <x v="0"/>
    <x v="2"/>
    <s v="Cash"/>
    <x v="0"/>
    <x v="1"/>
    <n v="8"/>
    <n v="0.4"/>
    <x v="5"/>
    <s v="Offline"/>
    <n v="6"/>
    <n v="14"/>
    <x v="0"/>
    <n v="1"/>
    <n v="1"/>
    <x v="0"/>
    <n v="28.844221105527641"/>
    <n v="0"/>
  </r>
  <r>
    <s v="ORD130"/>
    <x v="4"/>
    <s v="Phoenix, AZ"/>
    <d v="2024-08-05T00:00:00"/>
    <d v="1899-12-30T19:00:00"/>
    <d v="2024-08-05T00:00:00"/>
    <d v="1899-12-30T19:50:00"/>
    <n v="50"/>
    <s v="Large"/>
    <s v="Non-Veg"/>
    <n v="4"/>
    <x v="9"/>
    <x v="1"/>
    <s v="Card"/>
    <x v="0"/>
    <x v="0"/>
    <n v="5"/>
    <n v="0.4"/>
    <x v="5"/>
    <s v="Online"/>
    <n v="24"/>
    <n v="26"/>
    <x v="1"/>
    <n v="12"/>
    <n v="3"/>
    <x v="3"/>
    <n v="30.286458333333329"/>
    <n v="1"/>
  </r>
  <r>
    <s v="ORD131"/>
    <x v="0"/>
    <s v="Miami, FL"/>
    <d v="2024-08-06T00:00:00"/>
    <d v="1899-12-30T20:00:00"/>
    <d v="2024-08-06T00:00:00"/>
    <d v="1899-12-30T20:35:00"/>
    <n v="35"/>
    <s v="Medium"/>
    <s v="Veg"/>
    <n v="3"/>
    <x v="10"/>
    <x v="0"/>
    <s v="Wallet"/>
    <x v="0"/>
    <x v="0"/>
    <n v="6.3636363636363633"/>
    <n v="0.54545454545454541"/>
    <x v="5"/>
    <s v="Online"/>
    <n v="13.2"/>
    <n v="21.8"/>
    <x v="1"/>
    <n v="6"/>
    <n v="2"/>
    <x v="1"/>
    <n v="30.259433962264151"/>
    <n v="1"/>
  </r>
  <r>
    <s v="ORD132"/>
    <x v="1"/>
    <s v="Denver, CO"/>
    <d v="2024-08-07T00:00:00"/>
    <d v="1899-12-30T18:30:00"/>
    <d v="2024-08-07T00:00:00"/>
    <d v="1899-12-30T18:50:00"/>
    <n v="20"/>
    <s v="Small"/>
    <s v="Vegan"/>
    <n v="2"/>
    <x v="4"/>
    <x v="2"/>
    <s v="UPI"/>
    <x v="0"/>
    <x v="0"/>
    <n v="10"/>
    <n v="1"/>
    <x v="5"/>
    <s v="Online"/>
    <n v="4.8"/>
    <n v="15.2"/>
    <x v="0"/>
    <n v="2"/>
    <n v="1"/>
    <x v="0"/>
    <n v="28.186274509803919"/>
    <n v="0"/>
  </r>
  <r>
    <s v="ORD133"/>
    <x v="3"/>
    <s v="Boston, MA"/>
    <d v="2024-08-08T00:00:00"/>
    <d v="1899-12-30T19:45:00"/>
    <d v="2024-08-08T00:00:00"/>
    <d v="1899-12-30T20:25:00"/>
    <n v="40"/>
    <s v="XL"/>
    <s v="Cheese Burst"/>
    <n v="5"/>
    <x v="11"/>
    <x v="1"/>
    <s v="Cash"/>
    <x v="0"/>
    <x v="0"/>
    <n v="5.333333333333333"/>
    <n v="0.66666666666666663"/>
    <x v="5"/>
    <s v="Offline"/>
    <n v="18"/>
    <n v="22"/>
    <x v="1"/>
    <n v="20"/>
    <n v="3"/>
    <x v="3"/>
    <n v="29.948453608247419"/>
    <n v="1"/>
  </r>
  <r>
    <s v="ORD134"/>
    <x v="2"/>
    <s v="Dallas, TX"/>
    <d v="2024-08-09T00:00:00"/>
    <d v="1899-12-30T18:00:00"/>
    <d v="2024-08-09T00:00:00"/>
    <d v="1899-12-30T18:30:00"/>
    <n v="30"/>
    <s v="Medium"/>
    <s v="Non-Veg"/>
    <n v="3"/>
    <x v="6"/>
    <x v="0"/>
    <s v="Card"/>
    <x v="0"/>
    <x v="0"/>
    <n v="7.5"/>
    <n v="0.75"/>
    <x v="5"/>
    <s v="Online"/>
    <n v="9.6"/>
    <n v="20.399999999999999"/>
    <x v="0"/>
    <n v="6"/>
    <n v="2"/>
    <x v="0"/>
    <n v="28.844221105527641"/>
    <n v="0"/>
  </r>
  <r>
    <s v="ORD135"/>
    <x v="4"/>
    <s v="Seattle, WA"/>
    <d v="2024-08-10T00:00:00"/>
    <d v="1899-12-30T20:15:00"/>
    <d v="2024-08-10T00:00:00"/>
    <d v="1899-12-30T21:00:00"/>
    <n v="45"/>
    <s v="Large"/>
    <s v="Veg"/>
    <n v="4"/>
    <x v="12"/>
    <x v="1"/>
    <s v="Wallet"/>
    <x v="0"/>
    <x v="1"/>
    <n v="5"/>
    <n v="0.44444444444444442"/>
    <x v="5"/>
    <s v="Online"/>
    <n v="21.6"/>
    <n v="23.4"/>
    <x v="1"/>
    <n v="12"/>
    <n v="3"/>
    <x v="1"/>
    <n v="30.286458333333329"/>
    <n v="1"/>
  </r>
  <r>
    <s v="ORD136"/>
    <x v="0"/>
    <s v="San Jose, CA"/>
    <d v="2024-08-11T00:00:00"/>
    <d v="1899-12-30T18:00:00"/>
    <d v="2024-08-11T00:00:00"/>
    <d v="1899-12-30T18:20:00"/>
    <n v="20"/>
    <s v="Medium"/>
    <s v="Veg"/>
    <n v="2"/>
    <x v="2"/>
    <x v="2"/>
    <s v="UPI"/>
    <x v="0"/>
    <x v="1"/>
    <n v="6.666666666666667"/>
    <n v="0.66666666666666663"/>
    <x v="5"/>
    <s v="Online"/>
    <n v="7.1999999999999993"/>
    <n v="12.8"/>
    <x v="0"/>
    <n v="4"/>
    <n v="1"/>
    <x v="0"/>
    <n v="30.259433962264151"/>
    <n v="0"/>
  </r>
  <r>
    <s v="ORD137"/>
    <x v="1"/>
    <s v="Austin, TX"/>
    <d v="2024-08-12T00:00:00"/>
    <d v="1899-12-30T19:15:00"/>
    <d v="2024-08-12T00:00:00"/>
    <d v="1899-12-30T19:45:00"/>
    <n v="30"/>
    <s v="Large"/>
    <s v="Non-Veg"/>
    <n v="4"/>
    <x v="7"/>
    <x v="0"/>
    <s v="Cash"/>
    <x v="0"/>
    <x v="0"/>
    <n v="5"/>
    <n v="0.66666666666666663"/>
    <x v="5"/>
    <s v="Offline"/>
    <n v="14.4"/>
    <n v="15.6"/>
    <x v="0"/>
    <n v="12"/>
    <n v="2"/>
    <x v="3"/>
    <n v="28.186274509803919"/>
    <n v="0"/>
  </r>
  <r>
    <s v="ORD138"/>
    <x v="3"/>
    <s v="San Diego, CA"/>
    <d v="2024-08-13T00:00:00"/>
    <d v="1899-12-30T20:30:00"/>
    <d v="2024-08-13T00:00:00"/>
    <d v="1899-12-30T21:10:00"/>
    <n v="40"/>
    <s v="XL"/>
    <s v="Cheese Burst"/>
    <n v="5"/>
    <x v="8"/>
    <x v="1"/>
    <s v="Card"/>
    <x v="0"/>
    <x v="0"/>
    <n v="5"/>
    <n v="0.625"/>
    <x v="5"/>
    <s v="Online"/>
    <n v="19.2"/>
    <n v="20.8"/>
    <x v="1"/>
    <n v="20"/>
    <n v="3"/>
    <x v="1"/>
    <n v="29.948453608247419"/>
    <n v="1"/>
  </r>
  <r>
    <s v="ORD139"/>
    <x v="2"/>
    <s v="Jacksonville, FL"/>
    <d v="2024-08-14T00:00:00"/>
    <d v="1899-12-30T18:45:00"/>
    <d v="2024-08-14T00:00:00"/>
    <d v="1899-12-30T19:05:00"/>
    <n v="20"/>
    <s v="Small"/>
    <s v="Vegan"/>
    <n v="1"/>
    <x v="0"/>
    <x v="2"/>
    <s v="Wallet"/>
    <x v="0"/>
    <x v="0"/>
    <n v="8"/>
    <n v="0.4"/>
    <x v="5"/>
    <s v="Online"/>
    <n v="6"/>
    <n v="14"/>
    <x v="0"/>
    <n v="1"/>
    <n v="1"/>
    <x v="0"/>
    <n v="28.844221105527641"/>
    <n v="0"/>
  </r>
  <r>
    <s v="ORD140"/>
    <x v="4"/>
    <s v="Fort Worth, TX"/>
    <d v="2024-08-15T00:00:00"/>
    <d v="1899-12-30T19:00:00"/>
    <d v="2024-08-15T00:00:00"/>
    <d v="1899-12-30T19:50:00"/>
    <n v="50"/>
    <s v="Large"/>
    <s v="Non-Veg"/>
    <n v="4"/>
    <x v="9"/>
    <x v="1"/>
    <s v="UPI"/>
    <x v="0"/>
    <x v="0"/>
    <n v="5"/>
    <n v="0.4"/>
    <x v="5"/>
    <s v="Online"/>
    <n v="24"/>
    <n v="26"/>
    <x v="1"/>
    <n v="12"/>
    <n v="3"/>
    <x v="3"/>
    <n v="30.286458333333329"/>
    <n v="1"/>
  </r>
  <r>
    <s v="ORD141"/>
    <x v="0"/>
    <s v="Columbus, OH"/>
    <d v="2024-08-16T00:00:00"/>
    <d v="1899-12-30T20:00:00"/>
    <d v="2024-08-16T00:00:00"/>
    <d v="1899-12-30T20:35:00"/>
    <n v="35"/>
    <s v="Medium"/>
    <s v="Veg"/>
    <n v="3"/>
    <x v="10"/>
    <x v="0"/>
    <s v="Cash"/>
    <x v="0"/>
    <x v="0"/>
    <n v="6.3636363636363633"/>
    <n v="0.54545454545454541"/>
    <x v="5"/>
    <s v="Offline"/>
    <n v="13.2"/>
    <n v="21.8"/>
    <x v="1"/>
    <n v="6"/>
    <n v="2"/>
    <x v="1"/>
    <n v="30.259433962264151"/>
    <n v="1"/>
  </r>
  <r>
    <s v="ORD142"/>
    <x v="1"/>
    <s v="Charlotte, NC"/>
    <d v="2024-08-17T00:00:00"/>
    <d v="1899-12-30T18:30:00"/>
    <d v="2024-08-17T00:00:00"/>
    <d v="1899-12-30T18:50:00"/>
    <n v="20"/>
    <s v="Small"/>
    <s v="Vegan"/>
    <n v="2"/>
    <x v="4"/>
    <x v="2"/>
    <s v="Card"/>
    <x v="0"/>
    <x v="1"/>
    <n v="10"/>
    <n v="1"/>
    <x v="5"/>
    <s v="Online"/>
    <n v="4.8"/>
    <n v="15.2"/>
    <x v="0"/>
    <n v="2"/>
    <n v="1"/>
    <x v="0"/>
    <n v="28.186274509803919"/>
    <n v="0"/>
  </r>
  <r>
    <s v="ORD143"/>
    <x v="3"/>
    <s v="Indianapolis, IN"/>
    <d v="2024-08-18T00:00:00"/>
    <d v="1899-12-30T19:45:00"/>
    <d v="2024-08-18T00:00:00"/>
    <d v="1899-12-30T20:25:00"/>
    <n v="40"/>
    <s v="XL"/>
    <s v="Cheese Burst"/>
    <n v="5"/>
    <x v="11"/>
    <x v="1"/>
    <s v="Wallet"/>
    <x v="0"/>
    <x v="1"/>
    <n v="5.333333333333333"/>
    <n v="0.66666666666666663"/>
    <x v="5"/>
    <s v="Online"/>
    <n v="18"/>
    <n v="22"/>
    <x v="1"/>
    <n v="20"/>
    <n v="3"/>
    <x v="3"/>
    <n v="29.948453608247419"/>
    <n v="1"/>
  </r>
  <r>
    <s v="ORD144"/>
    <x v="2"/>
    <s v="San Francisco, CA"/>
    <d v="2024-08-19T00:00:00"/>
    <d v="1899-12-30T18:00:00"/>
    <d v="2024-08-19T00:00:00"/>
    <d v="1899-12-30T18:30:00"/>
    <n v="30"/>
    <s v="Medium"/>
    <s v="Non-Veg"/>
    <n v="3"/>
    <x v="6"/>
    <x v="0"/>
    <s v="UPI"/>
    <x v="0"/>
    <x v="0"/>
    <n v="7.5"/>
    <n v="0.75"/>
    <x v="5"/>
    <s v="Online"/>
    <n v="9.6"/>
    <n v="20.399999999999999"/>
    <x v="0"/>
    <n v="6"/>
    <n v="2"/>
    <x v="0"/>
    <n v="28.844221105527641"/>
    <n v="0"/>
  </r>
  <r>
    <s v="ORD145"/>
    <x v="4"/>
    <s v="Charlotte, NC"/>
    <d v="2024-08-20T00:00:00"/>
    <d v="1899-12-30T20:15:00"/>
    <d v="2024-08-20T00:00:00"/>
    <d v="1899-12-30T21:00:00"/>
    <n v="45"/>
    <s v="Large"/>
    <s v="Veg"/>
    <n v="4"/>
    <x v="12"/>
    <x v="1"/>
    <s v="Cash"/>
    <x v="0"/>
    <x v="0"/>
    <n v="5"/>
    <n v="0.44444444444444442"/>
    <x v="5"/>
    <s v="Offline"/>
    <n v="21.6"/>
    <n v="23.4"/>
    <x v="1"/>
    <n v="12"/>
    <n v="3"/>
    <x v="1"/>
    <n v="30.286458333333329"/>
    <n v="1"/>
  </r>
  <r>
    <s v="ORD146"/>
    <x v="0"/>
    <s v="Detroit, MI"/>
    <d v="2024-08-21T00:00:00"/>
    <d v="1899-12-30T18:00:00"/>
    <d v="2024-08-21T00:00:00"/>
    <d v="1899-12-30T18:20:00"/>
    <n v="20"/>
    <s v="Medium"/>
    <s v="Veg"/>
    <n v="2"/>
    <x v="2"/>
    <x v="2"/>
    <s v="Card"/>
    <x v="0"/>
    <x v="0"/>
    <n v="6.666666666666667"/>
    <n v="0.66666666666666663"/>
    <x v="5"/>
    <s v="Online"/>
    <n v="7.1999999999999993"/>
    <n v="12.8"/>
    <x v="0"/>
    <n v="4"/>
    <n v="1"/>
    <x v="0"/>
    <n v="30.259433962264151"/>
    <n v="0"/>
  </r>
  <r>
    <s v="ORD147"/>
    <x v="1"/>
    <s v="El Paso, TX"/>
    <d v="2024-08-22T00:00:00"/>
    <d v="1899-12-30T19:15:00"/>
    <d v="2024-08-22T00:00:00"/>
    <d v="1899-12-30T19:45:00"/>
    <n v="30"/>
    <s v="Large"/>
    <s v="Non-Veg"/>
    <n v="4"/>
    <x v="7"/>
    <x v="0"/>
    <s v="Wallet"/>
    <x v="0"/>
    <x v="0"/>
    <n v="5"/>
    <n v="0.66666666666666663"/>
    <x v="5"/>
    <s v="Online"/>
    <n v="14.4"/>
    <n v="15.6"/>
    <x v="0"/>
    <n v="12"/>
    <n v="2"/>
    <x v="3"/>
    <n v="28.186274509803919"/>
    <n v="0"/>
  </r>
  <r>
    <s v="ORD148"/>
    <x v="3"/>
    <s v="Memphis, TN"/>
    <d v="2024-08-23T00:00:00"/>
    <d v="1899-12-30T20:30:00"/>
    <d v="2024-08-23T00:00:00"/>
    <d v="1899-12-30T21:10:00"/>
    <n v="40"/>
    <s v="XL"/>
    <s v="Cheese Burst"/>
    <n v="5"/>
    <x v="8"/>
    <x v="1"/>
    <s v="UPI"/>
    <x v="0"/>
    <x v="0"/>
    <n v="5"/>
    <n v="0.625"/>
    <x v="5"/>
    <s v="Online"/>
    <n v="19.2"/>
    <n v="20.8"/>
    <x v="1"/>
    <n v="20"/>
    <n v="3"/>
    <x v="1"/>
    <n v="29.948453608247419"/>
    <n v="1"/>
  </r>
  <r>
    <s v="ORD149"/>
    <x v="2"/>
    <s v="Baltimore, MD"/>
    <d v="2024-08-24T00:00:00"/>
    <d v="1899-12-30T18:45:00"/>
    <d v="2024-08-24T00:00:00"/>
    <d v="1899-12-30T19:05:00"/>
    <n v="20"/>
    <s v="Small"/>
    <s v="Vegan"/>
    <n v="1"/>
    <x v="0"/>
    <x v="2"/>
    <s v="Cash"/>
    <x v="0"/>
    <x v="1"/>
    <n v="8"/>
    <n v="0.4"/>
    <x v="5"/>
    <s v="Offline"/>
    <n v="6"/>
    <n v="14"/>
    <x v="0"/>
    <n v="1"/>
    <n v="1"/>
    <x v="0"/>
    <n v="28.844221105527641"/>
    <n v="0"/>
  </r>
  <r>
    <s v="ORD150"/>
    <x v="4"/>
    <s v="Boston, MA"/>
    <d v="2024-08-25T00:00:00"/>
    <d v="1899-12-30T19:00:00"/>
    <d v="2024-08-25T00:00:00"/>
    <d v="1899-12-30T19:50:00"/>
    <n v="50"/>
    <s v="Large"/>
    <s v="Non-Veg"/>
    <n v="4"/>
    <x v="9"/>
    <x v="1"/>
    <s v="Card"/>
    <x v="0"/>
    <x v="1"/>
    <n v="5"/>
    <n v="0.4"/>
    <x v="5"/>
    <s v="Online"/>
    <n v="24"/>
    <n v="26"/>
    <x v="1"/>
    <n v="12"/>
    <n v="3"/>
    <x v="3"/>
    <n v="30.286458333333329"/>
    <n v="1"/>
  </r>
  <r>
    <s v="ORD151"/>
    <x v="0"/>
    <s v="New York, NY"/>
    <d v="2024-08-01T00:00:00"/>
    <d v="1899-12-30T18:00:00"/>
    <d v="2024-08-01T00:00:00"/>
    <d v="1899-12-30T18:30:00"/>
    <n v="30"/>
    <s v="Large"/>
    <s v="Veg"/>
    <n v="4"/>
    <x v="10"/>
    <x v="1"/>
    <s v="Domino's Cash"/>
    <x v="0"/>
    <x v="0"/>
    <n v="5.4545454545454541"/>
    <n v="0.72727272727272729"/>
    <x v="5"/>
    <s v="Offline"/>
    <n v="13.2"/>
    <n v="16.8"/>
    <x v="0"/>
    <n v="12"/>
    <n v="3"/>
    <x v="0"/>
    <n v="30.259433962264151"/>
    <n v="0"/>
  </r>
  <r>
    <s v="ORD152"/>
    <x v="3"/>
    <s v="Los Angeles, CA"/>
    <d v="2024-08-02T00:00:00"/>
    <d v="1899-12-30T19:15:00"/>
    <d v="2024-08-02T00:00:00"/>
    <d v="1899-12-30T19:45:00"/>
    <n v="30"/>
    <s v="XL"/>
    <s v="Cheese Burst"/>
    <n v="5"/>
    <x v="7"/>
    <x v="0"/>
    <s v="Card"/>
    <x v="0"/>
    <x v="0"/>
    <n v="5"/>
    <n v="0.83333333333333337"/>
    <x v="5"/>
    <s v="Online"/>
    <n v="14.4"/>
    <n v="15.6"/>
    <x v="0"/>
    <n v="20"/>
    <n v="2"/>
    <x v="3"/>
    <n v="29.948453608247419"/>
    <n v="0"/>
  </r>
  <r>
    <s v="ORD153"/>
    <x v="1"/>
    <s v="Chicago, IL"/>
    <d v="2024-08-03T00:00:00"/>
    <d v="1899-12-30T20:00:00"/>
    <d v="2024-08-03T00:00:00"/>
    <d v="1899-12-30T20:35:00"/>
    <n v="35"/>
    <s v="Medium"/>
    <s v="Non-Veg"/>
    <n v="3"/>
    <x v="13"/>
    <x v="2"/>
    <s v="UPI"/>
    <x v="0"/>
    <x v="1"/>
    <n v="4.8611111111111107"/>
    <n v="0.41666666666666657"/>
    <x v="5"/>
    <s v="Online"/>
    <n v="17.28"/>
    <n v="17.72"/>
    <x v="1"/>
    <n v="6"/>
    <n v="1"/>
    <x v="1"/>
    <n v="28.186274509803919"/>
    <n v="1"/>
  </r>
  <r>
    <s v="ORD154"/>
    <x v="2"/>
    <s v="Houston, TX"/>
    <d v="2024-08-04T00:00:00"/>
    <d v="1899-12-30T17:45:00"/>
    <d v="2024-08-04T00:00:00"/>
    <d v="1899-12-30T18:05:00"/>
    <n v="20"/>
    <s v="Small"/>
    <s v="Vegan"/>
    <n v="2"/>
    <x v="2"/>
    <x v="2"/>
    <s v="Wallet"/>
    <x v="1"/>
    <x v="1"/>
    <n v="6.666666666666667"/>
    <n v="0.66666666666666663"/>
    <x v="5"/>
    <s v="Online"/>
    <n v="7.1999999999999993"/>
    <n v="12.8"/>
    <x v="0"/>
    <n v="2"/>
    <n v="1"/>
    <x v="5"/>
    <n v="28.844221105527641"/>
    <n v="0"/>
  </r>
  <r>
    <s v="ORD155"/>
    <x v="4"/>
    <s v="Phoenix, AZ"/>
    <d v="2024-08-05T00:00:00"/>
    <d v="1899-12-30T13:30:00"/>
    <d v="2024-08-05T00:00:00"/>
    <d v="1899-12-30T14:00:00"/>
    <n v="30"/>
    <s v="Medium"/>
    <s v="Non-Veg"/>
    <n v="4"/>
    <x v="1"/>
    <x v="1"/>
    <s v="Cash"/>
    <x v="1"/>
    <x v="0"/>
    <n v="6"/>
    <n v="0.8"/>
    <x v="5"/>
    <s v="Offline"/>
    <n v="12"/>
    <n v="18"/>
    <x v="0"/>
    <n v="8"/>
    <n v="3"/>
    <x v="4"/>
    <n v="30.286458333333329"/>
    <n v="0"/>
  </r>
  <r>
    <s v="ORD156"/>
    <x v="0"/>
    <s v="Miami, FL"/>
    <d v="2024-08-06T00:00:00"/>
    <d v="1899-12-30T18:20:00"/>
    <d v="2024-08-06T00:00:00"/>
    <d v="1899-12-30T18:50:00"/>
    <n v="30"/>
    <s v="Large"/>
    <s v="Veg"/>
    <n v="3"/>
    <x v="14"/>
    <x v="0"/>
    <s v="Domino's Cash"/>
    <x v="0"/>
    <x v="0"/>
    <n v="4.615384615384615"/>
    <n v="0.46153846153846162"/>
    <x v="5"/>
    <s v="Offline"/>
    <n v="15.6"/>
    <n v="14.4"/>
    <x v="0"/>
    <n v="9"/>
    <n v="2"/>
    <x v="0"/>
    <n v="30.259433962264151"/>
    <n v="0"/>
  </r>
  <r>
    <s v="ORD157"/>
    <x v="1"/>
    <s v="Denver, CO"/>
    <d v="2024-08-07T00:00:00"/>
    <d v="1899-12-30T20:10:00"/>
    <d v="2024-08-07T00:00:00"/>
    <d v="1899-12-30T20:45:00"/>
    <n v="35"/>
    <s v="Small"/>
    <s v="Vegan"/>
    <n v="2"/>
    <x v="6"/>
    <x v="1"/>
    <s v="Card"/>
    <x v="0"/>
    <x v="0"/>
    <n v="8.75"/>
    <n v="0.5"/>
    <x v="5"/>
    <s v="Online"/>
    <n v="9.6"/>
    <n v="25.4"/>
    <x v="1"/>
    <n v="2"/>
    <n v="3"/>
    <x v="1"/>
    <n v="28.186274509803919"/>
    <n v="1"/>
  </r>
  <r>
    <s v="ORD158"/>
    <x v="2"/>
    <s v="Boston, MA"/>
    <d v="2024-08-08T00:00:00"/>
    <d v="1899-12-30T18:00:00"/>
    <d v="2024-08-08T00:00:00"/>
    <d v="1899-12-30T18:25:00"/>
    <n v="25"/>
    <s v="Medium"/>
    <s v="Non-Veg"/>
    <n v="3"/>
    <x v="5"/>
    <x v="2"/>
    <s v="UPI"/>
    <x v="0"/>
    <x v="0"/>
    <n v="7.1428571428571432"/>
    <n v="0.8571428571428571"/>
    <x v="5"/>
    <s v="Online"/>
    <n v="8.4"/>
    <n v="16.600000000000001"/>
    <x v="0"/>
    <n v="6"/>
    <n v="1"/>
    <x v="0"/>
    <n v="28.844221105527641"/>
    <n v="0"/>
  </r>
  <r>
    <s v="ORD159"/>
    <x v="3"/>
    <s v="Dallas, TX"/>
    <d v="2024-08-09T00:00:00"/>
    <d v="1899-12-30T19:30:00"/>
    <d v="2024-08-09T00:00:00"/>
    <d v="1899-12-30T20:00:00"/>
    <n v="30"/>
    <s v="XL"/>
    <s v="Cheese Burst"/>
    <n v="5"/>
    <x v="7"/>
    <x v="0"/>
    <s v="Wallet"/>
    <x v="0"/>
    <x v="0"/>
    <n v="5"/>
    <n v="0.83333333333333337"/>
    <x v="5"/>
    <s v="Online"/>
    <n v="14.4"/>
    <n v="15.6"/>
    <x v="0"/>
    <n v="20"/>
    <n v="2"/>
    <x v="3"/>
    <n v="29.948453608247419"/>
    <n v="0"/>
  </r>
  <r>
    <s v="ORD160"/>
    <x v="4"/>
    <s v="Seattle, WA"/>
    <d v="2024-08-10T00:00:00"/>
    <d v="1899-12-30T12:45:00"/>
    <d v="2024-08-10T00:00:00"/>
    <d v="1899-12-30T13:15:00"/>
    <n v="30"/>
    <s v="Medium"/>
    <s v="Non-Veg"/>
    <n v="4"/>
    <x v="10"/>
    <x v="1"/>
    <s v="Cash"/>
    <x v="1"/>
    <x v="1"/>
    <n v="5.4545454545454541"/>
    <n v="0.72727272727272729"/>
    <x v="5"/>
    <s v="Offline"/>
    <n v="13.2"/>
    <n v="16.8"/>
    <x v="0"/>
    <n v="8"/>
    <n v="3"/>
    <x v="2"/>
    <n v="30.286458333333329"/>
    <n v="0"/>
  </r>
  <r>
    <s v="ORD161"/>
    <x v="0"/>
    <s v="Denver, CO"/>
    <d v="2024-08-11T00:00:00"/>
    <d v="1899-12-30T18:15:00"/>
    <d v="2024-08-11T00:00:00"/>
    <d v="1899-12-30T18:45:00"/>
    <n v="30"/>
    <s v="Large"/>
    <s v="Veg"/>
    <n v="3"/>
    <x v="7"/>
    <x v="0"/>
    <s v="Domino's Cash"/>
    <x v="0"/>
    <x v="1"/>
    <n v="5"/>
    <n v="0.5"/>
    <x v="5"/>
    <s v="Offline"/>
    <n v="14.4"/>
    <n v="15.6"/>
    <x v="0"/>
    <n v="9"/>
    <n v="2"/>
    <x v="0"/>
    <n v="30.259433962264151"/>
    <n v="0"/>
  </r>
  <r>
    <s v="ORD162"/>
    <x v="1"/>
    <s v="Boston, MA"/>
    <d v="2024-08-12T00:00:00"/>
    <d v="1899-12-30T20:00:00"/>
    <d v="2024-08-12T00:00:00"/>
    <d v="1899-12-30T20:30:00"/>
    <n v="30"/>
    <s v="Small"/>
    <s v="Vegan"/>
    <n v="2"/>
    <x v="3"/>
    <x v="2"/>
    <s v="Card"/>
    <x v="0"/>
    <x v="0"/>
    <n v="6.666666666666667"/>
    <n v="0.44444444444444442"/>
    <x v="5"/>
    <s v="Online"/>
    <n v="10.8"/>
    <n v="19.2"/>
    <x v="0"/>
    <n v="2"/>
    <n v="1"/>
    <x v="1"/>
    <n v="28.186274509803919"/>
    <n v="0"/>
  </r>
  <r>
    <s v="ORD163"/>
    <x v="2"/>
    <s v="Dallas, TX"/>
    <d v="2024-08-13T00:00:00"/>
    <d v="1899-12-30T18:10:00"/>
    <d v="2024-08-13T00:00:00"/>
    <d v="1899-12-30T18:35:00"/>
    <n v="25"/>
    <s v="Medium"/>
    <s v="Non-Veg"/>
    <n v="3"/>
    <x v="2"/>
    <x v="1"/>
    <s v="UPI"/>
    <x v="0"/>
    <x v="0"/>
    <n v="8.3333333333333339"/>
    <n v="1"/>
    <x v="5"/>
    <s v="Online"/>
    <n v="7.1999999999999993"/>
    <n v="17.8"/>
    <x v="0"/>
    <n v="6"/>
    <n v="3"/>
    <x v="0"/>
    <n v="28.844221105527641"/>
    <n v="0"/>
  </r>
  <r>
    <s v="ORD164"/>
    <x v="3"/>
    <s v="Los Angeles, CA"/>
    <d v="2024-08-14T00:00:00"/>
    <d v="1899-12-30T19:20:00"/>
    <d v="2024-08-14T00:00:00"/>
    <d v="1899-12-30T19:50:00"/>
    <n v="30"/>
    <s v="XL"/>
    <s v="Cheese Burst"/>
    <n v="5"/>
    <x v="14"/>
    <x v="0"/>
    <s v="Wallet"/>
    <x v="0"/>
    <x v="0"/>
    <n v="4.615384615384615"/>
    <n v="0.76923076923076927"/>
    <x v="5"/>
    <s v="Online"/>
    <n v="15.6"/>
    <n v="14.4"/>
    <x v="0"/>
    <n v="20"/>
    <n v="2"/>
    <x v="3"/>
    <n v="29.948453608247419"/>
    <n v="0"/>
  </r>
  <r>
    <s v="ORD165"/>
    <x v="4"/>
    <s v="Chicago, IL"/>
    <d v="2024-08-15T00:00:00"/>
    <d v="1899-12-30T13:15:00"/>
    <d v="2024-08-15T00:00:00"/>
    <d v="1899-12-30T13:45:00"/>
    <n v="30"/>
    <s v="Medium"/>
    <s v="Non-Veg"/>
    <n v="4"/>
    <x v="1"/>
    <x v="1"/>
    <s v="Cash"/>
    <x v="1"/>
    <x v="0"/>
    <n v="6"/>
    <n v="0.8"/>
    <x v="5"/>
    <s v="Offline"/>
    <n v="12"/>
    <n v="18"/>
    <x v="0"/>
    <n v="8"/>
    <n v="3"/>
    <x v="4"/>
    <n v="30.286458333333329"/>
    <n v="0"/>
  </r>
  <r>
    <s v="ORD166"/>
    <x v="0"/>
    <s v="Miami, FL"/>
    <d v="2024-08-16T00:00:00"/>
    <d v="1899-12-30T18:25:00"/>
    <d v="2024-08-16T00:00:00"/>
    <d v="1899-12-30T18:55:00"/>
    <n v="30"/>
    <s v="Large"/>
    <s v="Veg"/>
    <n v="3"/>
    <x v="7"/>
    <x v="0"/>
    <s v="Domino's Cash"/>
    <x v="0"/>
    <x v="0"/>
    <n v="5"/>
    <n v="0.5"/>
    <x v="5"/>
    <s v="Offline"/>
    <n v="14.4"/>
    <n v="15.6"/>
    <x v="0"/>
    <n v="9"/>
    <n v="2"/>
    <x v="0"/>
    <n v="30.259433962264151"/>
    <n v="0"/>
  </r>
  <r>
    <s v="ORD167"/>
    <x v="1"/>
    <s v="Denver, CO"/>
    <d v="2024-08-17T00:00:00"/>
    <d v="1899-12-30T20:05:00"/>
    <d v="2024-08-17T00:00:00"/>
    <d v="1899-12-30T20:35:00"/>
    <n v="30"/>
    <s v="Small"/>
    <s v="Vegan"/>
    <n v="2"/>
    <x v="6"/>
    <x v="2"/>
    <s v="Card"/>
    <x v="0"/>
    <x v="1"/>
    <n v="7.5"/>
    <n v="0.5"/>
    <x v="5"/>
    <s v="Online"/>
    <n v="9.6"/>
    <n v="20.399999999999999"/>
    <x v="0"/>
    <n v="2"/>
    <n v="1"/>
    <x v="1"/>
    <n v="28.186274509803919"/>
    <n v="0"/>
  </r>
  <r>
    <s v="ORD168"/>
    <x v="2"/>
    <s v="Boston, MA"/>
    <d v="2024-08-18T00:00:00"/>
    <d v="1899-12-30T18:00:00"/>
    <d v="2024-08-18T00:00:00"/>
    <d v="1899-12-30T18:25:00"/>
    <n v="25"/>
    <s v="Medium"/>
    <s v="Non-Veg"/>
    <n v="3"/>
    <x v="5"/>
    <x v="1"/>
    <s v="UPI"/>
    <x v="0"/>
    <x v="1"/>
    <n v="7.1428571428571432"/>
    <n v="0.8571428571428571"/>
    <x v="5"/>
    <s v="Online"/>
    <n v="8.4"/>
    <n v="16.600000000000001"/>
    <x v="0"/>
    <n v="6"/>
    <n v="3"/>
    <x v="0"/>
    <n v="28.844221105527641"/>
    <n v="0"/>
  </r>
  <r>
    <s v="ORD169"/>
    <x v="3"/>
    <s v="Dallas, TX"/>
    <d v="2024-08-19T00:00:00"/>
    <d v="1899-12-30T19:30:00"/>
    <d v="2024-08-19T00:00:00"/>
    <d v="1899-12-30T20:00:00"/>
    <n v="30"/>
    <s v="XL"/>
    <s v="Cheese Burst"/>
    <n v="5"/>
    <x v="7"/>
    <x v="0"/>
    <s v="Wallet"/>
    <x v="0"/>
    <x v="0"/>
    <n v="5"/>
    <n v="0.83333333333333337"/>
    <x v="5"/>
    <s v="Online"/>
    <n v="14.4"/>
    <n v="15.6"/>
    <x v="0"/>
    <n v="20"/>
    <n v="2"/>
    <x v="3"/>
    <n v="29.948453608247419"/>
    <n v="0"/>
  </r>
  <r>
    <s v="ORD170"/>
    <x v="4"/>
    <s v="Seattle, WA"/>
    <d v="2024-08-20T00:00:00"/>
    <d v="1899-12-30T13:00:00"/>
    <d v="2024-08-20T00:00:00"/>
    <d v="1899-12-30T13:30:00"/>
    <n v="30"/>
    <s v="Medium"/>
    <s v="Non-Veg"/>
    <n v="4"/>
    <x v="10"/>
    <x v="2"/>
    <s v="Cash"/>
    <x v="1"/>
    <x v="0"/>
    <n v="5.4545454545454541"/>
    <n v="0.72727272727272729"/>
    <x v="5"/>
    <s v="Offline"/>
    <n v="13.2"/>
    <n v="16.8"/>
    <x v="0"/>
    <n v="8"/>
    <n v="1"/>
    <x v="4"/>
    <n v="30.286458333333329"/>
    <n v="0"/>
  </r>
  <r>
    <s v="ORD171"/>
    <x v="0"/>
    <s v="Denver, CO"/>
    <d v="2024-08-21T00:00:00"/>
    <d v="1899-12-30T18:15:00"/>
    <d v="2024-08-21T00:00:00"/>
    <d v="1899-12-30T18:45:00"/>
    <n v="30"/>
    <s v="Large"/>
    <s v="Veg"/>
    <n v="3"/>
    <x v="7"/>
    <x v="1"/>
    <s v="Domino's Cash"/>
    <x v="0"/>
    <x v="0"/>
    <n v="5"/>
    <n v="0.5"/>
    <x v="5"/>
    <s v="Offline"/>
    <n v="14.4"/>
    <n v="15.6"/>
    <x v="0"/>
    <n v="9"/>
    <n v="3"/>
    <x v="0"/>
    <n v="30.259433962264151"/>
    <n v="0"/>
  </r>
  <r>
    <s v="ORD172"/>
    <x v="1"/>
    <s v="Boston, MA"/>
    <d v="2024-08-22T00:00:00"/>
    <d v="1899-12-30T20:00:00"/>
    <d v="2024-08-22T00:00:00"/>
    <d v="1899-12-30T20:30:00"/>
    <n v="30"/>
    <s v="Small"/>
    <s v="Vegan"/>
    <n v="2"/>
    <x v="3"/>
    <x v="0"/>
    <s v="Card"/>
    <x v="0"/>
    <x v="0"/>
    <n v="6.666666666666667"/>
    <n v="0.44444444444444442"/>
    <x v="5"/>
    <s v="Online"/>
    <n v="10.8"/>
    <n v="19.2"/>
    <x v="0"/>
    <n v="2"/>
    <n v="2"/>
    <x v="1"/>
    <n v="28.186274509803919"/>
    <n v="0"/>
  </r>
  <r>
    <s v="ORD173"/>
    <x v="2"/>
    <s v="Dallas, TX"/>
    <d v="2024-08-23T00:00:00"/>
    <d v="1899-12-30T18:10:00"/>
    <d v="2024-08-23T00:00:00"/>
    <d v="1899-12-30T18:35:00"/>
    <n v="25"/>
    <s v="Medium"/>
    <s v="Non-Veg"/>
    <n v="3"/>
    <x v="2"/>
    <x v="2"/>
    <s v="UPI"/>
    <x v="0"/>
    <x v="0"/>
    <n v="8.3333333333333339"/>
    <n v="1"/>
    <x v="5"/>
    <s v="Online"/>
    <n v="7.1999999999999993"/>
    <n v="17.8"/>
    <x v="0"/>
    <n v="6"/>
    <n v="1"/>
    <x v="0"/>
    <n v="28.844221105527641"/>
    <n v="0"/>
  </r>
  <r>
    <s v="ORD174"/>
    <x v="3"/>
    <s v="Los Angeles, CA"/>
    <d v="2024-08-24T00:00:00"/>
    <d v="1899-12-30T19:20:00"/>
    <d v="2024-08-24T00:00:00"/>
    <d v="1899-12-30T19:50:00"/>
    <n v="30"/>
    <s v="XL"/>
    <s v="Cheese Burst"/>
    <n v="5"/>
    <x v="14"/>
    <x v="1"/>
    <s v="Wallet"/>
    <x v="0"/>
    <x v="1"/>
    <n v="4.615384615384615"/>
    <n v="0.76923076923076927"/>
    <x v="5"/>
    <s v="Online"/>
    <n v="15.6"/>
    <n v="14.4"/>
    <x v="0"/>
    <n v="20"/>
    <n v="3"/>
    <x v="3"/>
    <n v="29.948453608247419"/>
    <n v="0"/>
  </r>
  <r>
    <s v="ORD175"/>
    <x v="4"/>
    <s v="Atlanta, GA"/>
    <d v="2024-06-20T00:00:00"/>
    <d v="1899-12-30T13:00:00"/>
    <d v="2024-06-20T00:00:00"/>
    <d v="1899-12-30T13:20:00"/>
    <n v="20"/>
    <s v="Medium"/>
    <s v="Non-Veg"/>
    <n v="3"/>
    <x v="2"/>
    <x v="0"/>
    <s v="Card"/>
    <x v="1"/>
    <x v="0"/>
    <n v="6.666666666666667"/>
    <n v="1"/>
    <x v="6"/>
    <s v="Online"/>
    <n v="7.1999999999999993"/>
    <n v="12.8"/>
    <x v="0"/>
    <n v="6"/>
    <n v="2"/>
    <x v="4"/>
    <n v="30.286458333333329"/>
    <n v="0"/>
  </r>
  <r>
    <s v="ORD176"/>
    <x v="0"/>
    <s v="Denver, CO"/>
    <d v="2024-06-21T00:00:00"/>
    <d v="1899-12-30T18:30:00"/>
    <d v="2024-06-21T00:00:00"/>
    <d v="1899-12-30T18:50:00"/>
    <n v="20"/>
    <s v="Large"/>
    <s v="Veg"/>
    <n v="4"/>
    <x v="3"/>
    <x v="2"/>
    <s v="UPI"/>
    <x v="0"/>
    <x v="0"/>
    <n v="4.4444444444444446"/>
    <n v="0.88888888888888884"/>
    <x v="6"/>
    <s v="Online"/>
    <n v="10.8"/>
    <n v="9.2000000000000011"/>
    <x v="0"/>
    <n v="12"/>
    <n v="1"/>
    <x v="0"/>
    <n v="30.259433962264151"/>
    <n v="0"/>
  </r>
  <r>
    <s v="ORD177"/>
    <x v="1"/>
    <s v="Boston, MA"/>
    <d v="2024-06-22T00:00:00"/>
    <d v="1899-12-30T20:15:00"/>
    <d v="2024-06-22T00:00:00"/>
    <d v="1899-12-30T20:40:00"/>
    <n v="25"/>
    <s v="Small"/>
    <s v="Vegan"/>
    <n v="2"/>
    <x v="4"/>
    <x v="1"/>
    <s v="Cash"/>
    <x v="0"/>
    <x v="1"/>
    <n v="12.5"/>
    <n v="1"/>
    <x v="6"/>
    <s v="Offline"/>
    <n v="4.8"/>
    <n v="20.2"/>
    <x v="0"/>
    <n v="2"/>
    <n v="3"/>
    <x v="1"/>
    <n v="28.186274509803919"/>
    <n v="0"/>
  </r>
  <r>
    <s v="ORD178"/>
    <x v="2"/>
    <s v="Dallas, TX"/>
    <d v="2024-06-23T00:00:00"/>
    <d v="1899-12-30T18:30:00"/>
    <d v="2024-06-23T00:00:00"/>
    <d v="1899-12-30T18:50:00"/>
    <n v="20"/>
    <s v="Medium"/>
    <s v="Non-Veg"/>
    <n v="3"/>
    <x v="2"/>
    <x v="1"/>
    <s v="UPI"/>
    <x v="0"/>
    <x v="1"/>
    <n v="6.666666666666667"/>
    <n v="1"/>
    <x v="6"/>
    <s v="Online"/>
    <n v="7.1999999999999993"/>
    <n v="12.8"/>
    <x v="0"/>
    <n v="6"/>
    <n v="3"/>
    <x v="0"/>
    <n v="28.844221105527641"/>
    <n v="0"/>
  </r>
  <r>
    <s v="ORD179"/>
    <x v="3"/>
    <s v="Los Angeles, CA"/>
    <d v="2024-06-24T00:00:00"/>
    <d v="1899-12-30T19:45:00"/>
    <d v="2024-06-24T00:00:00"/>
    <d v="1899-12-30T20:10:00"/>
    <n v="25"/>
    <s v="XL"/>
    <s v="Cheese Burst"/>
    <n v="5"/>
    <x v="3"/>
    <x v="2"/>
    <s v="Cash"/>
    <x v="0"/>
    <x v="0"/>
    <n v="5.5555555555555554"/>
    <n v="1.1111111111111109"/>
    <x v="6"/>
    <s v="Offline"/>
    <n v="10.8"/>
    <n v="14.2"/>
    <x v="0"/>
    <n v="20"/>
    <n v="1"/>
    <x v="3"/>
    <n v="29.948453608247419"/>
    <n v="0"/>
  </r>
  <r>
    <s v="ORD180"/>
    <x v="4"/>
    <s v="Chicago, IL"/>
    <d v="2024-06-25T00:00:00"/>
    <d v="1899-12-30T13:00:00"/>
    <d v="2024-06-25T00:00:00"/>
    <d v="1899-12-30T13:20:00"/>
    <n v="20"/>
    <s v="Medium"/>
    <s v="Non-Veg"/>
    <n v="3"/>
    <x v="5"/>
    <x v="0"/>
    <s v="Wallet"/>
    <x v="1"/>
    <x v="0"/>
    <n v="5.7142857142857144"/>
    <n v="0.8571428571428571"/>
    <x v="6"/>
    <s v="Online"/>
    <n v="8.4"/>
    <n v="11.6"/>
    <x v="0"/>
    <n v="6"/>
    <n v="2"/>
    <x v="4"/>
    <n v="30.286458333333329"/>
    <n v="0"/>
  </r>
  <r>
    <s v="ORD181"/>
    <x v="0"/>
    <s v="Miami, FL"/>
    <d v="2024-06-26T00:00:00"/>
    <d v="1899-12-30T18:30:00"/>
    <d v="2024-06-26T00:00:00"/>
    <d v="1899-12-30T18:55:00"/>
    <n v="25"/>
    <s v="Large"/>
    <s v="Veg"/>
    <n v="4"/>
    <x v="3"/>
    <x v="1"/>
    <s v="Card"/>
    <x v="0"/>
    <x v="0"/>
    <n v="5.5555555555555554"/>
    <n v="0.88888888888888884"/>
    <x v="6"/>
    <s v="Online"/>
    <n v="10.8"/>
    <n v="14.2"/>
    <x v="0"/>
    <n v="12"/>
    <n v="3"/>
    <x v="0"/>
    <n v="30.259433962264151"/>
    <n v="0"/>
  </r>
  <r>
    <s v="ORD182"/>
    <x v="1"/>
    <s v="Phoenix, AZ"/>
    <d v="2024-06-27T00:00:00"/>
    <d v="1899-12-30T20:00:00"/>
    <d v="2024-06-27T00:00:00"/>
    <d v="1899-12-30T20:25:00"/>
    <n v="25"/>
    <s v="Medium"/>
    <s v="Non-Veg"/>
    <n v="3"/>
    <x v="2"/>
    <x v="0"/>
    <s v="UPI"/>
    <x v="0"/>
    <x v="0"/>
    <n v="8.3333333333333339"/>
    <n v="1"/>
    <x v="6"/>
    <s v="Online"/>
    <n v="7.1999999999999993"/>
    <n v="17.8"/>
    <x v="0"/>
    <n v="6"/>
    <n v="2"/>
    <x v="1"/>
    <n v="28.186274509803919"/>
    <n v="0"/>
  </r>
  <r>
    <s v="ORD183"/>
    <x v="2"/>
    <s v="Atlanta, GA"/>
    <d v="2024-06-28T00:00:00"/>
    <d v="1899-12-30T19:15:00"/>
    <d v="2024-06-28T00:00:00"/>
    <d v="1899-12-30T19:35:00"/>
    <n v="20"/>
    <s v="Small"/>
    <s v="Vegan"/>
    <n v="2"/>
    <x v="0"/>
    <x v="2"/>
    <s v="Cash"/>
    <x v="0"/>
    <x v="0"/>
    <n v="8"/>
    <n v="0.8"/>
    <x v="6"/>
    <s v="Offline"/>
    <n v="6"/>
    <n v="14"/>
    <x v="0"/>
    <n v="2"/>
    <n v="1"/>
    <x v="3"/>
    <n v="28.844221105527641"/>
    <n v="0"/>
  </r>
  <r>
    <s v="ORD184"/>
    <x v="3"/>
    <s v="Chicago, IL"/>
    <d v="2024-06-29T00:00:00"/>
    <d v="1899-12-30T19:45:00"/>
    <d v="2024-06-29T00:00:00"/>
    <d v="1899-12-30T20:10:00"/>
    <n v="25"/>
    <s v="XL"/>
    <s v="Cheese Burst"/>
    <n v="5"/>
    <x v="6"/>
    <x v="1"/>
    <s v="Wallet"/>
    <x v="0"/>
    <x v="1"/>
    <n v="6.25"/>
    <n v="1.25"/>
    <x v="6"/>
    <s v="Online"/>
    <n v="9.6"/>
    <n v="15.4"/>
    <x v="0"/>
    <n v="20"/>
    <n v="3"/>
    <x v="3"/>
    <n v="29.948453608247419"/>
    <n v="0"/>
  </r>
  <r>
    <s v="ORD185"/>
    <x v="4"/>
    <s v="Miami, FL"/>
    <d v="2024-06-30T00:00:00"/>
    <d v="1899-12-30T13:00:00"/>
    <d v="2024-06-30T00:00:00"/>
    <d v="1899-12-30T13:20:00"/>
    <n v="20"/>
    <s v="Medium"/>
    <s v="Non-Veg"/>
    <n v="3"/>
    <x v="5"/>
    <x v="2"/>
    <s v="Card"/>
    <x v="1"/>
    <x v="1"/>
    <n v="5.7142857142857144"/>
    <n v="0.8571428571428571"/>
    <x v="6"/>
    <s v="Online"/>
    <n v="8.4"/>
    <n v="11.6"/>
    <x v="0"/>
    <n v="6"/>
    <n v="1"/>
    <x v="4"/>
    <n v="30.286458333333329"/>
    <n v="0"/>
  </r>
  <r>
    <s v="ORD186"/>
    <x v="0"/>
    <s v="Los Angeles, CA"/>
    <d v="2024-07-01T00:00:00"/>
    <d v="1899-12-30T18:30:00"/>
    <d v="2024-07-01T00:00:00"/>
    <d v="1899-12-30T18:50:00"/>
    <n v="20"/>
    <s v="Large"/>
    <s v="Veg"/>
    <n v="4"/>
    <x v="3"/>
    <x v="0"/>
    <s v="UPI"/>
    <x v="0"/>
    <x v="0"/>
    <n v="4.4444444444444446"/>
    <n v="0.88888888888888884"/>
    <x v="7"/>
    <s v="Online"/>
    <n v="10.8"/>
    <n v="9.2000000000000011"/>
    <x v="0"/>
    <n v="12"/>
    <n v="2"/>
    <x v="0"/>
    <n v="30.259433962264151"/>
    <n v="0"/>
  </r>
  <r>
    <s v="ORD187"/>
    <x v="1"/>
    <s v="Denver, CO"/>
    <d v="2024-07-02T00:00:00"/>
    <d v="1899-12-30T20:15:00"/>
    <d v="2024-07-02T00:00:00"/>
    <d v="1899-12-30T20:40:00"/>
    <n v="25"/>
    <s v="Small"/>
    <s v="Vegan"/>
    <n v="2"/>
    <x v="4"/>
    <x v="1"/>
    <s v="Cash"/>
    <x v="0"/>
    <x v="0"/>
    <n v="12.5"/>
    <n v="1"/>
    <x v="7"/>
    <s v="Offline"/>
    <n v="4.8"/>
    <n v="20.2"/>
    <x v="0"/>
    <n v="2"/>
    <n v="3"/>
    <x v="1"/>
    <n v="28.186274509803919"/>
    <n v="0"/>
  </r>
  <r>
    <s v="ORD188"/>
    <x v="2"/>
    <s v="Boston, MA"/>
    <d v="2024-07-03T00:00:00"/>
    <d v="1899-12-30T18:30:00"/>
    <d v="2024-07-03T00:00:00"/>
    <d v="1899-12-30T18:50:00"/>
    <n v="20"/>
    <s v="Medium"/>
    <s v="Non-Veg"/>
    <n v="3"/>
    <x v="5"/>
    <x v="2"/>
    <s v="Wallet"/>
    <x v="0"/>
    <x v="0"/>
    <n v="5.7142857142857144"/>
    <n v="0.8571428571428571"/>
    <x v="7"/>
    <s v="Online"/>
    <n v="8.4"/>
    <n v="11.6"/>
    <x v="0"/>
    <n v="6"/>
    <n v="1"/>
    <x v="0"/>
    <n v="28.844221105527641"/>
    <n v="0"/>
  </r>
  <r>
    <s v="ORD189"/>
    <x v="3"/>
    <s v="Dallas, TX"/>
    <d v="2024-07-04T00:00:00"/>
    <d v="1899-12-30T19:45:00"/>
    <d v="2024-07-04T00:00:00"/>
    <d v="1899-12-30T20:10:00"/>
    <n v="25"/>
    <s v="XL"/>
    <s v="Cheese Burst"/>
    <n v="5"/>
    <x v="6"/>
    <x v="0"/>
    <s v="Card"/>
    <x v="0"/>
    <x v="0"/>
    <n v="6.25"/>
    <n v="1.25"/>
    <x v="7"/>
    <s v="Online"/>
    <n v="9.6"/>
    <n v="15.4"/>
    <x v="0"/>
    <n v="20"/>
    <n v="2"/>
    <x v="3"/>
    <n v="29.948453608247419"/>
    <n v="0"/>
  </r>
  <r>
    <s v="ORD190"/>
    <x v="4"/>
    <s v="Seattle, WA"/>
    <d v="2024-07-05T00:00:00"/>
    <d v="1899-12-30T13:00:00"/>
    <d v="2024-07-05T00:00:00"/>
    <d v="1899-12-30T13:20:00"/>
    <n v="20"/>
    <s v="Medium"/>
    <s v="Non-Veg"/>
    <n v="3"/>
    <x v="5"/>
    <x v="1"/>
    <s v="UPI"/>
    <x v="1"/>
    <x v="0"/>
    <n v="5.7142857142857144"/>
    <n v="0.8571428571428571"/>
    <x v="7"/>
    <s v="Online"/>
    <n v="8.4"/>
    <n v="11.6"/>
    <x v="0"/>
    <n v="6"/>
    <n v="3"/>
    <x v="4"/>
    <n v="30.286458333333329"/>
    <n v="0"/>
  </r>
  <r>
    <s v="ORD191"/>
    <x v="0"/>
    <s v="Denver, CO"/>
    <d v="2024-07-06T00:00:00"/>
    <d v="1899-12-30T18:30:00"/>
    <d v="2024-07-06T00:00:00"/>
    <d v="1899-12-30T18:50:00"/>
    <n v="20"/>
    <s v="Large"/>
    <s v="Veg"/>
    <n v="4"/>
    <x v="3"/>
    <x v="2"/>
    <s v="Cash"/>
    <x v="0"/>
    <x v="1"/>
    <n v="4.4444444444444446"/>
    <n v="0.88888888888888884"/>
    <x v="7"/>
    <s v="Offline"/>
    <n v="10.8"/>
    <n v="9.2000000000000011"/>
    <x v="0"/>
    <n v="12"/>
    <n v="1"/>
    <x v="0"/>
    <n v="30.259433962264151"/>
    <n v="0"/>
  </r>
  <r>
    <s v="ORD192"/>
    <x v="1"/>
    <s v="Boston, MA"/>
    <d v="2024-07-07T00:00:00"/>
    <d v="1899-12-30T20:15:00"/>
    <d v="2024-07-07T00:00:00"/>
    <d v="1899-12-30T20:40:00"/>
    <n v="25"/>
    <s v="Small"/>
    <s v="Vegan"/>
    <n v="2"/>
    <x v="4"/>
    <x v="1"/>
    <s v="Wallet"/>
    <x v="0"/>
    <x v="1"/>
    <n v="12.5"/>
    <n v="1"/>
    <x v="7"/>
    <s v="Online"/>
    <n v="4.8"/>
    <n v="20.2"/>
    <x v="0"/>
    <n v="2"/>
    <n v="3"/>
    <x v="1"/>
    <n v="28.186274509803919"/>
    <n v="0"/>
  </r>
  <r>
    <s v="ORD193"/>
    <x v="2"/>
    <s v="Dallas, TX"/>
    <d v="2024-07-08T00:00:00"/>
    <d v="1899-12-30T18:30:00"/>
    <d v="2024-07-08T00:00:00"/>
    <d v="1899-12-30T18:50:00"/>
    <n v="20"/>
    <s v="Medium"/>
    <s v="Non-Veg"/>
    <n v="3"/>
    <x v="2"/>
    <x v="1"/>
    <s v="UPI"/>
    <x v="0"/>
    <x v="0"/>
    <n v="6.666666666666667"/>
    <n v="1"/>
    <x v="7"/>
    <s v="Online"/>
    <n v="7.1999999999999993"/>
    <n v="12.8"/>
    <x v="0"/>
    <n v="6"/>
    <n v="3"/>
    <x v="0"/>
    <n v="28.844221105527641"/>
    <n v="0"/>
  </r>
  <r>
    <s v="ORD194"/>
    <x v="3"/>
    <s v="Los Angeles, CA"/>
    <d v="2024-07-09T00:00:00"/>
    <d v="1899-12-30T19:45:00"/>
    <d v="2024-07-09T00:00:00"/>
    <d v="1899-12-30T20:10:00"/>
    <n v="25"/>
    <s v="XL"/>
    <s v="Cheese Burst"/>
    <n v="5"/>
    <x v="3"/>
    <x v="2"/>
    <s v="Cash"/>
    <x v="0"/>
    <x v="0"/>
    <n v="5.5555555555555554"/>
    <n v="1.1111111111111109"/>
    <x v="7"/>
    <s v="Offline"/>
    <n v="10.8"/>
    <n v="14.2"/>
    <x v="0"/>
    <n v="20"/>
    <n v="1"/>
    <x v="3"/>
    <n v="29.948453608247419"/>
    <n v="0"/>
  </r>
  <r>
    <s v="ORD195"/>
    <x v="4"/>
    <s v="Chicago, IL"/>
    <d v="2024-07-10T00:00:00"/>
    <d v="1899-12-30T13:00:00"/>
    <d v="2024-07-10T00:00:00"/>
    <d v="1899-12-30T13:20:00"/>
    <n v="20"/>
    <s v="Medium"/>
    <s v="Non-Veg"/>
    <n v="3"/>
    <x v="5"/>
    <x v="0"/>
    <s v="Wallet"/>
    <x v="1"/>
    <x v="0"/>
    <n v="5.7142857142857144"/>
    <n v="0.8571428571428571"/>
    <x v="7"/>
    <s v="Online"/>
    <n v="8.4"/>
    <n v="11.6"/>
    <x v="0"/>
    <n v="6"/>
    <n v="2"/>
    <x v="4"/>
    <n v="30.286458333333329"/>
    <n v="0"/>
  </r>
  <r>
    <s v="ORD196"/>
    <x v="0"/>
    <s v="Miami, FL"/>
    <d v="2024-07-11T00:00:00"/>
    <d v="1899-12-30T18:30:00"/>
    <d v="2024-07-11T00:00:00"/>
    <d v="1899-12-30T18:50:00"/>
    <n v="20"/>
    <s v="Large"/>
    <s v="Veg"/>
    <n v="4"/>
    <x v="6"/>
    <x v="1"/>
    <s v="Card"/>
    <x v="0"/>
    <x v="0"/>
    <n v="5"/>
    <n v="1"/>
    <x v="7"/>
    <s v="Online"/>
    <n v="9.6"/>
    <n v="10.4"/>
    <x v="0"/>
    <n v="12"/>
    <n v="3"/>
    <x v="0"/>
    <n v="30.259433962264151"/>
    <n v="0"/>
  </r>
  <r>
    <s v="ORD197"/>
    <x v="1"/>
    <s v="Dallas, TX"/>
    <d v="2024-07-12T00:00:00"/>
    <d v="1899-12-30T20:00:00"/>
    <d v="2024-07-12T00:00:00"/>
    <d v="1899-12-30T20:25:00"/>
    <n v="25"/>
    <s v="Medium"/>
    <s v="Non-Veg"/>
    <n v="3"/>
    <x v="2"/>
    <x v="2"/>
    <s v="UPI"/>
    <x v="0"/>
    <x v="0"/>
    <n v="8.3333333333333339"/>
    <n v="1"/>
    <x v="7"/>
    <s v="Online"/>
    <n v="7.1999999999999993"/>
    <n v="17.8"/>
    <x v="0"/>
    <n v="6"/>
    <n v="1"/>
    <x v="1"/>
    <n v="28.186274509803919"/>
    <n v="0"/>
  </r>
  <r>
    <s v="ORD198"/>
    <x v="2"/>
    <s v="Houston, TX"/>
    <d v="2024-07-13T00:00:00"/>
    <d v="1899-12-30T19:15:00"/>
    <d v="2024-07-13T00:00:00"/>
    <d v="1899-12-30T19:35:00"/>
    <n v="20"/>
    <s v="Small"/>
    <s v="Vegan"/>
    <n v="2"/>
    <x v="0"/>
    <x v="2"/>
    <s v="Cash"/>
    <x v="0"/>
    <x v="1"/>
    <n v="8"/>
    <n v="0.8"/>
    <x v="7"/>
    <s v="Offline"/>
    <n v="6"/>
    <n v="14"/>
    <x v="0"/>
    <n v="2"/>
    <n v="1"/>
    <x v="3"/>
    <n v="28.844221105527641"/>
    <n v="0"/>
  </r>
  <r>
    <s v="ORD199"/>
    <x v="3"/>
    <s v="Phoenix, AZ"/>
    <d v="2024-07-14T00:00:00"/>
    <d v="1899-12-30T19:45:00"/>
    <d v="2024-07-14T00:00:00"/>
    <d v="1899-12-30T20:10:00"/>
    <n v="25"/>
    <s v="XL"/>
    <s v="Cheese Burst"/>
    <n v="5"/>
    <x v="3"/>
    <x v="1"/>
    <s v="Wallet"/>
    <x v="0"/>
    <x v="1"/>
    <n v="5.5555555555555554"/>
    <n v="1.1111111111111109"/>
    <x v="7"/>
    <s v="Online"/>
    <n v="10.8"/>
    <n v="14.2"/>
    <x v="0"/>
    <n v="20"/>
    <n v="3"/>
    <x v="3"/>
    <n v="29.948453608247419"/>
    <n v="0"/>
  </r>
  <r>
    <s v="ORD200"/>
    <x v="4"/>
    <s v="Atlanta, GA"/>
    <d v="2024-07-15T00:00:00"/>
    <d v="1899-12-30T13:00:00"/>
    <d v="2024-07-15T00:00:00"/>
    <d v="1899-12-30T13:20:00"/>
    <n v="20"/>
    <s v="Medium"/>
    <s v="Non-Veg"/>
    <n v="3"/>
    <x v="2"/>
    <x v="0"/>
    <s v="Card"/>
    <x v="1"/>
    <x v="0"/>
    <n v="6.666666666666667"/>
    <n v="1"/>
    <x v="7"/>
    <s v="Online"/>
    <n v="7.1999999999999993"/>
    <n v="12.8"/>
    <x v="0"/>
    <n v="6"/>
    <n v="2"/>
    <x v="4"/>
    <n v="30.286458333333329"/>
    <n v="0"/>
  </r>
  <r>
    <s v="ORD201"/>
    <x v="0"/>
    <s v="New York, NY"/>
    <d v="2024-07-16T00:00:00"/>
    <d v="1899-12-30T18:30:00"/>
    <d v="2024-07-16T00:00:00"/>
    <d v="1899-12-30T18:55:00"/>
    <n v="25"/>
    <s v="Large"/>
    <s v="Veg"/>
    <n v="3"/>
    <x v="1"/>
    <x v="1"/>
    <s v="Card"/>
    <x v="0"/>
    <x v="0"/>
    <n v="5"/>
    <n v="0.6"/>
    <x v="7"/>
    <s v="Online"/>
    <n v="12"/>
    <n v="13"/>
    <x v="0"/>
    <n v="9"/>
    <n v="3"/>
    <x v="0"/>
    <n v="30.259433962264151"/>
    <n v="0"/>
  </r>
  <r>
    <s v="ORD202"/>
    <x v="1"/>
    <s v="Los Angeles, CA"/>
    <d v="2024-07-17T00:00:00"/>
    <d v="1899-12-30T19:00:00"/>
    <d v="2024-07-17T00:00:00"/>
    <d v="1899-12-30T19:30:00"/>
    <n v="30"/>
    <s v="Medium"/>
    <s v="Non-Veg"/>
    <n v="4"/>
    <x v="5"/>
    <x v="0"/>
    <s v="UPI"/>
    <x v="0"/>
    <x v="0"/>
    <n v="8.5714285714285712"/>
    <n v="1.142857142857143"/>
    <x v="7"/>
    <s v="Online"/>
    <n v="8.4"/>
    <n v="21.6"/>
    <x v="0"/>
    <n v="8"/>
    <n v="2"/>
    <x v="3"/>
    <n v="28.186274509803919"/>
    <n v="0"/>
  </r>
  <r>
    <s v="ORD203"/>
    <x v="2"/>
    <s v="Chicago, IL"/>
    <d v="2024-07-18T00:00:00"/>
    <d v="1899-12-30T20:15:00"/>
    <d v="2024-07-18T00:00:00"/>
    <d v="1899-12-30T20:40:00"/>
    <n v="25"/>
    <s v="Small"/>
    <s v="Vegan"/>
    <n v="2"/>
    <x v="6"/>
    <x v="2"/>
    <s v="Cash"/>
    <x v="0"/>
    <x v="0"/>
    <n v="6.25"/>
    <n v="0.5"/>
    <x v="7"/>
    <s v="Offline"/>
    <n v="9.6"/>
    <n v="15.4"/>
    <x v="0"/>
    <n v="2"/>
    <n v="1"/>
    <x v="1"/>
    <n v="28.844221105527641"/>
    <n v="0"/>
  </r>
  <r>
    <s v="ORD204"/>
    <x v="3"/>
    <s v="Houston, TX"/>
    <d v="2024-07-19T00:00:00"/>
    <d v="1899-12-30T19:45:00"/>
    <d v="2024-07-19T00:00:00"/>
    <d v="1899-12-30T20:10:00"/>
    <n v="25"/>
    <s v="XL"/>
    <s v="Cheese Burst"/>
    <n v="5"/>
    <x v="7"/>
    <x v="1"/>
    <s v="Wallet"/>
    <x v="0"/>
    <x v="0"/>
    <n v="4.166666666666667"/>
    <n v="0.83333333333333337"/>
    <x v="7"/>
    <s v="Online"/>
    <n v="14.4"/>
    <n v="10.6"/>
    <x v="0"/>
    <n v="20"/>
    <n v="3"/>
    <x v="3"/>
    <n v="29.948453608247419"/>
    <n v="0"/>
  </r>
  <r>
    <s v="ORD205"/>
    <x v="4"/>
    <s v="Phoenix, AZ"/>
    <d v="2024-07-20T00:00:00"/>
    <d v="1899-12-30T13:00:00"/>
    <d v="2024-07-20T00:00:00"/>
    <d v="1899-12-30T13:25:00"/>
    <n v="25"/>
    <s v="Medium"/>
    <s v="Non-Veg"/>
    <n v="3"/>
    <x v="2"/>
    <x v="2"/>
    <s v="Card"/>
    <x v="1"/>
    <x v="1"/>
    <n v="8.3333333333333339"/>
    <n v="1"/>
    <x v="7"/>
    <s v="Online"/>
    <n v="7.1999999999999993"/>
    <n v="17.8"/>
    <x v="0"/>
    <n v="6"/>
    <n v="1"/>
    <x v="4"/>
    <n v="30.286458333333329"/>
    <n v="0"/>
  </r>
  <r>
    <s v="ORD206"/>
    <x v="0"/>
    <s v="Miami, FL"/>
    <d v="2024-07-21T00:00:00"/>
    <d v="1899-12-30T18:30:00"/>
    <d v="2024-07-21T00:00:00"/>
    <d v="1899-12-30T18:55:00"/>
    <n v="25"/>
    <s v="Large"/>
    <s v="Veg"/>
    <n v="4"/>
    <x v="1"/>
    <x v="1"/>
    <s v="UPI"/>
    <x v="0"/>
    <x v="1"/>
    <n v="5"/>
    <n v="0.8"/>
    <x v="7"/>
    <s v="Online"/>
    <n v="12"/>
    <n v="13"/>
    <x v="0"/>
    <n v="12"/>
    <n v="3"/>
    <x v="0"/>
    <n v="30.259433962264151"/>
    <n v="0"/>
  </r>
  <r>
    <s v="ORD207"/>
    <x v="1"/>
    <s v="Denver, CO"/>
    <d v="2024-07-22T00:00:00"/>
    <d v="1899-12-30T20:15:00"/>
    <d v="2024-07-22T00:00:00"/>
    <d v="1899-12-30T20:40:00"/>
    <n v="25"/>
    <s v="Small"/>
    <s v="Vegan"/>
    <n v="2"/>
    <x v="0"/>
    <x v="0"/>
    <s v="Cash"/>
    <x v="0"/>
    <x v="0"/>
    <n v="10"/>
    <n v="0.8"/>
    <x v="7"/>
    <s v="Offline"/>
    <n v="6"/>
    <n v="19"/>
    <x v="0"/>
    <n v="2"/>
    <n v="2"/>
    <x v="1"/>
    <n v="28.186274509803919"/>
    <n v="0"/>
  </r>
  <r>
    <s v="ORD208"/>
    <x v="2"/>
    <s v="Boston, MA"/>
    <d v="2024-07-23T00:00:00"/>
    <d v="1899-12-30T18:30:00"/>
    <d v="2024-07-23T00:00:00"/>
    <d v="1899-12-30T18:50:00"/>
    <n v="20"/>
    <s v="Medium"/>
    <s v="Non-Veg"/>
    <n v="3"/>
    <x v="5"/>
    <x v="2"/>
    <s v="Wallet"/>
    <x v="0"/>
    <x v="0"/>
    <n v="5.7142857142857144"/>
    <n v="0.8571428571428571"/>
    <x v="7"/>
    <s v="Online"/>
    <n v="8.4"/>
    <n v="11.6"/>
    <x v="0"/>
    <n v="6"/>
    <n v="1"/>
    <x v="0"/>
    <n v="28.844221105527641"/>
    <n v="0"/>
  </r>
  <r>
    <s v="ORD209"/>
    <x v="3"/>
    <s v="Dallas, TX"/>
    <d v="2024-07-24T00:00:00"/>
    <d v="1899-12-30T19:45:00"/>
    <d v="2024-07-24T00:00:00"/>
    <d v="1899-12-30T20:10:00"/>
    <n v="25"/>
    <s v="XL"/>
    <s v="Cheese Burst"/>
    <n v="5"/>
    <x v="6"/>
    <x v="1"/>
    <s v="Card"/>
    <x v="0"/>
    <x v="0"/>
    <n v="6.25"/>
    <n v="1.25"/>
    <x v="7"/>
    <s v="Online"/>
    <n v="9.6"/>
    <n v="15.4"/>
    <x v="0"/>
    <n v="20"/>
    <n v="3"/>
    <x v="3"/>
    <n v="29.948453608247419"/>
    <n v="0"/>
  </r>
  <r>
    <s v="ORD210"/>
    <x v="4"/>
    <s v="Seattle, WA"/>
    <d v="2024-07-25T00:00:00"/>
    <d v="1899-12-30T13:00:00"/>
    <d v="2024-07-25T00:00:00"/>
    <d v="1899-12-30T13:20:00"/>
    <n v="20"/>
    <s v="Medium"/>
    <s v="Non-Veg"/>
    <n v="3"/>
    <x v="5"/>
    <x v="2"/>
    <s v="UPI"/>
    <x v="1"/>
    <x v="0"/>
    <n v="5.7142857142857144"/>
    <n v="0.8571428571428571"/>
    <x v="7"/>
    <s v="Online"/>
    <n v="8.4"/>
    <n v="11.6"/>
    <x v="0"/>
    <n v="6"/>
    <n v="1"/>
    <x v="4"/>
    <n v="30.286458333333329"/>
    <n v="0"/>
  </r>
  <r>
    <s v="ORD211"/>
    <x v="0"/>
    <s v="Denver, CO"/>
    <d v="2024-07-26T00:00:00"/>
    <d v="1899-12-30T18:30:00"/>
    <d v="2024-07-26T00:00:00"/>
    <d v="1899-12-30T18:50:00"/>
    <n v="20"/>
    <s v="Large"/>
    <s v="Veg"/>
    <n v="4"/>
    <x v="3"/>
    <x v="0"/>
    <s v="Cash"/>
    <x v="0"/>
    <x v="0"/>
    <n v="4.4444444444444446"/>
    <n v="0.88888888888888884"/>
    <x v="7"/>
    <s v="Offline"/>
    <n v="10.8"/>
    <n v="9.2000000000000011"/>
    <x v="0"/>
    <n v="12"/>
    <n v="2"/>
    <x v="0"/>
    <n v="30.259433962264151"/>
    <n v="0"/>
  </r>
  <r>
    <s v="ORD212"/>
    <x v="1"/>
    <s v="Boston, MA"/>
    <d v="2024-07-27T00:00:00"/>
    <d v="1899-12-30T20:15:00"/>
    <d v="2024-07-27T00:00:00"/>
    <d v="1899-12-30T20:40:00"/>
    <n v="25"/>
    <s v="Small"/>
    <s v="Vegan"/>
    <n v="2"/>
    <x v="4"/>
    <x v="1"/>
    <s v="Wallet"/>
    <x v="0"/>
    <x v="1"/>
    <n v="12.5"/>
    <n v="1"/>
    <x v="7"/>
    <s v="Online"/>
    <n v="4.8"/>
    <n v="20.2"/>
    <x v="0"/>
    <n v="2"/>
    <n v="3"/>
    <x v="1"/>
    <n v="28.186274509803919"/>
    <n v="0"/>
  </r>
  <r>
    <s v="ORD213"/>
    <x v="2"/>
    <s v="Dallas, TX"/>
    <d v="2024-07-28T00:00:00"/>
    <d v="1899-12-30T18:30:00"/>
    <d v="2024-07-28T00:00:00"/>
    <d v="1899-12-30T18:50:00"/>
    <n v="20"/>
    <s v="Medium"/>
    <s v="Non-Veg"/>
    <n v="3"/>
    <x v="2"/>
    <x v="1"/>
    <s v="UPI"/>
    <x v="0"/>
    <x v="1"/>
    <n v="6.666666666666667"/>
    <n v="1"/>
    <x v="7"/>
    <s v="Online"/>
    <n v="7.1999999999999993"/>
    <n v="12.8"/>
    <x v="0"/>
    <n v="6"/>
    <n v="3"/>
    <x v="0"/>
    <n v="28.844221105527641"/>
    <n v="0"/>
  </r>
  <r>
    <s v="ORD214"/>
    <x v="3"/>
    <s v="Los Angeles, CA"/>
    <d v="2024-07-29T00:00:00"/>
    <d v="1899-12-30T19:45:00"/>
    <d v="2024-07-29T00:00:00"/>
    <d v="1899-12-30T20:10:00"/>
    <n v="25"/>
    <s v="XL"/>
    <s v="Cheese Burst"/>
    <n v="5"/>
    <x v="3"/>
    <x v="2"/>
    <s v="Cash"/>
    <x v="0"/>
    <x v="0"/>
    <n v="5.5555555555555554"/>
    <n v="1.1111111111111109"/>
    <x v="7"/>
    <s v="Offline"/>
    <n v="10.8"/>
    <n v="14.2"/>
    <x v="0"/>
    <n v="20"/>
    <n v="1"/>
    <x v="3"/>
    <n v="29.948453608247419"/>
    <n v="0"/>
  </r>
  <r>
    <s v="ORD215"/>
    <x v="4"/>
    <s v="Chicago, IL"/>
    <d v="2024-07-30T00:00:00"/>
    <d v="1899-12-30T13:00:00"/>
    <d v="2024-07-30T00:00:00"/>
    <d v="1899-12-30T13:20:00"/>
    <n v="20"/>
    <s v="Medium"/>
    <s v="Non-Veg"/>
    <n v="3"/>
    <x v="5"/>
    <x v="0"/>
    <s v="Wallet"/>
    <x v="1"/>
    <x v="0"/>
    <n v="5.7142857142857144"/>
    <n v="0.8571428571428571"/>
    <x v="7"/>
    <s v="Online"/>
    <n v="8.4"/>
    <n v="11.6"/>
    <x v="0"/>
    <n v="6"/>
    <n v="2"/>
    <x v="4"/>
    <n v="30.286458333333329"/>
    <n v="0"/>
  </r>
  <r>
    <s v="ORD216"/>
    <x v="0"/>
    <s v="Miami, FL"/>
    <d v="2024-07-31T00:00:00"/>
    <d v="1899-12-30T18:30:00"/>
    <d v="2024-07-31T00:00:00"/>
    <d v="1899-12-30T18:50:00"/>
    <n v="20"/>
    <s v="Large"/>
    <s v="Veg"/>
    <n v="4"/>
    <x v="6"/>
    <x v="1"/>
    <s v="Card"/>
    <x v="0"/>
    <x v="0"/>
    <n v="5"/>
    <n v="1"/>
    <x v="7"/>
    <s v="Online"/>
    <n v="9.6"/>
    <n v="10.4"/>
    <x v="0"/>
    <n v="12"/>
    <n v="3"/>
    <x v="0"/>
    <n v="30.259433962264151"/>
    <n v="0"/>
  </r>
  <r>
    <s v="ORD217"/>
    <x v="1"/>
    <s v="Dallas, TX"/>
    <d v="2024-08-01T00:00:00"/>
    <d v="1899-12-30T20:00:00"/>
    <d v="2024-08-01T00:00:00"/>
    <d v="1899-12-30T20:25:00"/>
    <n v="25"/>
    <s v="Medium"/>
    <s v="Non-Veg"/>
    <n v="3"/>
    <x v="2"/>
    <x v="2"/>
    <s v="UPI"/>
    <x v="0"/>
    <x v="0"/>
    <n v="8.3333333333333339"/>
    <n v="1"/>
    <x v="5"/>
    <s v="Online"/>
    <n v="7.1999999999999993"/>
    <n v="17.8"/>
    <x v="0"/>
    <n v="6"/>
    <n v="1"/>
    <x v="1"/>
    <n v="28.186274509803919"/>
    <n v="0"/>
  </r>
  <r>
    <s v="ORD218"/>
    <x v="2"/>
    <s v="Houston, TX"/>
    <d v="2024-08-02T00:00:00"/>
    <d v="1899-12-30T19:15:00"/>
    <d v="2024-08-02T00:00:00"/>
    <d v="1899-12-30T19:35:00"/>
    <n v="20"/>
    <s v="Small"/>
    <s v="Vegan"/>
    <n v="2"/>
    <x v="0"/>
    <x v="2"/>
    <s v="Cash"/>
    <x v="0"/>
    <x v="0"/>
    <n v="8"/>
    <n v="0.8"/>
    <x v="5"/>
    <s v="Offline"/>
    <n v="6"/>
    <n v="14"/>
    <x v="0"/>
    <n v="2"/>
    <n v="1"/>
    <x v="3"/>
    <n v="28.844221105527641"/>
    <n v="0"/>
  </r>
  <r>
    <s v="ORD219"/>
    <x v="3"/>
    <s v="Phoenix, AZ"/>
    <d v="2024-08-03T00:00:00"/>
    <d v="1899-12-30T19:45:00"/>
    <d v="2024-08-03T00:00:00"/>
    <d v="1899-12-30T20:10:00"/>
    <n v="25"/>
    <s v="XL"/>
    <s v="Cheese Burst"/>
    <n v="5"/>
    <x v="3"/>
    <x v="1"/>
    <s v="Wallet"/>
    <x v="0"/>
    <x v="1"/>
    <n v="5.5555555555555554"/>
    <n v="1.1111111111111109"/>
    <x v="5"/>
    <s v="Online"/>
    <n v="10.8"/>
    <n v="14.2"/>
    <x v="0"/>
    <n v="20"/>
    <n v="3"/>
    <x v="3"/>
    <n v="29.948453608247419"/>
    <n v="0"/>
  </r>
  <r>
    <s v="ORD220"/>
    <x v="4"/>
    <s v="Atlanta, GA"/>
    <d v="2024-08-04T00:00:00"/>
    <d v="1899-12-30T13:00:00"/>
    <d v="2024-08-04T00:00:00"/>
    <d v="1899-12-30T13:20:00"/>
    <n v="20"/>
    <s v="Medium"/>
    <s v="Non-Veg"/>
    <n v="3"/>
    <x v="2"/>
    <x v="0"/>
    <s v="Card"/>
    <x v="1"/>
    <x v="1"/>
    <n v="6.666666666666667"/>
    <n v="1"/>
    <x v="5"/>
    <s v="Online"/>
    <n v="7.1999999999999993"/>
    <n v="12.8"/>
    <x v="0"/>
    <n v="6"/>
    <n v="2"/>
    <x v="4"/>
    <n v="30.286458333333329"/>
    <n v="0"/>
  </r>
  <r>
    <s v="ORD221"/>
    <x v="0"/>
    <s v="New York, NY"/>
    <d v="2024-08-05T00:00:00"/>
    <d v="1899-12-30T18:30:00"/>
    <d v="2024-08-05T00:00:00"/>
    <d v="1899-12-30T18:55:00"/>
    <n v="25"/>
    <s v="Large"/>
    <s v="Veg"/>
    <n v="3"/>
    <x v="1"/>
    <x v="1"/>
    <s v="Card"/>
    <x v="0"/>
    <x v="0"/>
    <n v="5"/>
    <n v="0.6"/>
    <x v="5"/>
    <s v="Online"/>
    <n v="12"/>
    <n v="13"/>
    <x v="0"/>
    <n v="9"/>
    <n v="3"/>
    <x v="0"/>
    <n v="30.259433962264151"/>
    <n v="0"/>
  </r>
  <r>
    <s v="ORD222"/>
    <x v="1"/>
    <s v="Los Angeles, CA"/>
    <d v="2024-08-06T00:00:00"/>
    <d v="1899-12-30T19:00:00"/>
    <d v="2024-08-06T00:00:00"/>
    <d v="1899-12-30T19:30:00"/>
    <n v="30"/>
    <s v="Medium"/>
    <s v="Non-Veg"/>
    <n v="4"/>
    <x v="5"/>
    <x v="0"/>
    <s v="UPI"/>
    <x v="0"/>
    <x v="0"/>
    <n v="8.5714285714285712"/>
    <n v="1.142857142857143"/>
    <x v="5"/>
    <s v="Online"/>
    <n v="8.4"/>
    <n v="21.6"/>
    <x v="0"/>
    <n v="8"/>
    <n v="2"/>
    <x v="3"/>
    <n v="28.186274509803919"/>
    <n v="0"/>
  </r>
  <r>
    <s v="ORD223"/>
    <x v="2"/>
    <s v="Chicago, IL"/>
    <d v="2024-08-07T00:00:00"/>
    <d v="1899-12-30T20:15:00"/>
    <d v="2024-08-07T00:00:00"/>
    <d v="1899-12-30T20:40:00"/>
    <n v="25"/>
    <s v="Small"/>
    <s v="Vegan"/>
    <n v="2"/>
    <x v="6"/>
    <x v="2"/>
    <s v="Cash"/>
    <x v="0"/>
    <x v="0"/>
    <n v="6.25"/>
    <n v="0.5"/>
    <x v="5"/>
    <s v="Offline"/>
    <n v="9.6"/>
    <n v="15.4"/>
    <x v="0"/>
    <n v="2"/>
    <n v="1"/>
    <x v="1"/>
    <n v="28.844221105527641"/>
    <n v="0"/>
  </r>
  <r>
    <s v="ORD224"/>
    <x v="3"/>
    <s v="Houston, TX"/>
    <d v="2024-08-08T00:00:00"/>
    <d v="1899-12-30T19:45:00"/>
    <d v="2024-08-08T00:00:00"/>
    <d v="1899-12-30T20:10:00"/>
    <n v="25"/>
    <s v="XL"/>
    <s v="Cheese Burst"/>
    <n v="5"/>
    <x v="7"/>
    <x v="1"/>
    <s v="Wallet"/>
    <x v="0"/>
    <x v="0"/>
    <n v="4.166666666666667"/>
    <n v="0.83333333333333337"/>
    <x v="5"/>
    <s v="Online"/>
    <n v="14.4"/>
    <n v="10.6"/>
    <x v="0"/>
    <n v="20"/>
    <n v="3"/>
    <x v="3"/>
    <n v="29.948453608247419"/>
    <n v="0"/>
  </r>
  <r>
    <s v="ORD225"/>
    <x v="4"/>
    <s v="Phoenix, AZ"/>
    <d v="2024-08-09T00:00:00"/>
    <d v="1899-12-30T13:00:00"/>
    <d v="2024-08-09T00:00:00"/>
    <d v="1899-12-30T13:25:00"/>
    <n v="25"/>
    <s v="Medium"/>
    <s v="Non-Veg"/>
    <n v="3"/>
    <x v="2"/>
    <x v="2"/>
    <s v="Card"/>
    <x v="1"/>
    <x v="0"/>
    <n v="8.3333333333333339"/>
    <n v="1"/>
    <x v="5"/>
    <s v="Online"/>
    <n v="7.1999999999999993"/>
    <n v="17.8"/>
    <x v="0"/>
    <n v="6"/>
    <n v="1"/>
    <x v="4"/>
    <n v="30.286458333333329"/>
    <n v="0"/>
  </r>
  <r>
    <s v="ORD226"/>
    <x v="0"/>
    <s v="Miami, FL"/>
    <d v="2024-08-10T00:00:00"/>
    <d v="1899-12-30T18:30:00"/>
    <d v="2024-08-10T00:00:00"/>
    <d v="1899-12-30T18:55:00"/>
    <n v="25"/>
    <s v="Large"/>
    <s v="Veg"/>
    <n v="4"/>
    <x v="1"/>
    <x v="1"/>
    <s v="UPI"/>
    <x v="0"/>
    <x v="1"/>
    <n v="5"/>
    <n v="0.8"/>
    <x v="5"/>
    <s v="Online"/>
    <n v="12"/>
    <n v="13"/>
    <x v="0"/>
    <n v="12"/>
    <n v="3"/>
    <x v="0"/>
    <n v="30.259433962264151"/>
    <n v="0"/>
  </r>
  <r>
    <s v="ORD227"/>
    <x v="1"/>
    <s v="Denver, CO"/>
    <d v="2024-08-11T00:00:00"/>
    <d v="1899-12-30T20:15:00"/>
    <d v="2024-08-11T00:00:00"/>
    <d v="1899-12-30T20:40:00"/>
    <n v="25"/>
    <s v="Small"/>
    <s v="Vegan"/>
    <n v="2"/>
    <x v="0"/>
    <x v="0"/>
    <s v="Cash"/>
    <x v="0"/>
    <x v="1"/>
    <n v="10"/>
    <n v="0.8"/>
    <x v="5"/>
    <s v="Offline"/>
    <n v="6"/>
    <n v="19"/>
    <x v="0"/>
    <n v="2"/>
    <n v="2"/>
    <x v="1"/>
    <n v="28.186274509803919"/>
    <n v="0"/>
  </r>
  <r>
    <s v="ORD228"/>
    <x v="2"/>
    <s v="Boston, MA"/>
    <d v="2024-08-12T00:00:00"/>
    <d v="1899-12-30T18:30:00"/>
    <d v="2024-08-12T00:00:00"/>
    <d v="1899-12-30T18:50:00"/>
    <n v="20"/>
    <s v="Medium"/>
    <s v="Non-Veg"/>
    <n v="3"/>
    <x v="5"/>
    <x v="2"/>
    <s v="Wallet"/>
    <x v="0"/>
    <x v="0"/>
    <n v="5.7142857142857144"/>
    <n v="0.8571428571428571"/>
    <x v="5"/>
    <s v="Online"/>
    <n v="8.4"/>
    <n v="11.6"/>
    <x v="0"/>
    <n v="6"/>
    <n v="1"/>
    <x v="0"/>
    <n v="28.844221105527641"/>
    <n v="0"/>
  </r>
  <r>
    <s v="ORD229"/>
    <x v="3"/>
    <s v="Los Angeles, CA"/>
    <d v="2024-08-13T00:00:00"/>
    <d v="1899-12-30T19:45:00"/>
    <d v="2024-08-13T00:00:00"/>
    <d v="1899-12-30T20:10:00"/>
    <n v="25"/>
    <s v="XL"/>
    <s v="Cheese Burst"/>
    <n v="5"/>
    <x v="3"/>
    <x v="2"/>
    <s v="Cash"/>
    <x v="0"/>
    <x v="0"/>
    <n v="5.5555555555555554"/>
    <n v="1.1111111111111109"/>
    <x v="5"/>
    <s v="Offline"/>
    <n v="10.8"/>
    <n v="14.2"/>
    <x v="0"/>
    <n v="20"/>
    <n v="1"/>
    <x v="3"/>
    <n v="29.948453608247419"/>
    <n v="0"/>
  </r>
  <r>
    <s v="ORD230"/>
    <x v="0"/>
    <s v="New York, NY"/>
    <d v="2024-08-14T00:00:00"/>
    <d v="1899-12-30T18:30:00"/>
    <d v="2024-08-14T00:00:00"/>
    <d v="1899-12-30T19:05:00"/>
    <n v="35"/>
    <s v="Large"/>
    <s v="Veg"/>
    <n v="3"/>
    <x v="1"/>
    <x v="1"/>
    <s v="UPI"/>
    <x v="0"/>
    <x v="0"/>
    <n v="7"/>
    <n v="0.6"/>
    <x v="5"/>
    <s v="Online"/>
    <n v="12"/>
    <n v="23"/>
    <x v="1"/>
    <n v="9"/>
    <n v="3"/>
    <x v="0"/>
    <n v="30.259433962264151"/>
    <n v="1"/>
  </r>
  <r>
    <s v="ORD231"/>
    <x v="1"/>
    <s v="Chicago, IL"/>
    <d v="2024-08-15T00:00:00"/>
    <d v="1899-12-30T20:15:00"/>
    <d v="2024-08-15T00:00:00"/>
    <d v="1899-12-30T20:40:00"/>
    <n v="25"/>
    <s v="Medium"/>
    <s v="Non-Veg"/>
    <n v="4"/>
    <x v="5"/>
    <x v="0"/>
    <s v="Card"/>
    <x v="0"/>
    <x v="0"/>
    <n v="7.1428571428571432"/>
    <n v="1.142857142857143"/>
    <x v="5"/>
    <s v="Online"/>
    <n v="8.4"/>
    <n v="16.600000000000001"/>
    <x v="0"/>
    <n v="8"/>
    <n v="2"/>
    <x v="1"/>
    <n v="28.186274509803919"/>
    <n v="0"/>
  </r>
  <r>
    <s v="ORD232"/>
    <x v="2"/>
    <s v="Houston, TX"/>
    <d v="2024-08-16T00:00:00"/>
    <d v="1899-12-30T19:00:00"/>
    <d v="2024-08-16T00:00:00"/>
    <d v="1899-12-30T19:20:00"/>
    <n v="20"/>
    <s v="Small"/>
    <s v="Vegan"/>
    <n v="2"/>
    <x v="4"/>
    <x v="2"/>
    <s v="Wallet"/>
    <x v="0"/>
    <x v="0"/>
    <n v="10"/>
    <n v="1"/>
    <x v="5"/>
    <s v="Online"/>
    <n v="4.8"/>
    <n v="15.2"/>
    <x v="0"/>
    <n v="2"/>
    <n v="1"/>
    <x v="3"/>
    <n v="28.844221105527641"/>
    <n v="0"/>
  </r>
  <r>
    <s v="ORD233"/>
    <x v="4"/>
    <s v="Phoenix, AZ"/>
    <d v="2024-08-17T00:00:00"/>
    <d v="1899-12-30T13:00:00"/>
    <d v="2024-08-17T00:00:00"/>
    <d v="1899-12-30T13:30:00"/>
    <n v="30"/>
    <s v="Medium"/>
    <s v="Non-Veg"/>
    <n v="3"/>
    <x v="2"/>
    <x v="1"/>
    <s v="UPI"/>
    <x v="1"/>
    <x v="1"/>
    <n v="10"/>
    <n v="1"/>
    <x v="5"/>
    <s v="Online"/>
    <n v="7.1999999999999993"/>
    <n v="22.8"/>
    <x v="0"/>
    <n v="6"/>
    <n v="3"/>
    <x v="4"/>
    <n v="30.286458333333329"/>
    <n v="0"/>
  </r>
  <r>
    <s v="ORD234"/>
    <x v="0"/>
    <s v="Miami, FL"/>
    <d v="2024-08-18T00:00:00"/>
    <d v="1899-12-30T18:30:00"/>
    <d v="2024-08-18T00:00:00"/>
    <d v="1899-12-30T19:10:00"/>
    <n v="40"/>
    <s v="Large"/>
    <s v="Veg"/>
    <n v="4"/>
    <x v="1"/>
    <x v="1"/>
    <s v="Card"/>
    <x v="0"/>
    <x v="1"/>
    <n v="8"/>
    <n v="0.8"/>
    <x v="5"/>
    <s v="Online"/>
    <n v="12"/>
    <n v="28"/>
    <x v="1"/>
    <n v="12"/>
    <n v="3"/>
    <x v="0"/>
    <n v="30.259433962264151"/>
    <n v="1"/>
  </r>
  <r>
    <s v="ORD235"/>
    <x v="1"/>
    <s v="Denver, CO"/>
    <d v="2024-08-19T00:00:00"/>
    <d v="1899-12-30T20:15:00"/>
    <d v="2024-08-19T00:00:00"/>
    <d v="1899-12-30T20:35:00"/>
    <n v="20"/>
    <s v="Small"/>
    <s v="Vegan"/>
    <n v="2"/>
    <x v="0"/>
    <x v="0"/>
    <s v="Cash"/>
    <x v="0"/>
    <x v="0"/>
    <n v="8"/>
    <n v="0.8"/>
    <x v="5"/>
    <s v="Offline"/>
    <n v="6"/>
    <n v="14"/>
    <x v="0"/>
    <n v="2"/>
    <n v="2"/>
    <x v="1"/>
    <n v="28.186274509803919"/>
    <n v="0"/>
  </r>
  <r>
    <s v="ORD236"/>
    <x v="2"/>
    <s v="Boston, MA"/>
    <d v="2024-08-20T00:00:00"/>
    <d v="1899-12-30T18:30:00"/>
    <d v="2024-08-20T00:00:00"/>
    <d v="1899-12-30T18:50:00"/>
    <n v="20"/>
    <s v="Medium"/>
    <s v="Non-Veg"/>
    <n v="3"/>
    <x v="5"/>
    <x v="2"/>
    <s v="Wallet"/>
    <x v="0"/>
    <x v="0"/>
    <n v="5.7142857142857144"/>
    <n v="0.8571428571428571"/>
    <x v="5"/>
    <s v="Online"/>
    <n v="8.4"/>
    <n v="11.6"/>
    <x v="0"/>
    <n v="6"/>
    <n v="1"/>
    <x v="0"/>
    <n v="28.844221105527641"/>
    <n v="0"/>
  </r>
  <r>
    <s v="ORD237"/>
    <x v="3"/>
    <s v="Dallas, TX"/>
    <d v="2024-08-21T00:00:00"/>
    <d v="1899-12-30T19:45:00"/>
    <d v="2024-08-21T00:00:00"/>
    <d v="1899-12-30T20:15:00"/>
    <n v="30"/>
    <s v="XL"/>
    <s v="Cheese Burst"/>
    <n v="5"/>
    <x v="6"/>
    <x v="1"/>
    <s v="Card"/>
    <x v="0"/>
    <x v="0"/>
    <n v="7.5"/>
    <n v="1.25"/>
    <x v="5"/>
    <s v="Online"/>
    <n v="9.6"/>
    <n v="20.399999999999999"/>
    <x v="0"/>
    <n v="20"/>
    <n v="3"/>
    <x v="3"/>
    <n v="29.948453608247419"/>
    <n v="0"/>
  </r>
  <r>
    <s v="ORD238"/>
    <x v="4"/>
    <s v="Seattle, WA"/>
    <d v="2024-08-22T00:00:00"/>
    <d v="1899-12-30T13:00:00"/>
    <d v="2024-08-22T00:00:00"/>
    <d v="1899-12-30T13:25:00"/>
    <n v="25"/>
    <s v="Medium"/>
    <s v="Non-Veg"/>
    <n v="3"/>
    <x v="5"/>
    <x v="2"/>
    <s v="UPI"/>
    <x v="1"/>
    <x v="0"/>
    <n v="7.1428571428571432"/>
    <n v="0.8571428571428571"/>
    <x v="5"/>
    <s v="Online"/>
    <n v="8.4"/>
    <n v="16.600000000000001"/>
    <x v="0"/>
    <n v="6"/>
    <n v="1"/>
    <x v="4"/>
    <n v="30.286458333333329"/>
    <n v="0"/>
  </r>
  <r>
    <s v="ORD239"/>
    <x v="0"/>
    <s v="Denver, CO"/>
    <d v="2024-08-23T00:00:00"/>
    <d v="1899-12-30T18:30:00"/>
    <d v="2024-08-23T00:00:00"/>
    <d v="1899-12-30T18:50:00"/>
    <n v="20"/>
    <s v="Large"/>
    <s v="Veg"/>
    <n v="4"/>
    <x v="3"/>
    <x v="0"/>
    <s v="Cash"/>
    <x v="0"/>
    <x v="0"/>
    <n v="4.4444444444444446"/>
    <n v="0.88888888888888884"/>
    <x v="5"/>
    <s v="Offline"/>
    <n v="10.8"/>
    <n v="9.2000000000000011"/>
    <x v="0"/>
    <n v="12"/>
    <n v="2"/>
    <x v="0"/>
    <n v="30.259433962264151"/>
    <n v="0"/>
  </r>
  <r>
    <s v="ORD240"/>
    <x v="1"/>
    <s v="Boston, MA"/>
    <d v="2024-08-24T00:00:00"/>
    <d v="1899-12-30T20:15:00"/>
    <d v="2024-08-24T00:00:00"/>
    <d v="1899-12-30T20:40:00"/>
    <n v="25"/>
    <s v="Small"/>
    <s v="Vegan"/>
    <n v="2"/>
    <x v="4"/>
    <x v="1"/>
    <s v="Wallet"/>
    <x v="0"/>
    <x v="1"/>
    <n v="12.5"/>
    <n v="1"/>
    <x v="5"/>
    <s v="Online"/>
    <n v="4.8"/>
    <n v="20.2"/>
    <x v="0"/>
    <n v="2"/>
    <n v="3"/>
    <x v="1"/>
    <n v="28.186274509803919"/>
    <n v="0"/>
  </r>
  <r>
    <s v="ORD241"/>
    <x v="2"/>
    <s v="Dallas, TX"/>
    <d v="2024-08-25T00:00:00"/>
    <d v="1899-12-30T18:30:00"/>
    <d v="2024-08-25T00:00:00"/>
    <d v="1899-12-30T18:50:00"/>
    <n v="20"/>
    <s v="Medium"/>
    <s v="Non-Veg"/>
    <n v="3"/>
    <x v="2"/>
    <x v="1"/>
    <s v="UPI"/>
    <x v="0"/>
    <x v="1"/>
    <n v="6.666666666666667"/>
    <n v="1"/>
    <x v="5"/>
    <s v="Online"/>
    <n v="7.1999999999999993"/>
    <n v="12.8"/>
    <x v="0"/>
    <n v="6"/>
    <n v="3"/>
    <x v="0"/>
    <n v="28.844221105527641"/>
    <n v="0"/>
  </r>
  <r>
    <s v="ORD242"/>
    <x v="3"/>
    <s v="Los Angeles, CA"/>
    <d v="2024-08-26T00:00:00"/>
    <d v="1899-12-30T19:45:00"/>
    <d v="2024-08-26T00:00:00"/>
    <d v="1899-12-30T20:10:00"/>
    <n v="25"/>
    <s v="XL"/>
    <s v="Cheese Burst"/>
    <n v="5"/>
    <x v="3"/>
    <x v="2"/>
    <s v="Cash"/>
    <x v="0"/>
    <x v="0"/>
    <n v="5.5555555555555554"/>
    <n v="1.1111111111111109"/>
    <x v="5"/>
    <s v="Offline"/>
    <n v="10.8"/>
    <n v="14.2"/>
    <x v="0"/>
    <n v="20"/>
    <n v="1"/>
    <x v="3"/>
    <n v="29.948453608247419"/>
    <n v="0"/>
  </r>
  <r>
    <s v="ORD243"/>
    <x v="4"/>
    <s v="Chicago, IL"/>
    <d v="2024-08-27T00:00:00"/>
    <d v="1899-12-30T13:00:00"/>
    <d v="2024-08-27T00:00:00"/>
    <d v="1899-12-30T13:20:00"/>
    <n v="20"/>
    <s v="Medium"/>
    <s v="Non-Veg"/>
    <n v="3"/>
    <x v="5"/>
    <x v="0"/>
    <s v="Wallet"/>
    <x v="1"/>
    <x v="0"/>
    <n v="5.7142857142857144"/>
    <n v="0.8571428571428571"/>
    <x v="5"/>
    <s v="Online"/>
    <n v="8.4"/>
    <n v="11.6"/>
    <x v="0"/>
    <n v="6"/>
    <n v="2"/>
    <x v="4"/>
    <n v="30.286458333333329"/>
    <n v="0"/>
  </r>
  <r>
    <s v="ORD244"/>
    <x v="0"/>
    <s v="Miami, FL"/>
    <d v="2024-08-28T00:00:00"/>
    <d v="1899-12-30T18:30:00"/>
    <d v="2024-08-28T00:00:00"/>
    <d v="1899-12-30T18:55:00"/>
    <n v="25"/>
    <s v="Large"/>
    <s v="Veg"/>
    <n v="4"/>
    <x v="1"/>
    <x v="1"/>
    <s v="Card"/>
    <x v="0"/>
    <x v="0"/>
    <n v="5"/>
    <n v="0.8"/>
    <x v="5"/>
    <s v="Online"/>
    <n v="12"/>
    <n v="13"/>
    <x v="0"/>
    <n v="12"/>
    <n v="3"/>
    <x v="0"/>
    <n v="30.259433962264151"/>
    <n v="0"/>
  </r>
  <r>
    <s v="ORD245"/>
    <x v="1"/>
    <s v="Denver, CO"/>
    <d v="2024-08-29T00:00:00"/>
    <d v="1899-12-30T20:15:00"/>
    <d v="2024-08-29T00:00:00"/>
    <d v="1899-12-30T20:40:00"/>
    <n v="25"/>
    <s v="Small"/>
    <s v="Vegan"/>
    <n v="2"/>
    <x v="0"/>
    <x v="0"/>
    <s v="Cash"/>
    <x v="0"/>
    <x v="0"/>
    <n v="10"/>
    <n v="0.8"/>
    <x v="5"/>
    <s v="Offline"/>
    <n v="6"/>
    <n v="19"/>
    <x v="0"/>
    <n v="2"/>
    <n v="2"/>
    <x v="1"/>
    <n v="28.186274509803919"/>
    <n v="0"/>
  </r>
  <r>
    <s v="ORD246"/>
    <x v="2"/>
    <s v="Boston, MA"/>
    <d v="2024-08-30T00:00:00"/>
    <d v="1899-12-30T18:30:00"/>
    <d v="2024-08-30T00:00:00"/>
    <d v="1899-12-30T18:50:00"/>
    <n v="20"/>
    <s v="Medium"/>
    <s v="Non-Veg"/>
    <n v="3"/>
    <x v="5"/>
    <x v="2"/>
    <s v="Wallet"/>
    <x v="0"/>
    <x v="0"/>
    <n v="5.7142857142857144"/>
    <n v="0.8571428571428571"/>
    <x v="5"/>
    <s v="Online"/>
    <n v="8.4"/>
    <n v="11.6"/>
    <x v="0"/>
    <n v="6"/>
    <n v="1"/>
    <x v="0"/>
    <n v="28.844221105527641"/>
    <n v="0"/>
  </r>
  <r>
    <s v="ORD247"/>
    <x v="3"/>
    <s v="Dallas, TX"/>
    <d v="2024-08-31T00:00:00"/>
    <d v="1899-12-30T19:45:00"/>
    <d v="2024-08-31T00:00:00"/>
    <d v="1899-12-30T20:10:00"/>
    <n v="25"/>
    <s v="XL"/>
    <s v="Cheese Burst"/>
    <n v="5"/>
    <x v="6"/>
    <x v="1"/>
    <s v="Card"/>
    <x v="0"/>
    <x v="1"/>
    <n v="6.25"/>
    <n v="1.25"/>
    <x v="5"/>
    <s v="Online"/>
    <n v="9.6"/>
    <n v="15.4"/>
    <x v="0"/>
    <n v="20"/>
    <n v="3"/>
    <x v="3"/>
    <n v="29.948453608247419"/>
    <n v="0"/>
  </r>
  <r>
    <s v="ORD248"/>
    <x v="4"/>
    <s v="Seattle, WA"/>
    <d v="2024-09-01T00:00:00"/>
    <d v="1899-12-30T13:00:00"/>
    <d v="2024-09-01T00:00:00"/>
    <d v="1899-12-30T13:20:00"/>
    <n v="20"/>
    <s v="Medium"/>
    <s v="Non-Veg"/>
    <n v="3"/>
    <x v="5"/>
    <x v="2"/>
    <s v="UPI"/>
    <x v="1"/>
    <x v="1"/>
    <n v="5.7142857142857144"/>
    <n v="0.8571428571428571"/>
    <x v="8"/>
    <s v="Online"/>
    <n v="8.4"/>
    <n v="11.6"/>
    <x v="0"/>
    <n v="6"/>
    <n v="1"/>
    <x v="4"/>
    <n v="30.286458333333329"/>
    <n v="0"/>
  </r>
  <r>
    <s v="ORD249"/>
    <x v="0"/>
    <s v="Denver, CO"/>
    <d v="2024-09-02T00:00:00"/>
    <d v="1899-12-30T18:30:00"/>
    <d v="2024-09-02T00:00:00"/>
    <d v="1899-12-30T18:50:00"/>
    <n v="20"/>
    <s v="Large"/>
    <s v="Veg"/>
    <n v="4"/>
    <x v="3"/>
    <x v="0"/>
    <s v="Cash"/>
    <x v="0"/>
    <x v="0"/>
    <n v="4.4444444444444446"/>
    <n v="0.88888888888888884"/>
    <x v="8"/>
    <s v="Offline"/>
    <n v="10.8"/>
    <n v="9.2000000000000011"/>
    <x v="0"/>
    <n v="12"/>
    <n v="2"/>
    <x v="0"/>
    <n v="30.259433962264151"/>
    <n v="0"/>
  </r>
  <r>
    <s v="ORD250"/>
    <x v="1"/>
    <s v="Boston, MA"/>
    <d v="2024-09-03T00:00:00"/>
    <d v="1899-12-30T20:15:00"/>
    <d v="2024-09-03T00:00:00"/>
    <d v="1899-12-30T20:40:00"/>
    <n v="25"/>
    <s v="Small"/>
    <s v="Vegan"/>
    <n v="2"/>
    <x v="4"/>
    <x v="1"/>
    <s v="Wallet"/>
    <x v="0"/>
    <x v="0"/>
    <n v="12.5"/>
    <n v="1"/>
    <x v="8"/>
    <s v="Online"/>
    <n v="4.8"/>
    <n v="20.2"/>
    <x v="0"/>
    <n v="2"/>
    <n v="3"/>
    <x v="1"/>
    <n v="28.186274509803919"/>
    <n v="0"/>
  </r>
  <r>
    <s v="ORD251"/>
    <x v="2"/>
    <s v="Dallas, TX"/>
    <d v="2024-09-04T00:00:00"/>
    <d v="1899-12-30T18:30:00"/>
    <d v="2024-09-04T00:00:00"/>
    <d v="1899-12-30T18:50:00"/>
    <n v="20"/>
    <s v="Medium"/>
    <s v="Non-Veg"/>
    <n v="3"/>
    <x v="2"/>
    <x v="1"/>
    <s v="UPI"/>
    <x v="0"/>
    <x v="0"/>
    <n v="6.666666666666667"/>
    <n v="1"/>
    <x v="8"/>
    <s v="Online"/>
    <n v="7.1999999999999993"/>
    <n v="12.8"/>
    <x v="0"/>
    <n v="6"/>
    <n v="3"/>
    <x v="0"/>
    <n v="28.844221105527641"/>
    <n v="0"/>
  </r>
  <r>
    <s v="ORD252"/>
    <x v="3"/>
    <s v="Los Angeles, CA"/>
    <d v="2024-09-05T00:00:00"/>
    <d v="1899-12-30T19:45:00"/>
    <d v="2024-09-05T00:00:00"/>
    <d v="1899-12-30T20:10:00"/>
    <n v="25"/>
    <s v="XL"/>
    <s v="Cheese Burst"/>
    <n v="5"/>
    <x v="3"/>
    <x v="2"/>
    <s v="Cash"/>
    <x v="0"/>
    <x v="0"/>
    <n v="5.5555555555555554"/>
    <n v="1.1111111111111109"/>
    <x v="8"/>
    <s v="Offline"/>
    <n v="10.8"/>
    <n v="14.2"/>
    <x v="0"/>
    <n v="20"/>
    <n v="1"/>
    <x v="3"/>
    <n v="29.948453608247419"/>
    <n v="0"/>
  </r>
  <r>
    <s v="ORD253"/>
    <x v="4"/>
    <s v="Chicago, IL"/>
    <d v="2024-09-06T00:00:00"/>
    <d v="1899-12-30T13:00:00"/>
    <d v="2024-09-06T00:00:00"/>
    <d v="1899-12-30T13:20:00"/>
    <n v="20"/>
    <s v="Medium"/>
    <s v="Non-Veg"/>
    <n v="3"/>
    <x v="5"/>
    <x v="0"/>
    <s v="Wallet"/>
    <x v="1"/>
    <x v="0"/>
    <n v="5.7142857142857144"/>
    <n v="0.8571428571428571"/>
    <x v="8"/>
    <s v="Online"/>
    <n v="8.4"/>
    <n v="11.6"/>
    <x v="0"/>
    <n v="6"/>
    <n v="2"/>
    <x v="4"/>
    <n v="30.286458333333329"/>
    <n v="0"/>
  </r>
  <r>
    <s v="ORD254"/>
    <x v="0"/>
    <s v="Miami, FL"/>
    <d v="2024-09-07T00:00:00"/>
    <d v="1899-12-30T18:30:00"/>
    <d v="2024-09-07T00:00:00"/>
    <d v="1899-12-30T18:55:00"/>
    <n v="25"/>
    <s v="Large"/>
    <s v="Veg"/>
    <n v="4"/>
    <x v="1"/>
    <x v="1"/>
    <s v="Card"/>
    <x v="0"/>
    <x v="1"/>
    <n v="5"/>
    <n v="0.8"/>
    <x v="8"/>
    <s v="Online"/>
    <n v="12"/>
    <n v="13"/>
    <x v="0"/>
    <n v="12"/>
    <n v="3"/>
    <x v="0"/>
    <n v="30.259433962264151"/>
    <n v="0"/>
  </r>
  <r>
    <s v="ORD255"/>
    <x v="1"/>
    <s v="Denver, CO"/>
    <d v="2024-09-08T00:00:00"/>
    <d v="1899-12-30T20:15:00"/>
    <d v="2024-09-08T00:00:00"/>
    <d v="1899-12-30T20:40:00"/>
    <n v="25"/>
    <s v="Small"/>
    <s v="Vegan"/>
    <n v="2"/>
    <x v="0"/>
    <x v="0"/>
    <s v="Cash"/>
    <x v="0"/>
    <x v="1"/>
    <n v="10"/>
    <n v="0.8"/>
    <x v="8"/>
    <s v="Offline"/>
    <n v="6"/>
    <n v="19"/>
    <x v="0"/>
    <n v="2"/>
    <n v="2"/>
    <x v="1"/>
    <n v="28.186274509803919"/>
    <n v="0"/>
  </r>
  <r>
    <s v="ORD256"/>
    <x v="2"/>
    <s v="Boston, MA"/>
    <d v="2024-09-09T00:00:00"/>
    <d v="1899-12-30T18:30:00"/>
    <d v="2024-09-09T00:00:00"/>
    <d v="1899-12-30T18:50:00"/>
    <n v="20"/>
    <s v="Medium"/>
    <s v="Non-Veg"/>
    <n v="3"/>
    <x v="5"/>
    <x v="2"/>
    <s v="Wallet"/>
    <x v="0"/>
    <x v="0"/>
    <n v="5.7142857142857144"/>
    <n v="0.8571428571428571"/>
    <x v="8"/>
    <s v="Online"/>
    <n v="8.4"/>
    <n v="11.6"/>
    <x v="0"/>
    <n v="6"/>
    <n v="1"/>
    <x v="0"/>
    <n v="28.844221105527641"/>
    <n v="0"/>
  </r>
  <r>
    <s v="ORD257"/>
    <x v="0"/>
    <s v="San Francisco, CA"/>
    <d v="2024-09-10T00:00:00"/>
    <d v="1899-12-30T18:00:00"/>
    <d v="2024-09-10T00:00:00"/>
    <d v="1899-12-30T18:25:00"/>
    <n v="25"/>
    <s v="Large"/>
    <s v="Veg"/>
    <n v="3"/>
    <x v="1"/>
    <x v="1"/>
    <s v="Cash"/>
    <x v="0"/>
    <x v="0"/>
    <n v="5"/>
    <n v="0.6"/>
    <x v="8"/>
    <s v="Offline"/>
    <n v="12"/>
    <n v="13"/>
    <x v="0"/>
    <n v="9"/>
    <n v="3"/>
    <x v="0"/>
    <n v="30.259433962264151"/>
    <n v="0"/>
  </r>
  <r>
    <s v="ORD258"/>
    <x v="0"/>
    <s v="Austin, TX"/>
    <d v="2024-09-11T00:00:00"/>
    <d v="1899-12-30T19:15:00"/>
    <d v="2024-09-11T00:00:00"/>
    <d v="1899-12-30T19:35:00"/>
    <n v="20"/>
    <s v="Medium"/>
    <s v="Non-Veg"/>
    <n v="2"/>
    <x v="5"/>
    <x v="0"/>
    <s v="Card"/>
    <x v="0"/>
    <x v="0"/>
    <n v="5.7142857142857144"/>
    <n v="0.5714285714285714"/>
    <x v="8"/>
    <s v="Online"/>
    <n v="8.4"/>
    <n v="11.6"/>
    <x v="0"/>
    <n v="4"/>
    <n v="2"/>
    <x v="3"/>
    <n v="30.259433962264151"/>
    <n v="0"/>
  </r>
  <r>
    <s v="ORD259"/>
    <x v="0"/>
    <s v="Seattle, WA"/>
    <d v="2024-09-12T00:00:00"/>
    <d v="1899-12-30T20:30:00"/>
    <d v="2024-09-12T00:00:00"/>
    <d v="1899-12-30T20:50:00"/>
    <n v="20"/>
    <s v="Small"/>
    <s v="Vegan"/>
    <n v="1"/>
    <x v="0"/>
    <x v="2"/>
    <s v="Wallet"/>
    <x v="0"/>
    <x v="0"/>
    <n v="8"/>
    <n v="0.4"/>
    <x v="8"/>
    <s v="Online"/>
    <n v="6"/>
    <n v="14"/>
    <x v="0"/>
    <n v="1"/>
    <n v="1"/>
    <x v="1"/>
    <n v="30.259433962264151"/>
    <n v="0"/>
  </r>
  <r>
    <s v="ORD260"/>
    <x v="0"/>
    <s v="Chicago, IL"/>
    <d v="2024-09-13T00:00:00"/>
    <d v="1899-12-30T18:45:00"/>
    <d v="2024-09-13T00:00:00"/>
    <d v="1899-12-30T19:10:00"/>
    <n v="25"/>
    <s v="XL"/>
    <s v="Cheese Burst"/>
    <n v="5"/>
    <x v="3"/>
    <x v="1"/>
    <s v="UPI"/>
    <x v="0"/>
    <x v="0"/>
    <n v="5.5555555555555554"/>
    <n v="1.1111111111111109"/>
    <x v="8"/>
    <s v="Online"/>
    <n v="10.8"/>
    <n v="14.2"/>
    <x v="0"/>
    <n v="20"/>
    <n v="3"/>
    <x v="0"/>
    <n v="30.259433962264151"/>
    <n v="0"/>
  </r>
  <r>
    <s v="ORD261"/>
    <x v="0"/>
    <s v="Miami, FL"/>
    <d v="2024-09-14T00:00:00"/>
    <d v="1899-12-30T19:00:00"/>
    <d v="2024-09-14T00:00:00"/>
    <d v="1899-12-30T19:20:00"/>
    <n v="20"/>
    <s v="Medium"/>
    <s v="Non-Veg"/>
    <n v="3"/>
    <x v="2"/>
    <x v="0"/>
    <s v="Cash"/>
    <x v="0"/>
    <x v="1"/>
    <n v="6.666666666666667"/>
    <n v="1"/>
    <x v="8"/>
    <s v="Offline"/>
    <n v="7.1999999999999993"/>
    <n v="12.8"/>
    <x v="0"/>
    <n v="6"/>
    <n v="2"/>
    <x v="3"/>
    <n v="30.259433962264151"/>
    <n v="0"/>
  </r>
  <r>
    <s v="ORD262"/>
    <x v="0"/>
    <s v="Denver, CO"/>
    <d v="2024-09-15T00:00:00"/>
    <d v="1899-12-30T20:00:00"/>
    <d v="2024-09-15T00:00:00"/>
    <d v="1899-12-30T20:25:00"/>
    <n v="25"/>
    <s v="Large"/>
    <s v="Veg"/>
    <n v="4"/>
    <x v="1"/>
    <x v="1"/>
    <s v="Card"/>
    <x v="0"/>
    <x v="1"/>
    <n v="5"/>
    <n v="0.8"/>
    <x v="8"/>
    <s v="Online"/>
    <n v="12"/>
    <n v="13"/>
    <x v="0"/>
    <n v="12"/>
    <n v="3"/>
    <x v="1"/>
    <n v="30.259433962264151"/>
    <n v="0"/>
  </r>
  <r>
    <s v="ORD263"/>
    <x v="0"/>
    <s v="Boston, MA"/>
    <d v="2024-09-16T00:00:00"/>
    <d v="1899-12-30T18:30:00"/>
    <d v="2024-09-16T00:00:00"/>
    <d v="1899-12-30T18:50:00"/>
    <n v="20"/>
    <s v="Small"/>
    <s v="Vegan"/>
    <n v="2"/>
    <x v="4"/>
    <x v="2"/>
    <s v="Wallet"/>
    <x v="0"/>
    <x v="0"/>
    <n v="10"/>
    <n v="1"/>
    <x v="8"/>
    <s v="Online"/>
    <n v="4.8"/>
    <n v="15.2"/>
    <x v="0"/>
    <n v="2"/>
    <n v="1"/>
    <x v="0"/>
    <n v="30.259433962264151"/>
    <n v="0"/>
  </r>
  <r>
    <s v="ORD264"/>
    <x v="0"/>
    <s v="Dallas, TX"/>
    <d v="2024-09-17T00:00:00"/>
    <d v="1899-12-30T19:45:00"/>
    <d v="2024-09-17T00:00:00"/>
    <d v="1899-12-30T20:10:00"/>
    <n v="25"/>
    <s v="XL"/>
    <s v="Cheese Burst"/>
    <n v="5"/>
    <x v="3"/>
    <x v="0"/>
    <s v="UPI"/>
    <x v="0"/>
    <x v="0"/>
    <n v="5.5555555555555554"/>
    <n v="1.1111111111111109"/>
    <x v="8"/>
    <s v="Online"/>
    <n v="10.8"/>
    <n v="14.2"/>
    <x v="0"/>
    <n v="20"/>
    <n v="2"/>
    <x v="3"/>
    <n v="30.259433962264151"/>
    <n v="0"/>
  </r>
  <r>
    <s v="ORD265"/>
    <x v="0"/>
    <s v="Los Angeles, CA"/>
    <d v="2024-09-18T00:00:00"/>
    <d v="1899-12-30T18:00:00"/>
    <d v="2024-09-18T00:00:00"/>
    <d v="1899-12-30T18:20:00"/>
    <n v="20"/>
    <s v="Medium"/>
    <s v="Non-Veg"/>
    <n v="3"/>
    <x v="5"/>
    <x v="1"/>
    <s v="Cash"/>
    <x v="0"/>
    <x v="0"/>
    <n v="5.7142857142857144"/>
    <n v="0.8571428571428571"/>
    <x v="8"/>
    <s v="Offline"/>
    <n v="8.4"/>
    <n v="11.6"/>
    <x v="0"/>
    <n v="6"/>
    <n v="3"/>
    <x v="0"/>
    <n v="30.259433962264151"/>
    <n v="0"/>
  </r>
  <r>
    <s v="ORD266"/>
    <x v="0"/>
    <s v="New York, NY"/>
    <d v="2024-09-19T00:00:00"/>
    <d v="1899-12-30T20:15:00"/>
    <d v="2024-09-19T00:00:00"/>
    <d v="1899-12-30T20:40:00"/>
    <n v="25"/>
    <s v="Large"/>
    <s v="Veg"/>
    <n v="4"/>
    <x v="1"/>
    <x v="1"/>
    <s v="Card"/>
    <x v="0"/>
    <x v="0"/>
    <n v="5"/>
    <n v="0.8"/>
    <x v="8"/>
    <s v="Online"/>
    <n v="12"/>
    <n v="13"/>
    <x v="0"/>
    <n v="12"/>
    <n v="3"/>
    <x v="1"/>
    <n v="30.259433962264151"/>
    <n v="0"/>
  </r>
  <r>
    <s v="ORD267"/>
    <x v="0"/>
    <s v="San Jose, CA"/>
    <d v="2024-09-10T00:00:00"/>
    <d v="1899-12-30T18:00:00"/>
    <d v="2024-09-10T00:00:00"/>
    <d v="1899-12-30T18:20:00"/>
    <n v="20"/>
    <s v="Medium"/>
    <s v="Veg"/>
    <n v="2"/>
    <x v="2"/>
    <x v="2"/>
    <s v="Cash"/>
    <x v="0"/>
    <x v="0"/>
    <n v="6.666666666666667"/>
    <n v="0.66666666666666663"/>
    <x v="8"/>
    <s v="Offline"/>
    <n v="7.1999999999999993"/>
    <n v="12.8"/>
    <x v="0"/>
    <n v="4"/>
    <n v="1"/>
    <x v="0"/>
    <n v="30.259433962264151"/>
    <n v="0"/>
  </r>
  <r>
    <s v="ORD268"/>
    <x v="1"/>
    <s v="Austin, TX"/>
    <d v="2024-09-11T00:00:00"/>
    <d v="1899-12-30T19:15:00"/>
    <d v="2024-09-11T00:00:00"/>
    <d v="1899-12-30T19:45:00"/>
    <n v="30"/>
    <s v="Large"/>
    <s v="Non-Veg"/>
    <n v="4"/>
    <x v="7"/>
    <x v="0"/>
    <s v="Card"/>
    <x v="0"/>
    <x v="0"/>
    <n v="5"/>
    <n v="0.66666666666666663"/>
    <x v="8"/>
    <s v="Online"/>
    <n v="14.4"/>
    <n v="15.6"/>
    <x v="0"/>
    <n v="12"/>
    <n v="2"/>
    <x v="3"/>
    <n v="28.186274509803919"/>
    <n v="0"/>
  </r>
  <r>
    <s v="ORD269"/>
    <x v="3"/>
    <s v="Seattle, WA"/>
    <d v="2024-09-12T00:00:00"/>
    <d v="1899-12-30T20:30:00"/>
    <d v="2024-09-12T00:00:00"/>
    <d v="1899-12-30T21:10:00"/>
    <n v="40"/>
    <s v="XL"/>
    <s v="Cheese Burst"/>
    <n v="5"/>
    <x v="8"/>
    <x v="1"/>
    <s v="Wallet"/>
    <x v="0"/>
    <x v="0"/>
    <n v="5"/>
    <n v="0.625"/>
    <x v="8"/>
    <s v="Online"/>
    <n v="19.2"/>
    <n v="20.8"/>
    <x v="1"/>
    <n v="20"/>
    <n v="3"/>
    <x v="1"/>
    <n v="29.948453608247419"/>
    <n v="1"/>
  </r>
  <r>
    <s v="ORD270"/>
    <x v="2"/>
    <s v="Chicago, IL"/>
    <d v="2024-09-13T00:00:00"/>
    <d v="1899-12-30T18:45:00"/>
    <d v="2024-09-13T00:00:00"/>
    <d v="1899-12-30T19:05:00"/>
    <n v="20"/>
    <s v="Small"/>
    <s v="Vegan"/>
    <n v="1"/>
    <x v="0"/>
    <x v="2"/>
    <s v="UPI"/>
    <x v="0"/>
    <x v="0"/>
    <n v="8"/>
    <n v="0.4"/>
    <x v="8"/>
    <s v="Online"/>
    <n v="6"/>
    <n v="14"/>
    <x v="0"/>
    <n v="1"/>
    <n v="1"/>
    <x v="0"/>
    <n v="28.844221105527641"/>
    <n v="0"/>
  </r>
  <r>
    <s v="ORD271"/>
    <x v="4"/>
    <s v="Miami, FL"/>
    <d v="2024-09-14T00:00:00"/>
    <d v="1899-12-30T19:00:00"/>
    <d v="2024-09-14T00:00:00"/>
    <d v="1899-12-30T19:50:00"/>
    <n v="50"/>
    <s v="Large"/>
    <s v="Non-Veg"/>
    <n v="4"/>
    <x v="9"/>
    <x v="1"/>
    <s v="Cash"/>
    <x v="0"/>
    <x v="1"/>
    <n v="5"/>
    <n v="0.4"/>
    <x v="8"/>
    <s v="Offline"/>
    <n v="24"/>
    <n v="26"/>
    <x v="1"/>
    <n v="12"/>
    <n v="3"/>
    <x v="3"/>
    <n v="30.286458333333329"/>
    <n v="1"/>
  </r>
  <r>
    <s v="ORD272"/>
    <x v="0"/>
    <s v="Denver, CO"/>
    <d v="2024-09-15T00:00:00"/>
    <d v="1899-12-30T20:00:00"/>
    <d v="2024-09-15T00:00:00"/>
    <d v="1899-12-30T20:35:00"/>
    <n v="35"/>
    <s v="Medium"/>
    <s v="Veg"/>
    <n v="3"/>
    <x v="10"/>
    <x v="0"/>
    <s v="Card"/>
    <x v="0"/>
    <x v="1"/>
    <n v="6.3636363636363633"/>
    <n v="0.54545454545454541"/>
    <x v="8"/>
    <s v="Online"/>
    <n v="13.2"/>
    <n v="21.8"/>
    <x v="1"/>
    <n v="6"/>
    <n v="2"/>
    <x v="1"/>
    <n v="30.259433962264151"/>
    <n v="1"/>
  </r>
  <r>
    <s v="ORD273"/>
    <x v="1"/>
    <s v="Boston, MA"/>
    <d v="2024-09-16T00:00:00"/>
    <d v="1899-12-30T18:30:00"/>
    <d v="2024-09-16T00:00:00"/>
    <d v="1899-12-30T18:50:00"/>
    <n v="20"/>
    <s v="Small"/>
    <s v="Vegan"/>
    <n v="2"/>
    <x v="4"/>
    <x v="2"/>
    <s v="Wallet"/>
    <x v="0"/>
    <x v="0"/>
    <n v="10"/>
    <n v="1"/>
    <x v="8"/>
    <s v="Online"/>
    <n v="4.8"/>
    <n v="15.2"/>
    <x v="0"/>
    <n v="2"/>
    <n v="1"/>
    <x v="0"/>
    <n v="28.186274509803919"/>
    <n v="0"/>
  </r>
  <r>
    <s v="ORD274"/>
    <x v="3"/>
    <s v="Dallas, TX"/>
    <d v="2024-09-17T00:00:00"/>
    <d v="1899-12-30T19:45:00"/>
    <d v="2024-09-17T00:00:00"/>
    <d v="1899-12-30T20:25:00"/>
    <n v="40"/>
    <s v="XL"/>
    <s v="Cheese Burst"/>
    <n v="5"/>
    <x v="11"/>
    <x v="1"/>
    <s v="UPI"/>
    <x v="0"/>
    <x v="0"/>
    <n v="5.333333333333333"/>
    <n v="0.66666666666666663"/>
    <x v="8"/>
    <s v="Online"/>
    <n v="18"/>
    <n v="22"/>
    <x v="1"/>
    <n v="20"/>
    <n v="3"/>
    <x v="3"/>
    <n v="29.948453608247419"/>
    <n v="1"/>
  </r>
  <r>
    <s v="ORD275"/>
    <x v="2"/>
    <s v="Los Angeles, CA"/>
    <d v="2024-09-18T00:00:00"/>
    <d v="1899-12-30T18:00:00"/>
    <d v="2024-09-18T00:00:00"/>
    <d v="1899-12-30T18:30:00"/>
    <n v="30"/>
    <s v="Medium"/>
    <s v="Non-Veg"/>
    <n v="3"/>
    <x v="6"/>
    <x v="0"/>
    <s v="Cash"/>
    <x v="0"/>
    <x v="0"/>
    <n v="7.5"/>
    <n v="0.75"/>
    <x v="8"/>
    <s v="Offline"/>
    <n v="9.6"/>
    <n v="20.399999999999999"/>
    <x v="0"/>
    <n v="6"/>
    <n v="2"/>
    <x v="0"/>
    <n v="28.844221105527641"/>
    <n v="0"/>
  </r>
  <r>
    <s v="ORD276"/>
    <x v="4"/>
    <s v="New York, NY"/>
    <d v="2024-09-19T00:00:00"/>
    <d v="1899-12-30T20:15:00"/>
    <d v="2024-09-19T00:00:00"/>
    <d v="1899-12-30T21:00:00"/>
    <n v="45"/>
    <s v="Large"/>
    <s v="Veg"/>
    <n v="4"/>
    <x v="12"/>
    <x v="1"/>
    <s v="Card"/>
    <x v="0"/>
    <x v="0"/>
    <n v="5"/>
    <n v="0.44444444444444442"/>
    <x v="8"/>
    <s v="Online"/>
    <n v="21.6"/>
    <n v="23.4"/>
    <x v="1"/>
    <n v="12"/>
    <n v="3"/>
    <x v="1"/>
    <n v="30.286458333333329"/>
    <n v="1"/>
  </r>
  <r>
    <s v="ORD278"/>
    <x v="0"/>
    <s v="New York, NY"/>
    <d v="2024-09-15T00:00:00"/>
    <d v="1899-12-30T18:45:00"/>
    <d v="2024-09-15T00:00:00"/>
    <d v="1899-12-30T19:10:00"/>
    <n v="25"/>
    <s v="Large"/>
    <s v="Veg"/>
    <n v="3"/>
    <x v="1"/>
    <x v="1"/>
    <s v="Domino's Cash"/>
    <x v="0"/>
    <x v="1"/>
    <n v="5"/>
    <n v="0.6"/>
    <x v="8"/>
    <s v="Offline"/>
    <n v="12"/>
    <n v="13"/>
    <x v="0"/>
    <n v="9"/>
    <n v="3"/>
    <x v="0"/>
    <n v="30.259433962264151"/>
    <n v="0"/>
  </r>
  <r>
    <s v="ORD279"/>
    <x v="3"/>
    <s v="Los Angeles, CA"/>
    <d v="2024-09-16T00:00:00"/>
    <d v="1899-12-30T20:00:00"/>
    <d v="2024-09-16T00:00:00"/>
    <d v="1899-12-30T20:30:00"/>
    <n v="30"/>
    <s v="XL"/>
    <s v="Cheese Burst"/>
    <n v="5"/>
    <x v="14"/>
    <x v="0"/>
    <s v="Card"/>
    <x v="0"/>
    <x v="0"/>
    <n v="4.615384615384615"/>
    <n v="0.76923076923076927"/>
    <x v="8"/>
    <s v="Online"/>
    <n v="15.6"/>
    <n v="14.4"/>
    <x v="0"/>
    <n v="20"/>
    <n v="2"/>
    <x v="1"/>
    <n v="29.948453608247419"/>
    <n v="0"/>
  </r>
  <r>
    <s v="ORD280"/>
    <x v="1"/>
    <s v="Chicago, IL"/>
    <d v="2024-09-17T00:00:00"/>
    <d v="1899-12-30T19:15:00"/>
    <d v="2024-09-17T00:00:00"/>
    <d v="1899-12-30T19:35:00"/>
    <n v="20"/>
    <s v="Medium"/>
    <s v="Non-Veg"/>
    <n v="4"/>
    <x v="6"/>
    <x v="2"/>
    <s v="UPI"/>
    <x v="0"/>
    <x v="0"/>
    <n v="5"/>
    <n v="1"/>
    <x v="8"/>
    <s v="Online"/>
    <n v="9.6"/>
    <n v="10.4"/>
    <x v="0"/>
    <n v="8"/>
    <n v="1"/>
    <x v="3"/>
    <n v="28.186274509803919"/>
    <n v="0"/>
  </r>
  <r>
    <s v="ORD281"/>
    <x v="2"/>
    <s v="Houston, TX"/>
    <d v="2024-09-18T00:00:00"/>
    <d v="1899-12-30T18:30:00"/>
    <d v="2024-09-18T00:00:00"/>
    <d v="1899-12-30T19:05:00"/>
    <n v="35"/>
    <s v="Small"/>
    <s v="Vegan"/>
    <n v="2"/>
    <x v="11"/>
    <x v="1"/>
    <s v="Wallet"/>
    <x v="0"/>
    <x v="0"/>
    <n v="4.666666666666667"/>
    <n v="0.26666666666666672"/>
    <x v="8"/>
    <s v="Online"/>
    <n v="18"/>
    <n v="17"/>
    <x v="1"/>
    <n v="2"/>
    <n v="3"/>
    <x v="0"/>
    <n v="28.844221105527641"/>
    <n v="1"/>
  </r>
  <r>
    <s v="ORD282"/>
    <x v="4"/>
    <s v="Phoenix, AZ"/>
    <d v="2024-09-19T00:00:00"/>
    <d v="1899-12-30T13:00:00"/>
    <d v="2024-09-19T00:00:00"/>
    <d v="1899-12-30T13:20:00"/>
    <n v="20"/>
    <s v="Medium"/>
    <s v="Non-Veg"/>
    <n v="3"/>
    <x v="5"/>
    <x v="2"/>
    <s v="Card"/>
    <x v="1"/>
    <x v="0"/>
    <n v="5.7142857142857144"/>
    <n v="0.8571428571428571"/>
    <x v="8"/>
    <s v="Online"/>
    <n v="8.4"/>
    <n v="11.6"/>
    <x v="0"/>
    <n v="6"/>
    <n v="1"/>
    <x v="4"/>
    <n v="30.286458333333329"/>
    <n v="0"/>
  </r>
  <r>
    <s v="ORD283"/>
    <x v="0"/>
    <s v="Miami, FL"/>
    <d v="2024-09-20T00:00:00"/>
    <d v="1899-12-30T18:45:00"/>
    <d v="2024-09-20T00:00:00"/>
    <d v="1899-12-30T19:15:00"/>
    <n v="30"/>
    <s v="Large"/>
    <s v="Veg"/>
    <n v="4"/>
    <x v="7"/>
    <x v="0"/>
    <s v="Domino's Cash"/>
    <x v="0"/>
    <x v="0"/>
    <n v="5"/>
    <n v="0.66666666666666663"/>
    <x v="8"/>
    <s v="Offline"/>
    <n v="14.4"/>
    <n v="15.6"/>
    <x v="0"/>
    <n v="12"/>
    <n v="2"/>
    <x v="0"/>
    <n v="30.259433962264151"/>
    <n v="0"/>
  </r>
  <r>
    <s v="ORD284"/>
    <x v="3"/>
    <s v="Denver, CO"/>
    <d v="2024-09-21T00:00:00"/>
    <d v="1899-12-30T20:15:00"/>
    <d v="2024-09-21T00:00:00"/>
    <d v="1899-12-30T20:40:00"/>
    <n v="25"/>
    <s v="XL"/>
    <s v="Cheese Burst"/>
    <n v="5"/>
    <x v="1"/>
    <x v="2"/>
    <s v="UPI"/>
    <x v="0"/>
    <x v="1"/>
    <n v="5"/>
    <n v="1"/>
    <x v="8"/>
    <s v="Online"/>
    <n v="12"/>
    <n v="13"/>
    <x v="0"/>
    <n v="20"/>
    <n v="1"/>
    <x v="1"/>
    <n v="29.948453608247419"/>
    <n v="0"/>
  </r>
  <r>
    <s v="ORD285"/>
    <x v="1"/>
    <s v="Boston, MA"/>
    <d v="2024-09-22T00:00:00"/>
    <d v="1899-12-30T19:30:00"/>
    <d v="2024-09-22T00:00:00"/>
    <d v="1899-12-30T19:55:00"/>
    <n v="25"/>
    <s v="Small"/>
    <s v="Vegan"/>
    <n v="2"/>
    <x v="6"/>
    <x v="1"/>
    <s v="Wallet"/>
    <x v="0"/>
    <x v="1"/>
    <n v="6.25"/>
    <n v="0.5"/>
    <x v="8"/>
    <s v="Online"/>
    <n v="9.6"/>
    <n v="15.4"/>
    <x v="0"/>
    <n v="2"/>
    <n v="3"/>
    <x v="3"/>
    <n v="28.186274509803919"/>
    <n v="0"/>
  </r>
  <r>
    <s v="ORD286"/>
    <x v="2"/>
    <s v="Dallas, TX"/>
    <d v="2024-09-23T00:00:00"/>
    <d v="1899-12-30T18:00:00"/>
    <d v="2024-09-23T00:00:00"/>
    <d v="1899-12-30T18:20:00"/>
    <n v="20"/>
    <s v="Medium"/>
    <s v="Non-Veg"/>
    <n v="3"/>
    <x v="2"/>
    <x v="0"/>
    <s v="Card"/>
    <x v="0"/>
    <x v="0"/>
    <n v="6.666666666666667"/>
    <n v="1"/>
    <x v="8"/>
    <s v="Online"/>
    <n v="7.1999999999999993"/>
    <n v="12.8"/>
    <x v="0"/>
    <n v="6"/>
    <n v="2"/>
    <x v="0"/>
    <n v="28.844221105527641"/>
    <n v="0"/>
  </r>
  <r>
    <s v="ORD287"/>
    <x v="4"/>
    <s v="Seattle, WA"/>
    <d v="2024-09-24T00:00:00"/>
    <d v="1899-12-30T13:15:00"/>
    <d v="2024-09-24T00:00:00"/>
    <d v="1899-12-30T13:45:00"/>
    <n v="30"/>
    <s v="Medium"/>
    <s v="Non-Veg"/>
    <n v="3"/>
    <x v="7"/>
    <x v="1"/>
    <s v="UPI"/>
    <x v="1"/>
    <x v="0"/>
    <n v="5"/>
    <n v="0.5"/>
    <x v="8"/>
    <s v="Online"/>
    <n v="14.4"/>
    <n v="15.6"/>
    <x v="0"/>
    <n v="6"/>
    <n v="3"/>
    <x v="4"/>
    <n v="30.286458333333329"/>
    <n v="0"/>
  </r>
  <r>
    <s v="ORD288"/>
    <x v="0"/>
    <s v="New York, NY"/>
    <d v="2024-09-25T00:00:00"/>
    <d v="1899-12-30T18:30:00"/>
    <d v="2024-09-25T00:00:00"/>
    <d v="1899-12-30T19:00:00"/>
    <n v="30"/>
    <s v="Large"/>
    <s v="Veg"/>
    <n v="4"/>
    <x v="10"/>
    <x v="1"/>
    <s v="Domino's Cash"/>
    <x v="0"/>
    <x v="0"/>
    <n v="5.4545454545454541"/>
    <n v="0.72727272727272729"/>
    <x v="8"/>
    <s v="Offline"/>
    <n v="13.2"/>
    <n v="16.8"/>
    <x v="0"/>
    <n v="12"/>
    <n v="3"/>
    <x v="0"/>
    <n v="30.259433962264151"/>
    <n v="0"/>
  </r>
  <r>
    <s v="ORD289"/>
    <x v="3"/>
    <s v="Los Angeles, CA"/>
    <d v="2024-09-26T00:00:00"/>
    <d v="1899-12-30T19:45:00"/>
    <d v="2024-09-26T00:00:00"/>
    <d v="1899-12-30T20:10:00"/>
    <n v="25"/>
    <s v="XL"/>
    <s v="Cheese Burst"/>
    <n v="5"/>
    <x v="3"/>
    <x v="2"/>
    <s v="Cash"/>
    <x v="0"/>
    <x v="0"/>
    <n v="5.5555555555555554"/>
    <n v="1.1111111111111109"/>
    <x v="8"/>
    <s v="Offline"/>
    <n v="10.8"/>
    <n v="14.2"/>
    <x v="0"/>
    <n v="20"/>
    <n v="1"/>
    <x v="3"/>
    <n v="29.948453608247419"/>
    <n v="0"/>
  </r>
  <r>
    <s v="ORD290"/>
    <x v="1"/>
    <s v="Chicago, IL"/>
    <d v="2024-09-27T00:00:00"/>
    <d v="1899-12-30T20:15:00"/>
    <d v="2024-09-27T00:00:00"/>
    <d v="1899-12-30T20:40:00"/>
    <n v="25"/>
    <s v="Medium"/>
    <s v="Non-Veg"/>
    <n v="4"/>
    <x v="5"/>
    <x v="0"/>
    <s v="Card"/>
    <x v="0"/>
    <x v="0"/>
    <n v="7.1428571428571432"/>
    <n v="1.142857142857143"/>
    <x v="8"/>
    <s v="Online"/>
    <n v="8.4"/>
    <n v="16.600000000000001"/>
    <x v="0"/>
    <n v="8"/>
    <n v="2"/>
    <x v="1"/>
    <n v="28.186274509803919"/>
    <n v="0"/>
  </r>
  <r>
    <s v="ORD291"/>
    <x v="2"/>
    <s v="Houston, TX"/>
    <d v="2024-09-28T00:00:00"/>
    <d v="1899-12-30T18:30:00"/>
    <d v="2024-09-28T00:00:00"/>
    <d v="1899-12-30T18:50:00"/>
    <n v="20"/>
    <s v="Small"/>
    <s v="Vegan"/>
    <n v="2"/>
    <x v="4"/>
    <x v="2"/>
    <s v="Wallet"/>
    <x v="0"/>
    <x v="1"/>
    <n v="10"/>
    <n v="1"/>
    <x v="8"/>
    <s v="Online"/>
    <n v="4.8"/>
    <n v="15.2"/>
    <x v="0"/>
    <n v="2"/>
    <n v="1"/>
    <x v="0"/>
    <n v="28.844221105527641"/>
    <n v="0"/>
  </r>
  <r>
    <s v="ORD292"/>
    <x v="4"/>
    <s v="Phoenix, AZ"/>
    <d v="2024-09-29T00:00:00"/>
    <d v="1899-12-30T13:00:00"/>
    <d v="2024-09-29T00:00:00"/>
    <d v="1899-12-30T13:20:00"/>
    <n v="20"/>
    <s v="Medium"/>
    <s v="Non-Veg"/>
    <n v="3"/>
    <x v="2"/>
    <x v="2"/>
    <s v="UPI"/>
    <x v="1"/>
    <x v="1"/>
    <n v="6.666666666666667"/>
    <n v="1"/>
    <x v="8"/>
    <s v="Online"/>
    <n v="7.1999999999999993"/>
    <n v="12.8"/>
    <x v="0"/>
    <n v="6"/>
    <n v="1"/>
    <x v="4"/>
    <n v="30.286458333333329"/>
    <n v="0"/>
  </r>
  <r>
    <s v="ORD293"/>
    <x v="0"/>
    <s v="Miami, FL"/>
    <d v="2024-09-30T00:00:00"/>
    <d v="1899-12-30T18:30:00"/>
    <d v="2024-09-30T00:00:00"/>
    <d v="1899-12-30T18:55:00"/>
    <n v="25"/>
    <s v="Large"/>
    <s v="Veg"/>
    <n v="4"/>
    <x v="1"/>
    <x v="1"/>
    <s v="Domino's Cash"/>
    <x v="0"/>
    <x v="0"/>
    <n v="5"/>
    <n v="0.8"/>
    <x v="8"/>
    <s v="Offline"/>
    <n v="12"/>
    <n v="13"/>
    <x v="0"/>
    <n v="12"/>
    <n v="3"/>
    <x v="0"/>
    <n v="30.259433962264151"/>
    <n v="0"/>
  </r>
  <r>
    <s v="ORD294"/>
    <x v="3"/>
    <s v="Denver, CO"/>
    <d v="2024-10-01T00:00:00"/>
    <d v="1899-12-30T19:45:00"/>
    <d v="2024-10-01T00:00:00"/>
    <d v="1899-12-30T20:10:00"/>
    <n v="25"/>
    <s v="XL"/>
    <s v="Cheese Burst"/>
    <n v="5"/>
    <x v="6"/>
    <x v="1"/>
    <s v="Card"/>
    <x v="0"/>
    <x v="0"/>
    <n v="6.25"/>
    <n v="1.25"/>
    <x v="9"/>
    <s v="Online"/>
    <n v="9.6"/>
    <n v="15.4"/>
    <x v="0"/>
    <n v="20"/>
    <n v="3"/>
    <x v="3"/>
    <n v="29.948453608247419"/>
    <n v="0"/>
  </r>
  <r>
    <s v="ORD295"/>
    <x v="1"/>
    <s v="Boston, MA"/>
    <d v="2024-10-02T00:00:00"/>
    <d v="1899-12-30T20:15:00"/>
    <d v="2024-10-02T00:00:00"/>
    <d v="1899-12-30T20:40:00"/>
    <n v="25"/>
    <s v="Small"/>
    <s v="Vegan"/>
    <n v="2"/>
    <x v="0"/>
    <x v="0"/>
    <s v="Wallet"/>
    <x v="0"/>
    <x v="0"/>
    <n v="10"/>
    <n v="0.8"/>
    <x v="9"/>
    <s v="Online"/>
    <n v="6"/>
    <n v="19"/>
    <x v="0"/>
    <n v="2"/>
    <n v="2"/>
    <x v="1"/>
    <n v="28.186274509803919"/>
    <n v="0"/>
  </r>
  <r>
    <s v="ORD296"/>
    <x v="2"/>
    <s v="Dallas, TX"/>
    <d v="2024-10-03T00:00:00"/>
    <d v="1899-12-30T18:30:00"/>
    <d v="2024-10-03T00:00:00"/>
    <d v="1899-12-30T18:50:00"/>
    <n v="20"/>
    <s v="Medium"/>
    <s v="Non-Veg"/>
    <n v="3"/>
    <x v="5"/>
    <x v="2"/>
    <s v="UPI"/>
    <x v="0"/>
    <x v="0"/>
    <n v="5.7142857142857144"/>
    <n v="0.8571428571428571"/>
    <x v="9"/>
    <s v="Online"/>
    <n v="8.4"/>
    <n v="11.6"/>
    <x v="0"/>
    <n v="6"/>
    <n v="1"/>
    <x v="0"/>
    <n v="28.844221105527641"/>
    <n v="0"/>
  </r>
  <r>
    <s v="ORD297"/>
    <x v="4"/>
    <s v="Seattle, WA"/>
    <d v="2024-10-04T00:00:00"/>
    <d v="1899-12-30T13:00:00"/>
    <d v="2024-10-04T00:00:00"/>
    <d v="1899-12-30T13:20:00"/>
    <n v="20"/>
    <s v="Medium"/>
    <s v="Non-Veg"/>
    <n v="3"/>
    <x v="5"/>
    <x v="2"/>
    <s v="Card"/>
    <x v="1"/>
    <x v="0"/>
    <n v="5.7142857142857144"/>
    <n v="0.8571428571428571"/>
    <x v="9"/>
    <s v="Online"/>
    <n v="8.4"/>
    <n v="11.6"/>
    <x v="0"/>
    <n v="6"/>
    <n v="1"/>
    <x v="4"/>
    <n v="30.286458333333329"/>
    <n v="0"/>
  </r>
  <r>
    <s v="ORD298"/>
    <x v="0"/>
    <s v="New York, NY"/>
    <d v="2024-10-05T00:00:00"/>
    <d v="1899-12-30T18:30:00"/>
    <d v="2024-10-05T00:00:00"/>
    <d v="1899-12-30T18:55:00"/>
    <n v="25"/>
    <s v="Large"/>
    <s v="Veg"/>
    <n v="4"/>
    <x v="1"/>
    <x v="1"/>
    <s v="Domino's Cash"/>
    <x v="0"/>
    <x v="1"/>
    <n v="5"/>
    <n v="0.8"/>
    <x v="9"/>
    <s v="Offline"/>
    <n v="12"/>
    <n v="13"/>
    <x v="0"/>
    <n v="12"/>
    <n v="3"/>
    <x v="0"/>
    <n v="30.259433962264151"/>
    <n v="0"/>
  </r>
  <r>
    <s v="ORD299"/>
    <x v="3"/>
    <s v="Los Angeles, CA"/>
    <d v="2024-10-06T00:00:00"/>
    <d v="1899-12-30T19:45:00"/>
    <d v="2024-10-06T00:00:00"/>
    <d v="1899-12-30T20:10:00"/>
    <n v="25"/>
    <s v="XL"/>
    <s v="Cheese Burst"/>
    <n v="5"/>
    <x v="3"/>
    <x v="2"/>
    <s v="Cash"/>
    <x v="0"/>
    <x v="1"/>
    <n v="5.5555555555555554"/>
    <n v="1.1111111111111109"/>
    <x v="9"/>
    <s v="Offline"/>
    <n v="10.8"/>
    <n v="14.2"/>
    <x v="0"/>
    <n v="20"/>
    <n v="1"/>
    <x v="3"/>
    <n v="29.948453608247419"/>
    <n v="0"/>
  </r>
  <r>
    <s v="ORD300"/>
    <x v="1"/>
    <s v="Chicago, IL"/>
    <d v="2024-10-07T00:00:00"/>
    <d v="1899-12-30T20:15:00"/>
    <d v="2024-10-07T00:00:00"/>
    <d v="1899-12-30T20:40:00"/>
    <n v="25"/>
    <s v="Medium"/>
    <s v="Non-Veg"/>
    <n v="4"/>
    <x v="5"/>
    <x v="0"/>
    <s v="Card"/>
    <x v="0"/>
    <x v="0"/>
    <n v="7.1428571428571432"/>
    <n v="1.142857142857143"/>
    <x v="9"/>
    <s v="Online"/>
    <n v="8.4"/>
    <n v="16.600000000000001"/>
    <x v="0"/>
    <n v="8"/>
    <n v="2"/>
    <x v="1"/>
    <n v="28.186274509803919"/>
    <n v="0"/>
  </r>
  <r>
    <s v="ORD301"/>
    <x v="2"/>
    <s v="Houston, TX"/>
    <d v="2024-10-08T00:00:00"/>
    <d v="1899-12-30T18:30:00"/>
    <d v="2024-10-08T00:00:00"/>
    <d v="1899-12-30T18:50:00"/>
    <n v="20"/>
    <s v="Small"/>
    <s v="Vegan"/>
    <n v="2"/>
    <x v="4"/>
    <x v="2"/>
    <s v="Wallet"/>
    <x v="0"/>
    <x v="0"/>
    <n v="10"/>
    <n v="1"/>
    <x v="9"/>
    <s v="Online"/>
    <n v="4.8"/>
    <n v="15.2"/>
    <x v="0"/>
    <n v="2"/>
    <n v="1"/>
    <x v="0"/>
    <n v="28.844221105527641"/>
    <n v="0"/>
  </r>
  <r>
    <s v="ORD302"/>
    <x v="4"/>
    <s v="Phoenix, AZ"/>
    <d v="2024-10-09T00:00:00"/>
    <d v="1899-12-30T13:00:00"/>
    <d v="2024-10-09T00:00:00"/>
    <d v="1899-12-30T13:20:00"/>
    <n v="20"/>
    <s v="Medium"/>
    <s v="Non-Veg"/>
    <n v="3"/>
    <x v="2"/>
    <x v="2"/>
    <s v="UPI"/>
    <x v="1"/>
    <x v="0"/>
    <n v="6.666666666666667"/>
    <n v="1"/>
    <x v="9"/>
    <s v="Online"/>
    <n v="7.1999999999999993"/>
    <n v="12.8"/>
    <x v="0"/>
    <n v="6"/>
    <n v="1"/>
    <x v="4"/>
    <n v="30.286458333333329"/>
    <n v="0"/>
  </r>
  <r>
    <s v="ORD303"/>
    <x v="0"/>
    <s v="Miami, FL"/>
    <d v="2024-10-10T00:00:00"/>
    <d v="1899-12-30T18:30:00"/>
    <d v="2024-10-10T00:00:00"/>
    <d v="1899-12-30T18:55:00"/>
    <n v="25"/>
    <s v="Large"/>
    <s v="Veg"/>
    <n v="4"/>
    <x v="1"/>
    <x v="1"/>
    <s v="Domino's Cash"/>
    <x v="0"/>
    <x v="0"/>
    <n v="5"/>
    <n v="0.8"/>
    <x v="9"/>
    <s v="Offline"/>
    <n v="12"/>
    <n v="13"/>
    <x v="0"/>
    <n v="12"/>
    <n v="3"/>
    <x v="0"/>
    <n v="30.259433962264151"/>
    <n v="0"/>
  </r>
  <r>
    <s v="ORD304"/>
    <x v="3"/>
    <s v="Denver, CO"/>
    <d v="2024-10-11T00:00:00"/>
    <d v="1899-12-30T19:45:00"/>
    <d v="2024-10-11T00:00:00"/>
    <d v="1899-12-30T20:10:00"/>
    <n v="25"/>
    <s v="XL"/>
    <s v="Cheese Burst"/>
    <n v="5"/>
    <x v="3"/>
    <x v="2"/>
    <s v="Card"/>
    <x v="0"/>
    <x v="0"/>
    <n v="5.5555555555555554"/>
    <n v="1.1111111111111109"/>
    <x v="9"/>
    <s v="Online"/>
    <n v="10.8"/>
    <n v="14.2"/>
    <x v="0"/>
    <n v="20"/>
    <n v="1"/>
    <x v="3"/>
    <n v="29.948453608247419"/>
    <n v="0"/>
  </r>
  <r>
    <s v="ORD305"/>
    <x v="1"/>
    <s v="Boston, MA"/>
    <d v="2024-10-12T00:00:00"/>
    <d v="1899-12-30T20:15:00"/>
    <d v="2024-10-12T00:00:00"/>
    <d v="1899-12-30T20:40:00"/>
    <n v="25"/>
    <s v="Small"/>
    <s v="Vegan"/>
    <n v="2"/>
    <x v="0"/>
    <x v="0"/>
    <s v="Wallet"/>
    <x v="0"/>
    <x v="1"/>
    <n v="10"/>
    <n v="0.8"/>
    <x v="9"/>
    <s v="Online"/>
    <n v="6"/>
    <n v="19"/>
    <x v="0"/>
    <n v="2"/>
    <n v="2"/>
    <x v="1"/>
    <n v="28.186274509803919"/>
    <n v="0"/>
  </r>
  <r>
    <s v="ORD306"/>
    <x v="2"/>
    <s v="Dallas, TX"/>
    <d v="2024-10-13T00:00:00"/>
    <d v="1899-12-30T18:30:00"/>
    <d v="2024-10-13T00:00:00"/>
    <d v="1899-12-30T18:50:00"/>
    <n v="20"/>
    <s v="Medium"/>
    <s v="Non-Veg"/>
    <n v="3"/>
    <x v="5"/>
    <x v="2"/>
    <s v="UPI"/>
    <x v="0"/>
    <x v="1"/>
    <n v="5.7142857142857144"/>
    <n v="0.8571428571428571"/>
    <x v="9"/>
    <s v="Online"/>
    <n v="8.4"/>
    <n v="11.6"/>
    <x v="0"/>
    <n v="6"/>
    <n v="1"/>
    <x v="0"/>
    <n v="28.844221105527641"/>
    <n v="0"/>
  </r>
  <r>
    <s v="ORD307"/>
    <x v="0"/>
    <s v="New York, NY"/>
    <d v="2024-08-26T00:00:00"/>
    <d v="1899-12-30T18:00:00"/>
    <d v="2024-08-26T00:00:00"/>
    <d v="1899-12-30T18:20:00"/>
    <n v="20"/>
    <s v="Medium"/>
    <s v="Veg"/>
    <n v="2"/>
    <x v="2"/>
    <x v="2"/>
    <s v="Card"/>
    <x v="0"/>
    <x v="0"/>
    <n v="6.666666666666667"/>
    <n v="0.66666666666666663"/>
    <x v="5"/>
    <s v="Online"/>
    <n v="7.1999999999999993"/>
    <n v="12.8"/>
    <x v="0"/>
    <n v="4"/>
    <n v="1"/>
    <x v="0"/>
    <n v="30.259433962264151"/>
    <n v="0"/>
  </r>
  <r>
    <s v="ORD308"/>
    <x v="1"/>
    <s v="Chicago, IL"/>
    <d v="2024-08-27T00:00:00"/>
    <d v="1899-12-30T19:15:00"/>
    <d v="2024-08-27T00:00:00"/>
    <d v="1899-12-30T19:45:00"/>
    <n v="30"/>
    <s v="Large"/>
    <s v="Non-Veg"/>
    <n v="4"/>
    <x v="7"/>
    <x v="0"/>
    <s v="UPI"/>
    <x v="0"/>
    <x v="0"/>
    <n v="5"/>
    <n v="0.66666666666666663"/>
    <x v="5"/>
    <s v="Online"/>
    <n v="14.4"/>
    <n v="15.6"/>
    <x v="0"/>
    <n v="12"/>
    <n v="2"/>
    <x v="3"/>
    <n v="28.186274509803919"/>
    <n v="0"/>
  </r>
  <r>
    <s v="ORD309"/>
    <x v="3"/>
    <s v="Los Angeles, CA"/>
    <d v="2024-08-28T00:00:00"/>
    <d v="1899-12-30T20:30:00"/>
    <d v="2024-08-28T00:00:00"/>
    <d v="1899-12-30T21:10:00"/>
    <n v="40"/>
    <s v="XL"/>
    <s v="Cheese Burst"/>
    <n v="5"/>
    <x v="8"/>
    <x v="1"/>
    <s v="Hut Points"/>
    <x v="0"/>
    <x v="0"/>
    <n v="5"/>
    <n v="0.625"/>
    <x v="5"/>
    <s v="Offline"/>
    <n v="19.2"/>
    <n v="20.8"/>
    <x v="1"/>
    <n v="20"/>
    <n v="3"/>
    <x v="1"/>
    <n v="29.948453608247419"/>
    <n v="1"/>
  </r>
  <r>
    <s v="ORD310"/>
    <x v="2"/>
    <s v="Houston, TX"/>
    <d v="2024-08-29T00:00:00"/>
    <d v="1899-12-30T18:45:00"/>
    <d v="2024-08-29T00:00:00"/>
    <d v="1899-12-30T19:05:00"/>
    <n v="20"/>
    <s v="Small"/>
    <s v="Vegan"/>
    <n v="1"/>
    <x v="0"/>
    <x v="2"/>
    <s v="Cash"/>
    <x v="0"/>
    <x v="0"/>
    <n v="8"/>
    <n v="0.4"/>
    <x v="5"/>
    <s v="Offline"/>
    <n v="6"/>
    <n v="14"/>
    <x v="0"/>
    <n v="1"/>
    <n v="1"/>
    <x v="0"/>
    <n v="28.844221105527641"/>
    <n v="0"/>
  </r>
  <r>
    <s v="ORD311"/>
    <x v="4"/>
    <s v="Phoenix, AZ"/>
    <d v="2024-08-30T00:00:00"/>
    <d v="1899-12-30T19:00:00"/>
    <d v="2024-08-30T00:00:00"/>
    <d v="1899-12-30T19:50:00"/>
    <n v="50"/>
    <s v="Large"/>
    <s v="Non-Veg"/>
    <n v="4"/>
    <x v="9"/>
    <x v="1"/>
    <s v="Card"/>
    <x v="0"/>
    <x v="0"/>
    <n v="5"/>
    <n v="0.4"/>
    <x v="5"/>
    <s v="Online"/>
    <n v="24"/>
    <n v="26"/>
    <x v="1"/>
    <n v="12"/>
    <n v="3"/>
    <x v="3"/>
    <n v="30.286458333333329"/>
    <n v="1"/>
  </r>
  <r>
    <s v="ORD312"/>
    <x v="0"/>
    <s v="Miami, FL"/>
    <d v="2024-08-31T00:00:00"/>
    <d v="1899-12-30T20:00:00"/>
    <d v="2024-08-31T00:00:00"/>
    <d v="1899-12-30T20:35:00"/>
    <n v="35"/>
    <s v="Medium"/>
    <s v="Veg"/>
    <n v="3"/>
    <x v="10"/>
    <x v="0"/>
    <s v="Wallet"/>
    <x v="0"/>
    <x v="1"/>
    <n v="6.3636363636363633"/>
    <n v="0.54545454545454541"/>
    <x v="5"/>
    <s v="Online"/>
    <n v="13.2"/>
    <n v="21.8"/>
    <x v="1"/>
    <n v="6"/>
    <n v="2"/>
    <x v="1"/>
    <n v="30.259433962264151"/>
    <n v="1"/>
  </r>
  <r>
    <s v="ORD313"/>
    <x v="1"/>
    <s v="Denver, CO"/>
    <d v="2024-09-01T00:00:00"/>
    <d v="1899-12-30T18:30:00"/>
    <d v="2024-09-01T00:00:00"/>
    <d v="1899-12-30T18:50:00"/>
    <n v="20"/>
    <s v="Small"/>
    <s v="Vegan"/>
    <n v="2"/>
    <x v="4"/>
    <x v="2"/>
    <s v="UPI"/>
    <x v="0"/>
    <x v="1"/>
    <n v="10"/>
    <n v="1"/>
    <x v="8"/>
    <s v="Online"/>
    <n v="4.8"/>
    <n v="15.2"/>
    <x v="0"/>
    <n v="2"/>
    <n v="1"/>
    <x v="0"/>
    <n v="28.186274509803919"/>
    <n v="0"/>
  </r>
  <r>
    <s v="ORD314"/>
    <x v="3"/>
    <s v="Boston, MA"/>
    <d v="2024-09-02T00:00:00"/>
    <d v="1899-12-30T19:45:00"/>
    <d v="2024-09-02T00:00:00"/>
    <d v="1899-12-30T20:25:00"/>
    <n v="40"/>
    <s v="XL"/>
    <s v="Cheese Burst"/>
    <n v="5"/>
    <x v="11"/>
    <x v="1"/>
    <s v="Hut Points"/>
    <x v="0"/>
    <x v="0"/>
    <n v="5.333333333333333"/>
    <n v="0.66666666666666663"/>
    <x v="8"/>
    <s v="Offline"/>
    <n v="18"/>
    <n v="22"/>
    <x v="1"/>
    <n v="20"/>
    <n v="3"/>
    <x v="3"/>
    <n v="29.948453608247419"/>
    <n v="1"/>
  </r>
  <r>
    <s v="ORD315"/>
    <x v="2"/>
    <s v="Dallas, TX"/>
    <d v="2024-09-03T00:00:00"/>
    <d v="1899-12-30T18:00:00"/>
    <d v="2024-09-03T00:00:00"/>
    <d v="1899-12-30T18:30:00"/>
    <n v="30"/>
    <s v="Medium"/>
    <s v="Non-Veg"/>
    <n v="3"/>
    <x v="6"/>
    <x v="0"/>
    <s v="Cash"/>
    <x v="0"/>
    <x v="0"/>
    <n v="7.5"/>
    <n v="0.75"/>
    <x v="8"/>
    <s v="Offline"/>
    <n v="9.6"/>
    <n v="20.399999999999999"/>
    <x v="0"/>
    <n v="6"/>
    <n v="2"/>
    <x v="0"/>
    <n v="28.844221105527641"/>
    <n v="0"/>
  </r>
  <r>
    <s v="ORD316"/>
    <x v="4"/>
    <s v="Seattle, WA"/>
    <d v="2024-09-04T00:00:00"/>
    <d v="1899-12-30T20:15:00"/>
    <d v="2024-09-04T00:00:00"/>
    <d v="1899-12-30T21:00:00"/>
    <n v="45"/>
    <s v="Large"/>
    <s v="Veg"/>
    <n v="4"/>
    <x v="12"/>
    <x v="1"/>
    <s v="Wallet"/>
    <x v="0"/>
    <x v="0"/>
    <n v="5"/>
    <n v="0.44444444444444442"/>
    <x v="8"/>
    <s v="Online"/>
    <n v="21.6"/>
    <n v="23.4"/>
    <x v="1"/>
    <n v="12"/>
    <n v="3"/>
    <x v="1"/>
    <n v="30.286458333333329"/>
    <n v="1"/>
  </r>
  <r>
    <s v="ORD317"/>
    <x v="0"/>
    <s v="San Jose, CA"/>
    <d v="2024-09-05T00:00:00"/>
    <d v="1899-12-30T18:00:00"/>
    <d v="2024-09-05T00:00:00"/>
    <d v="1899-12-30T18:20:00"/>
    <n v="20"/>
    <s v="Medium"/>
    <s v="Veg"/>
    <n v="2"/>
    <x v="2"/>
    <x v="2"/>
    <s v="Card"/>
    <x v="0"/>
    <x v="0"/>
    <n v="6.666666666666667"/>
    <n v="0.66666666666666663"/>
    <x v="8"/>
    <s v="Online"/>
    <n v="7.1999999999999993"/>
    <n v="12.8"/>
    <x v="0"/>
    <n v="4"/>
    <n v="1"/>
    <x v="0"/>
    <n v="30.259433962264151"/>
    <n v="0"/>
  </r>
  <r>
    <s v="ORD318"/>
    <x v="1"/>
    <s v="Austin, TX"/>
    <d v="2024-09-06T00:00:00"/>
    <d v="1899-12-30T19:15:00"/>
    <d v="2024-09-06T00:00:00"/>
    <d v="1899-12-30T19:45:00"/>
    <n v="30"/>
    <s v="Large"/>
    <s v="Non-Veg"/>
    <n v="4"/>
    <x v="7"/>
    <x v="0"/>
    <s v="Cash"/>
    <x v="0"/>
    <x v="0"/>
    <n v="5"/>
    <n v="0.66666666666666663"/>
    <x v="8"/>
    <s v="Offline"/>
    <n v="14.4"/>
    <n v="15.6"/>
    <x v="0"/>
    <n v="12"/>
    <n v="2"/>
    <x v="3"/>
    <n v="28.186274509803919"/>
    <n v="0"/>
  </r>
  <r>
    <s v="ORD319"/>
    <x v="3"/>
    <s v="San Diego, CA"/>
    <d v="2024-09-07T00:00:00"/>
    <d v="1899-12-30T20:30:00"/>
    <d v="2024-09-07T00:00:00"/>
    <d v="1899-12-30T21:10:00"/>
    <n v="40"/>
    <s v="XL"/>
    <s v="Cheese Burst"/>
    <n v="5"/>
    <x v="8"/>
    <x v="1"/>
    <s v="Hut Points"/>
    <x v="0"/>
    <x v="1"/>
    <n v="5"/>
    <n v="0.625"/>
    <x v="8"/>
    <s v="Offline"/>
    <n v="19.2"/>
    <n v="20.8"/>
    <x v="1"/>
    <n v="20"/>
    <n v="3"/>
    <x v="1"/>
    <n v="29.948453608247419"/>
    <n v="1"/>
  </r>
  <r>
    <s v="ORD320"/>
    <x v="2"/>
    <s v="Jacksonville, FL"/>
    <d v="2024-09-08T00:00:00"/>
    <d v="1899-12-30T18:45:00"/>
    <d v="2024-09-08T00:00:00"/>
    <d v="1899-12-30T19:05:00"/>
    <n v="20"/>
    <s v="Small"/>
    <s v="Vegan"/>
    <n v="1"/>
    <x v="0"/>
    <x v="2"/>
    <s v="Wallet"/>
    <x v="0"/>
    <x v="1"/>
    <n v="8"/>
    <n v="0.4"/>
    <x v="8"/>
    <s v="Online"/>
    <n v="6"/>
    <n v="14"/>
    <x v="0"/>
    <n v="1"/>
    <n v="1"/>
    <x v="0"/>
    <n v="28.844221105527641"/>
    <n v="0"/>
  </r>
  <r>
    <s v="ORD321"/>
    <x v="4"/>
    <s v="Fort Worth, TX"/>
    <d v="2024-09-09T00:00:00"/>
    <d v="1899-12-30T19:00:00"/>
    <d v="2024-09-09T00:00:00"/>
    <d v="1899-12-30T19:50:00"/>
    <n v="50"/>
    <s v="Large"/>
    <s v="Non-Veg"/>
    <n v="4"/>
    <x v="9"/>
    <x v="1"/>
    <s v="Card"/>
    <x v="0"/>
    <x v="0"/>
    <n v="5"/>
    <n v="0.4"/>
    <x v="8"/>
    <s v="Online"/>
    <n v="24"/>
    <n v="26"/>
    <x v="1"/>
    <n v="12"/>
    <n v="3"/>
    <x v="3"/>
    <n v="30.286458333333329"/>
    <n v="1"/>
  </r>
  <r>
    <s v="ORD322"/>
    <x v="0"/>
    <s v="Columbus, OH"/>
    <d v="2024-09-10T00:00:00"/>
    <d v="1899-12-30T20:00:00"/>
    <d v="2024-09-10T00:00:00"/>
    <d v="1899-12-30T20:35:00"/>
    <n v="35"/>
    <s v="Medium"/>
    <s v="Veg"/>
    <n v="3"/>
    <x v="10"/>
    <x v="0"/>
    <s v="Wallet"/>
    <x v="0"/>
    <x v="0"/>
    <n v="6.3636363636363633"/>
    <n v="0.54545454545454541"/>
    <x v="8"/>
    <s v="Online"/>
    <n v="13.2"/>
    <n v="21.8"/>
    <x v="1"/>
    <n v="6"/>
    <n v="2"/>
    <x v="1"/>
    <n v="30.259433962264151"/>
    <n v="1"/>
  </r>
  <r>
    <s v="ORD323"/>
    <x v="1"/>
    <s v="Charlotte, NC"/>
    <d v="2024-09-11T00:00:00"/>
    <d v="1899-12-30T18:30:00"/>
    <d v="2024-09-11T00:00:00"/>
    <d v="1899-12-30T18:50:00"/>
    <n v="20"/>
    <s v="Small"/>
    <s v="Vegan"/>
    <n v="2"/>
    <x v="4"/>
    <x v="2"/>
    <s v="UPI"/>
    <x v="0"/>
    <x v="0"/>
    <n v="10"/>
    <n v="1"/>
    <x v="8"/>
    <s v="Online"/>
    <n v="4.8"/>
    <n v="15.2"/>
    <x v="0"/>
    <n v="2"/>
    <n v="1"/>
    <x v="0"/>
    <n v="28.186274509803919"/>
    <n v="0"/>
  </r>
  <r>
    <s v="ORD324"/>
    <x v="3"/>
    <s v="Indianapolis, IN"/>
    <d v="2024-09-12T00:00:00"/>
    <d v="1899-12-30T19:45:00"/>
    <d v="2024-09-12T00:00:00"/>
    <d v="1899-12-30T20:25:00"/>
    <n v="40"/>
    <s v="XL"/>
    <s v="Cheese Burst"/>
    <n v="5"/>
    <x v="11"/>
    <x v="1"/>
    <s v="Hut Points"/>
    <x v="0"/>
    <x v="0"/>
    <n v="5.333333333333333"/>
    <n v="0.66666666666666663"/>
    <x v="8"/>
    <s v="Offline"/>
    <n v="18"/>
    <n v="22"/>
    <x v="1"/>
    <n v="20"/>
    <n v="3"/>
    <x v="3"/>
    <n v="29.948453608247419"/>
    <n v="1"/>
  </r>
  <r>
    <s v="ORD325"/>
    <x v="2"/>
    <s v="San Francisco, CA"/>
    <d v="2024-09-13T00:00:00"/>
    <d v="1899-12-30T18:00:00"/>
    <d v="2024-09-13T00:00:00"/>
    <d v="1899-12-30T18:30:00"/>
    <n v="30"/>
    <s v="Medium"/>
    <s v="Non-Veg"/>
    <n v="3"/>
    <x v="6"/>
    <x v="0"/>
    <s v="Cash"/>
    <x v="0"/>
    <x v="0"/>
    <n v="7.5"/>
    <n v="0.75"/>
    <x v="8"/>
    <s v="Offline"/>
    <n v="9.6"/>
    <n v="20.399999999999999"/>
    <x v="0"/>
    <n v="6"/>
    <n v="2"/>
    <x v="0"/>
    <n v="28.844221105527641"/>
    <n v="0"/>
  </r>
  <r>
    <s v="ORD326"/>
    <x v="4"/>
    <s v="Charlotte, NC"/>
    <d v="2024-09-14T00:00:00"/>
    <d v="1899-12-30T20:15:00"/>
    <d v="2024-09-14T00:00:00"/>
    <d v="1899-12-30T21:00:00"/>
    <n v="45"/>
    <s v="Large"/>
    <s v="Veg"/>
    <n v="4"/>
    <x v="12"/>
    <x v="1"/>
    <s v="Wallet"/>
    <x v="0"/>
    <x v="1"/>
    <n v="5"/>
    <n v="0.44444444444444442"/>
    <x v="8"/>
    <s v="Online"/>
    <n v="21.6"/>
    <n v="23.4"/>
    <x v="1"/>
    <n v="12"/>
    <n v="3"/>
    <x v="1"/>
    <n v="30.286458333333329"/>
    <n v="1"/>
  </r>
  <r>
    <s v="ORD327"/>
    <x v="0"/>
    <s v="Detroit, MI"/>
    <d v="2024-09-15T00:00:00"/>
    <d v="1899-12-30T18:00:00"/>
    <d v="2024-09-15T00:00:00"/>
    <d v="1899-12-30T18:20:00"/>
    <n v="20"/>
    <s v="Medium"/>
    <s v="Veg"/>
    <n v="2"/>
    <x v="2"/>
    <x v="2"/>
    <s v="Card"/>
    <x v="0"/>
    <x v="1"/>
    <n v="6.666666666666667"/>
    <n v="0.66666666666666663"/>
    <x v="8"/>
    <s v="Online"/>
    <n v="7.1999999999999993"/>
    <n v="12.8"/>
    <x v="0"/>
    <n v="4"/>
    <n v="1"/>
    <x v="0"/>
    <n v="30.259433962264151"/>
    <n v="0"/>
  </r>
  <r>
    <s v="ORD328"/>
    <x v="1"/>
    <s v="El Paso, TX"/>
    <d v="2024-09-16T00:00:00"/>
    <d v="1899-12-30T19:15:00"/>
    <d v="2024-09-16T00:00:00"/>
    <d v="1899-12-30T19:45:00"/>
    <n v="30"/>
    <s v="Large"/>
    <s v="Non-Veg"/>
    <n v="4"/>
    <x v="7"/>
    <x v="0"/>
    <s v="Cash"/>
    <x v="0"/>
    <x v="0"/>
    <n v="5"/>
    <n v="0.66666666666666663"/>
    <x v="8"/>
    <s v="Offline"/>
    <n v="14.4"/>
    <n v="15.6"/>
    <x v="0"/>
    <n v="12"/>
    <n v="2"/>
    <x v="3"/>
    <n v="28.186274509803919"/>
    <n v="0"/>
  </r>
  <r>
    <s v="ORD329"/>
    <x v="3"/>
    <s v="Memphis, TN"/>
    <d v="2024-09-17T00:00:00"/>
    <d v="1899-12-30T20:30:00"/>
    <d v="2024-09-17T00:00:00"/>
    <d v="1899-12-30T21:10:00"/>
    <n v="40"/>
    <s v="XL"/>
    <s v="Cheese Burst"/>
    <n v="5"/>
    <x v="8"/>
    <x v="1"/>
    <s v="Hut Points"/>
    <x v="0"/>
    <x v="0"/>
    <n v="5"/>
    <n v="0.625"/>
    <x v="8"/>
    <s v="Offline"/>
    <n v="19.2"/>
    <n v="20.8"/>
    <x v="1"/>
    <n v="20"/>
    <n v="3"/>
    <x v="1"/>
    <n v="29.948453608247419"/>
    <n v="1"/>
  </r>
  <r>
    <s v="ORD330"/>
    <x v="2"/>
    <s v="Baltimore, MD"/>
    <d v="2024-09-18T00:00:00"/>
    <d v="1899-12-30T18:45:00"/>
    <d v="2024-09-18T00:00:00"/>
    <d v="1899-12-30T19:05:00"/>
    <n v="20"/>
    <s v="Small"/>
    <s v="Vegan"/>
    <n v="1"/>
    <x v="0"/>
    <x v="2"/>
    <s v="Wallet"/>
    <x v="0"/>
    <x v="0"/>
    <n v="8"/>
    <n v="0.4"/>
    <x v="8"/>
    <s v="Online"/>
    <n v="6"/>
    <n v="14"/>
    <x v="0"/>
    <n v="1"/>
    <n v="1"/>
    <x v="0"/>
    <n v="28.844221105527641"/>
    <n v="0"/>
  </r>
  <r>
    <s v="ORD331"/>
    <x v="4"/>
    <s v="Boston, MA"/>
    <d v="2024-09-19T00:00:00"/>
    <d v="1899-12-30T19:00:00"/>
    <d v="2024-09-19T00:00:00"/>
    <d v="1899-12-30T19:50:00"/>
    <n v="50"/>
    <s v="Large"/>
    <s v="Non-Veg"/>
    <n v="4"/>
    <x v="9"/>
    <x v="1"/>
    <s v="Card"/>
    <x v="0"/>
    <x v="0"/>
    <n v="5"/>
    <n v="0.4"/>
    <x v="8"/>
    <s v="Online"/>
    <n v="24"/>
    <n v="26"/>
    <x v="1"/>
    <n v="12"/>
    <n v="3"/>
    <x v="3"/>
    <n v="30.286458333333329"/>
    <n v="1"/>
  </r>
  <r>
    <s v="ORD332"/>
    <x v="0"/>
    <s v="New York, NY"/>
    <d v="2024-09-20T00:00:00"/>
    <d v="1899-12-30T18:00:00"/>
    <d v="2024-09-20T00:00:00"/>
    <d v="1899-12-30T18:20:00"/>
    <n v="20"/>
    <s v="Medium"/>
    <s v="Veg"/>
    <n v="2"/>
    <x v="2"/>
    <x v="2"/>
    <s v="Domino's Cash"/>
    <x v="0"/>
    <x v="0"/>
    <n v="6.666666666666667"/>
    <n v="0.66666666666666663"/>
    <x v="8"/>
    <s v="Offline"/>
    <n v="7.1999999999999993"/>
    <n v="12.8"/>
    <x v="0"/>
    <n v="4"/>
    <n v="1"/>
    <x v="0"/>
    <n v="30.259433962264151"/>
    <n v="0"/>
  </r>
  <r>
    <s v="ORD333"/>
    <x v="1"/>
    <s v="Chicago, IL"/>
    <d v="2024-09-21T00:00:00"/>
    <d v="1899-12-30T19:15:00"/>
    <d v="2024-09-21T00:00:00"/>
    <d v="1899-12-30T19:45:00"/>
    <n v="30"/>
    <s v="Large"/>
    <s v="Non-Veg"/>
    <n v="4"/>
    <x v="7"/>
    <x v="0"/>
    <s v="UPI"/>
    <x v="0"/>
    <x v="1"/>
    <n v="5"/>
    <n v="0.66666666666666663"/>
    <x v="8"/>
    <s v="Online"/>
    <n v="14.4"/>
    <n v="15.6"/>
    <x v="0"/>
    <n v="12"/>
    <n v="2"/>
    <x v="3"/>
    <n v="28.186274509803919"/>
    <n v="0"/>
  </r>
  <r>
    <s v="ORD334"/>
    <x v="3"/>
    <s v="Los Angeles, CA"/>
    <d v="2024-09-22T00:00:00"/>
    <d v="1899-12-30T20:30:00"/>
    <d v="2024-09-22T00:00:00"/>
    <d v="1899-12-30T21:10:00"/>
    <n v="40"/>
    <s v="XL"/>
    <s v="Cheese Burst"/>
    <n v="5"/>
    <x v="8"/>
    <x v="1"/>
    <s v="Hut Points"/>
    <x v="0"/>
    <x v="1"/>
    <n v="5"/>
    <n v="0.625"/>
    <x v="8"/>
    <s v="Offline"/>
    <n v="19.2"/>
    <n v="20.8"/>
    <x v="1"/>
    <n v="20"/>
    <n v="3"/>
    <x v="1"/>
    <n v="29.948453608247419"/>
    <n v="1"/>
  </r>
  <r>
    <s v="ORD335"/>
    <x v="2"/>
    <s v="Houston, TX"/>
    <d v="2024-09-23T00:00:00"/>
    <d v="1899-12-30T18:45:00"/>
    <d v="2024-09-23T00:00:00"/>
    <d v="1899-12-30T19:05:00"/>
    <n v="20"/>
    <s v="Small"/>
    <s v="Vegan"/>
    <n v="1"/>
    <x v="0"/>
    <x v="2"/>
    <s v="Cash"/>
    <x v="0"/>
    <x v="0"/>
    <n v="8"/>
    <n v="0.4"/>
    <x v="8"/>
    <s v="Offline"/>
    <n v="6"/>
    <n v="14"/>
    <x v="0"/>
    <n v="1"/>
    <n v="1"/>
    <x v="0"/>
    <n v="28.844221105527641"/>
    <n v="0"/>
  </r>
  <r>
    <s v="ORD336"/>
    <x v="4"/>
    <s v="Phoenix, AZ"/>
    <d v="2024-09-24T00:00:00"/>
    <d v="1899-12-30T19:00:00"/>
    <d v="2024-09-24T00:00:00"/>
    <d v="1899-12-30T19:50:00"/>
    <n v="50"/>
    <s v="Large"/>
    <s v="Non-Veg"/>
    <n v="4"/>
    <x v="9"/>
    <x v="1"/>
    <s v="Card"/>
    <x v="0"/>
    <x v="0"/>
    <n v="5"/>
    <n v="0.4"/>
    <x v="8"/>
    <s v="Online"/>
    <n v="24"/>
    <n v="26"/>
    <x v="1"/>
    <n v="12"/>
    <n v="3"/>
    <x v="3"/>
    <n v="30.286458333333329"/>
    <n v="1"/>
  </r>
  <r>
    <s v="ORD337"/>
    <x v="0"/>
    <s v="Miami, FL"/>
    <d v="2024-09-25T00:00:00"/>
    <d v="1899-12-30T20:00:00"/>
    <d v="2024-09-25T00:00:00"/>
    <d v="1899-12-30T20:20:00"/>
    <n v="20"/>
    <s v="Medium"/>
    <s v="Veg"/>
    <n v="2"/>
    <x v="2"/>
    <x v="2"/>
    <s v="Card"/>
    <x v="0"/>
    <x v="0"/>
    <n v="6.666666666666667"/>
    <n v="0.66666666666666663"/>
    <x v="8"/>
    <s v="Online"/>
    <n v="7.1999999999999993"/>
    <n v="12.8"/>
    <x v="0"/>
    <n v="4"/>
    <n v="1"/>
    <x v="1"/>
    <n v="30.259433962264151"/>
    <n v="0"/>
  </r>
  <r>
    <s v="ORD338"/>
    <x v="1"/>
    <s v="Chicago, IL"/>
    <d v="2024-09-26T00:00:00"/>
    <d v="1899-12-30T19:15:00"/>
    <d v="2024-09-26T00:00:00"/>
    <d v="1899-12-30T19:45:00"/>
    <n v="30"/>
    <s v="Large"/>
    <s v="Non-Veg"/>
    <n v="4"/>
    <x v="7"/>
    <x v="0"/>
    <s v="UPI"/>
    <x v="0"/>
    <x v="0"/>
    <n v="5"/>
    <n v="0.66666666666666663"/>
    <x v="8"/>
    <s v="Online"/>
    <n v="14.4"/>
    <n v="15.6"/>
    <x v="0"/>
    <n v="12"/>
    <n v="2"/>
    <x v="3"/>
    <n v="28.186274509803919"/>
    <n v="0"/>
  </r>
  <r>
    <s v="ORD339"/>
    <x v="3"/>
    <s v="Los Angeles, CA"/>
    <d v="2024-09-27T00:00:00"/>
    <d v="1899-12-30T20:30:00"/>
    <d v="2024-09-27T00:00:00"/>
    <d v="1899-12-30T21:10:00"/>
    <n v="40"/>
    <s v="XL"/>
    <s v="Cheese Burst"/>
    <n v="5"/>
    <x v="8"/>
    <x v="1"/>
    <s v="Hut Points"/>
    <x v="0"/>
    <x v="0"/>
    <n v="5"/>
    <n v="0.625"/>
    <x v="8"/>
    <s v="Offline"/>
    <n v="19.2"/>
    <n v="20.8"/>
    <x v="1"/>
    <n v="20"/>
    <n v="3"/>
    <x v="1"/>
    <n v="29.948453608247419"/>
    <n v="1"/>
  </r>
  <r>
    <s v="ORD340"/>
    <x v="2"/>
    <s v="Houston, TX"/>
    <d v="2024-09-28T00:00:00"/>
    <d v="1899-12-30T18:45:00"/>
    <d v="2024-09-28T00:00:00"/>
    <d v="1899-12-30T19:05:00"/>
    <n v="20"/>
    <s v="Small"/>
    <s v="Vegan"/>
    <n v="1"/>
    <x v="0"/>
    <x v="2"/>
    <s v="Cash"/>
    <x v="0"/>
    <x v="1"/>
    <n v="8"/>
    <n v="0.4"/>
    <x v="8"/>
    <s v="Offline"/>
    <n v="6"/>
    <n v="14"/>
    <x v="0"/>
    <n v="1"/>
    <n v="1"/>
    <x v="0"/>
    <n v="28.844221105527641"/>
    <n v="0"/>
  </r>
  <r>
    <s v="ORD341"/>
    <x v="4"/>
    <s v="Phoenix, AZ"/>
    <d v="2024-09-29T00:00:00"/>
    <d v="1899-12-30T19:00:00"/>
    <d v="2024-09-29T00:00:00"/>
    <d v="1899-12-30T19:50:00"/>
    <n v="50"/>
    <s v="Large"/>
    <s v="Non-Veg"/>
    <n v="4"/>
    <x v="9"/>
    <x v="1"/>
    <s v="Card"/>
    <x v="0"/>
    <x v="1"/>
    <n v="5"/>
    <n v="0.4"/>
    <x v="8"/>
    <s v="Online"/>
    <n v="24"/>
    <n v="26"/>
    <x v="1"/>
    <n v="12"/>
    <n v="3"/>
    <x v="3"/>
    <n v="30.286458333333329"/>
    <n v="1"/>
  </r>
  <r>
    <s v="ORD342"/>
    <x v="0"/>
    <s v="Miami, FL"/>
    <d v="2024-09-30T00:00:00"/>
    <d v="1899-12-30T20:00:00"/>
    <d v="2024-09-30T00:00:00"/>
    <d v="1899-12-30T20:35:00"/>
    <n v="35"/>
    <s v="Medium"/>
    <s v="Veg"/>
    <n v="3"/>
    <x v="10"/>
    <x v="0"/>
    <s v="Wallet"/>
    <x v="0"/>
    <x v="0"/>
    <n v="6.3636363636363633"/>
    <n v="0.54545454545454541"/>
    <x v="8"/>
    <s v="Online"/>
    <n v="13.2"/>
    <n v="21.8"/>
    <x v="1"/>
    <n v="6"/>
    <n v="2"/>
    <x v="1"/>
    <n v="30.259433962264151"/>
    <n v="1"/>
  </r>
  <r>
    <s v="ORD343"/>
    <x v="1"/>
    <s v="Denver, CO"/>
    <d v="2024-10-01T00:00:00"/>
    <d v="1899-12-30T18:30:00"/>
    <d v="2024-10-01T00:00:00"/>
    <d v="1899-12-30T18:50:00"/>
    <n v="20"/>
    <s v="Small"/>
    <s v="Vegan"/>
    <n v="2"/>
    <x v="4"/>
    <x v="2"/>
    <s v="UPI"/>
    <x v="0"/>
    <x v="0"/>
    <n v="10"/>
    <n v="1"/>
    <x v="9"/>
    <s v="Online"/>
    <n v="4.8"/>
    <n v="15.2"/>
    <x v="0"/>
    <n v="2"/>
    <n v="1"/>
    <x v="0"/>
    <n v="28.186274509803919"/>
    <n v="0"/>
  </r>
  <r>
    <s v="ORD344"/>
    <x v="3"/>
    <s v="Boston, MA"/>
    <d v="2024-10-02T00:00:00"/>
    <d v="1899-12-30T19:45:00"/>
    <d v="2024-10-02T00:00:00"/>
    <d v="1899-12-30T20:25:00"/>
    <n v="40"/>
    <s v="XL"/>
    <s v="Cheese Burst"/>
    <n v="5"/>
    <x v="11"/>
    <x v="1"/>
    <s v="Hut Points"/>
    <x v="0"/>
    <x v="0"/>
    <n v="5.333333333333333"/>
    <n v="0.66666666666666663"/>
    <x v="9"/>
    <s v="Offline"/>
    <n v="18"/>
    <n v="22"/>
    <x v="1"/>
    <n v="20"/>
    <n v="3"/>
    <x v="3"/>
    <n v="29.948453608247419"/>
    <n v="1"/>
  </r>
  <r>
    <s v="ORD345"/>
    <x v="2"/>
    <s v="Dallas, TX"/>
    <d v="2024-10-03T00:00:00"/>
    <d v="1899-12-30T18:00:00"/>
    <d v="2024-10-03T00:00:00"/>
    <d v="1899-12-30T18:30:00"/>
    <n v="30"/>
    <s v="Medium"/>
    <s v="Non-Veg"/>
    <n v="3"/>
    <x v="6"/>
    <x v="0"/>
    <s v="Cash"/>
    <x v="0"/>
    <x v="0"/>
    <n v="7.5"/>
    <n v="0.75"/>
    <x v="9"/>
    <s v="Offline"/>
    <n v="9.6"/>
    <n v="20.399999999999999"/>
    <x v="0"/>
    <n v="6"/>
    <n v="2"/>
    <x v="0"/>
    <n v="28.844221105527641"/>
    <n v="0"/>
  </r>
  <r>
    <s v="ORD346"/>
    <x v="4"/>
    <s v="Seattle, WA"/>
    <d v="2024-10-04T00:00:00"/>
    <d v="1899-12-30T20:15:00"/>
    <d v="2024-10-04T00:00:00"/>
    <d v="1899-12-30T21:00:00"/>
    <n v="45"/>
    <s v="Large"/>
    <s v="Veg"/>
    <n v="4"/>
    <x v="12"/>
    <x v="1"/>
    <s v="Wallet"/>
    <x v="0"/>
    <x v="0"/>
    <n v="5"/>
    <n v="0.44444444444444442"/>
    <x v="9"/>
    <s v="Online"/>
    <n v="21.6"/>
    <n v="23.4"/>
    <x v="1"/>
    <n v="12"/>
    <n v="3"/>
    <x v="1"/>
    <n v="30.286458333333329"/>
    <n v="1"/>
  </r>
  <r>
    <s v="ORD347"/>
    <x v="0"/>
    <s v="San Jose, CA"/>
    <d v="2024-10-05T00:00:00"/>
    <d v="1899-12-30T18:00:00"/>
    <d v="2024-10-05T00:00:00"/>
    <d v="1899-12-30T18:20:00"/>
    <n v="20"/>
    <s v="Medium"/>
    <s v="Veg"/>
    <n v="2"/>
    <x v="2"/>
    <x v="2"/>
    <s v="Card"/>
    <x v="0"/>
    <x v="1"/>
    <n v="6.666666666666667"/>
    <n v="0.66666666666666663"/>
    <x v="9"/>
    <s v="Online"/>
    <n v="7.1999999999999993"/>
    <n v="12.8"/>
    <x v="0"/>
    <n v="4"/>
    <n v="1"/>
    <x v="0"/>
    <n v="30.259433962264151"/>
    <n v="0"/>
  </r>
  <r>
    <s v="ORD348"/>
    <x v="1"/>
    <s v="Austin, TX"/>
    <d v="2024-10-06T00:00:00"/>
    <d v="1899-12-30T19:15:00"/>
    <d v="2024-10-06T00:00:00"/>
    <d v="1899-12-30T19:45:00"/>
    <n v="30"/>
    <s v="Large"/>
    <s v="Non-Veg"/>
    <n v="4"/>
    <x v="7"/>
    <x v="0"/>
    <s v="Cash"/>
    <x v="0"/>
    <x v="1"/>
    <n v="5"/>
    <n v="0.66666666666666663"/>
    <x v="9"/>
    <s v="Offline"/>
    <n v="14.4"/>
    <n v="15.6"/>
    <x v="0"/>
    <n v="12"/>
    <n v="2"/>
    <x v="3"/>
    <n v="28.186274509803919"/>
    <n v="0"/>
  </r>
  <r>
    <s v="ORD349"/>
    <x v="3"/>
    <s v="San Diego, CA"/>
    <d v="2024-10-07T00:00:00"/>
    <d v="1899-12-30T20:30:00"/>
    <d v="2024-10-07T00:00:00"/>
    <d v="1899-12-30T21:10:00"/>
    <n v="40"/>
    <s v="XL"/>
    <s v="Cheese Burst"/>
    <n v="5"/>
    <x v="8"/>
    <x v="1"/>
    <s v="Hut Points"/>
    <x v="0"/>
    <x v="0"/>
    <n v="5"/>
    <n v="0.625"/>
    <x v="9"/>
    <s v="Offline"/>
    <n v="19.2"/>
    <n v="20.8"/>
    <x v="1"/>
    <n v="20"/>
    <n v="3"/>
    <x v="1"/>
    <n v="29.948453608247419"/>
    <n v="1"/>
  </r>
  <r>
    <s v="ORD350"/>
    <x v="2"/>
    <s v="Jacksonville, FL"/>
    <d v="2024-10-08T00:00:00"/>
    <d v="1899-12-30T18:45:00"/>
    <d v="2024-10-08T00:00:00"/>
    <d v="1899-12-30T19:05:00"/>
    <n v="20"/>
    <s v="Small"/>
    <s v="Vegan"/>
    <n v="1"/>
    <x v="0"/>
    <x v="2"/>
    <s v="Wallet"/>
    <x v="0"/>
    <x v="0"/>
    <n v="8"/>
    <n v="0.4"/>
    <x v="9"/>
    <s v="Online"/>
    <n v="6"/>
    <n v="14"/>
    <x v="0"/>
    <n v="1"/>
    <n v="1"/>
    <x v="0"/>
    <n v="28.844221105527641"/>
    <n v="0"/>
  </r>
  <r>
    <s v="ORD351"/>
    <x v="4"/>
    <s v="Fort Worth, TX"/>
    <d v="2024-10-09T00:00:00"/>
    <d v="1899-12-30T19:00:00"/>
    <d v="2024-10-09T00:00:00"/>
    <d v="1899-12-30T19:50:00"/>
    <n v="50"/>
    <s v="Large"/>
    <s v="Non-Veg"/>
    <n v="4"/>
    <x v="9"/>
    <x v="1"/>
    <s v="Card"/>
    <x v="0"/>
    <x v="0"/>
    <n v="5"/>
    <n v="0.4"/>
    <x v="9"/>
    <s v="Online"/>
    <n v="24"/>
    <n v="26"/>
    <x v="1"/>
    <n v="12"/>
    <n v="3"/>
    <x v="3"/>
    <n v="30.286458333333329"/>
    <n v="1"/>
  </r>
  <r>
    <s v="ORD352"/>
    <x v="0"/>
    <s v="Columbus, OH"/>
    <d v="2024-10-10T00:00:00"/>
    <d v="1899-12-30T20:00:00"/>
    <d v="2024-10-10T00:00:00"/>
    <d v="1899-12-30T20:35:00"/>
    <n v="35"/>
    <s v="Medium"/>
    <s v="Veg"/>
    <n v="3"/>
    <x v="10"/>
    <x v="0"/>
    <s v="Wallet"/>
    <x v="0"/>
    <x v="0"/>
    <n v="6.3636363636363633"/>
    <n v="0.54545454545454541"/>
    <x v="9"/>
    <s v="Online"/>
    <n v="13.2"/>
    <n v="21.8"/>
    <x v="1"/>
    <n v="6"/>
    <n v="2"/>
    <x v="1"/>
    <n v="30.259433962264151"/>
    <n v="1"/>
  </r>
  <r>
    <s v="ORD353"/>
    <x v="1"/>
    <s v="Charlotte, NC"/>
    <d v="2024-10-11T00:00:00"/>
    <d v="1899-12-30T18:30:00"/>
    <d v="2024-10-11T00:00:00"/>
    <d v="1899-12-30T18:50:00"/>
    <n v="20"/>
    <s v="Small"/>
    <s v="Vegan"/>
    <n v="2"/>
    <x v="4"/>
    <x v="2"/>
    <s v="UPI"/>
    <x v="0"/>
    <x v="0"/>
    <n v="10"/>
    <n v="1"/>
    <x v="9"/>
    <s v="Online"/>
    <n v="4.8"/>
    <n v="15.2"/>
    <x v="0"/>
    <n v="2"/>
    <n v="1"/>
    <x v="0"/>
    <n v="28.186274509803919"/>
    <n v="0"/>
  </r>
  <r>
    <s v="ORD354"/>
    <x v="3"/>
    <s v="Indianapolis, IN"/>
    <d v="2024-10-12T00:00:00"/>
    <d v="1899-12-30T19:45:00"/>
    <d v="2024-10-12T00:00:00"/>
    <d v="1899-12-30T20:25:00"/>
    <n v="40"/>
    <s v="XL"/>
    <s v="Cheese Burst"/>
    <n v="5"/>
    <x v="11"/>
    <x v="1"/>
    <s v="Hut Points"/>
    <x v="0"/>
    <x v="1"/>
    <n v="5.333333333333333"/>
    <n v="0.66666666666666663"/>
    <x v="9"/>
    <s v="Offline"/>
    <n v="18"/>
    <n v="22"/>
    <x v="1"/>
    <n v="20"/>
    <n v="3"/>
    <x v="3"/>
    <n v="29.948453608247419"/>
    <n v="1"/>
  </r>
  <r>
    <s v="ORD355"/>
    <x v="2"/>
    <s v="San Francisco, CA"/>
    <d v="2024-10-13T00:00:00"/>
    <d v="1899-12-30T18:00:00"/>
    <d v="2024-10-13T00:00:00"/>
    <d v="1899-12-30T18:30:00"/>
    <n v="30"/>
    <s v="Medium"/>
    <s v="Non-Veg"/>
    <n v="3"/>
    <x v="6"/>
    <x v="0"/>
    <s v="Cash"/>
    <x v="0"/>
    <x v="1"/>
    <n v="7.5"/>
    <n v="0.75"/>
    <x v="9"/>
    <s v="Offline"/>
    <n v="9.6"/>
    <n v="20.399999999999999"/>
    <x v="0"/>
    <n v="6"/>
    <n v="2"/>
    <x v="0"/>
    <n v="28.844221105527641"/>
    <n v="0"/>
  </r>
  <r>
    <s v="ORD356"/>
    <x v="4"/>
    <s v="Charlotte, NC"/>
    <d v="2024-10-14T00:00:00"/>
    <d v="1899-12-30T20:15:00"/>
    <d v="2024-10-14T00:00:00"/>
    <d v="1899-12-30T21:00:00"/>
    <n v="45"/>
    <s v="Large"/>
    <s v="Veg"/>
    <n v="4"/>
    <x v="12"/>
    <x v="1"/>
    <s v="Wallet"/>
    <x v="0"/>
    <x v="0"/>
    <n v="5"/>
    <n v="0.44444444444444442"/>
    <x v="9"/>
    <s v="Online"/>
    <n v="21.6"/>
    <n v="23.4"/>
    <x v="1"/>
    <n v="12"/>
    <n v="3"/>
    <x v="1"/>
    <n v="30.286458333333329"/>
    <n v="1"/>
  </r>
  <r>
    <s v="ORD357"/>
    <x v="0"/>
    <s v="Detroit, MI"/>
    <d v="2024-10-15T00:00:00"/>
    <d v="1899-12-30T18:00:00"/>
    <d v="2024-10-15T00:00:00"/>
    <d v="1899-12-30T18:20:00"/>
    <n v="20"/>
    <s v="Medium"/>
    <s v="Veg"/>
    <n v="2"/>
    <x v="2"/>
    <x v="2"/>
    <s v="Card"/>
    <x v="0"/>
    <x v="0"/>
    <n v="6.666666666666667"/>
    <n v="0.66666666666666663"/>
    <x v="9"/>
    <s v="Online"/>
    <n v="7.1999999999999993"/>
    <n v="12.8"/>
    <x v="0"/>
    <n v="4"/>
    <n v="1"/>
    <x v="0"/>
    <n v="30.259433962264151"/>
    <n v="0"/>
  </r>
  <r>
    <s v="ORD358"/>
    <x v="1"/>
    <s v="El Paso, TX"/>
    <d v="2024-10-16T00:00:00"/>
    <d v="1899-12-30T19:15:00"/>
    <d v="2024-10-16T00:00:00"/>
    <d v="1899-12-30T19:45:00"/>
    <n v="30"/>
    <s v="Large"/>
    <s v="Non-Veg"/>
    <n v="4"/>
    <x v="7"/>
    <x v="0"/>
    <s v="Wallet"/>
    <x v="0"/>
    <x v="0"/>
    <n v="5"/>
    <n v="0.66666666666666663"/>
    <x v="9"/>
    <s v="Online"/>
    <n v="14.4"/>
    <n v="15.6"/>
    <x v="0"/>
    <n v="12"/>
    <n v="2"/>
    <x v="3"/>
    <n v="28.186274509803919"/>
    <n v="0"/>
  </r>
  <r>
    <s v="ORD359"/>
    <x v="3"/>
    <s v="Memphis, TN"/>
    <d v="2024-10-17T00:00:00"/>
    <d v="1899-12-30T20:30:00"/>
    <d v="2024-10-17T00:00:00"/>
    <d v="1899-12-30T21:10:00"/>
    <n v="40"/>
    <s v="XL"/>
    <s v="Cheese Burst"/>
    <n v="5"/>
    <x v="8"/>
    <x v="1"/>
    <s v="Hut Points"/>
    <x v="0"/>
    <x v="0"/>
    <n v="5"/>
    <n v="0.625"/>
    <x v="9"/>
    <s v="Offline"/>
    <n v="19.2"/>
    <n v="20.8"/>
    <x v="1"/>
    <n v="20"/>
    <n v="3"/>
    <x v="1"/>
    <n v="29.948453608247419"/>
    <n v="1"/>
  </r>
  <r>
    <s v="ORD360"/>
    <x v="2"/>
    <s v="Baltimore, MD"/>
    <d v="2024-10-18T00:00:00"/>
    <d v="1899-12-30T18:45:00"/>
    <d v="2024-10-18T00:00:00"/>
    <d v="1899-12-30T19:05:00"/>
    <n v="20"/>
    <s v="Small"/>
    <s v="Vegan"/>
    <n v="1"/>
    <x v="0"/>
    <x v="2"/>
    <s v="Cash"/>
    <x v="0"/>
    <x v="0"/>
    <n v="8"/>
    <n v="0.4"/>
    <x v="9"/>
    <s v="Offline"/>
    <n v="6"/>
    <n v="14"/>
    <x v="0"/>
    <n v="1"/>
    <n v="1"/>
    <x v="0"/>
    <n v="28.844221105527641"/>
    <n v="0"/>
  </r>
  <r>
    <s v="ORD361"/>
    <x v="4"/>
    <s v="Boston, MA"/>
    <d v="2024-10-19T00:00:00"/>
    <d v="1899-12-30T19:00:00"/>
    <d v="2024-10-19T00:00:00"/>
    <d v="1899-12-30T19:50:00"/>
    <n v="50"/>
    <s v="Large"/>
    <s v="Non-Veg"/>
    <n v="4"/>
    <x v="9"/>
    <x v="1"/>
    <s v="Card"/>
    <x v="0"/>
    <x v="1"/>
    <n v="5"/>
    <n v="0.4"/>
    <x v="9"/>
    <s v="Online"/>
    <n v="24"/>
    <n v="26"/>
    <x v="1"/>
    <n v="12"/>
    <n v="3"/>
    <x v="3"/>
    <n v="30.286458333333329"/>
    <n v="1"/>
  </r>
  <r>
    <s v="ORD362"/>
    <x v="0"/>
    <s v="New York, NY"/>
    <d v="2024-10-20T00:00:00"/>
    <d v="1899-12-30T18:00:00"/>
    <d v="2024-10-20T00:00:00"/>
    <d v="1899-12-30T18:20:00"/>
    <n v="20"/>
    <s v="Medium"/>
    <s v="Veg"/>
    <n v="2"/>
    <x v="2"/>
    <x v="2"/>
    <s v="Domino's Cash"/>
    <x v="0"/>
    <x v="1"/>
    <n v="6.666666666666667"/>
    <n v="0.66666666666666663"/>
    <x v="9"/>
    <s v="Offline"/>
    <n v="7.1999999999999993"/>
    <n v="12.8"/>
    <x v="0"/>
    <n v="4"/>
    <n v="1"/>
    <x v="0"/>
    <n v="30.259433962264151"/>
    <n v="0"/>
  </r>
  <r>
    <s v="ORD363"/>
    <x v="0"/>
    <s v="Miami, FL"/>
    <d v="2024-10-21T00:00:00"/>
    <d v="1899-12-30T20:00:00"/>
    <d v="2024-10-21T00:00:00"/>
    <d v="1899-12-30T20:20:00"/>
    <n v="20"/>
    <s v="Medium"/>
    <s v="Veg"/>
    <n v="2"/>
    <x v="2"/>
    <x v="2"/>
    <s v="Card"/>
    <x v="0"/>
    <x v="0"/>
    <n v="6.666666666666667"/>
    <n v="0.66666666666666663"/>
    <x v="9"/>
    <s v="Online"/>
    <n v="7.1999999999999993"/>
    <n v="12.8"/>
    <x v="0"/>
    <n v="4"/>
    <n v="1"/>
    <x v="1"/>
    <n v="30.259433962264151"/>
    <n v="0"/>
  </r>
  <r>
    <s v="ORD364"/>
    <x v="1"/>
    <s v="Chicago, IL"/>
    <d v="2024-10-22T00:00:00"/>
    <d v="1899-12-30T19:15:00"/>
    <d v="2024-10-22T00:00:00"/>
    <d v="1899-12-30T19:45:00"/>
    <n v="30"/>
    <s v="Large"/>
    <s v="Non-Veg"/>
    <n v="4"/>
    <x v="7"/>
    <x v="0"/>
    <s v="UPI"/>
    <x v="0"/>
    <x v="0"/>
    <n v="5"/>
    <n v="0.66666666666666663"/>
    <x v="9"/>
    <s v="Online"/>
    <n v="14.4"/>
    <n v="15.6"/>
    <x v="0"/>
    <n v="12"/>
    <n v="2"/>
    <x v="3"/>
    <n v="28.186274509803919"/>
    <n v="0"/>
  </r>
  <r>
    <s v="ORD365"/>
    <x v="3"/>
    <s v="Los Angeles, CA"/>
    <d v="2024-10-23T00:00:00"/>
    <d v="1899-12-30T20:30:00"/>
    <d v="2024-10-23T00:00:00"/>
    <d v="1899-12-30T21:10:00"/>
    <n v="40"/>
    <s v="XL"/>
    <s v="Cheese Burst"/>
    <n v="5"/>
    <x v="8"/>
    <x v="1"/>
    <s v="Hut Points"/>
    <x v="0"/>
    <x v="0"/>
    <n v="5"/>
    <n v="0.625"/>
    <x v="9"/>
    <s v="Offline"/>
    <n v="19.2"/>
    <n v="20.8"/>
    <x v="1"/>
    <n v="20"/>
    <n v="3"/>
    <x v="1"/>
    <n v="29.948453608247419"/>
    <n v="1"/>
  </r>
  <r>
    <s v="ORD366"/>
    <x v="2"/>
    <s v="Houston, TX"/>
    <d v="2024-10-24T00:00:00"/>
    <d v="1899-12-30T18:45:00"/>
    <d v="2024-10-24T00:00:00"/>
    <d v="1899-12-30T19:05:00"/>
    <n v="20"/>
    <s v="Small"/>
    <s v="Vegan"/>
    <n v="1"/>
    <x v="0"/>
    <x v="2"/>
    <s v="Cash"/>
    <x v="0"/>
    <x v="0"/>
    <n v="8"/>
    <n v="0.4"/>
    <x v="9"/>
    <s v="Offline"/>
    <n v="6"/>
    <n v="14"/>
    <x v="0"/>
    <n v="1"/>
    <n v="1"/>
    <x v="0"/>
    <n v="28.844221105527641"/>
    <n v="0"/>
  </r>
  <r>
    <s v="ORD367"/>
    <x v="4"/>
    <s v="Phoenix, AZ"/>
    <d v="2024-10-25T00:00:00"/>
    <d v="1899-12-30T19:00:00"/>
    <d v="2024-10-25T00:00:00"/>
    <d v="1899-12-30T19:50:00"/>
    <n v="50"/>
    <s v="Large"/>
    <s v="Non-Veg"/>
    <n v="4"/>
    <x v="9"/>
    <x v="1"/>
    <s v="Card"/>
    <x v="0"/>
    <x v="0"/>
    <n v="5"/>
    <n v="0.4"/>
    <x v="9"/>
    <s v="Online"/>
    <n v="24"/>
    <n v="26"/>
    <x v="1"/>
    <n v="12"/>
    <n v="3"/>
    <x v="3"/>
    <n v="30.286458333333329"/>
    <n v="1"/>
  </r>
  <r>
    <s v="ORD368"/>
    <x v="0"/>
    <s v="Miami, FL"/>
    <d v="2024-10-26T00:00:00"/>
    <d v="1899-12-30T20:00:00"/>
    <d v="2024-10-26T00:00:00"/>
    <d v="1899-12-30T20:35:00"/>
    <n v="35"/>
    <s v="Medium"/>
    <s v="Veg"/>
    <n v="3"/>
    <x v="10"/>
    <x v="0"/>
    <s v="Wallet"/>
    <x v="0"/>
    <x v="1"/>
    <n v="6.3636363636363633"/>
    <n v="0.54545454545454541"/>
    <x v="9"/>
    <s v="Online"/>
    <n v="13.2"/>
    <n v="21.8"/>
    <x v="1"/>
    <n v="6"/>
    <n v="2"/>
    <x v="1"/>
    <n v="30.259433962264151"/>
    <n v="1"/>
  </r>
  <r>
    <s v="ORD369"/>
    <x v="1"/>
    <s v="Denver, CO"/>
    <d v="2024-10-27T00:00:00"/>
    <d v="1899-12-30T18:30:00"/>
    <d v="2024-10-27T00:00:00"/>
    <d v="1899-12-30T18:50:00"/>
    <n v="20"/>
    <s v="Small"/>
    <s v="Vegan"/>
    <n v="2"/>
    <x v="4"/>
    <x v="2"/>
    <s v="UPI"/>
    <x v="0"/>
    <x v="1"/>
    <n v="10"/>
    <n v="1"/>
    <x v="9"/>
    <s v="Online"/>
    <n v="4.8"/>
    <n v="15.2"/>
    <x v="0"/>
    <n v="2"/>
    <n v="1"/>
    <x v="0"/>
    <n v="28.186274509803919"/>
    <n v="0"/>
  </r>
  <r>
    <s v="ORD370"/>
    <x v="3"/>
    <s v="Boston, MA"/>
    <d v="2024-10-28T00:00:00"/>
    <d v="1899-12-30T19:45:00"/>
    <d v="2024-10-28T00:00:00"/>
    <d v="1899-12-30T20:25:00"/>
    <n v="40"/>
    <s v="XL"/>
    <s v="Cheese Burst"/>
    <n v="5"/>
    <x v="11"/>
    <x v="1"/>
    <s v="Hut Points"/>
    <x v="0"/>
    <x v="0"/>
    <n v="5.333333333333333"/>
    <n v="0.66666666666666663"/>
    <x v="9"/>
    <s v="Offline"/>
    <n v="18"/>
    <n v="22"/>
    <x v="1"/>
    <n v="20"/>
    <n v="3"/>
    <x v="3"/>
    <n v="29.948453608247419"/>
    <n v="1"/>
  </r>
  <r>
    <s v="ORD371"/>
    <x v="2"/>
    <s v="Dallas, TX"/>
    <d v="2024-10-29T00:00:00"/>
    <d v="1899-12-30T18:00:00"/>
    <d v="2024-10-29T00:00:00"/>
    <d v="1899-12-30T18:30:00"/>
    <n v="30"/>
    <s v="Medium"/>
    <s v="Non-Veg"/>
    <n v="3"/>
    <x v="6"/>
    <x v="0"/>
    <s v="Card"/>
    <x v="0"/>
    <x v="0"/>
    <n v="7.5"/>
    <n v="0.75"/>
    <x v="9"/>
    <s v="Online"/>
    <n v="9.6"/>
    <n v="20.399999999999999"/>
    <x v="0"/>
    <n v="6"/>
    <n v="2"/>
    <x v="0"/>
    <n v="28.844221105527641"/>
    <n v="0"/>
  </r>
  <r>
    <s v="ORD372"/>
    <x v="4"/>
    <s v="Seattle, WA"/>
    <d v="2024-10-30T00:00:00"/>
    <d v="1899-12-30T20:15:00"/>
    <d v="2024-10-30T00:00:00"/>
    <d v="1899-12-30T21:00:00"/>
    <n v="45"/>
    <s v="Large"/>
    <s v="Veg"/>
    <n v="4"/>
    <x v="12"/>
    <x v="1"/>
    <s v="Wallet"/>
    <x v="0"/>
    <x v="0"/>
    <n v="5"/>
    <n v="0.44444444444444442"/>
    <x v="9"/>
    <s v="Online"/>
    <n v="21.6"/>
    <n v="23.4"/>
    <x v="1"/>
    <n v="12"/>
    <n v="3"/>
    <x v="1"/>
    <n v="30.286458333333329"/>
    <n v="1"/>
  </r>
  <r>
    <s v="ORD373"/>
    <x v="0"/>
    <s v="San Jose, CA"/>
    <d v="2024-10-31T00:00:00"/>
    <d v="1899-12-30T18:00:00"/>
    <d v="2024-10-31T00:00:00"/>
    <d v="1899-12-30T18:20:00"/>
    <n v="20"/>
    <s v="Medium"/>
    <s v="Veg"/>
    <n v="2"/>
    <x v="2"/>
    <x v="2"/>
    <s v="Card"/>
    <x v="0"/>
    <x v="0"/>
    <n v="6.666666666666667"/>
    <n v="0.66666666666666663"/>
    <x v="9"/>
    <s v="Online"/>
    <n v="7.1999999999999993"/>
    <n v="12.8"/>
    <x v="0"/>
    <n v="4"/>
    <n v="1"/>
    <x v="0"/>
    <n v="30.259433962264151"/>
    <n v="0"/>
  </r>
  <r>
    <s v="ORD374"/>
    <x v="1"/>
    <s v="Austin, TX"/>
    <d v="2024-11-01T00:00:00"/>
    <d v="1899-12-30T19:15:00"/>
    <d v="2024-11-01T00:00:00"/>
    <d v="1899-12-30T19:45:00"/>
    <n v="30"/>
    <s v="Large"/>
    <s v="Non-Veg"/>
    <n v="4"/>
    <x v="7"/>
    <x v="0"/>
    <s v="Cash"/>
    <x v="0"/>
    <x v="0"/>
    <n v="5"/>
    <n v="0.66666666666666663"/>
    <x v="10"/>
    <s v="Offline"/>
    <n v="14.4"/>
    <n v="15.6"/>
    <x v="0"/>
    <n v="12"/>
    <n v="2"/>
    <x v="3"/>
    <n v="28.186274509803919"/>
    <n v="0"/>
  </r>
  <r>
    <s v="ORD375"/>
    <x v="3"/>
    <s v="San Diego, CA"/>
    <d v="2024-11-02T00:00:00"/>
    <d v="1899-12-30T20:30:00"/>
    <d v="2024-11-02T00:00:00"/>
    <d v="1899-12-30T21:10:00"/>
    <n v="40"/>
    <s v="XL"/>
    <s v="Cheese Burst"/>
    <n v="5"/>
    <x v="8"/>
    <x v="1"/>
    <s v="Hut Points"/>
    <x v="0"/>
    <x v="1"/>
    <n v="5"/>
    <n v="0.625"/>
    <x v="10"/>
    <s v="Offline"/>
    <n v="19.2"/>
    <n v="20.8"/>
    <x v="1"/>
    <n v="20"/>
    <n v="3"/>
    <x v="1"/>
    <n v="29.948453608247419"/>
    <n v="1"/>
  </r>
  <r>
    <s v="ORD376"/>
    <x v="2"/>
    <s v="Jacksonville, FL"/>
    <d v="2024-11-03T00:00:00"/>
    <d v="1899-12-30T18:45:00"/>
    <d v="2024-11-03T00:00:00"/>
    <d v="1899-12-30T19:05:00"/>
    <n v="20"/>
    <s v="Small"/>
    <s v="Vegan"/>
    <n v="1"/>
    <x v="0"/>
    <x v="2"/>
    <s v="Wallet"/>
    <x v="0"/>
    <x v="1"/>
    <n v="8"/>
    <n v="0.4"/>
    <x v="10"/>
    <s v="Online"/>
    <n v="6"/>
    <n v="14"/>
    <x v="0"/>
    <n v="1"/>
    <n v="1"/>
    <x v="0"/>
    <n v="28.844221105527641"/>
    <n v="0"/>
  </r>
  <r>
    <s v="ORD377"/>
    <x v="4"/>
    <s v="Fort Worth, TX"/>
    <d v="2024-11-04T00:00:00"/>
    <d v="1899-12-30T19:00:00"/>
    <d v="2024-11-04T00:00:00"/>
    <d v="1899-12-30T19:50:00"/>
    <n v="50"/>
    <s v="Large"/>
    <s v="Non-Veg"/>
    <n v="4"/>
    <x v="9"/>
    <x v="1"/>
    <s v="Card"/>
    <x v="0"/>
    <x v="0"/>
    <n v="5"/>
    <n v="0.4"/>
    <x v="10"/>
    <s v="Online"/>
    <n v="24"/>
    <n v="26"/>
    <x v="1"/>
    <n v="12"/>
    <n v="3"/>
    <x v="3"/>
    <n v="30.286458333333329"/>
    <n v="1"/>
  </r>
  <r>
    <s v="ORD378"/>
    <x v="0"/>
    <s v="Columbus, OH"/>
    <d v="2024-11-05T00:00:00"/>
    <d v="1899-12-30T20:00:00"/>
    <d v="2024-11-05T00:00:00"/>
    <d v="1899-12-30T20:35:00"/>
    <n v="35"/>
    <s v="Medium"/>
    <s v="Veg"/>
    <n v="3"/>
    <x v="10"/>
    <x v="0"/>
    <s v="Wallet"/>
    <x v="0"/>
    <x v="0"/>
    <n v="6.3636363636363633"/>
    <n v="0.54545454545454541"/>
    <x v="10"/>
    <s v="Online"/>
    <n v="13.2"/>
    <n v="21.8"/>
    <x v="1"/>
    <n v="6"/>
    <n v="2"/>
    <x v="1"/>
    <n v="30.259433962264151"/>
    <n v="1"/>
  </r>
  <r>
    <s v="ORD379"/>
    <x v="1"/>
    <s v="Charlotte, NC"/>
    <d v="2024-11-06T00:00:00"/>
    <d v="1899-12-30T18:30:00"/>
    <d v="2024-11-06T00:00:00"/>
    <d v="1899-12-30T18:50:00"/>
    <n v="20"/>
    <s v="Small"/>
    <s v="Vegan"/>
    <n v="2"/>
    <x v="4"/>
    <x v="2"/>
    <s v="UPI"/>
    <x v="0"/>
    <x v="0"/>
    <n v="10"/>
    <n v="1"/>
    <x v="10"/>
    <s v="Online"/>
    <n v="4.8"/>
    <n v="15.2"/>
    <x v="0"/>
    <n v="2"/>
    <n v="1"/>
    <x v="0"/>
    <n v="28.186274509803919"/>
    <n v="0"/>
  </r>
  <r>
    <s v="ORD380"/>
    <x v="3"/>
    <s v="Indianapolis, IN"/>
    <d v="2024-11-07T00:00:00"/>
    <d v="1899-12-30T19:45:00"/>
    <d v="2024-11-07T00:00:00"/>
    <d v="1899-12-30T20:25:00"/>
    <n v="40"/>
    <s v="XL"/>
    <s v="Cheese Burst"/>
    <n v="5"/>
    <x v="11"/>
    <x v="1"/>
    <s v="Hut Points"/>
    <x v="0"/>
    <x v="0"/>
    <n v="5.333333333333333"/>
    <n v="0.66666666666666663"/>
    <x v="10"/>
    <s v="Offline"/>
    <n v="18"/>
    <n v="22"/>
    <x v="1"/>
    <n v="20"/>
    <n v="3"/>
    <x v="3"/>
    <n v="29.948453608247419"/>
    <n v="1"/>
  </r>
  <r>
    <s v="ORD381"/>
    <x v="2"/>
    <s v="San Francisco, CA"/>
    <d v="2024-11-08T00:00:00"/>
    <d v="1899-12-30T18:00:00"/>
    <d v="2024-11-08T00:00:00"/>
    <d v="1899-12-30T18:30:00"/>
    <n v="30"/>
    <s v="Medium"/>
    <s v="Non-Veg"/>
    <n v="3"/>
    <x v="6"/>
    <x v="0"/>
    <s v="UPI"/>
    <x v="0"/>
    <x v="0"/>
    <n v="7.5"/>
    <n v="0.75"/>
    <x v="10"/>
    <s v="Online"/>
    <n v="9.6"/>
    <n v="20.399999999999999"/>
    <x v="0"/>
    <n v="6"/>
    <n v="2"/>
    <x v="0"/>
    <n v="28.844221105527641"/>
    <n v="0"/>
  </r>
  <r>
    <s v="ORD382"/>
    <x v="4"/>
    <s v="Charlotte, NC"/>
    <d v="2024-11-09T00:00:00"/>
    <d v="1899-12-30T20:15:00"/>
    <d v="2024-11-09T00:00:00"/>
    <d v="1899-12-30T21:00:00"/>
    <n v="45"/>
    <s v="Large"/>
    <s v="Veg"/>
    <n v="4"/>
    <x v="12"/>
    <x v="1"/>
    <s v="Cash"/>
    <x v="0"/>
    <x v="1"/>
    <n v="5"/>
    <n v="0.44444444444444442"/>
    <x v="10"/>
    <s v="Offline"/>
    <n v="21.6"/>
    <n v="23.4"/>
    <x v="1"/>
    <n v="12"/>
    <n v="3"/>
    <x v="1"/>
    <n v="30.286458333333329"/>
    <n v="1"/>
  </r>
  <r>
    <s v="ORD383"/>
    <x v="0"/>
    <s v="Detroit, MI"/>
    <d v="2024-11-10T00:00:00"/>
    <d v="1899-12-30T18:00:00"/>
    <d v="2024-11-10T00:00:00"/>
    <d v="1899-12-30T18:20:00"/>
    <n v="20"/>
    <s v="Medium"/>
    <s v="Veg"/>
    <n v="2"/>
    <x v="2"/>
    <x v="2"/>
    <s v="Card"/>
    <x v="0"/>
    <x v="1"/>
    <n v="6.666666666666667"/>
    <n v="0.66666666666666663"/>
    <x v="10"/>
    <s v="Online"/>
    <n v="7.1999999999999993"/>
    <n v="12.8"/>
    <x v="0"/>
    <n v="4"/>
    <n v="1"/>
    <x v="0"/>
    <n v="30.259433962264151"/>
    <n v="0"/>
  </r>
  <r>
    <s v="ORD384"/>
    <x v="1"/>
    <s v="El Paso, TX"/>
    <d v="2024-11-11T00:00:00"/>
    <d v="1899-12-30T19:15:00"/>
    <d v="2024-11-11T00:00:00"/>
    <d v="1899-12-30T19:45:00"/>
    <n v="30"/>
    <s v="Large"/>
    <s v="Non-Veg"/>
    <n v="4"/>
    <x v="7"/>
    <x v="0"/>
    <s v="Wallet"/>
    <x v="0"/>
    <x v="0"/>
    <n v="5"/>
    <n v="0.66666666666666663"/>
    <x v="10"/>
    <s v="Online"/>
    <n v="14.4"/>
    <n v="15.6"/>
    <x v="0"/>
    <n v="12"/>
    <n v="2"/>
    <x v="3"/>
    <n v="28.186274509803919"/>
    <n v="0"/>
  </r>
  <r>
    <s v="ORD385"/>
    <x v="3"/>
    <s v="Memphis, TN"/>
    <d v="2024-11-12T00:00:00"/>
    <d v="1899-12-30T20:30:00"/>
    <d v="2024-11-12T00:00:00"/>
    <d v="1899-12-30T21:10:00"/>
    <n v="40"/>
    <s v="XL"/>
    <s v="Cheese Burst"/>
    <n v="5"/>
    <x v="8"/>
    <x v="1"/>
    <s v="Hut Points"/>
    <x v="0"/>
    <x v="0"/>
    <n v="5"/>
    <n v="0.625"/>
    <x v="10"/>
    <s v="Offline"/>
    <n v="19.2"/>
    <n v="20.8"/>
    <x v="1"/>
    <n v="20"/>
    <n v="3"/>
    <x v="1"/>
    <n v="29.948453608247419"/>
    <n v="1"/>
  </r>
  <r>
    <s v="ORD386"/>
    <x v="2"/>
    <s v="Baltimore, MD"/>
    <d v="2024-11-13T00:00:00"/>
    <d v="1899-12-30T18:45:00"/>
    <d v="2024-11-13T00:00:00"/>
    <d v="1899-12-30T19:05:00"/>
    <n v="20"/>
    <s v="Small"/>
    <s v="Vegan"/>
    <n v="1"/>
    <x v="0"/>
    <x v="2"/>
    <s v="Cash"/>
    <x v="0"/>
    <x v="0"/>
    <n v="8"/>
    <n v="0.4"/>
    <x v="10"/>
    <s v="Offline"/>
    <n v="6"/>
    <n v="14"/>
    <x v="0"/>
    <n v="1"/>
    <n v="1"/>
    <x v="0"/>
    <n v="28.844221105527641"/>
    <n v="0"/>
  </r>
  <r>
    <s v="ORD387"/>
    <x v="4"/>
    <s v="Boston, MA"/>
    <d v="2024-11-14T00:00:00"/>
    <d v="1899-12-30T19:00:00"/>
    <d v="2024-11-14T00:00:00"/>
    <d v="1899-12-30T19:50:00"/>
    <n v="50"/>
    <s v="Large"/>
    <s v="Non-Veg"/>
    <n v="4"/>
    <x v="9"/>
    <x v="1"/>
    <s v="Card"/>
    <x v="0"/>
    <x v="0"/>
    <n v="5"/>
    <n v="0.4"/>
    <x v="10"/>
    <s v="Online"/>
    <n v="24"/>
    <n v="26"/>
    <x v="1"/>
    <n v="12"/>
    <n v="3"/>
    <x v="3"/>
    <n v="30.286458333333329"/>
    <n v="1"/>
  </r>
  <r>
    <s v="ORD388"/>
    <x v="0"/>
    <s v="New York, NY"/>
    <d v="2024-11-15T00:00:00"/>
    <d v="1899-12-30T18:00:00"/>
    <d v="2024-11-15T00:00:00"/>
    <d v="1899-12-30T18:20:00"/>
    <n v="20"/>
    <s v="Medium"/>
    <s v="Veg"/>
    <n v="2"/>
    <x v="2"/>
    <x v="2"/>
    <s v="Domino's Cash"/>
    <x v="0"/>
    <x v="0"/>
    <n v="6.666666666666667"/>
    <n v="0.66666666666666663"/>
    <x v="10"/>
    <s v="Offline"/>
    <n v="7.1999999999999993"/>
    <n v="12.8"/>
    <x v="0"/>
    <n v="4"/>
    <n v="1"/>
    <x v="0"/>
    <n v="30.259433962264151"/>
    <n v="0"/>
  </r>
  <r>
    <s v="ORD389"/>
    <x v="0"/>
    <s v="Miami, FL"/>
    <d v="2024-11-16T00:00:00"/>
    <d v="1899-12-30T20:00:00"/>
    <d v="2024-11-16T00:00:00"/>
    <d v="1899-12-30T20:20:00"/>
    <n v="20"/>
    <s v="Medium"/>
    <s v="Veg"/>
    <n v="2"/>
    <x v="2"/>
    <x v="2"/>
    <s v="Card"/>
    <x v="0"/>
    <x v="1"/>
    <n v="6.666666666666667"/>
    <n v="0.66666666666666663"/>
    <x v="10"/>
    <s v="Online"/>
    <n v="7.1999999999999993"/>
    <n v="12.8"/>
    <x v="0"/>
    <n v="4"/>
    <n v="1"/>
    <x v="1"/>
    <n v="30.259433962264151"/>
    <n v="0"/>
  </r>
  <r>
    <s v="ORD390"/>
    <x v="1"/>
    <s v="Chicago, IL"/>
    <d v="2024-11-17T00:00:00"/>
    <d v="1899-12-30T19:15:00"/>
    <d v="2024-11-17T00:00:00"/>
    <d v="1899-12-30T19:45:00"/>
    <n v="30"/>
    <s v="Large"/>
    <s v="Non-Veg"/>
    <n v="4"/>
    <x v="7"/>
    <x v="0"/>
    <s v="UPI"/>
    <x v="0"/>
    <x v="1"/>
    <n v="5"/>
    <n v="0.66666666666666663"/>
    <x v="10"/>
    <s v="Online"/>
    <n v="14.4"/>
    <n v="15.6"/>
    <x v="0"/>
    <n v="12"/>
    <n v="2"/>
    <x v="3"/>
    <n v="28.186274509803919"/>
    <n v="0"/>
  </r>
  <r>
    <s v="ORD391"/>
    <x v="3"/>
    <s v="Los Angeles, CA"/>
    <d v="2024-11-18T00:00:00"/>
    <d v="1899-12-30T20:30:00"/>
    <d v="2024-11-18T00:00:00"/>
    <d v="1899-12-30T21:10:00"/>
    <n v="40"/>
    <s v="XL"/>
    <s v="Cheese Burst"/>
    <n v="5"/>
    <x v="8"/>
    <x v="1"/>
    <s v="Hut Points"/>
    <x v="0"/>
    <x v="0"/>
    <n v="5"/>
    <n v="0.625"/>
    <x v="10"/>
    <s v="Offline"/>
    <n v="19.2"/>
    <n v="20.8"/>
    <x v="1"/>
    <n v="20"/>
    <n v="3"/>
    <x v="1"/>
    <n v="29.948453608247419"/>
    <n v="1"/>
  </r>
  <r>
    <s v="ORD392"/>
    <x v="2"/>
    <s v="Houston, TX"/>
    <d v="2024-11-19T00:00:00"/>
    <d v="1899-12-30T18:45:00"/>
    <d v="2024-11-19T00:00:00"/>
    <d v="1899-12-30T19:05:00"/>
    <n v="20"/>
    <s v="Small"/>
    <s v="Vegan"/>
    <n v="1"/>
    <x v="0"/>
    <x v="2"/>
    <s v="Cash"/>
    <x v="0"/>
    <x v="0"/>
    <n v="8"/>
    <n v="0.4"/>
    <x v="10"/>
    <s v="Offline"/>
    <n v="6"/>
    <n v="14"/>
    <x v="0"/>
    <n v="1"/>
    <n v="1"/>
    <x v="0"/>
    <n v="28.844221105527641"/>
    <n v="0"/>
  </r>
  <r>
    <s v="ORD393"/>
    <x v="4"/>
    <s v="Phoenix, AZ"/>
    <d v="2024-11-20T00:00:00"/>
    <d v="1899-12-30T19:00:00"/>
    <d v="2024-11-20T00:00:00"/>
    <d v="1899-12-30T19:50:00"/>
    <n v="50"/>
    <s v="Large"/>
    <s v="Non-Veg"/>
    <n v="4"/>
    <x v="9"/>
    <x v="1"/>
    <s v="Card"/>
    <x v="0"/>
    <x v="0"/>
    <n v="5"/>
    <n v="0.4"/>
    <x v="10"/>
    <s v="Online"/>
    <n v="24"/>
    <n v="26"/>
    <x v="1"/>
    <n v="12"/>
    <n v="3"/>
    <x v="3"/>
    <n v="30.286458333333329"/>
    <n v="1"/>
  </r>
  <r>
    <s v="ORD394"/>
    <x v="0"/>
    <s v="Miami, FL"/>
    <d v="2024-11-21T00:00:00"/>
    <d v="1899-12-30T20:00:00"/>
    <d v="2024-11-21T00:00:00"/>
    <d v="1899-12-30T20:35:00"/>
    <n v="35"/>
    <s v="Medium"/>
    <s v="Gluten-Free"/>
    <n v="3"/>
    <x v="10"/>
    <x v="0"/>
    <s v="Wallet"/>
    <x v="0"/>
    <x v="0"/>
    <n v="6.3636363636363633"/>
    <n v="0.54545454545454541"/>
    <x v="10"/>
    <s v="Online"/>
    <n v="13.2"/>
    <n v="21.8"/>
    <x v="1"/>
    <n v="6"/>
    <n v="2"/>
    <x v="1"/>
    <n v="30.259433962264151"/>
    <n v="1"/>
  </r>
  <r>
    <s v="ORD395"/>
    <x v="1"/>
    <s v="Denver, CO"/>
    <d v="2024-11-22T00:00:00"/>
    <d v="1899-12-30T18:30:00"/>
    <d v="2024-11-22T00:00:00"/>
    <d v="1899-12-30T18:50:00"/>
    <n v="20"/>
    <s v="Small"/>
    <s v="Vegan"/>
    <n v="2"/>
    <x v="4"/>
    <x v="2"/>
    <s v="UPI"/>
    <x v="0"/>
    <x v="0"/>
    <n v="10"/>
    <n v="1"/>
    <x v="10"/>
    <s v="Online"/>
    <n v="4.8"/>
    <n v="15.2"/>
    <x v="0"/>
    <n v="2"/>
    <n v="1"/>
    <x v="0"/>
    <n v="28.186274509803919"/>
    <n v="0"/>
  </r>
  <r>
    <s v="ORD396"/>
    <x v="3"/>
    <s v="Boston, MA"/>
    <d v="2024-11-23T00:00:00"/>
    <d v="1899-12-30T19:45:00"/>
    <d v="2024-11-23T00:00:00"/>
    <d v="1899-12-30T20:25:00"/>
    <n v="40"/>
    <s v="XL"/>
    <s v="Stuffed Crust"/>
    <n v="5"/>
    <x v="11"/>
    <x v="1"/>
    <s v="Hut Points"/>
    <x v="0"/>
    <x v="1"/>
    <n v="5.333333333333333"/>
    <n v="0.66666666666666663"/>
    <x v="10"/>
    <s v="Offline"/>
    <n v="18"/>
    <n v="22"/>
    <x v="1"/>
    <n v="20"/>
    <n v="3"/>
    <x v="3"/>
    <n v="29.948453608247419"/>
    <n v="1"/>
  </r>
  <r>
    <s v="ORD397"/>
    <x v="2"/>
    <s v="Dallas, TX"/>
    <d v="2024-11-24T00:00:00"/>
    <d v="1899-12-30T18:00:00"/>
    <d v="2024-11-24T00:00:00"/>
    <d v="1899-12-30T18:30:00"/>
    <n v="30"/>
    <s v="Medium"/>
    <s v="Non-Veg"/>
    <n v="3"/>
    <x v="6"/>
    <x v="0"/>
    <s v="Card"/>
    <x v="0"/>
    <x v="1"/>
    <n v="7.5"/>
    <n v="0.75"/>
    <x v="10"/>
    <s v="Online"/>
    <n v="9.6"/>
    <n v="20.399999999999999"/>
    <x v="0"/>
    <n v="6"/>
    <n v="2"/>
    <x v="0"/>
    <n v="28.844221105527641"/>
    <n v="0"/>
  </r>
  <r>
    <s v="ORD398"/>
    <x v="4"/>
    <s v="Seattle, WA"/>
    <d v="2024-11-25T00:00:00"/>
    <d v="1899-12-30T20:15:00"/>
    <d v="2024-11-25T00:00:00"/>
    <d v="1899-12-30T21:00:00"/>
    <n v="45"/>
    <s v="Large"/>
    <s v="Veg"/>
    <n v="4"/>
    <x v="12"/>
    <x v="1"/>
    <s v="Wallet"/>
    <x v="0"/>
    <x v="0"/>
    <n v="5"/>
    <n v="0.44444444444444442"/>
    <x v="10"/>
    <s v="Online"/>
    <n v="21.6"/>
    <n v="23.4"/>
    <x v="1"/>
    <n v="12"/>
    <n v="3"/>
    <x v="1"/>
    <n v="30.286458333333329"/>
    <n v="1"/>
  </r>
  <r>
    <s v="ORD399"/>
    <x v="0"/>
    <s v="San Jose, CA"/>
    <d v="2024-11-26T00:00:00"/>
    <d v="1899-12-30T18:00:00"/>
    <d v="2024-11-26T00:00:00"/>
    <d v="1899-12-30T18:20:00"/>
    <n v="20"/>
    <s v="Medium"/>
    <s v="Veg"/>
    <n v="2"/>
    <x v="2"/>
    <x v="2"/>
    <s v="Card"/>
    <x v="0"/>
    <x v="0"/>
    <n v="6.666666666666667"/>
    <n v="0.66666666666666663"/>
    <x v="10"/>
    <s v="Online"/>
    <n v="7.1999999999999993"/>
    <n v="12.8"/>
    <x v="0"/>
    <n v="4"/>
    <n v="1"/>
    <x v="0"/>
    <n v="30.259433962264151"/>
    <n v="0"/>
  </r>
  <r>
    <s v="ORD400"/>
    <x v="1"/>
    <s v="Austin, TX"/>
    <d v="2024-11-27T00:00:00"/>
    <d v="1899-12-30T19:15:00"/>
    <d v="2024-11-27T00:00:00"/>
    <d v="1899-12-30T19:45:00"/>
    <n v="30"/>
    <s v="Large"/>
    <s v="Non-Veg"/>
    <n v="4"/>
    <x v="7"/>
    <x v="0"/>
    <s v="Cash"/>
    <x v="0"/>
    <x v="0"/>
    <n v="5"/>
    <n v="0.66666666666666663"/>
    <x v="10"/>
    <s v="Offline"/>
    <n v="14.4"/>
    <n v="15.6"/>
    <x v="0"/>
    <n v="12"/>
    <n v="2"/>
    <x v="3"/>
    <n v="28.186274509803919"/>
    <n v="0"/>
  </r>
  <r>
    <s v="ORD401"/>
    <x v="3"/>
    <s v="San Diego, CA"/>
    <d v="2024-11-28T00:00:00"/>
    <d v="1899-12-30T20:30:00"/>
    <d v="2024-11-28T00:00:00"/>
    <d v="1899-12-30T21:10:00"/>
    <n v="40"/>
    <s v="XL"/>
    <s v="Cheese Burst"/>
    <n v="5"/>
    <x v="8"/>
    <x v="1"/>
    <s v="Hut Points"/>
    <x v="0"/>
    <x v="0"/>
    <n v="5"/>
    <n v="0.625"/>
    <x v="10"/>
    <s v="Offline"/>
    <n v="19.2"/>
    <n v="20.8"/>
    <x v="1"/>
    <n v="20"/>
    <n v="3"/>
    <x v="1"/>
    <n v="29.948453608247419"/>
    <n v="1"/>
  </r>
  <r>
    <s v="ORD402"/>
    <x v="2"/>
    <s v="Jacksonville, FL"/>
    <d v="2024-11-29T00:00:00"/>
    <d v="1899-12-30T18:45:00"/>
    <d v="2024-11-29T00:00:00"/>
    <d v="1899-12-30T19:05:00"/>
    <n v="20"/>
    <s v="Small"/>
    <s v="Vegan"/>
    <n v="1"/>
    <x v="0"/>
    <x v="2"/>
    <s v="Wallet"/>
    <x v="0"/>
    <x v="0"/>
    <n v="8"/>
    <n v="0.4"/>
    <x v="10"/>
    <s v="Online"/>
    <n v="6"/>
    <n v="14"/>
    <x v="0"/>
    <n v="1"/>
    <n v="1"/>
    <x v="0"/>
    <n v="28.844221105527641"/>
    <n v="0"/>
  </r>
  <r>
    <s v="ORD403"/>
    <x v="4"/>
    <s v="Fort Worth, TX"/>
    <d v="2024-11-30T00:00:00"/>
    <d v="1899-12-30T19:00:00"/>
    <d v="2024-11-30T00:00:00"/>
    <d v="1899-12-30T19:50:00"/>
    <n v="50"/>
    <s v="Large"/>
    <s v="Non-Veg"/>
    <n v="4"/>
    <x v="9"/>
    <x v="1"/>
    <s v="Card"/>
    <x v="0"/>
    <x v="1"/>
    <n v="5"/>
    <n v="0.4"/>
    <x v="10"/>
    <s v="Online"/>
    <n v="24"/>
    <n v="26"/>
    <x v="1"/>
    <n v="12"/>
    <n v="3"/>
    <x v="3"/>
    <n v="30.286458333333329"/>
    <n v="1"/>
  </r>
  <r>
    <s v="ORD404"/>
    <x v="0"/>
    <s v="Columbus, OH"/>
    <d v="2024-12-01T00:00:00"/>
    <d v="1899-12-30T20:00:00"/>
    <d v="2024-12-01T00:00:00"/>
    <d v="1899-12-30T20:35:00"/>
    <n v="35"/>
    <s v="Medium"/>
    <s v="Veg"/>
    <n v="3"/>
    <x v="10"/>
    <x v="0"/>
    <s v="Wallet"/>
    <x v="0"/>
    <x v="1"/>
    <n v="6.3636363636363633"/>
    <n v="0.54545454545454541"/>
    <x v="11"/>
    <s v="Online"/>
    <n v="13.2"/>
    <n v="21.8"/>
    <x v="1"/>
    <n v="6"/>
    <n v="2"/>
    <x v="1"/>
    <n v="30.259433962264151"/>
    <n v="1"/>
  </r>
  <r>
    <s v="ORD405"/>
    <x v="1"/>
    <s v="Charlotte, NC"/>
    <d v="2024-12-02T00:00:00"/>
    <d v="1899-12-30T18:30:00"/>
    <d v="2024-12-02T00:00:00"/>
    <d v="1899-12-30T18:50:00"/>
    <n v="20"/>
    <s v="Small"/>
    <s v="Vegan"/>
    <n v="2"/>
    <x v="4"/>
    <x v="2"/>
    <s v="UPI"/>
    <x v="0"/>
    <x v="0"/>
    <n v="10"/>
    <n v="1"/>
    <x v="11"/>
    <s v="Online"/>
    <n v="4.8"/>
    <n v="15.2"/>
    <x v="0"/>
    <n v="2"/>
    <n v="1"/>
    <x v="0"/>
    <n v="28.186274509803919"/>
    <n v="0"/>
  </r>
  <r>
    <s v="ORD406"/>
    <x v="3"/>
    <s v="Indianapolis, IN"/>
    <d v="2024-12-03T00:00:00"/>
    <d v="1899-12-30T19:45:00"/>
    <d v="2024-12-03T00:00:00"/>
    <d v="1899-12-30T20:25:00"/>
    <n v="40"/>
    <s v="XL"/>
    <s v="Stuffed Crust"/>
    <n v="5"/>
    <x v="11"/>
    <x v="1"/>
    <s v="Hut Points"/>
    <x v="0"/>
    <x v="0"/>
    <n v="5.333333333333333"/>
    <n v="0.66666666666666663"/>
    <x v="11"/>
    <s v="Offline"/>
    <n v="18"/>
    <n v="22"/>
    <x v="1"/>
    <n v="20"/>
    <n v="3"/>
    <x v="3"/>
    <n v="29.948453608247419"/>
    <n v="1"/>
  </r>
  <r>
    <s v="ORD407"/>
    <x v="2"/>
    <s v="San Francisco, CA"/>
    <d v="2024-12-04T00:00:00"/>
    <d v="1899-12-30T18:00:00"/>
    <d v="2024-12-04T00:00:00"/>
    <d v="1899-12-30T18:30:00"/>
    <n v="30"/>
    <s v="Medium"/>
    <s v="Non-Veg"/>
    <n v="3"/>
    <x v="6"/>
    <x v="0"/>
    <s v="UPI"/>
    <x v="0"/>
    <x v="0"/>
    <n v="7.5"/>
    <n v="0.75"/>
    <x v="11"/>
    <s v="Online"/>
    <n v="9.6"/>
    <n v="20.399999999999999"/>
    <x v="0"/>
    <n v="6"/>
    <n v="2"/>
    <x v="0"/>
    <n v="28.844221105527641"/>
    <n v="0"/>
  </r>
  <r>
    <s v="ORD408"/>
    <x v="4"/>
    <s v="Charlotte, NC"/>
    <d v="2024-12-05T00:00:00"/>
    <d v="1899-12-30T20:15:00"/>
    <d v="2024-12-05T00:00:00"/>
    <d v="1899-12-30T21:00:00"/>
    <n v="45"/>
    <s v="Large"/>
    <s v="Veg"/>
    <n v="4"/>
    <x v="12"/>
    <x v="1"/>
    <s v="Cash"/>
    <x v="0"/>
    <x v="0"/>
    <n v="5"/>
    <n v="0.44444444444444442"/>
    <x v="11"/>
    <s v="Offline"/>
    <n v="21.6"/>
    <n v="23.4"/>
    <x v="1"/>
    <n v="12"/>
    <n v="3"/>
    <x v="1"/>
    <n v="30.286458333333329"/>
    <n v="1"/>
  </r>
  <r>
    <s v="ORD409"/>
    <x v="0"/>
    <s v="Detroit, MI"/>
    <d v="2024-12-06T00:00:00"/>
    <d v="1899-12-30T18:00:00"/>
    <d v="2024-12-06T00:00:00"/>
    <d v="1899-12-30T18:20:00"/>
    <n v="20"/>
    <s v="Medium"/>
    <s v="Veg"/>
    <n v="2"/>
    <x v="2"/>
    <x v="2"/>
    <s v="Card"/>
    <x v="0"/>
    <x v="0"/>
    <n v="6.666666666666667"/>
    <n v="0.66666666666666663"/>
    <x v="11"/>
    <s v="Online"/>
    <n v="7.1999999999999993"/>
    <n v="12.8"/>
    <x v="0"/>
    <n v="4"/>
    <n v="1"/>
    <x v="0"/>
    <n v="30.259433962264151"/>
    <n v="0"/>
  </r>
  <r>
    <s v="ORD410"/>
    <x v="1"/>
    <s v="El Paso, TX"/>
    <d v="2024-12-07T00:00:00"/>
    <d v="1899-12-30T19:15:00"/>
    <d v="2024-12-07T00:00:00"/>
    <d v="1899-12-30T19:45:00"/>
    <n v="30"/>
    <s v="Large"/>
    <s v="Non-Veg"/>
    <n v="4"/>
    <x v="7"/>
    <x v="0"/>
    <s v="Wallet"/>
    <x v="0"/>
    <x v="1"/>
    <n v="5"/>
    <n v="0.66666666666666663"/>
    <x v="11"/>
    <s v="Online"/>
    <n v="14.4"/>
    <n v="15.6"/>
    <x v="0"/>
    <n v="12"/>
    <n v="2"/>
    <x v="3"/>
    <n v="28.186274509803919"/>
    <n v="0"/>
  </r>
  <r>
    <s v="ORD411"/>
    <x v="3"/>
    <s v="Memphis, TN"/>
    <d v="2024-12-08T00:00:00"/>
    <d v="1899-12-30T20:30:00"/>
    <d v="2024-12-08T00:00:00"/>
    <d v="1899-12-30T21:10:00"/>
    <n v="40"/>
    <s v="XL"/>
    <s v="Cheese Burst"/>
    <n v="5"/>
    <x v="8"/>
    <x v="1"/>
    <s v="Hut Points"/>
    <x v="0"/>
    <x v="1"/>
    <n v="5"/>
    <n v="0.625"/>
    <x v="11"/>
    <s v="Offline"/>
    <n v="19.2"/>
    <n v="20.8"/>
    <x v="1"/>
    <n v="20"/>
    <n v="3"/>
    <x v="1"/>
    <n v="29.948453608247419"/>
    <n v="1"/>
  </r>
  <r>
    <s v="ORD412"/>
    <x v="2"/>
    <s v="Baltimore, MD"/>
    <d v="2024-12-09T00:00:00"/>
    <d v="1899-12-30T18:45:00"/>
    <d v="2024-12-09T00:00:00"/>
    <d v="1899-12-30T19:05:00"/>
    <n v="20"/>
    <s v="Small"/>
    <s v="Vegan"/>
    <n v="1"/>
    <x v="0"/>
    <x v="2"/>
    <s v="Cash"/>
    <x v="0"/>
    <x v="0"/>
    <n v="8"/>
    <n v="0.4"/>
    <x v="11"/>
    <s v="Offline"/>
    <n v="6"/>
    <n v="14"/>
    <x v="0"/>
    <n v="1"/>
    <n v="1"/>
    <x v="0"/>
    <n v="28.844221105527641"/>
    <n v="0"/>
  </r>
  <r>
    <s v="ORD413"/>
    <x v="4"/>
    <s v="Boston, MA"/>
    <d v="2024-12-10T00:00:00"/>
    <d v="1899-12-30T19:00:00"/>
    <d v="2024-12-10T00:00:00"/>
    <d v="1899-12-30T19:50:00"/>
    <n v="50"/>
    <s v="Large"/>
    <s v="Non-Veg"/>
    <n v="4"/>
    <x v="9"/>
    <x v="1"/>
    <s v="Card"/>
    <x v="0"/>
    <x v="0"/>
    <n v="5"/>
    <n v="0.4"/>
    <x v="11"/>
    <s v="Online"/>
    <n v="24"/>
    <n v="26"/>
    <x v="1"/>
    <n v="12"/>
    <n v="3"/>
    <x v="3"/>
    <n v="30.286458333333329"/>
    <n v="1"/>
  </r>
  <r>
    <s v="ORD414"/>
    <x v="0"/>
    <s v="New York, NY"/>
    <d v="2024-12-11T00:00:00"/>
    <d v="1899-12-30T18:00:00"/>
    <d v="2024-12-11T00:00:00"/>
    <d v="1899-12-30T18:20:00"/>
    <n v="20"/>
    <s v="Medium"/>
    <s v="Veg"/>
    <n v="2"/>
    <x v="2"/>
    <x v="2"/>
    <s v="Domino's Cash"/>
    <x v="0"/>
    <x v="0"/>
    <n v="6.666666666666667"/>
    <n v="0.66666666666666663"/>
    <x v="11"/>
    <s v="Offline"/>
    <n v="7.1999999999999993"/>
    <n v="12.8"/>
    <x v="0"/>
    <n v="4"/>
    <n v="1"/>
    <x v="0"/>
    <n v="30.259433962264151"/>
    <n v="0"/>
  </r>
  <r>
    <s v="ORD415"/>
    <x v="0"/>
    <s v="Miami, FL"/>
    <d v="2024-12-12T00:00:00"/>
    <d v="1899-12-30T20:00:00"/>
    <d v="2024-12-12T00:00:00"/>
    <d v="1899-12-30T20:20:00"/>
    <n v="20"/>
    <s v="Medium"/>
    <s v="Thin Crust"/>
    <n v="2"/>
    <x v="2"/>
    <x v="2"/>
    <s v="Card"/>
    <x v="0"/>
    <x v="0"/>
    <n v="6.666666666666667"/>
    <n v="0.66666666666666663"/>
    <x v="11"/>
    <s v="Online"/>
    <n v="7.1999999999999993"/>
    <n v="12.8"/>
    <x v="0"/>
    <n v="4"/>
    <n v="1"/>
    <x v="1"/>
    <n v="30.259433962264151"/>
    <n v="0"/>
  </r>
  <r>
    <s v="ORD416"/>
    <x v="1"/>
    <s v="Chicago, IL"/>
    <d v="2024-12-13T00:00:00"/>
    <d v="1899-12-30T19:15:00"/>
    <d v="2024-12-13T00:00:00"/>
    <d v="1899-12-30T19:45:00"/>
    <n v="30"/>
    <s v="Large"/>
    <s v="Deep Dish"/>
    <n v="4"/>
    <x v="7"/>
    <x v="0"/>
    <s v="UPI"/>
    <x v="0"/>
    <x v="0"/>
    <n v="5"/>
    <n v="0.66666666666666663"/>
    <x v="11"/>
    <s v="Online"/>
    <n v="14.4"/>
    <n v="15.6"/>
    <x v="0"/>
    <n v="12"/>
    <n v="2"/>
    <x v="3"/>
    <n v="28.186274509803919"/>
    <n v="0"/>
  </r>
  <r>
    <s v="ORD417"/>
    <x v="3"/>
    <s v="Los Angeles, CA"/>
    <d v="2024-12-14T00:00:00"/>
    <d v="1899-12-30T20:30:00"/>
    <d v="2024-12-14T00:00:00"/>
    <d v="1899-12-30T21:10:00"/>
    <n v="40"/>
    <s v="XL"/>
    <s v="Cheese Burst"/>
    <n v="5"/>
    <x v="8"/>
    <x v="1"/>
    <s v="Hut Points"/>
    <x v="0"/>
    <x v="1"/>
    <n v="5"/>
    <n v="0.625"/>
    <x v="11"/>
    <s v="Offline"/>
    <n v="19.2"/>
    <n v="20.8"/>
    <x v="1"/>
    <n v="20"/>
    <n v="3"/>
    <x v="1"/>
    <n v="29.948453608247419"/>
    <n v="1"/>
  </r>
  <r>
    <s v="ORD418"/>
    <x v="2"/>
    <s v="Houston, TX"/>
    <d v="2024-12-15T00:00:00"/>
    <d v="1899-12-30T18:45:00"/>
    <d v="2024-12-15T00:00:00"/>
    <d v="1899-12-30T19:05:00"/>
    <n v="20"/>
    <s v="Small"/>
    <s v="Vegan"/>
    <n v="1"/>
    <x v="0"/>
    <x v="2"/>
    <s v="Cash"/>
    <x v="0"/>
    <x v="1"/>
    <n v="8"/>
    <n v="0.4"/>
    <x v="11"/>
    <s v="Offline"/>
    <n v="6"/>
    <n v="14"/>
    <x v="0"/>
    <n v="1"/>
    <n v="1"/>
    <x v="0"/>
    <n v="28.844221105527641"/>
    <n v="0"/>
  </r>
  <r>
    <s v="ORD419"/>
    <x v="4"/>
    <s v="Phoenix, AZ"/>
    <d v="2024-12-16T00:00:00"/>
    <d v="1899-12-30T19:00:00"/>
    <d v="2024-12-16T00:00:00"/>
    <d v="1899-12-30T19:50:00"/>
    <n v="50"/>
    <s v="Large"/>
    <s v="Non-Veg"/>
    <n v="4"/>
    <x v="9"/>
    <x v="1"/>
    <s v="Card"/>
    <x v="0"/>
    <x v="0"/>
    <n v="5"/>
    <n v="0.4"/>
    <x v="11"/>
    <s v="Online"/>
    <n v="24"/>
    <n v="26"/>
    <x v="1"/>
    <n v="12"/>
    <n v="3"/>
    <x v="3"/>
    <n v="30.286458333333329"/>
    <n v="1"/>
  </r>
  <r>
    <s v="ORD420"/>
    <x v="0"/>
    <s v="Miami, FL"/>
    <d v="2024-12-17T00:00:00"/>
    <d v="1899-12-30T20:00:00"/>
    <d v="2024-12-17T00:00:00"/>
    <d v="1899-12-30T20:35:00"/>
    <n v="35"/>
    <s v="Medium"/>
    <s v="Gluten-Free"/>
    <n v="3"/>
    <x v="10"/>
    <x v="0"/>
    <s v="Wallet"/>
    <x v="0"/>
    <x v="0"/>
    <n v="6.3636363636363633"/>
    <n v="0.54545454545454541"/>
    <x v="11"/>
    <s v="Online"/>
    <n v="13.2"/>
    <n v="21.8"/>
    <x v="1"/>
    <n v="6"/>
    <n v="2"/>
    <x v="1"/>
    <n v="30.259433962264151"/>
    <n v="1"/>
  </r>
  <r>
    <s v="ORD421"/>
    <x v="1"/>
    <s v="Denver, CO"/>
    <d v="2024-12-18T00:00:00"/>
    <d v="1899-12-30T18:30:00"/>
    <d v="2024-12-18T00:00:00"/>
    <d v="1899-12-30T18:50:00"/>
    <n v="20"/>
    <s v="Small"/>
    <s v="Vegan"/>
    <n v="2"/>
    <x v="4"/>
    <x v="2"/>
    <s v="UPI"/>
    <x v="0"/>
    <x v="0"/>
    <n v="10"/>
    <n v="1"/>
    <x v="11"/>
    <s v="Online"/>
    <n v="4.8"/>
    <n v="15.2"/>
    <x v="0"/>
    <n v="2"/>
    <n v="1"/>
    <x v="0"/>
    <n v="28.186274509803919"/>
    <n v="0"/>
  </r>
  <r>
    <s v="ORD422"/>
    <x v="3"/>
    <s v="Boston, MA"/>
    <d v="2024-12-19T00:00:00"/>
    <d v="1899-12-30T19:45:00"/>
    <d v="2024-12-19T00:00:00"/>
    <d v="1899-12-30T20:25:00"/>
    <n v="40"/>
    <s v="XL"/>
    <s v="Stuffed Crust"/>
    <n v="5"/>
    <x v="11"/>
    <x v="1"/>
    <s v="Card"/>
    <x v="0"/>
    <x v="0"/>
    <n v="5.333333333333333"/>
    <n v="0.66666666666666663"/>
    <x v="11"/>
    <s v="Online"/>
    <n v="18"/>
    <n v="22"/>
    <x v="1"/>
    <n v="20"/>
    <n v="3"/>
    <x v="3"/>
    <n v="29.948453608247419"/>
    <n v="1"/>
  </r>
  <r>
    <s v="ORD423"/>
    <x v="2"/>
    <s v="Dallas, TX"/>
    <d v="2024-12-20T00:00:00"/>
    <d v="1899-12-30T18:00:00"/>
    <d v="2024-12-20T00:00:00"/>
    <d v="1899-12-30T18:30:00"/>
    <n v="30"/>
    <s v="Medium"/>
    <s v="Non-Veg"/>
    <n v="3"/>
    <x v="6"/>
    <x v="0"/>
    <s v="Card"/>
    <x v="0"/>
    <x v="0"/>
    <n v="7.5"/>
    <n v="0.75"/>
    <x v="11"/>
    <s v="Online"/>
    <n v="9.6"/>
    <n v="20.399999999999999"/>
    <x v="0"/>
    <n v="6"/>
    <n v="2"/>
    <x v="0"/>
    <n v="28.844221105527641"/>
    <n v="0"/>
  </r>
  <r>
    <s v="ORD424"/>
    <x v="4"/>
    <s v="Seattle, WA"/>
    <d v="2024-12-21T00:00:00"/>
    <d v="1899-12-30T20:15:00"/>
    <d v="2024-12-21T00:00:00"/>
    <d v="1899-12-30T21:00:00"/>
    <n v="45"/>
    <s v="Large"/>
    <s v="Veg"/>
    <n v="4"/>
    <x v="12"/>
    <x v="1"/>
    <s v="Wallet"/>
    <x v="0"/>
    <x v="1"/>
    <n v="5"/>
    <n v="0.44444444444444442"/>
    <x v="11"/>
    <s v="Online"/>
    <n v="21.6"/>
    <n v="23.4"/>
    <x v="1"/>
    <n v="12"/>
    <n v="3"/>
    <x v="1"/>
    <n v="30.286458333333329"/>
    <n v="1"/>
  </r>
  <r>
    <s v="ORD425"/>
    <x v="0"/>
    <s v="Miami, FL"/>
    <d v="2024-12-12T00:00:00"/>
    <d v="1899-12-30T20:00:00"/>
    <d v="2024-12-12T00:00:00"/>
    <d v="1899-12-30T20:20:00"/>
    <n v="20"/>
    <s v="Medium"/>
    <s v="Thin Crust"/>
    <n v="2"/>
    <x v="2"/>
    <x v="2"/>
    <s v="Card"/>
    <x v="0"/>
    <x v="0"/>
    <n v="6.666666666666667"/>
    <n v="0.66666666666666663"/>
    <x v="11"/>
    <s v="Online"/>
    <n v="7.1999999999999993"/>
    <n v="12.8"/>
    <x v="0"/>
    <n v="4"/>
    <n v="1"/>
    <x v="1"/>
    <n v="30.259433962264151"/>
    <n v="0"/>
  </r>
  <r>
    <s v="ORD426"/>
    <x v="1"/>
    <s v="Chicago, IL"/>
    <d v="2024-12-13T00:00:00"/>
    <d v="1899-12-30T19:15:00"/>
    <d v="2024-12-13T00:00:00"/>
    <d v="1899-12-30T19:45:00"/>
    <n v="30"/>
    <s v="Large"/>
    <s v="Deep Dish"/>
    <n v="4"/>
    <x v="7"/>
    <x v="0"/>
    <s v="UPI"/>
    <x v="0"/>
    <x v="0"/>
    <n v="5"/>
    <n v="0.66666666666666663"/>
    <x v="11"/>
    <s v="Online"/>
    <n v="14.4"/>
    <n v="15.6"/>
    <x v="0"/>
    <n v="12"/>
    <n v="2"/>
    <x v="3"/>
    <n v="28.186274509803919"/>
    <n v="0"/>
  </r>
  <r>
    <s v="ORD427"/>
    <x v="3"/>
    <s v="Los Angeles, CA"/>
    <d v="2024-12-14T00:00:00"/>
    <d v="1899-12-30T20:30:00"/>
    <d v="2024-12-14T00:00:00"/>
    <d v="1899-12-30T21:10:00"/>
    <n v="40"/>
    <s v="XL"/>
    <s v="Cheese Burst"/>
    <n v="5"/>
    <x v="8"/>
    <x v="1"/>
    <s v="Hut Points"/>
    <x v="0"/>
    <x v="1"/>
    <n v="5"/>
    <n v="0.625"/>
    <x v="11"/>
    <s v="Offline"/>
    <n v="19.2"/>
    <n v="20.8"/>
    <x v="1"/>
    <n v="20"/>
    <n v="3"/>
    <x v="1"/>
    <n v="29.948453608247419"/>
    <n v="1"/>
  </r>
  <r>
    <s v="ORD428"/>
    <x v="2"/>
    <s v="Houston, TX"/>
    <d v="2024-12-15T00:00:00"/>
    <d v="1899-12-30T18:45:00"/>
    <d v="2024-12-15T00:00:00"/>
    <d v="1899-12-30T19:05:00"/>
    <n v="20"/>
    <s v="Small"/>
    <s v="Vegan"/>
    <n v="1"/>
    <x v="0"/>
    <x v="2"/>
    <s v="Cash"/>
    <x v="0"/>
    <x v="1"/>
    <n v="8"/>
    <n v="0.4"/>
    <x v="11"/>
    <s v="Offline"/>
    <n v="6"/>
    <n v="14"/>
    <x v="0"/>
    <n v="1"/>
    <n v="1"/>
    <x v="0"/>
    <n v="28.844221105527641"/>
    <n v="0"/>
  </r>
  <r>
    <s v="ORD429"/>
    <x v="4"/>
    <s v="Phoenix, AZ"/>
    <d v="2024-12-16T00:00:00"/>
    <d v="1899-12-30T19:00:00"/>
    <d v="2024-12-16T00:00:00"/>
    <d v="1899-12-30T19:50:00"/>
    <n v="50"/>
    <s v="Large"/>
    <s v="Non-Veg"/>
    <n v="4"/>
    <x v="9"/>
    <x v="1"/>
    <s v="Card"/>
    <x v="0"/>
    <x v="0"/>
    <n v="5"/>
    <n v="0.4"/>
    <x v="11"/>
    <s v="Online"/>
    <n v="24"/>
    <n v="26"/>
    <x v="1"/>
    <n v="12"/>
    <n v="3"/>
    <x v="3"/>
    <n v="30.286458333333329"/>
    <n v="1"/>
  </r>
  <r>
    <s v="ORD430"/>
    <x v="0"/>
    <s v="Miami, FL"/>
    <d v="2024-12-17T00:00:00"/>
    <d v="1899-12-30T20:00:00"/>
    <d v="2024-12-17T00:00:00"/>
    <d v="1899-12-30T20:35:00"/>
    <n v="35"/>
    <s v="Medium"/>
    <s v="Gluten-Free"/>
    <n v="3"/>
    <x v="10"/>
    <x v="0"/>
    <s v="Wallet"/>
    <x v="0"/>
    <x v="0"/>
    <n v="6.3636363636363633"/>
    <n v="0.54545454545454541"/>
    <x v="11"/>
    <s v="Online"/>
    <n v="13.2"/>
    <n v="21.8"/>
    <x v="1"/>
    <n v="6"/>
    <n v="2"/>
    <x v="1"/>
    <n v="30.259433962264151"/>
    <n v="1"/>
  </r>
  <r>
    <s v="ORD431"/>
    <x v="1"/>
    <s v="Denver, CO"/>
    <d v="2024-12-18T00:00:00"/>
    <d v="1899-12-30T18:30:00"/>
    <d v="2024-12-18T00:00:00"/>
    <d v="1899-12-30T18:50:00"/>
    <n v="20"/>
    <s v="Small"/>
    <s v="Vegan"/>
    <n v="2"/>
    <x v="4"/>
    <x v="2"/>
    <s v="UPI"/>
    <x v="0"/>
    <x v="0"/>
    <n v="10"/>
    <n v="1"/>
    <x v="11"/>
    <s v="Online"/>
    <n v="4.8"/>
    <n v="15.2"/>
    <x v="0"/>
    <n v="2"/>
    <n v="1"/>
    <x v="0"/>
    <n v="28.186274509803919"/>
    <n v="0"/>
  </r>
  <r>
    <s v="ORD432"/>
    <x v="3"/>
    <s v="Boston, MA"/>
    <d v="2024-12-19T00:00:00"/>
    <d v="1899-12-30T19:45:00"/>
    <d v="2024-12-19T00:00:00"/>
    <d v="1899-12-30T20:25:00"/>
    <n v="40"/>
    <s v="XL"/>
    <s v="Stuffed Crust"/>
    <n v="5"/>
    <x v="11"/>
    <x v="1"/>
    <s v="Card"/>
    <x v="0"/>
    <x v="0"/>
    <n v="5.333333333333333"/>
    <n v="0.66666666666666663"/>
    <x v="11"/>
    <s v="Online"/>
    <n v="18"/>
    <n v="22"/>
    <x v="1"/>
    <n v="20"/>
    <n v="3"/>
    <x v="3"/>
    <n v="29.948453608247419"/>
    <n v="1"/>
  </r>
  <r>
    <s v="ORD433"/>
    <x v="2"/>
    <s v="Dallas, TX"/>
    <d v="2024-12-20T00:00:00"/>
    <d v="1899-12-30T18:00:00"/>
    <d v="2024-12-20T00:00:00"/>
    <d v="1899-12-30T18:30:00"/>
    <n v="30"/>
    <s v="Medium"/>
    <s v="Non-Veg"/>
    <n v="3"/>
    <x v="6"/>
    <x v="0"/>
    <s v="Card"/>
    <x v="0"/>
    <x v="0"/>
    <n v="7.5"/>
    <n v="0.75"/>
    <x v="11"/>
    <s v="Online"/>
    <n v="9.6"/>
    <n v="20.399999999999999"/>
    <x v="0"/>
    <n v="6"/>
    <n v="2"/>
    <x v="0"/>
    <n v="28.844221105527641"/>
    <n v="0"/>
  </r>
  <r>
    <s v="ORD434"/>
    <x v="4"/>
    <s v="Seattle, WA"/>
    <d v="2024-12-21T00:00:00"/>
    <d v="1899-12-30T20:15:00"/>
    <d v="2024-12-21T00:00:00"/>
    <d v="1899-12-30T21:00:00"/>
    <n v="45"/>
    <s v="Large"/>
    <s v="Veg"/>
    <n v="4"/>
    <x v="12"/>
    <x v="1"/>
    <s v="Wallet"/>
    <x v="0"/>
    <x v="1"/>
    <n v="5"/>
    <n v="0.44444444444444442"/>
    <x v="11"/>
    <s v="Online"/>
    <n v="21.6"/>
    <n v="23.4"/>
    <x v="1"/>
    <n v="12"/>
    <n v="3"/>
    <x v="1"/>
    <n v="30.286458333333329"/>
    <n v="1"/>
  </r>
  <r>
    <s v="ORD435"/>
    <x v="0"/>
    <s v="San Jose, CA"/>
    <d v="2024-12-22T00:00:00"/>
    <d v="1899-12-30T18:00:00"/>
    <d v="2024-12-22T00:00:00"/>
    <d v="1899-12-30T18:20:00"/>
    <n v="20"/>
    <s v="Medium"/>
    <s v="Veg"/>
    <n v="2"/>
    <x v="2"/>
    <x v="2"/>
    <s v="Card"/>
    <x v="0"/>
    <x v="1"/>
    <n v="6.666666666666667"/>
    <n v="0.66666666666666663"/>
    <x v="11"/>
    <s v="Online"/>
    <n v="7.1999999999999993"/>
    <n v="12.8"/>
    <x v="0"/>
    <n v="4"/>
    <n v="1"/>
    <x v="0"/>
    <n v="30.259433962264151"/>
    <n v="0"/>
  </r>
  <r>
    <s v="ORD436"/>
    <x v="1"/>
    <s v="Austin, TX"/>
    <d v="2024-12-23T00:00:00"/>
    <d v="1899-12-30T19:15:00"/>
    <d v="2024-12-23T00:00:00"/>
    <d v="1899-12-30T19:45:00"/>
    <n v="30"/>
    <s v="Large"/>
    <s v="Non-Veg"/>
    <n v="4"/>
    <x v="7"/>
    <x v="0"/>
    <s v="Cash"/>
    <x v="0"/>
    <x v="0"/>
    <n v="5"/>
    <n v="0.66666666666666663"/>
    <x v="11"/>
    <s v="Offline"/>
    <n v="14.4"/>
    <n v="15.6"/>
    <x v="0"/>
    <n v="12"/>
    <n v="2"/>
    <x v="3"/>
    <n v="28.186274509803919"/>
    <n v="0"/>
  </r>
  <r>
    <s v="ORD437"/>
    <x v="3"/>
    <s v="San Diego, CA"/>
    <d v="2024-12-24T00:00:00"/>
    <d v="1899-12-30T20:30:00"/>
    <d v="2024-12-24T00:00:00"/>
    <d v="1899-12-30T21:10:00"/>
    <n v="40"/>
    <s v="XL"/>
    <s v="Cheese Burst"/>
    <n v="5"/>
    <x v="8"/>
    <x v="1"/>
    <s v="Card"/>
    <x v="0"/>
    <x v="0"/>
    <n v="5"/>
    <n v="0.625"/>
    <x v="11"/>
    <s v="Online"/>
    <n v="19.2"/>
    <n v="20.8"/>
    <x v="1"/>
    <n v="20"/>
    <n v="3"/>
    <x v="1"/>
    <n v="29.948453608247419"/>
    <n v="1"/>
  </r>
  <r>
    <s v="ORD438"/>
    <x v="2"/>
    <s v="Jacksonville, FL"/>
    <d v="2024-12-25T00:00:00"/>
    <d v="1899-12-30T18:45:00"/>
    <d v="2024-12-25T00:00:00"/>
    <d v="1899-12-30T19:05:00"/>
    <n v="20"/>
    <s v="Small"/>
    <s v="Vegan"/>
    <n v="1"/>
    <x v="0"/>
    <x v="2"/>
    <s v="Wallet"/>
    <x v="0"/>
    <x v="0"/>
    <n v="8"/>
    <n v="0.4"/>
    <x v="11"/>
    <s v="Online"/>
    <n v="6"/>
    <n v="14"/>
    <x v="0"/>
    <n v="1"/>
    <n v="1"/>
    <x v="0"/>
    <n v="28.844221105527641"/>
    <n v="0"/>
  </r>
  <r>
    <s v="ORD439"/>
    <x v="4"/>
    <s v="Fort Worth, TX"/>
    <d v="2024-12-26T00:00:00"/>
    <d v="1899-12-30T19:00:00"/>
    <d v="2024-12-26T00:00:00"/>
    <d v="1899-12-30T19:50:00"/>
    <n v="50"/>
    <s v="Large"/>
    <s v="Non-Veg"/>
    <n v="4"/>
    <x v="9"/>
    <x v="1"/>
    <s v="Card"/>
    <x v="0"/>
    <x v="0"/>
    <n v="5"/>
    <n v="0.4"/>
    <x v="11"/>
    <s v="Online"/>
    <n v="24"/>
    <n v="26"/>
    <x v="1"/>
    <n v="12"/>
    <n v="3"/>
    <x v="3"/>
    <n v="30.286458333333329"/>
    <n v="1"/>
  </r>
  <r>
    <s v="ORD440"/>
    <x v="0"/>
    <s v="Columbus, OH"/>
    <d v="2024-12-27T00:00:00"/>
    <d v="1899-12-30T20:00:00"/>
    <d v="2024-12-27T00:00:00"/>
    <d v="1899-12-30T20:35:00"/>
    <n v="35"/>
    <s v="Medium"/>
    <s v="Veg"/>
    <n v="3"/>
    <x v="10"/>
    <x v="0"/>
    <s v="Wallet"/>
    <x v="0"/>
    <x v="0"/>
    <n v="6.3636363636363633"/>
    <n v="0.54545454545454541"/>
    <x v="11"/>
    <s v="Online"/>
    <n v="13.2"/>
    <n v="21.8"/>
    <x v="1"/>
    <n v="6"/>
    <n v="2"/>
    <x v="1"/>
    <n v="30.259433962264151"/>
    <n v="1"/>
  </r>
  <r>
    <s v="ORD441"/>
    <x v="1"/>
    <s v="Charlotte, NC"/>
    <d v="2024-12-28T00:00:00"/>
    <d v="1899-12-30T18:30:00"/>
    <d v="2024-12-28T00:00:00"/>
    <d v="1899-12-30T18:50:00"/>
    <n v="20"/>
    <s v="Small"/>
    <s v="Vegan"/>
    <n v="2"/>
    <x v="4"/>
    <x v="2"/>
    <s v="UPI"/>
    <x v="0"/>
    <x v="1"/>
    <n v="10"/>
    <n v="1"/>
    <x v="11"/>
    <s v="Online"/>
    <n v="4.8"/>
    <n v="15.2"/>
    <x v="0"/>
    <n v="2"/>
    <n v="1"/>
    <x v="0"/>
    <n v="28.186274509803919"/>
    <n v="0"/>
  </r>
  <r>
    <s v="ORD442"/>
    <x v="3"/>
    <s v="Indianapolis, IN"/>
    <d v="2024-12-29T00:00:00"/>
    <d v="1899-12-30T19:45:00"/>
    <d v="2024-12-29T00:00:00"/>
    <d v="1899-12-30T20:25:00"/>
    <n v="40"/>
    <s v="XL"/>
    <s v="Stuffed Crust"/>
    <n v="5"/>
    <x v="11"/>
    <x v="1"/>
    <s v="Card"/>
    <x v="0"/>
    <x v="1"/>
    <n v="5.333333333333333"/>
    <n v="0.66666666666666663"/>
    <x v="11"/>
    <s v="Online"/>
    <n v="18"/>
    <n v="22"/>
    <x v="1"/>
    <n v="20"/>
    <n v="3"/>
    <x v="3"/>
    <n v="29.948453608247419"/>
    <n v="1"/>
  </r>
  <r>
    <s v="ORD443"/>
    <x v="2"/>
    <s v="San Francisco, CA"/>
    <d v="2024-12-30T00:00:00"/>
    <d v="1899-12-30T18:00:00"/>
    <d v="2024-12-30T00:00:00"/>
    <d v="1899-12-30T18:30:00"/>
    <n v="30"/>
    <s v="Medium"/>
    <s v="Non-Veg"/>
    <n v="3"/>
    <x v="6"/>
    <x v="0"/>
    <s v="UPI"/>
    <x v="0"/>
    <x v="0"/>
    <n v="7.5"/>
    <n v="0.75"/>
    <x v="11"/>
    <s v="Online"/>
    <n v="9.6"/>
    <n v="20.399999999999999"/>
    <x v="0"/>
    <n v="6"/>
    <n v="2"/>
    <x v="0"/>
    <n v="28.844221105527641"/>
    <n v="0"/>
  </r>
  <r>
    <s v="ORD444"/>
    <x v="4"/>
    <s v="Charlotte, NC"/>
    <d v="2024-12-31T00:00:00"/>
    <d v="1899-12-30T20:15:00"/>
    <d v="2024-12-31T00:00:00"/>
    <d v="1899-12-30T21:00:00"/>
    <n v="45"/>
    <s v="Large"/>
    <s v="Veg"/>
    <n v="4"/>
    <x v="12"/>
    <x v="1"/>
    <s v="Cash"/>
    <x v="0"/>
    <x v="0"/>
    <n v="5"/>
    <n v="0.44444444444444442"/>
    <x v="11"/>
    <s v="Offline"/>
    <n v="21.6"/>
    <n v="23.4"/>
    <x v="1"/>
    <n v="12"/>
    <n v="3"/>
    <x v="1"/>
    <n v="30.286458333333329"/>
    <n v="1"/>
  </r>
  <r>
    <s v="ORD445"/>
    <x v="0"/>
    <s v="Detroit, MI"/>
    <d v="2025-01-01T00:00:00"/>
    <d v="1899-12-30T18:00:00"/>
    <d v="2025-01-01T00:00:00"/>
    <d v="1899-12-30T18:20:00"/>
    <n v="20"/>
    <s v="Medium"/>
    <s v="Veg"/>
    <n v="2"/>
    <x v="2"/>
    <x v="2"/>
    <s v="Card"/>
    <x v="0"/>
    <x v="0"/>
    <n v="6.666666666666667"/>
    <n v="0.66666666666666663"/>
    <x v="0"/>
    <s v="Online"/>
    <n v="7.1999999999999993"/>
    <n v="12.8"/>
    <x v="0"/>
    <n v="4"/>
    <n v="1"/>
    <x v="0"/>
    <n v="30.259433962264151"/>
    <n v="0"/>
  </r>
  <r>
    <s v="ORD446"/>
    <x v="1"/>
    <s v="El Paso, TX"/>
    <d v="2025-01-02T00:00:00"/>
    <d v="1899-12-30T19:15:00"/>
    <d v="2025-01-02T00:00:00"/>
    <d v="1899-12-30T19:45:00"/>
    <n v="30"/>
    <s v="Large"/>
    <s v="Non-Veg"/>
    <n v="4"/>
    <x v="7"/>
    <x v="0"/>
    <s v="Wallet"/>
    <x v="0"/>
    <x v="0"/>
    <n v="5"/>
    <n v="0.66666666666666663"/>
    <x v="0"/>
    <s v="Online"/>
    <n v="14.4"/>
    <n v="15.6"/>
    <x v="0"/>
    <n v="12"/>
    <n v="2"/>
    <x v="3"/>
    <n v="28.186274509803919"/>
    <n v="0"/>
  </r>
  <r>
    <s v="ORD447"/>
    <x v="3"/>
    <s v="Memphis, TN"/>
    <d v="2025-01-03T00:00:00"/>
    <d v="1899-12-30T20:30:00"/>
    <d v="2025-01-03T00:00:00"/>
    <d v="1899-12-30T21:10:00"/>
    <n v="40"/>
    <s v="XL"/>
    <s v="Cheese Burst"/>
    <n v="5"/>
    <x v="8"/>
    <x v="1"/>
    <s v="Card"/>
    <x v="0"/>
    <x v="0"/>
    <n v="5"/>
    <n v="0.625"/>
    <x v="0"/>
    <s v="Online"/>
    <n v="19.2"/>
    <n v="20.8"/>
    <x v="1"/>
    <n v="20"/>
    <n v="3"/>
    <x v="1"/>
    <n v="29.948453608247419"/>
    <n v="1"/>
  </r>
  <r>
    <s v="ORD448"/>
    <x v="2"/>
    <s v="Baltimore, MD"/>
    <d v="2025-01-04T00:00:00"/>
    <d v="1899-12-30T18:45:00"/>
    <d v="2025-01-04T00:00:00"/>
    <d v="1899-12-30T19:05:00"/>
    <n v="20"/>
    <s v="Small"/>
    <s v="Vegan"/>
    <n v="1"/>
    <x v="0"/>
    <x v="2"/>
    <s v="Cash"/>
    <x v="0"/>
    <x v="1"/>
    <n v="8"/>
    <n v="0.4"/>
    <x v="0"/>
    <s v="Offline"/>
    <n v="6"/>
    <n v="14"/>
    <x v="0"/>
    <n v="1"/>
    <n v="1"/>
    <x v="0"/>
    <n v="28.844221105527641"/>
    <n v="0"/>
  </r>
  <r>
    <s v="ORD449"/>
    <x v="4"/>
    <s v="Boston, MA"/>
    <d v="2025-01-05T00:00:00"/>
    <d v="1899-12-30T19:00:00"/>
    <d v="2025-01-05T00:00:00"/>
    <d v="1899-12-30T19:50:00"/>
    <n v="50"/>
    <s v="Large"/>
    <s v="Non-Veg"/>
    <n v="4"/>
    <x v="9"/>
    <x v="1"/>
    <s v="Card"/>
    <x v="0"/>
    <x v="1"/>
    <n v="5"/>
    <n v="0.4"/>
    <x v="0"/>
    <s v="Online"/>
    <n v="24"/>
    <n v="26"/>
    <x v="1"/>
    <n v="12"/>
    <n v="3"/>
    <x v="3"/>
    <n v="30.286458333333329"/>
    <n v="1"/>
  </r>
  <r>
    <s v="ORD450"/>
    <x v="0"/>
    <s v="New York, NY"/>
    <d v="2025-01-06T00:00:00"/>
    <d v="1899-12-30T18:00:00"/>
    <d v="2025-01-06T00:00:00"/>
    <d v="1899-12-30T18:20:00"/>
    <n v="20"/>
    <s v="Medium"/>
    <s v="Veg"/>
    <n v="2"/>
    <x v="2"/>
    <x v="2"/>
    <s v="Domino's Cash"/>
    <x v="0"/>
    <x v="0"/>
    <n v="6.666666666666667"/>
    <n v="0.66666666666666663"/>
    <x v="0"/>
    <s v="Offline"/>
    <n v="7.1999999999999993"/>
    <n v="12.8"/>
    <x v="0"/>
    <n v="4"/>
    <n v="1"/>
    <x v="0"/>
    <n v="30.259433962264151"/>
    <n v="0"/>
  </r>
  <r>
    <s v="ORD451"/>
    <x v="1"/>
    <s v="Chicago, IL"/>
    <d v="2025-01-07T00:00:00"/>
    <d v="1899-12-30T19:15:00"/>
    <d v="2025-01-07T00:00:00"/>
    <d v="1899-12-30T19:45:00"/>
    <n v="30"/>
    <s v="Large"/>
    <s v="Deep Dish"/>
    <n v="4"/>
    <x v="7"/>
    <x v="0"/>
    <s v="UPI"/>
    <x v="0"/>
    <x v="0"/>
    <n v="5"/>
    <n v="0.66666666666666663"/>
    <x v="0"/>
    <s v="Online"/>
    <n v="14.4"/>
    <n v="15.6"/>
    <x v="0"/>
    <n v="12"/>
    <n v="2"/>
    <x v="3"/>
    <n v="28.186274509803919"/>
    <n v="0"/>
  </r>
  <r>
    <s v="ORD452"/>
    <x v="3"/>
    <s v="Los Angeles, CA"/>
    <d v="2025-01-08T00:00:00"/>
    <d v="1899-12-30T20:30:00"/>
    <d v="2025-01-08T00:00:00"/>
    <d v="1899-12-30T21:10:00"/>
    <n v="40"/>
    <s v="XL"/>
    <s v="Cheese Burst"/>
    <n v="5"/>
    <x v="8"/>
    <x v="1"/>
    <s v="Card"/>
    <x v="0"/>
    <x v="0"/>
    <n v="5"/>
    <n v="0.625"/>
    <x v="0"/>
    <s v="Online"/>
    <n v="19.2"/>
    <n v="20.8"/>
    <x v="1"/>
    <n v="20"/>
    <n v="3"/>
    <x v="1"/>
    <n v="29.948453608247419"/>
    <n v="1"/>
  </r>
  <r>
    <s v="ORD453"/>
    <x v="2"/>
    <s v="Houston, TX"/>
    <d v="2025-01-09T00:00:00"/>
    <d v="1899-12-30T18:00:00"/>
    <d v="2025-01-09T00:00:00"/>
    <d v="1899-12-30T18:30:00"/>
    <n v="30"/>
    <s v="Medium"/>
    <s v="Thai Chicken"/>
    <n v="3"/>
    <x v="1"/>
    <x v="0"/>
    <s v="Card"/>
    <x v="0"/>
    <x v="0"/>
    <n v="6"/>
    <n v="0.6"/>
    <x v="0"/>
    <s v="Online"/>
    <n v="12"/>
    <n v="18"/>
    <x v="0"/>
    <n v="6"/>
    <n v="2"/>
    <x v="0"/>
    <n v="28.844221105527641"/>
    <n v="0"/>
  </r>
  <r>
    <s v="ORD454"/>
    <x v="4"/>
    <s v="Atlanta, GA"/>
    <d v="2025-01-10T00:00:00"/>
    <d v="1899-12-30T19:15:00"/>
    <d v="2025-01-10T00:00:00"/>
    <d v="1899-12-30T19:50:00"/>
    <n v="35"/>
    <s v="Large"/>
    <s v="Sicilian"/>
    <n v="4"/>
    <x v="14"/>
    <x v="1"/>
    <s v="UPI"/>
    <x v="0"/>
    <x v="0"/>
    <n v="5.384615384615385"/>
    <n v="0.61538461538461542"/>
    <x v="0"/>
    <s v="Online"/>
    <n v="15.6"/>
    <n v="19.399999999999999"/>
    <x v="1"/>
    <n v="12"/>
    <n v="3"/>
    <x v="3"/>
    <n v="30.286458333333329"/>
    <n v="1"/>
  </r>
  <r>
    <s v="ORD455"/>
    <x v="0"/>
    <s v="Orlando, FL"/>
    <d v="2025-01-11T00:00:00"/>
    <d v="1899-12-30T20:30:00"/>
    <d v="2025-01-11T00:00:00"/>
    <d v="1899-12-30T21:10:00"/>
    <n v="40"/>
    <s v="XL"/>
    <s v="Cheese Burst"/>
    <n v="5"/>
    <x v="8"/>
    <x v="1"/>
    <s v="Wallet"/>
    <x v="0"/>
    <x v="1"/>
    <n v="5"/>
    <n v="0.625"/>
    <x v="0"/>
    <s v="Online"/>
    <n v="19.2"/>
    <n v="20.8"/>
    <x v="1"/>
    <n v="20"/>
    <n v="3"/>
    <x v="1"/>
    <n v="30.259433962264151"/>
    <n v="1"/>
  </r>
  <r>
    <s v="ORD456"/>
    <x v="1"/>
    <s v="Austin, TX"/>
    <d v="2025-01-12T00:00:00"/>
    <d v="1899-12-30T18:45:00"/>
    <d v="2025-01-12T00:00:00"/>
    <d v="1899-12-30T19:05:00"/>
    <n v="20"/>
    <s v="Small"/>
    <s v="Vegan"/>
    <n v="1"/>
    <x v="0"/>
    <x v="2"/>
    <s v="Cash"/>
    <x v="0"/>
    <x v="1"/>
    <n v="8"/>
    <n v="0.4"/>
    <x v="0"/>
    <s v="Offline"/>
    <n v="6"/>
    <n v="14"/>
    <x v="0"/>
    <n v="1"/>
    <n v="1"/>
    <x v="0"/>
    <n v="28.186274509803919"/>
    <n v="0"/>
  </r>
  <r>
    <s v="ORD457"/>
    <x v="3"/>
    <s v="Seattle, WA"/>
    <d v="2025-01-13T00:00:00"/>
    <d v="1899-12-30T19:00:00"/>
    <d v="2025-01-13T00:00:00"/>
    <d v="1899-12-30T19:50:00"/>
    <n v="50"/>
    <s v="Large"/>
    <s v="Non-Veg"/>
    <n v="4"/>
    <x v="9"/>
    <x v="1"/>
    <s v="Card"/>
    <x v="0"/>
    <x v="0"/>
    <n v="5"/>
    <n v="0.4"/>
    <x v="0"/>
    <s v="Online"/>
    <n v="24"/>
    <n v="26"/>
    <x v="1"/>
    <n v="12"/>
    <n v="3"/>
    <x v="3"/>
    <n v="29.948453608247419"/>
    <n v="1"/>
  </r>
  <r>
    <s v="ORD458"/>
    <x v="0"/>
    <s v="Miami, FL"/>
    <d v="2025-01-14T00:00:00"/>
    <d v="1899-12-30T20:00:00"/>
    <d v="2025-01-14T00:00:00"/>
    <d v="1899-12-30T20:35:00"/>
    <n v="35"/>
    <s v="Medium"/>
    <s v="Gluten-Free"/>
    <n v="3"/>
    <x v="10"/>
    <x v="0"/>
    <s v="Domino's Cash"/>
    <x v="0"/>
    <x v="0"/>
    <n v="6.3636363636363633"/>
    <n v="0.54545454545454541"/>
    <x v="0"/>
    <s v="Offline"/>
    <n v="13.2"/>
    <n v="21.8"/>
    <x v="1"/>
    <n v="6"/>
    <n v="2"/>
    <x v="1"/>
    <n v="30.259433962264151"/>
    <n v="1"/>
  </r>
  <r>
    <s v="ORD459"/>
    <x v="1"/>
    <s v="Denver, CO"/>
    <d v="2025-01-15T00:00:00"/>
    <d v="1899-12-30T18:30:00"/>
    <d v="2025-01-15T00:00:00"/>
    <d v="1899-12-30T18:50:00"/>
    <n v="20"/>
    <s v="Small"/>
    <s v="Vegan"/>
    <n v="2"/>
    <x v="4"/>
    <x v="2"/>
    <s v="UPI"/>
    <x v="0"/>
    <x v="0"/>
    <n v="10"/>
    <n v="1"/>
    <x v="0"/>
    <s v="Online"/>
    <n v="4.8"/>
    <n v="15.2"/>
    <x v="0"/>
    <n v="2"/>
    <n v="1"/>
    <x v="0"/>
    <n v="28.186274509803919"/>
    <n v="0"/>
  </r>
  <r>
    <s v="ORD460"/>
    <x v="3"/>
    <s v="Boston, MA"/>
    <d v="2025-01-16T00:00:00"/>
    <d v="1899-12-30T19:45:00"/>
    <d v="2025-01-16T00:00:00"/>
    <d v="1899-12-30T20:25:00"/>
    <n v="40"/>
    <s v="XL"/>
    <s v="Stuffed Crust"/>
    <n v="5"/>
    <x v="11"/>
    <x v="1"/>
    <s v="Card"/>
    <x v="0"/>
    <x v="0"/>
    <n v="5.333333333333333"/>
    <n v="0.66666666666666663"/>
    <x v="0"/>
    <s v="Online"/>
    <n v="18"/>
    <n v="22"/>
    <x v="1"/>
    <n v="20"/>
    <n v="3"/>
    <x v="3"/>
    <n v="29.948453608247419"/>
    <n v="1"/>
  </r>
  <r>
    <s v="ORD461"/>
    <x v="0"/>
    <s v="New York, NY"/>
    <d v="2025-01-17T00:00:00"/>
    <d v="1899-12-30T18:00:00"/>
    <d v="2025-01-17T00:00:00"/>
    <d v="1899-12-30T18:20:00"/>
    <n v="20"/>
    <s v="Medium"/>
    <s v="Veg"/>
    <n v="2"/>
    <x v="2"/>
    <x v="2"/>
    <s v="Card"/>
    <x v="0"/>
    <x v="0"/>
    <n v="6.666666666666667"/>
    <n v="0.66666666666666663"/>
    <x v="0"/>
    <s v="Online"/>
    <n v="7.1999999999999993"/>
    <n v="12.8"/>
    <x v="0"/>
    <n v="4"/>
    <n v="1"/>
    <x v="0"/>
    <n v="30.259433962264151"/>
    <n v="0"/>
  </r>
  <r>
    <s v="ORD462"/>
    <x v="1"/>
    <s v="Chicago, IL"/>
    <d v="2025-01-18T00:00:00"/>
    <d v="1899-12-30T19:15:00"/>
    <d v="2025-01-18T00:00:00"/>
    <d v="1899-12-30T19:45:00"/>
    <n v="30"/>
    <s v="Large"/>
    <s v="Deep Dish"/>
    <n v="4"/>
    <x v="7"/>
    <x v="0"/>
    <s v="UPI"/>
    <x v="0"/>
    <x v="1"/>
    <n v="5"/>
    <n v="0.66666666666666663"/>
    <x v="0"/>
    <s v="Online"/>
    <n v="14.4"/>
    <n v="15.6"/>
    <x v="0"/>
    <n v="12"/>
    <n v="2"/>
    <x v="3"/>
    <n v="28.186274509803919"/>
    <n v="0"/>
  </r>
  <r>
    <s v="ORD463"/>
    <x v="2"/>
    <s v="Los Angeles, CA"/>
    <d v="2025-01-19T00:00:00"/>
    <d v="1899-12-30T20:30:00"/>
    <d v="2025-01-19T00:00:00"/>
    <d v="1899-12-30T21:10:00"/>
    <n v="40"/>
    <s v="XL"/>
    <s v="Cheese Burst"/>
    <n v="5"/>
    <x v="8"/>
    <x v="1"/>
    <s v="Wallet"/>
    <x v="0"/>
    <x v="1"/>
    <n v="5"/>
    <n v="0.625"/>
    <x v="0"/>
    <s v="Online"/>
    <n v="19.2"/>
    <n v="20.8"/>
    <x v="1"/>
    <n v="20"/>
    <n v="3"/>
    <x v="1"/>
    <n v="28.844221105527641"/>
    <n v="1"/>
  </r>
  <r>
    <s v="ORD464"/>
    <x v="4"/>
    <s v="Houston, TX"/>
    <d v="2025-01-20T00:00:00"/>
    <d v="1899-12-30T18:45:00"/>
    <d v="2025-01-20T00:00:00"/>
    <d v="1899-12-30T19:05:00"/>
    <n v="20"/>
    <s v="Small"/>
    <s v="Vegan"/>
    <n v="1"/>
    <x v="0"/>
    <x v="2"/>
    <s v="Cash"/>
    <x v="0"/>
    <x v="0"/>
    <n v="8"/>
    <n v="0.4"/>
    <x v="0"/>
    <s v="Offline"/>
    <n v="6"/>
    <n v="14"/>
    <x v="0"/>
    <n v="1"/>
    <n v="1"/>
    <x v="0"/>
    <n v="30.286458333333329"/>
    <n v="0"/>
  </r>
  <r>
    <s v="ORD465"/>
    <x v="0"/>
    <s v="Phoenix, AZ"/>
    <d v="2025-01-21T00:00:00"/>
    <d v="1899-12-30T19:00:00"/>
    <d v="2025-01-21T00:00:00"/>
    <d v="1899-12-30T19:50:00"/>
    <n v="50"/>
    <s v="Large"/>
    <s v="Non-Veg"/>
    <n v="4"/>
    <x v="9"/>
    <x v="1"/>
    <s v="Card"/>
    <x v="0"/>
    <x v="0"/>
    <n v="5"/>
    <n v="0.4"/>
    <x v="0"/>
    <s v="Online"/>
    <n v="24"/>
    <n v="26"/>
    <x v="1"/>
    <n v="12"/>
    <n v="3"/>
    <x v="3"/>
    <n v="30.259433962264151"/>
    <n v="1"/>
  </r>
  <r>
    <s v="ORD466"/>
    <x v="1"/>
    <s v="Philadelphia, PA"/>
    <d v="2025-01-22T00:00:00"/>
    <d v="1899-12-30T20:00:00"/>
    <d v="2025-01-22T00:00:00"/>
    <d v="1899-12-30T20:35:00"/>
    <n v="35"/>
    <s v="Medium"/>
    <s v="Gluten-Free"/>
    <n v="3"/>
    <x v="10"/>
    <x v="0"/>
    <s v="Wallet"/>
    <x v="0"/>
    <x v="0"/>
    <n v="6.3636363636363633"/>
    <n v="0.54545454545454541"/>
    <x v="0"/>
    <s v="Online"/>
    <n v="13.2"/>
    <n v="21.8"/>
    <x v="1"/>
    <n v="6"/>
    <n v="2"/>
    <x v="1"/>
    <n v="28.186274509803919"/>
    <n v="1"/>
  </r>
  <r>
    <s v="ORD467"/>
    <x v="3"/>
    <s v="San Antonio, TX"/>
    <d v="2025-01-23T00:00:00"/>
    <d v="1899-12-30T18:30:00"/>
    <d v="2025-01-23T00:00:00"/>
    <d v="1899-12-30T18:50:00"/>
    <n v="20"/>
    <s v="Small"/>
    <s v="Vegan"/>
    <n v="2"/>
    <x v="4"/>
    <x v="2"/>
    <s v="UPI"/>
    <x v="0"/>
    <x v="0"/>
    <n v="10"/>
    <n v="1"/>
    <x v="0"/>
    <s v="Online"/>
    <n v="4.8"/>
    <n v="15.2"/>
    <x v="0"/>
    <n v="2"/>
    <n v="1"/>
    <x v="0"/>
    <n v="29.948453608247419"/>
    <n v="0"/>
  </r>
  <r>
    <s v="ORD468"/>
    <x v="2"/>
    <s v="San Diego, CA"/>
    <d v="2025-01-24T00:00:00"/>
    <d v="1899-12-30T19:45:00"/>
    <d v="2025-01-24T00:00:00"/>
    <d v="1899-12-30T20:25:00"/>
    <n v="40"/>
    <s v="XL"/>
    <s v="Stuffed Crust"/>
    <n v="5"/>
    <x v="11"/>
    <x v="1"/>
    <s v="Card"/>
    <x v="0"/>
    <x v="0"/>
    <n v="5.333333333333333"/>
    <n v="0.66666666666666663"/>
    <x v="0"/>
    <s v="Online"/>
    <n v="18"/>
    <n v="22"/>
    <x v="1"/>
    <n v="20"/>
    <n v="3"/>
    <x v="3"/>
    <n v="28.844221105527641"/>
    <n v="1"/>
  </r>
  <r>
    <s v="ORD469"/>
    <x v="4"/>
    <s v="Dallas, TX"/>
    <d v="2025-01-25T00:00:00"/>
    <d v="1899-12-30T18:00:00"/>
    <d v="2025-01-25T00:00:00"/>
    <d v="1899-12-30T18:30:00"/>
    <n v="30"/>
    <s v="Medium"/>
    <s v="Non-Veg"/>
    <n v="3"/>
    <x v="6"/>
    <x v="0"/>
    <s v="UPI"/>
    <x v="0"/>
    <x v="1"/>
    <n v="7.5"/>
    <n v="0.75"/>
    <x v="0"/>
    <s v="Online"/>
    <n v="9.6"/>
    <n v="20.399999999999999"/>
    <x v="0"/>
    <n v="6"/>
    <n v="2"/>
    <x v="0"/>
    <n v="30.286458333333329"/>
    <n v="0"/>
  </r>
  <r>
    <s v="ORD470"/>
    <x v="0"/>
    <s v="San Jose, CA"/>
    <d v="2025-01-26T00:00:00"/>
    <d v="1899-12-30T20:15:00"/>
    <d v="2025-01-26T00:00:00"/>
    <d v="1899-12-30T21:00:00"/>
    <n v="45"/>
    <s v="Large"/>
    <s v="Veg"/>
    <n v="4"/>
    <x v="12"/>
    <x v="1"/>
    <s v="Cash"/>
    <x v="0"/>
    <x v="1"/>
    <n v="5"/>
    <n v="0.44444444444444442"/>
    <x v="0"/>
    <s v="Offline"/>
    <n v="21.6"/>
    <n v="23.4"/>
    <x v="1"/>
    <n v="12"/>
    <n v="3"/>
    <x v="1"/>
    <n v="30.259433962264151"/>
    <n v="1"/>
  </r>
  <r>
    <s v="ORD471"/>
    <x v="1"/>
    <s v="Austin, TX"/>
    <d v="2025-01-27T00:00:00"/>
    <d v="1899-12-30T18:00:00"/>
    <d v="2025-01-27T00:00:00"/>
    <d v="1899-12-30T18:20:00"/>
    <n v="20"/>
    <s v="Medium"/>
    <s v="Veg"/>
    <n v="2"/>
    <x v="2"/>
    <x v="2"/>
    <s v="Card"/>
    <x v="0"/>
    <x v="0"/>
    <n v="6.666666666666667"/>
    <n v="0.66666666666666663"/>
    <x v="0"/>
    <s v="Online"/>
    <n v="7.1999999999999993"/>
    <n v="12.8"/>
    <x v="0"/>
    <n v="4"/>
    <n v="1"/>
    <x v="0"/>
    <n v="28.186274509803919"/>
    <n v="0"/>
  </r>
  <r>
    <s v="ORD472"/>
    <x v="3"/>
    <s v="Jacksonville, FL"/>
    <d v="2025-01-28T00:00:00"/>
    <d v="1899-12-30T19:15:00"/>
    <d v="2025-01-28T00:00:00"/>
    <d v="1899-12-30T19:45:00"/>
    <n v="30"/>
    <s v="Large"/>
    <s v="Non-Veg"/>
    <n v="4"/>
    <x v="7"/>
    <x v="0"/>
    <s v="Wallet"/>
    <x v="0"/>
    <x v="0"/>
    <n v="5"/>
    <n v="0.66666666666666663"/>
    <x v="0"/>
    <s v="Online"/>
    <n v="14.4"/>
    <n v="15.6"/>
    <x v="0"/>
    <n v="12"/>
    <n v="2"/>
    <x v="3"/>
    <n v="29.948453608247419"/>
    <n v="0"/>
  </r>
  <r>
    <s v="ORD473"/>
    <x v="2"/>
    <s v="Fort Worth, TX"/>
    <d v="2025-01-29T00:00:00"/>
    <d v="1899-12-30T20:30:00"/>
    <d v="2025-01-29T00:00:00"/>
    <d v="1899-12-30T21:10:00"/>
    <n v="40"/>
    <s v="XL"/>
    <s v="Cheese Burst"/>
    <n v="5"/>
    <x v="8"/>
    <x v="1"/>
    <s v="Card"/>
    <x v="0"/>
    <x v="0"/>
    <n v="5"/>
    <n v="0.625"/>
    <x v="0"/>
    <s v="Online"/>
    <n v="19.2"/>
    <n v="20.8"/>
    <x v="1"/>
    <n v="20"/>
    <n v="3"/>
    <x v="1"/>
    <n v="28.844221105527641"/>
    <n v="1"/>
  </r>
  <r>
    <s v="ORD474"/>
    <x v="4"/>
    <s v="Columbus, OH"/>
    <d v="2025-01-30T00:00:00"/>
    <d v="1899-12-30T18:45:00"/>
    <d v="2025-01-30T00:00:00"/>
    <d v="1899-12-30T19:05:00"/>
    <n v="20"/>
    <s v="Small"/>
    <s v="Vegan"/>
    <n v="1"/>
    <x v="0"/>
    <x v="2"/>
    <s v="Cash"/>
    <x v="0"/>
    <x v="0"/>
    <n v="8"/>
    <n v="0.4"/>
    <x v="0"/>
    <s v="Offline"/>
    <n v="6"/>
    <n v="14"/>
    <x v="0"/>
    <n v="1"/>
    <n v="1"/>
    <x v="0"/>
    <n v="30.286458333333329"/>
    <n v="0"/>
  </r>
  <r>
    <s v="ORD475"/>
    <x v="0"/>
    <s v="Charlotte, NC"/>
    <d v="2025-01-31T00:00:00"/>
    <d v="1899-12-30T19:00:00"/>
    <d v="2025-01-31T00:00:00"/>
    <d v="1899-12-30T19:50:00"/>
    <n v="50"/>
    <s v="Large"/>
    <s v="Non-Veg"/>
    <n v="4"/>
    <x v="9"/>
    <x v="1"/>
    <s v="Card"/>
    <x v="0"/>
    <x v="0"/>
    <n v="5"/>
    <n v="0.4"/>
    <x v="0"/>
    <s v="Online"/>
    <n v="24"/>
    <n v="26"/>
    <x v="1"/>
    <n v="12"/>
    <n v="3"/>
    <x v="3"/>
    <n v="30.259433962264151"/>
    <n v="1"/>
  </r>
  <r>
    <s v="ORD476"/>
    <x v="1"/>
    <s v="San Francisco, CA"/>
    <d v="2025-02-01T00:00:00"/>
    <d v="1899-12-30T20:00:00"/>
    <d v="2025-02-01T00:00:00"/>
    <d v="1899-12-30T20:35:00"/>
    <n v="35"/>
    <s v="Medium"/>
    <s v="Gluten-Free"/>
    <n v="3"/>
    <x v="10"/>
    <x v="0"/>
    <s v="Wallet"/>
    <x v="0"/>
    <x v="1"/>
    <n v="6.3636363636363633"/>
    <n v="0.54545454545454541"/>
    <x v="1"/>
    <s v="Online"/>
    <n v="13.2"/>
    <n v="21.8"/>
    <x v="1"/>
    <n v="6"/>
    <n v="2"/>
    <x v="1"/>
    <n v="28.186274509803919"/>
    <n v="1"/>
  </r>
  <r>
    <s v="ORD477"/>
    <x v="3"/>
    <s v="Indianapolis, IN"/>
    <d v="2025-02-02T00:00:00"/>
    <d v="1899-12-30T18:30:00"/>
    <d v="2025-02-02T00:00:00"/>
    <d v="1899-12-30T18:50:00"/>
    <n v="20"/>
    <s v="Small"/>
    <s v="Vegan"/>
    <n v="2"/>
    <x v="4"/>
    <x v="2"/>
    <s v="UPI"/>
    <x v="0"/>
    <x v="1"/>
    <n v="10"/>
    <n v="1"/>
    <x v="1"/>
    <s v="Online"/>
    <n v="4.8"/>
    <n v="15.2"/>
    <x v="0"/>
    <n v="2"/>
    <n v="1"/>
    <x v="0"/>
    <n v="29.948453608247419"/>
    <n v="0"/>
  </r>
  <r>
    <s v="ORD478"/>
    <x v="2"/>
    <s v="Seattle, WA"/>
    <d v="2025-02-03T00:00:00"/>
    <d v="1899-12-30T19:45:00"/>
    <d v="2025-02-03T00:00:00"/>
    <d v="1899-12-30T20:25:00"/>
    <n v="40"/>
    <s v="XL"/>
    <s v="Stuffed Crust"/>
    <n v="5"/>
    <x v="11"/>
    <x v="1"/>
    <s v="Card"/>
    <x v="0"/>
    <x v="0"/>
    <n v="5.333333333333333"/>
    <n v="0.66666666666666663"/>
    <x v="1"/>
    <s v="Online"/>
    <n v="18"/>
    <n v="22"/>
    <x v="1"/>
    <n v="20"/>
    <n v="3"/>
    <x v="3"/>
    <n v="28.844221105527641"/>
    <n v="1"/>
  </r>
  <r>
    <s v="ORD479"/>
    <x v="4"/>
    <s v="Denver, CO"/>
    <d v="2025-02-04T00:00:00"/>
    <d v="1899-12-30T18:00:00"/>
    <d v="2025-02-04T00:00:00"/>
    <d v="1899-12-30T18:30:00"/>
    <n v="30"/>
    <s v="Medium"/>
    <s v="Non-Veg"/>
    <n v="3"/>
    <x v="6"/>
    <x v="0"/>
    <s v="UPI"/>
    <x v="0"/>
    <x v="0"/>
    <n v="7.5"/>
    <n v="0.75"/>
    <x v="1"/>
    <s v="Online"/>
    <n v="9.6"/>
    <n v="20.399999999999999"/>
    <x v="0"/>
    <n v="6"/>
    <n v="2"/>
    <x v="0"/>
    <n v="30.286458333333329"/>
    <n v="0"/>
  </r>
  <r>
    <s v="ORD480"/>
    <x v="0"/>
    <s v="Washington, DC"/>
    <d v="2025-02-05T00:00:00"/>
    <d v="1899-12-30T20:15:00"/>
    <d v="2025-02-05T00:00:00"/>
    <d v="1899-12-30T21:00:00"/>
    <n v="45"/>
    <s v="Large"/>
    <s v="Veg"/>
    <n v="4"/>
    <x v="12"/>
    <x v="1"/>
    <s v="Cash"/>
    <x v="0"/>
    <x v="0"/>
    <n v="5"/>
    <n v="0.44444444444444442"/>
    <x v="1"/>
    <s v="Offline"/>
    <n v="21.6"/>
    <n v="23.4"/>
    <x v="1"/>
    <n v="12"/>
    <n v="3"/>
    <x v="1"/>
    <n v="30.259433962264151"/>
    <n v="1"/>
  </r>
  <r>
    <s v="ORD481"/>
    <x v="1"/>
    <s v="Boston, MA"/>
    <d v="2025-02-06T00:00:00"/>
    <d v="1899-12-30T18:00:00"/>
    <d v="2025-02-06T00:00:00"/>
    <d v="1899-12-30T18:20:00"/>
    <n v="20"/>
    <s v="Medium"/>
    <s v="Veg"/>
    <n v="2"/>
    <x v="2"/>
    <x v="2"/>
    <s v="Card"/>
    <x v="0"/>
    <x v="0"/>
    <n v="6.666666666666667"/>
    <n v="0.66666666666666663"/>
    <x v="1"/>
    <s v="Online"/>
    <n v="7.1999999999999993"/>
    <n v="12.8"/>
    <x v="0"/>
    <n v="4"/>
    <n v="1"/>
    <x v="0"/>
    <n v="28.186274509803919"/>
    <n v="0"/>
  </r>
  <r>
    <s v="ORD482"/>
    <x v="3"/>
    <s v="Nashville, TN"/>
    <d v="2025-02-07T00:00:00"/>
    <d v="1899-12-30T19:15:00"/>
    <d v="2025-02-07T00:00:00"/>
    <d v="1899-12-30T19:45:00"/>
    <n v="30"/>
    <s v="Large"/>
    <s v="Non-Veg"/>
    <n v="4"/>
    <x v="7"/>
    <x v="0"/>
    <s v="Wallet"/>
    <x v="0"/>
    <x v="0"/>
    <n v="5"/>
    <n v="0.66666666666666663"/>
    <x v="1"/>
    <s v="Online"/>
    <n v="14.4"/>
    <n v="15.6"/>
    <x v="0"/>
    <n v="12"/>
    <n v="2"/>
    <x v="3"/>
    <n v="29.948453608247419"/>
    <n v="0"/>
  </r>
  <r>
    <s v="ORD483"/>
    <x v="2"/>
    <s v="Baltimore, MD"/>
    <d v="2025-02-08T00:00:00"/>
    <d v="1899-12-30T20:30:00"/>
    <d v="2025-02-08T00:00:00"/>
    <d v="1899-12-30T21:10:00"/>
    <n v="40"/>
    <s v="XL"/>
    <s v="Cheese Burst"/>
    <n v="5"/>
    <x v="8"/>
    <x v="1"/>
    <s v="Card"/>
    <x v="0"/>
    <x v="1"/>
    <n v="5"/>
    <n v="0.625"/>
    <x v="1"/>
    <s v="Online"/>
    <n v="19.2"/>
    <n v="20.8"/>
    <x v="1"/>
    <n v="20"/>
    <n v="3"/>
    <x v="1"/>
    <n v="28.844221105527641"/>
    <n v="1"/>
  </r>
  <r>
    <s v="ORD484"/>
    <x v="4"/>
    <s v="Louisville, KY"/>
    <d v="2025-02-09T00:00:00"/>
    <d v="1899-12-30T18:45:00"/>
    <d v="2025-02-09T00:00:00"/>
    <d v="1899-12-30T19:05:00"/>
    <n v="20"/>
    <s v="Small"/>
    <s v="Vegan"/>
    <n v="1"/>
    <x v="0"/>
    <x v="2"/>
    <s v="Cash"/>
    <x v="0"/>
    <x v="1"/>
    <n v="8"/>
    <n v="0.4"/>
    <x v="1"/>
    <s v="Offline"/>
    <n v="6"/>
    <n v="14"/>
    <x v="0"/>
    <n v="1"/>
    <n v="1"/>
    <x v="0"/>
    <n v="30.286458333333329"/>
    <n v="0"/>
  </r>
  <r>
    <s v="ORD485"/>
    <x v="0"/>
    <s v="Milwaukee, WI"/>
    <d v="2025-02-10T00:00:00"/>
    <d v="1899-12-30T19:00:00"/>
    <d v="2025-02-10T00:00:00"/>
    <d v="1899-12-30T19:50:00"/>
    <n v="50"/>
    <s v="Large"/>
    <s v="Non-Veg"/>
    <n v="4"/>
    <x v="9"/>
    <x v="1"/>
    <s v="Card"/>
    <x v="0"/>
    <x v="0"/>
    <n v="5"/>
    <n v="0.4"/>
    <x v="1"/>
    <s v="Online"/>
    <n v="24"/>
    <n v="26"/>
    <x v="1"/>
    <n v="12"/>
    <n v="3"/>
    <x v="3"/>
    <n v="30.259433962264151"/>
    <n v="1"/>
  </r>
  <r>
    <s v="ORD486"/>
    <x v="1"/>
    <s v="Albuquerque, NM"/>
    <d v="2025-02-11T00:00:00"/>
    <d v="1899-12-30T20:00:00"/>
    <d v="2025-02-11T00:00:00"/>
    <d v="1899-12-30T20:35:00"/>
    <n v="35"/>
    <s v="Medium"/>
    <s v="Gluten-Free"/>
    <n v="3"/>
    <x v="10"/>
    <x v="0"/>
    <s v="Wallet"/>
    <x v="0"/>
    <x v="0"/>
    <n v="6.3636363636363633"/>
    <n v="0.54545454545454541"/>
    <x v="1"/>
    <s v="Online"/>
    <n v="13.2"/>
    <n v="21.8"/>
    <x v="1"/>
    <n v="6"/>
    <n v="2"/>
    <x v="1"/>
    <n v="28.186274509803919"/>
    <n v="1"/>
  </r>
  <r>
    <s v="ORD487"/>
    <x v="3"/>
    <s v="Tucson, AZ"/>
    <d v="2025-02-12T00:00:00"/>
    <d v="1899-12-30T18:30:00"/>
    <d v="2025-02-12T00:00:00"/>
    <d v="1899-12-30T18:50:00"/>
    <n v="20"/>
    <s v="Small"/>
    <s v="Vegan"/>
    <n v="2"/>
    <x v="4"/>
    <x v="2"/>
    <s v="Wallet"/>
    <x v="0"/>
    <x v="0"/>
    <n v="10"/>
    <n v="1"/>
    <x v="1"/>
    <s v="Online"/>
    <n v="4.8"/>
    <n v="15.2"/>
    <x v="0"/>
    <n v="2"/>
    <n v="1"/>
    <x v="0"/>
    <n v="29.948453608247419"/>
    <n v="0"/>
  </r>
  <r>
    <s v="ORD488"/>
    <x v="2"/>
    <s v="Fresno, CA"/>
    <d v="2025-02-13T00:00:00"/>
    <d v="1899-12-30T19:45:00"/>
    <d v="2025-02-13T00:00:00"/>
    <d v="1899-12-30T20:25:00"/>
    <n v="40"/>
    <s v="XL"/>
    <s v="Cheese Burst"/>
    <n v="5"/>
    <x v="11"/>
    <x v="1"/>
    <s v="Card"/>
    <x v="0"/>
    <x v="0"/>
    <n v="5.333333333333333"/>
    <n v="0.66666666666666663"/>
    <x v="1"/>
    <s v="Online"/>
    <n v="18"/>
    <n v="22"/>
    <x v="1"/>
    <n v="20"/>
    <n v="3"/>
    <x v="3"/>
    <n v="28.844221105527641"/>
    <n v="1"/>
  </r>
  <r>
    <s v="ORD489"/>
    <x v="4"/>
    <s v="Sacramento, CA"/>
    <d v="2025-02-14T00:00:00"/>
    <d v="1899-12-30T18:00:00"/>
    <d v="2025-02-14T00:00:00"/>
    <d v="1899-12-30T18:20:00"/>
    <n v="20"/>
    <s v="Medium"/>
    <s v="Veg"/>
    <n v="2"/>
    <x v="2"/>
    <x v="2"/>
    <s v="Card"/>
    <x v="0"/>
    <x v="0"/>
    <n v="6.666666666666667"/>
    <n v="0.66666666666666663"/>
    <x v="1"/>
    <s v="Online"/>
    <n v="7.1999999999999993"/>
    <n v="12.8"/>
    <x v="0"/>
    <n v="4"/>
    <n v="1"/>
    <x v="0"/>
    <n v="30.286458333333329"/>
    <n v="0"/>
  </r>
  <r>
    <s v="ORD490"/>
    <x v="0"/>
    <s v="Kansas City, MO"/>
    <d v="2025-02-15T00:00:00"/>
    <d v="1899-12-30T19:15:00"/>
    <d v="2025-02-15T00:00:00"/>
    <d v="1899-12-30T19:45:00"/>
    <n v="30"/>
    <s v="Large"/>
    <s v="Deep Dish"/>
    <n v="4"/>
    <x v="7"/>
    <x v="0"/>
    <s v="UPI"/>
    <x v="0"/>
    <x v="1"/>
    <n v="5"/>
    <n v="0.66666666666666663"/>
    <x v="1"/>
    <s v="Online"/>
    <n v="14.4"/>
    <n v="15.6"/>
    <x v="0"/>
    <n v="12"/>
    <n v="2"/>
    <x v="3"/>
    <n v="30.259433962264151"/>
    <n v="0"/>
  </r>
  <r>
    <s v="ORD491"/>
    <x v="1"/>
    <s v="Long Beach, CA"/>
    <d v="2025-02-16T00:00:00"/>
    <d v="1899-12-30T20:30:00"/>
    <d v="2025-02-16T00:00:00"/>
    <d v="1899-12-30T21:10:00"/>
    <n v="40"/>
    <s v="XL"/>
    <s v="Cheese Burst"/>
    <n v="5"/>
    <x v="8"/>
    <x v="1"/>
    <s v="Wallet"/>
    <x v="0"/>
    <x v="1"/>
    <n v="5"/>
    <n v="0.625"/>
    <x v="1"/>
    <s v="Online"/>
    <n v="19.2"/>
    <n v="20.8"/>
    <x v="1"/>
    <n v="20"/>
    <n v="3"/>
    <x v="1"/>
    <n v="28.186274509803919"/>
    <n v="1"/>
  </r>
  <r>
    <s v="ORD492"/>
    <x v="3"/>
    <s v="Mesa, AZ"/>
    <d v="2025-02-17T00:00:00"/>
    <d v="1899-12-30T18:45:00"/>
    <d v="2025-02-17T00:00:00"/>
    <d v="1899-12-30T19:05:00"/>
    <n v="20"/>
    <s v="Small"/>
    <s v="Vegan"/>
    <n v="1"/>
    <x v="0"/>
    <x v="2"/>
    <s v="Cash"/>
    <x v="0"/>
    <x v="0"/>
    <n v="8"/>
    <n v="0.4"/>
    <x v="1"/>
    <s v="Offline"/>
    <n v="6"/>
    <n v="14"/>
    <x v="0"/>
    <n v="1"/>
    <n v="1"/>
    <x v="0"/>
    <n v="29.948453608247419"/>
    <n v="0"/>
  </r>
  <r>
    <s v="ORD493"/>
    <x v="0"/>
    <s v="Atlanta, GA"/>
    <d v="2025-02-18T00:00:00"/>
    <d v="1899-12-30T19:00:00"/>
    <d v="2025-02-18T00:00:00"/>
    <d v="1899-12-30T19:50:00"/>
    <n v="50"/>
    <s v="Large"/>
    <s v="Non-Veg"/>
    <n v="4"/>
    <x v="9"/>
    <x v="1"/>
    <s v="Card"/>
    <x v="0"/>
    <x v="0"/>
    <n v="5"/>
    <n v="0.4"/>
    <x v="1"/>
    <s v="Online"/>
    <n v="24"/>
    <n v="26"/>
    <x v="1"/>
    <n v="12"/>
    <n v="3"/>
    <x v="3"/>
    <n v="30.259433962264151"/>
    <n v="1"/>
  </r>
  <r>
    <s v="ORD494"/>
    <x v="1"/>
    <s v="Omaha, NE"/>
    <d v="2025-02-19T00:00:00"/>
    <d v="1899-12-30T20:00:00"/>
    <d v="2025-02-19T00:00:00"/>
    <d v="1899-12-30T20:35:00"/>
    <n v="35"/>
    <s v="Medium"/>
    <s v="Gluten-Free"/>
    <n v="3"/>
    <x v="10"/>
    <x v="0"/>
    <s v="Wallet"/>
    <x v="0"/>
    <x v="0"/>
    <n v="6.3636363636363633"/>
    <n v="0.54545454545454541"/>
    <x v="1"/>
    <s v="Online"/>
    <n v="13.2"/>
    <n v="21.8"/>
    <x v="1"/>
    <n v="6"/>
    <n v="2"/>
    <x v="1"/>
    <n v="28.186274509803919"/>
    <n v="1"/>
  </r>
  <r>
    <s v="ORD495"/>
    <x v="3"/>
    <s v="Raleigh, NC"/>
    <d v="2025-02-20T00:00:00"/>
    <d v="1899-12-30T18:30:00"/>
    <d v="2025-02-20T00:00:00"/>
    <d v="1899-12-30T18:50:00"/>
    <n v="20"/>
    <s v="Small"/>
    <s v="Vegan"/>
    <n v="2"/>
    <x v="4"/>
    <x v="2"/>
    <s v="UPI"/>
    <x v="0"/>
    <x v="0"/>
    <n v="10"/>
    <n v="1"/>
    <x v="1"/>
    <s v="Online"/>
    <n v="4.8"/>
    <n v="15.2"/>
    <x v="0"/>
    <n v="2"/>
    <n v="1"/>
    <x v="0"/>
    <n v="29.948453608247419"/>
    <n v="0"/>
  </r>
  <r>
    <s v="ORD496"/>
    <x v="2"/>
    <s v="Miami, FL"/>
    <d v="2025-02-21T00:00:00"/>
    <d v="1899-12-30T19:45:00"/>
    <d v="2025-02-21T00:00:00"/>
    <d v="1899-12-30T20:25:00"/>
    <n v="40"/>
    <s v="XL"/>
    <s v="Stuffed Crust"/>
    <n v="5"/>
    <x v="11"/>
    <x v="1"/>
    <s v="Card"/>
    <x v="0"/>
    <x v="0"/>
    <n v="5.333333333333333"/>
    <n v="0.66666666666666663"/>
    <x v="1"/>
    <s v="Online"/>
    <n v="18"/>
    <n v="22"/>
    <x v="1"/>
    <n v="20"/>
    <n v="3"/>
    <x v="3"/>
    <n v="28.844221105527641"/>
    <n v="1"/>
  </r>
  <r>
    <s v="ORD497"/>
    <x v="4"/>
    <s v="Tulsa, OK"/>
    <d v="2025-02-22T00:00:00"/>
    <d v="1899-12-30T18:00:00"/>
    <d v="2025-02-22T00:00:00"/>
    <d v="1899-12-30T18:30:00"/>
    <n v="30"/>
    <s v="Medium"/>
    <s v="Non-Veg"/>
    <n v="3"/>
    <x v="6"/>
    <x v="0"/>
    <s v="UPI"/>
    <x v="0"/>
    <x v="1"/>
    <n v="7.5"/>
    <n v="0.75"/>
    <x v="1"/>
    <s v="Online"/>
    <n v="9.6"/>
    <n v="20.399999999999999"/>
    <x v="0"/>
    <n v="6"/>
    <n v="2"/>
    <x v="0"/>
    <n v="30.286458333333329"/>
    <n v="0"/>
  </r>
  <r>
    <s v="ORD498"/>
    <x v="0"/>
    <s v="Minneapolis, MN"/>
    <d v="2025-02-23T00:00:00"/>
    <d v="1899-12-30T20:15:00"/>
    <d v="2025-02-23T00:00:00"/>
    <d v="1899-12-30T21:00:00"/>
    <n v="45"/>
    <s v="Large"/>
    <s v="Veg"/>
    <n v="4"/>
    <x v="12"/>
    <x v="1"/>
    <s v="Cash"/>
    <x v="0"/>
    <x v="1"/>
    <n v="5"/>
    <n v="0.44444444444444442"/>
    <x v="1"/>
    <s v="Offline"/>
    <n v="21.6"/>
    <n v="23.4"/>
    <x v="1"/>
    <n v="12"/>
    <n v="3"/>
    <x v="1"/>
    <n v="30.259433962264151"/>
    <n v="1"/>
  </r>
  <r>
    <s v="ORD499"/>
    <x v="1"/>
    <s v="Arlington, TX"/>
    <d v="2025-02-24T00:00:00"/>
    <d v="1899-12-30T18:00:00"/>
    <d v="2025-02-24T00:00:00"/>
    <d v="1899-12-30T18:20:00"/>
    <n v="20"/>
    <s v="Medium"/>
    <s v="Veg"/>
    <n v="2"/>
    <x v="2"/>
    <x v="2"/>
    <s v="Card"/>
    <x v="0"/>
    <x v="0"/>
    <n v="6.666666666666667"/>
    <n v="0.66666666666666663"/>
    <x v="1"/>
    <s v="Online"/>
    <n v="7.1999999999999993"/>
    <n v="12.8"/>
    <x v="0"/>
    <n v="4"/>
    <n v="1"/>
    <x v="0"/>
    <n v="28.186274509803919"/>
    <n v="0"/>
  </r>
  <r>
    <s v="ORD500"/>
    <x v="3"/>
    <s v="New Orleans, LA"/>
    <d v="2025-02-25T00:00:00"/>
    <d v="1899-12-30T19:15:00"/>
    <d v="2025-02-25T00:00:00"/>
    <d v="1899-12-30T19:45:00"/>
    <n v="30"/>
    <s v="Large"/>
    <s v="Non-Veg"/>
    <n v="4"/>
    <x v="7"/>
    <x v="0"/>
    <s v="Wallet"/>
    <x v="0"/>
    <x v="0"/>
    <n v="5"/>
    <n v="0.66666666666666663"/>
    <x v="1"/>
    <s v="Online"/>
    <n v="14.4"/>
    <n v="15.6"/>
    <x v="0"/>
    <n v="12"/>
    <n v="2"/>
    <x v="3"/>
    <n v="29.948453608247419"/>
    <n v="0"/>
  </r>
  <r>
    <s v="ORD501"/>
    <x v="2"/>
    <s v="Wichita, KS"/>
    <d v="2025-02-26T00:00:00"/>
    <d v="1899-12-30T20:30:00"/>
    <d v="2025-02-26T00:00:00"/>
    <d v="1899-12-30T21:10:00"/>
    <n v="40"/>
    <s v="XL"/>
    <s v="Cheese Burst"/>
    <n v="5"/>
    <x v="8"/>
    <x v="1"/>
    <s v="Card"/>
    <x v="0"/>
    <x v="0"/>
    <n v="5"/>
    <n v="0.625"/>
    <x v="1"/>
    <s v="Online"/>
    <n v="19.2"/>
    <n v="20.8"/>
    <x v="1"/>
    <n v="20"/>
    <n v="3"/>
    <x v="1"/>
    <n v="28.844221105527641"/>
    <n v="1"/>
  </r>
  <r>
    <s v="ORD502"/>
    <x v="4"/>
    <s v="Cleveland, OH"/>
    <d v="2025-02-27T00:00:00"/>
    <d v="1899-12-30T18:45:00"/>
    <d v="2025-02-27T00:00:00"/>
    <d v="1899-12-30T19:05:00"/>
    <n v="20"/>
    <s v="Small"/>
    <s v="Vegan"/>
    <n v="1"/>
    <x v="0"/>
    <x v="2"/>
    <s v="Cash"/>
    <x v="0"/>
    <x v="0"/>
    <n v="8"/>
    <n v="0.4"/>
    <x v="1"/>
    <s v="Offline"/>
    <n v="6"/>
    <n v="14"/>
    <x v="0"/>
    <n v="1"/>
    <n v="1"/>
    <x v="0"/>
    <n v="30.286458333333329"/>
    <n v="0"/>
  </r>
  <r>
    <s v="ORD503"/>
    <x v="0"/>
    <s v="Tampa, FL"/>
    <d v="2025-02-28T00:00:00"/>
    <d v="1899-12-30T19:00:00"/>
    <d v="2025-02-28T00:00:00"/>
    <d v="1899-12-30T19:50:00"/>
    <n v="50"/>
    <s v="Large"/>
    <s v="Non-Veg"/>
    <n v="4"/>
    <x v="9"/>
    <x v="1"/>
    <s v="Domino's Cash"/>
    <x v="0"/>
    <x v="0"/>
    <n v="5"/>
    <n v="0.4"/>
    <x v="1"/>
    <s v="Offline"/>
    <n v="24"/>
    <n v="26"/>
    <x v="1"/>
    <n v="12"/>
    <n v="3"/>
    <x v="3"/>
    <n v="30.259433962264151"/>
    <n v="1"/>
  </r>
  <r>
    <s v="ORD504"/>
    <x v="1"/>
    <s v="Bakersfield, CA"/>
    <d v="2025-03-01T00:00:00"/>
    <d v="1899-12-30T20:00:00"/>
    <d v="2025-03-01T00:00:00"/>
    <d v="1899-12-30T20:35:00"/>
    <n v="35"/>
    <s v="Medium"/>
    <s v="Gluten-Free"/>
    <n v="3"/>
    <x v="10"/>
    <x v="0"/>
    <s v="Wallet"/>
    <x v="0"/>
    <x v="1"/>
    <n v="6.3636363636363633"/>
    <n v="0.54545454545454541"/>
    <x v="2"/>
    <s v="Online"/>
    <n v="13.2"/>
    <n v="21.8"/>
    <x v="1"/>
    <n v="6"/>
    <n v="2"/>
    <x v="1"/>
    <n v="28.186274509803919"/>
    <n v="1"/>
  </r>
  <r>
    <s v="ORD505"/>
    <x v="3"/>
    <s v="Aurora, CO"/>
    <d v="2025-03-02T00:00:00"/>
    <d v="1899-12-30T18:30:00"/>
    <d v="2025-03-02T00:00:00"/>
    <d v="1899-12-30T18:50:00"/>
    <n v="20"/>
    <s v="Small"/>
    <s v="Vegan"/>
    <n v="2"/>
    <x v="4"/>
    <x v="2"/>
    <s v="UPI"/>
    <x v="0"/>
    <x v="1"/>
    <n v="10"/>
    <n v="1"/>
    <x v="2"/>
    <s v="Online"/>
    <n v="4.8"/>
    <n v="15.2"/>
    <x v="0"/>
    <n v="2"/>
    <n v="1"/>
    <x v="0"/>
    <n v="29.948453608247419"/>
    <n v="0"/>
  </r>
  <r>
    <s v="ORD506"/>
    <x v="2"/>
    <s v="Anaheim, CA"/>
    <d v="2025-03-03T00:00:00"/>
    <d v="1899-12-30T19:45:00"/>
    <d v="2025-03-03T00:00:00"/>
    <d v="1899-12-30T20:25:00"/>
    <n v="40"/>
    <s v="XL"/>
    <s v="Stuffed Crust"/>
    <n v="5"/>
    <x v="11"/>
    <x v="1"/>
    <s v="Card"/>
    <x v="0"/>
    <x v="0"/>
    <n v="5.333333333333333"/>
    <n v="0.66666666666666663"/>
    <x v="2"/>
    <s v="Online"/>
    <n v="18"/>
    <n v="22"/>
    <x v="1"/>
    <n v="20"/>
    <n v="3"/>
    <x v="3"/>
    <n v="28.844221105527641"/>
    <n v="1"/>
  </r>
  <r>
    <s v="ORD507"/>
    <x v="4"/>
    <s v="Honolulu, HI"/>
    <d v="2025-03-04T00:00:00"/>
    <d v="1899-12-30T18:00:00"/>
    <d v="2025-03-04T00:00:00"/>
    <d v="1899-12-30T18:30:00"/>
    <n v="30"/>
    <s v="Medium"/>
    <s v="Non-Veg"/>
    <n v="3"/>
    <x v="6"/>
    <x v="0"/>
    <s v="UPI"/>
    <x v="0"/>
    <x v="0"/>
    <n v="7.5"/>
    <n v="0.75"/>
    <x v="2"/>
    <s v="Online"/>
    <n v="9.6"/>
    <n v="20.399999999999999"/>
    <x v="0"/>
    <n v="6"/>
    <n v="2"/>
    <x v="0"/>
    <n v="30.286458333333329"/>
    <n v="0"/>
  </r>
  <r>
    <s v="ORD508"/>
    <x v="0"/>
    <s v="Lexington, KY"/>
    <d v="2025-03-05T00:00:00"/>
    <d v="1899-12-30T20:15:00"/>
    <d v="2025-03-05T00:00:00"/>
    <d v="1899-12-30T21:00:00"/>
    <n v="45"/>
    <s v="Large"/>
    <s v="Veg"/>
    <n v="4"/>
    <x v="12"/>
    <x v="1"/>
    <s v="Cash"/>
    <x v="0"/>
    <x v="0"/>
    <n v="5"/>
    <n v="0.44444444444444442"/>
    <x v="2"/>
    <s v="Offline"/>
    <n v="21.6"/>
    <n v="23.4"/>
    <x v="1"/>
    <n v="12"/>
    <n v="3"/>
    <x v="1"/>
    <n v="30.259433962264151"/>
    <n v="1"/>
  </r>
  <r>
    <s v="ORD509"/>
    <x v="1"/>
    <s v="Stockton, CA"/>
    <d v="2025-03-06T00:00:00"/>
    <d v="1899-12-30T18:00:00"/>
    <d v="2025-03-06T00:00:00"/>
    <d v="1899-12-30T18:20:00"/>
    <n v="20"/>
    <s v="Medium"/>
    <s v="Veg"/>
    <n v="2"/>
    <x v="2"/>
    <x v="2"/>
    <s v="Card"/>
    <x v="0"/>
    <x v="0"/>
    <n v="6.666666666666667"/>
    <n v="0.66666666666666663"/>
    <x v="2"/>
    <s v="Online"/>
    <n v="7.1999999999999993"/>
    <n v="12.8"/>
    <x v="0"/>
    <n v="4"/>
    <n v="1"/>
    <x v="0"/>
    <n v="28.186274509803919"/>
    <n v="0"/>
  </r>
  <r>
    <s v="ORD510"/>
    <x v="3"/>
    <s v="Corpus Christi, TX"/>
    <d v="2025-03-07T00:00:00"/>
    <d v="1899-12-30T19:15:00"/>
    <d v="2025-03-07T00:00:00"/>
    <d v="1899-12-30T19:45:00"/>
    <n v="30"/>
    <s v="Large"/>
    <s v="Non-Veg"/>
    <n v="4"/>
    <x v="7"/>
    <x v="0"/>
    <s v="Wallet"/>
    <x v="0"/>
    <x v="0"/>
    <n v="5"/>
    <n v="0.66666666666666663"/>
    <x v="2"/>
    <s v="Online"/>
    <n v="14.4"/>
    <n v="15.6"/>
    <x v="0"/>
    <n v="12"/>
    <n v="2"/>
    <x v="3"/>
    <n v="29.948453608247419"/>
    <n v="0"/>
  </r>
  <r>
    <s v="ORD511"/>
    <x v="2"/>
    <s v="Henderson, NV"/>
    <d v="2025-03-08T00:00:00"/>
    <d v="1899-12-30T20:30:00"/>
    <d v="2025-03-08T00:00:00"/>
    <d v="1899-12-30T21:10:00"/>
    <n v="40"/>
    <s v="XL"/>
    <s v="Cheese Burst"/>
    <n v="5"/>
    <x v="8"/>
    <x v="1"/>
    <s v="Card"/>
    <x v="0"/>
    <x v="1"/>
    <n v="5"/>
    <n v="0.625"/>
    <x v="2"/>
    <s v="Online"/>
    <n v="19.2"/>
    <n v="20.8"/>
    <x v="1"/>
    <n v="20"/>
    <n v="3"/>
    <x v="1"/>
    <n v="28.844221105527641"/>
    <n v="1"/>
  </r>
  <r>
    <s v="ORD512"/>
    <x v="4"/>
    <s v="Riverside, CA"/>
    <d v="2025-03-09T00:00:00"/>
    <d v="1899-12-30T18:45:00"/>
    <d v="2025-03-09T00:00:00"/>
    <d v="1899-12-30T19:05:00"/>
    <n v="20"/>
    <s v="Small"/>
    <s v="Vegan"/>
    <n v="1"/>
    <x v="0"/>
    <x v="2"/>
    <s v="Cash"/>
    <x v="0"/>
    <x v="1"/>
    <n v="8"/>
    <n v="0.4"/>
    <x v="2"/>
    <s v="Offline"/>
    <n v="6"/>
    <n v="14"/>
    <x v="0"/>
    <n v="1"/>
    <n v="1"/>
    <x v="0"/>
    <n v="30.286458333333329"/>
    <n v="0"/>
  </r>
  <r>
    <s v="ORD513"/>
    <x v="0"/>
    <s v="Newark, NJ"/>
    <d v="2025-03-10T00:00:00"/>
    <d v="1899-12-30T19:00:00"/>
    <d v="2025-03-10T00:00:00"/>
    <d v="1899-12-30T19:50:00"/>
    <n v="50"/>
    <s v="Large"/>
    <s v="Non-Veg"/>
    <n v="4"/>
    <x v="9"/>
    <x v="1"/>
    <s v="Card"/>
    <x v="0"/>
    <x v="0"/>
    <n v="5"/>
    <n v="0.4"/>
    <x v="2"/>
    <s v="Online"/>
    <n v="24"/>
    <n v="26"/>
    <x v="1"/>
    <n v="12"/>
    <n v="3"/>
    <x v="3"/>
    <n v="30.259433962264151"/>
    <n v="1"/>
  </r>
  <r>
    <s v="ORD514"/>
    <x v="1"/>
    <s v="St. Paul, MN"/>
    <d v="2025-03-11T00:00:00"/>
    <d v="1899-12-30T20:00:00"/>
    <d v="2025-03-11T00:00:00"/>
    <d v="1899-12-30T20:35:00"/>
    <n v="35"/>
    <s v="Medium"/>
    <s v="Gluten-Free"/>
    <n v="3"/>
    <x v="10"/>
    <x v="0"/>
    <s v="Wallet"/>
    <x v="0"/>
    <x v="0"/>
    <n v="6.3636363636363633"/>
    <n v="0.54545454545454541"/>
    <x v="2"/>
    <s v="Online"/>
    <n v="13.2"/>
    <n v="21.8"/>
    <x v="1"/>
    <n v="6"/>
    <n v="2"/>
    <x v="1"/>
    <n v="28.186274509803919"/>
    <n v="1"/>
  </r>
  <r>
    <s v="ORD515"/>
    <x v="3"/>
    <s v="Plano, TX"/>
    <d v="2025-03-12T00:00:00"/>
    <d v="1899-12-30T18:30:00"/>
    <d v="2025-03-12T00:00:00"/>
    <d v="1899-12-30T18:50:00"/>
    <n v="20"/>
    <s v="Small"/>
    <s v="Vegan"/>
    <n v="2"/>
    <x v="4"/>
    <x v="2"/>
    <s v="UPI"/>
    <x v="0"/>
    <x v="0"/>
    <n v="10"/>
    <n v="1"/>
    <x v="2"/>
    <s v="Online"/>
    <n v="4.8"/>
    <n v="15.2"/>
    <x v="0"/>
    <n v="2"/>
    <n v="1"/>
    <x v="0"/>
    <n v="29.948453608247419"/>
    <n v="0"/>
  </r>
  <r>
    <s v="ORD516"/>
    <x v="2"/>
    <s v="Lincoln, NE"/>
    <d v="2025-03-13T00:00:00"/>
    <d v="1899-12-30T19:45:00"/>
    <d v="2025-03-13T00:00:00"/>
    <d v="1899-12-30T20:25:00"/>
    <n v="40"/>
    <s v="XL"/>
    <s v="Cheese Burst"/>
    <n v="5"/>
    <x v="11"/>
    <x v="1"/>
    <s v="Card"/>
    <x v="0"/>
    <x v="0"/>
    <n v="5.333333333333333"/>
    <n v="0.66666666666666663"/>
    <x v="2"/>
    <s v="Online"/>
    <n v="18"/>
    <n v="22"/>
    <x v="1"/>
    <n v="20"/>
    <n v="3"/>
    <x v="3"/>
    <n v="28.844221105527641"/>
    <n v="1"/>
  </r>
  <r>
    <s v="ORD517"/>
    <x v="4"/>
    <s v="Boise, ID"/>
    <d v="2025-03-14T00:00:00"/>
    <d v="1899-12-30T18:00:00"/>
    <d v="2025-03-14T00:00:00"/>
    <d v="1899-12-30T18:20:00"/>
    <n v="20"/>
    <s v="Medium"/>
    <s v="Veg"/>
    <n v="2"/>
    <x v="2"/>
    <x v="2"/>
    <s v="Card"/>
    <x v="0"/>
    <x v="0"/>
    <n v="6.666666666666667"/>
    <n v="0.66666666666666663"/>
    <x v="2"/>
    <s v="Online"/>
    <n v="7.1999999999999993"/>
    <n v="12.8"/>
    <x v="0"/>
    <n v="4"/>
    <n v="1"/>
    <x v="0"/>
    <n v="30.286458333333329"/>
    <n v="0"/>
  </r>
  <r>
    <s v="ORD518"/>
    <x v="0"/>
    <s v="Reno, NV"/>
    <d v="2025-03-15T00:00:00"/>
    <d v="1899-12-30T19:15:00"/>
    <d v="2025-03-15T00:00:00"/>
    <d v="1899-12-30T19:45:00"/>
    <n v="30"/>
    <s v="Large"/>
    <s v="Deep Dish"/>
    <n v="4"/>
    <x v="7"/>
    <x v="0"/>
    <s v="UPI"/>
    <x v="0"/>
    <x v="1"/>
    <n v="5"/>
    <n v="0.66666666666666663"/>
    <x v="2"/>
    <s v="Online"/>
    <n v="14.4"/>
    <n v="15.6"/>
    <x v="0"/>
    <n v="12"/>
    <n v="2"/>
    <x v="3"/>
    <n v="30.259433962264151"/>
    <n v="0"/>
  </r>
  <r>
    <s v="ORD519"/>
    <x v="1"/>
    <s v="Scottsdale, AZ"/>
    <d v="2025-03-16T00:00:00"/>
    <d v="1899-12-30T20:30:00"/>
    <d v="2025-03-16T00:00:00"/>
    <d v="1899-12-30T21:10:00"/>
    <n v="40"/>
    <s v="XL"/>
    <s v="Cheese Burst"/>
    <n v="5"/>
    <x v="8"/>
    <x v="1"/>
    <s v="Wallet"/>
    <x v="0"/>
    <x v="1"/>
    <n v="5"/>
    <n v="0.625"/>
    <x v="2"/>
    <s v="Online"/>
    <n v="19.2"/>
    <n v="20.8"/>
    <x v="1"/>
    <n v="20"/>
    <n v="3"/>
    <x v="1"/>
    <n v="28.186274509803919"/>
    <n v="1"/>
  </r>
  <r>
    <s v="ORD520"/>
    <x v="3"/>
    <s v="Irving, TX"/>
    <d v="2025-03-17T00:00:00"/>
    <d v="1899-12-30T18:45:00"/>
    <d v="2025-03-17T00:00:00"/>
    <d v="1899-12-30T19:05:00"/>
    <n v="20"/>
    <s v="Small"/>
    <s v="Vegan"/>
    <n v="1"/>
    <x v="0"/>
    <x v="2"/>
    <s v="Cash"/>
    <x v="0"/>
    <x v="0"/>
    <n v="8"/>
    <n v="0.4"/>
    <x v="2"/>
    <s v="Offline"/>
    <n v="6"/>
    <n v="14"/>
    <x v="0"/>
    <n v="1"/>
    <n v="1"/>
    <x v="0"/>
    <n v="29.948453608247419"/>
    <n v="0"/>
  </r>
  <r>
    <s v="ORD521"/>
    <x v="0"/>
    <s v="Orlando, FL"/>
    <d v="2025-03-18T00:00:00"/>
    <d v="1899-12-30T19:00:00"/>
    <d v="2025-03-18T00:00:00"/>
    <d v="1899-12-30T19:50:00"/>
    <n v="50"/>
    <s v="Large"/>
    <s v="Non-Veg"/>
    <n v="4"/>
    <x v="9"/>
    <x v="1"/>
    <s v="Card"/>
    <x v="0"/>
    <x v="0"/>
    <n v="5"/>
    <n v="0.4"/>
    <x v="2"/>
    <s v="Online"/>
    <n v="24"/>
    <n v="26"/>
    <x v="1"/>
    <n v="12"/>
    <n v="3"/>
    <x v="3"/>
    <n v="30.259433962264151"/>
    <n v="1"/>
  </r>
  <r>
    <s v="ORD522"/>
    <x v="1"/>
    <s v="Madison, WI"/>
    <d v="2025-03-19T00:00:00"/>
    <d v="1899-12-30T20:00:00"/>
    <d v="2025-03-19T00:00:00"/>
    <d v="1899-12-30T20:35:00"/>
    <n v="35"/>
    <s v="Medium"/>
    <s v="Gluten-Free"/>
    <n v="3"/>
    <x v="10"/>
    <x v="0"/>
    <s v="Wallet"/>
    <x v="0"/>
    <x v="0"/>
    <n v="6.3636363636363633"/>
    <n v="0.54545454545454541"/>
    <x v="2"/>
    <s v="Online"/>
    <n v="13.2"/>
    <n v="21.8"/>
    <x v="1"/>
    <n v="6"/>
    <n v="2"/>
    <x v="1"/>
    <n v="28.186274509803919"/>
    <n v="1"/>
  </r>
  <r>
    <s v="ORD523"/>
    <x v="3"/>
    <s v="Lubbock, TX"/>
    <d v="2025-03-20T00:00:00"/>
    <d v="1899-12-30T18:30:00"/>
    <d v="2025-03-20T00:00:00"/>
    <d v="1899-12-30T18:50:00"/>
    <n v="20"/>
    <s v="Small"/>
    <s v="Vegan"/>
    <n v="2"/>
    <x v="4"/>
    <x v="2"/>
    <s v="UPI"/>
    <x v="0"/>
    <x v="0"/>
    <n v="10"/>
    <n v="1"/>
    <x v="2"/>
    <s v="Online"/>
    <n v="4.8"/>
    <n v="15.2"/>
    <x v="0"/>
    <n v="2"/>
    <n v="1"/>
    <x v="0"/>
    <n v="29.948453608247419"/>
    <n v="0"/>
  </r>
  <r>
    <s v="ORD524"/>
    <x v="2"/>
    <s v="Chandler, AZ"/>
    <d v="2025-03-21T00:00:00"/>
    <d v="1899-12-30T19:45:00"/>
    <d v="2025-03-21T00:00:00"/>
    <d v="1899-12-30T20:25:00"/>
    <n v="40"/>
    <s v="XL"/>
    <s v="Stuffed Crust"/>
    <n v="5"/>
    <x v="11"/>
    <x v="1"/>
    <s v="Card"/>
    <x v="0"/>
    <x v="0"/>
    <n v="5.333333333333333"/>
    <n v="0.66666666666666663"/>
    <x v="2"/>
    <s v="Online"/>
    <n v="18"/>
    <n v="22"/>
    <x v="1"/>
    <n v="20"/>
    <n v="3"/>
    <x v="3"/>
    <n v="28.844221105527641"/>
    <n v="1"/>
  </r>
  <r>
    <s v="ORD525"/>
    <x v="4"/>
    <s v="Garland, TX"/>
    <d v="2025-03-22T00:00:00"/>
    <d v="1899-12-30T18:00:00"/>
    <d v="2025-03-22T00:00:00"/>
    <d v="1899-12-30T18:30:00"/>
    <n v="30"/>
    <s v="Medium"/>
    <s v="Non-Veg"/>
    <n v="3"/>
    <x v="6"/>
    <x v="0"/>
    <s v="UPI"/>
    <x v="0"/>
    <x v="1"/>
    <n v="7.5"/>
    <n v="0.75"/>
    <x v="2"/>
    <s v="Online"/>
    <n v="9.6"/>
    <n v="20.399999999999999"/>
    <x v="0"/>
    <n v="6"/>
    <n v="2"/>
    <x v="0"/>
    <n v="30.286458333333329"/>
    <n v="0"/>
  </r>
  <r>
    <s v="ORD526"/>
    <x v="0"/>
    <s v="Glendale, AZ"/>
    <d v="2025-03-23T00:00:00"/>
    <d v="1899-12-30T20:15:00"/>
    <d v="2025-03-23T00:00:00"/>
    <d v="1899-12-30T21:00:00"/>
    <n v="45"/>
    <s v="Large"/>
    <s v="Veg"/>
    <n v="4"/>
    <x v="12"/>
    <x v="1"/>
    <s v="Cash"/>
    <x v="0"/>
    <x v="1"/>
    <n v="5"/>
    <n v="0.44444444444444442"/>
    <x v="2"/>
    <s v="Offline"/>
    <n v="21.6"/>
    <n v="23.4"/>
    <x v="1"/>
    <n v="12"/>
    <n v="3"/>
    <x v="1"/>
    <n v="30.259433962264151"/>
    <n v="1"/>
  </r>
  <r>
    <s v="ORD527"/>
    <x v="1"/>
    <s v="Akron, OH"/>
    <d v="2025-03-24T00:00:00"/>
    <d v="1899-12-30T18:00:00"/>
    <d v="2025-03-24T00:00:00"/>
    <d v="1899-12-30T18:20:00"/>
    <n v="20"/>
    <s v="Medium"/>
    <s v="Veg"/>
    <n v="2"/>
    <x v="2"/>
    <x v="2"/>
    <s v="Card"/>
    <x v="0"/>
    <x v="0"/>
    <n v="6.666666666666667"/>
    <n v="0.66666666666666663"/>
    <x v="2"/>
    <s v="Online"/>
    <n v="7.1999999999999993"/>
    <n v="12.8"/>
    <x v="0"/>
    <n v="4"/>
    <n v="1"/>
    <x v="0"/>
    <n v="28.186274509803919"/>
    <n v="0"/>
  </r>
  <r>
    <s v="ORD528"/>
    <x v="3"/>
    <s v="Baton Rouge, LA"/>
    <d v="2025-03-25T00:00:00"/>
    <d v="1899-12-30T19:15:00"/>
    <d v="2025-03-25T00:00:00"/>
    <d v="1899-12-30T19:45:00"/>
    <n v="30"/>
    <s v="Large"/>
    <s v="Non-Veg"/>
    <n v="4"/>
    <x v="7"/>
    <x v="0"/>
    <s v="Wallet"/>
    <x v="0"/>
    <x v="0"/>
    <n v="5"/>
    <n v="0.66666666666666663"/>
    <x v="2"/>
    <s v="Online"/>
    <n v="14.4"/>
    <n v="15.6"/>
    <x v="0"/>
    <n v="12"/>
    <n v="2"/>
    <x v="3"/>
    <n v="29.948453608247419"/>
    <n v="0"/>
  </r>
  <r>
    <s v="ORD529"/>
    <x v="2"/>
    <s v="Durham, NC"/>
    <d v="2025-03-26T00:00:00"/>
    <d v="1899-12-30T20:30:00"/>
    <d v="2025-03-26T00:00:00"/>
    <d v="1899-12-30T21:10:00"/>
    <n v="40"/>
    <s v="XL"/>
    <s v="Cheese Burst"/>
    <n v="5"/>
    <x v="8"/>
    <x v="1"/>
    <s v="Card"/>
    <x v="0"/>
    <x v="0"/>
    <n v="5"/>
    <n v="0.625"/>
    <x v="2"/>
    <s v="Online"/>
    <n v="19.2"/>
    <n v="20.8"/>
    <x v="1"/>
    <n v="20"/>
    <n v="3"/>
    <x v="1"/>
    <n v="28.844221105527641"/>
    <n v="1"/>
  </r>
  <r>
    <s v="ORD530"/>
    <x v="4"/>
    <s v="Chula Vista, CA"/>
    <d v="2025-03-27T00:00:00"/>
    <d v="1899-12-30T18:45:00"/>
    <d v="2025-03-27T00:00:00"/>
    <d v="1899-12-30T19:05:00"/>
    <n v="20"/>
    <s v="Small"/>
    <s v="Vegan"/>
    <n v="1"/>
    <x v="0"/>
    <x v="2"/>
    <s v="Cash"/>
    <x v="0"/>
    <x v="0"/>
    <n v="8"/>
    <n v="0.4"/>
    <x v="2"/>
    <s v="Offline"/>
    <n v="6"/>
    <n v="14"/>
    <x v="0"/>
    <n v="1"/>
    <n v="1"/>
    <x v="0"/>
    <n v="30.286458333333329"/>
    <n v="0"/>
  </r>
  <r>
    <s v="ORD531"/>
    <x v="0"/>
    <s v="Fort Wayne, IN"/>
    <d v="2025-03-28T00:00:00"/>
    <d v="1899-12-30T19:00:00"/>
    <d v="2025-03-28T00:00:00"/>
    <d v="1899-12-30T19:50:00"/>
    <n v="50"/>
    <s v="Large"/>
    <s v="Non-Veg"/>
    <n v="4"/>
    <x v="9"/>
    <x v="1"/>
    <s v="Domino's Cash"/>
    <x v="0"/>
    <x v="0"/>
    <n v="5"/>
    <n v="0.4"/>
    <x v="2"/>
    <s v="Offline"/>
    <n v="24"/>
    <n v="26"/>
    <x v="1"/>
    <n v="12"/>
    <n v="3"/>
    <x v="3"/>
    <n v="30.259433962264151"/>
    <n v="1"/>
  </r>
  <r>
    <s v="ORD532"/>
    <x v="1"/>
    <s v="St. Petersburg, FL"/>
    <d v="2025-03-29T00:00:00"/>
    <d v="1899-12-30T20:00:00"/>
    <d v="2025-03-29T00:00:00"/>
    <d v="1899-12-30T20:35:00"/>
    <n v="35"/>
    <s v="Medium"/>
    <s v="Gluten-Free"/>
    <n v="3"/>
    <x v="10"/>
    <x v="0"/>
    <s v="Wallet"/>
    <x v="0"/>
    <x v="1"/>
    <n v="6.3636363636363633"/>
    <n v="0.54545454545454541"/>
    <x v="2"/>
    <s v="Online"/>
    <n v="13.2"/>
    <n v="21.8"/>
    <x v="1"/>
    <n v="6"/>
    <n v="2"/>
    <x v="1"/>
    <n v="28.186274509803919"/>
    <n v="1"/>
  </r>
  <r>
    <s v="ORD533"/>
    <x v="3"/>
    <s v="Jersey City, NJ"/>
    <d v="2025-03-30T00:00:00"/>
    <d v="1899-12-30T18:30:00"/>
    <d v="2025-03-30T00:00:00"/>
    <d v="1899-12-30T18:50:00"/>
    <n v="20"/>
    <s v="Small"/>
    <s v="Vegan"/>
    <n v="2"/>
    <x v="4"/>
    <x v="2"/>
    <s v="UPI"/>
    <x v="0"/>
    <x v="1"/>
    <n v="10"/>
    <n v="1"/>
    <x v="2"/>
    <s v="Online"/>
    <n v="4.8"/>
    <n v="15.2"/>
    <x v="0"/>
    <n v="2"/>
    <n v="1"/>
    <x v="0"/>
    <n v="29.948453608247419"/>
    <n v="0"/>
  </r>
  <r>
    <s v="ORD534"/>
    <x v="2"/>
    <s v="St. Louis, MO"/>
    <d v="2025-03-31T00:00:00"/>
    <d v="1899-12-30T19:45:00"/>
    <d v="2025-03-31T00:00:00"/>
    <d v="1899-12-30T20:25:00"/>
    <n v="40"/>
    <s v="XL"/>
    <s v="Stuffed Crust"/>
    <n v="5"/>
    <x v="11"/>
    <x v="1"/>
    <s v="Card"/>
    <x v="0"/>
    <x v="0"/>
    <n v="5.333333333333333"/>
    <n v="0.66666666666666663"/>
    <x v="2"/>
    <s v="Online"/>
    <n v="18"/>
    <n v="22"/>
    <x v="1"/>
    <n v="20"/>
    <n v="3"/>
    <x v="3"/>
    <n v="28.844221105527641"/>
    <n v="1"/>
  </r>
  <r>
    <s v="ORD535"/>
    <x v="4"/>
    <s v="Norfolk, VA"/>
    <d v="2025-04-01T00:00:00"/>
    <d v="1899-12-30T18:00:00"/>
    <d v="2025-04-01T00:00:00"/>
    <d v="1899-12-30T18:30:00"/>
    <n v="30"/>
    <s v="Medium"/>
    <s v="Non-Veg"/>
    <n v="3"/>
    <x v="6"/>
    <x v="0"/>
    <s v="UPI"/>
    <x v="0"/>
    <x v="0"/>
    <n v="7.5"/>
    <n v="0.75"/>
    <x v="3"/>
    <s v="Online"/>
    <n v="9.6"/>
    <n v="20.399999999999999"/>
    <x v="0"/>
    <n v="6"/>
    <n v="2"/>
    <x v="0"/>
    <n v="30.286458333333329"/>
    <n v="0"/>
  </r>
  <r>
    <s v="ORD536"/>
    <x v="0"/>
    <s v="Laredo, TX"/>
    <d v="2025-04-02T00:00:00"/>
    <d v="1899-12-30T20:15:00"/>
    <d v="2025-04-02T00:00:00"/>
    <d v="1899-12-30T21:00:00"/>
    <n v="45"/>
    <s v="Large"/>
    <s v="Veg"/>
    <n v="4"/>
    <x v="12"/>
    <x v="1"/>
    <s v="Cash"/>
    <x v="0"/>
    <x v="0"/>
    <n v="5"/>
    <n v="0.44444444444444442"/>
    <x v="3"/>
    <s v="Offline"/>
    <n v="21.6"/>
    <n v="23.4"/>
    <x v="1"/>
    <n v="12"/>
    <n v="3"/>
    <x v="1"/>
    <n v="30.259433962264151"/>
    <n v="1"/>
  </r>
  <r>
    <s v="ORD537"/>
    <x v="1"/>
    <s v="Chandler, AZ"/>
    <d v="2025-04-03T00:00:00"/>
    <d v="1899-12-30T18:00:00"/>
    <d v="2025-04-03T00:00:00"/>
    <d v="1899-12-30T18:20:00"/>
    <n v="20"/>
    <s v="Medium"/>
    <s v="Veg"/>
    <n v="2"/>
    <x v="2"/>
    <x v="2"/>
    <s v="Card"/>
    <x v="0"/>
    <x v="0"/>
    <n v="6.666666666666667"/>
    <n v="0.66666666666666663"/>
    <x v="3"/>
    <s v="Online"/>
    <n v="7.1999999999999993"/>
    <n v="12.8"/>
    <x v="0"/>
    <n v="4"/>
    <n v="1"/>
    <x v="0"/>
    <n v="28.186274509803919"/>
    <n v="0"/>
  </r>
  <r>
    <s v="ORD538"/>
    <x v="3"/>
    <s v="Lubbock, TX"/>
    <d v="2025-04-04T00:00:00"/>
    <d v="1899-12-30T19:15:00"/>
    <d v="2025-04-04T00:00:00"/>
    <d v="1899-12-30T19:45:00"/>
    <n v="30"/>
    <s v="Large"/>
    <s v="Non-Veg"/>
    <n v="4"/>
    <x v="7"/>
    <x v="0"/>
    <s v="Wallet"/>
    <x v="0"/>
    <x v="0"/>
    <n v="5"/>
    <n v="0.66666666666666663"/>
    <x v="3"/>
    <s v="Online"/>
    <n v="14.4"/>
    <n v="15.6"/>
    <x v="0"/>
    <n v="12"/>
    <n v="2"/>
    <x v="3"/>
    <n v="29.948453608247419"/>
    <n v="0"/>
  </r>
  <r>
    <s v="ORD539"/>
    <x v="2"/>
    <s v="Garland, TX"/>
    <d v="2025-04-05T00:00:00"/>
    <d v="1899-12-30T20:30:00"/>
    <d v="2025-04-05T00:00:00"/>
    <d v="1899-12-30T21:10:00"/>
    <n v="40"/>
    <s v="XL"/>
    <s v="Cheese Burst"/>
    <n v="5"/>
    <x v="8"/>
    <x v="1"/>
    <s v="Card"/>
    <x v="0"/>
    <x v="1"/>
    <n v="5"/>
    <n v="0.625"/>
    <x v="3"/>
    <s v="Online"/>
    <n v="19.2"/>
    <n v="20.8"/>
    <x v="1"/>
    <n v="20"/>
    <n v="3"/>
    <x v="1"/>
    <n v="28.844221105527641"/>
    <n v="1"/>
  </r>
  <r>
    <s v="ORD540"/>
    <x v="4"/>
    <s v="Glendale, AZ"/>
    <d v="2025-04-06T00:00:00"/>
    <d v="1899-12-30T18:45:00"/>
    <d v="2025-04-06T00:00:00"/>
    <d v="1899-12-30T19:05:00"/>
    <n v="20"/>
    <s v="Small"/>
    <s v="Vegan"/>
    <n v="1"/>
    <x v="0"/>
    <x v="2"/>
    <s v="Cash"/>
    <x v="0"/>
    <x v="1"/>
    <n v="8"/>
    <n v="0.4"/>
    <x v="3"/>
    <s v="Offline"/>
    <n v="6"/>
    <n v="14"/>
    <x v="0"/>
    <n v="1"/>
    <n v="1"/>
    <x v="0"/>
    <n v="30.286458333333329"/>
    <n v="0"/>
  </r>
  <r>
    <s v="ORD541"/>
    <x v="0"/>
    <s v="Akron, OH"/>
    <d v="2025-04-07T00:00:00"/>
    <d v="1899-12-30T19:00:00"/>
    <d v="2025-04-07T00:00:00"/>
    <d v="1899-12-30T19:50:00"/>
    <n v="50"/>
    <s v="Large"/>
    <s v="Non-Veg"/>
    <n v="4"/>
    <x v="9"/>
    <x v="1"/>
    <s v="Card"/>
    <x v="0"/>
    <x v="0"/>
    <n v="5"/>
    <n v="0.4"/>
    <x v="3"/>
    <s v="Online"/>
    <n v="24"/>
    <n v="26"/>
    <x v="1"/>
    <n v="12"/>
    <n v="3"/>
    <x v="3"/>
    <n v="30.259433962264151"/>
    <n v="1"/>
  </r>
  <r>
    <s v="ORD542"/>
    <x v="1"/>
    <s v="Baton Rouge, LA"/>
    <d v="2025-04-08T00:00:00"/>
    <d v="1899-12-30T20:00:00"/>
    <d v="2025-04-08T00:00:00"/>
    <d v="1899-12-30T20:35:00"/>
    <n v="35"/>
    <s v="Medium"/>
    <s v="Gluten-Free"/>
    <n v="3"/>
    <x v="10"/>
    <x v="0"/>
    <s v="Wallet"/>
    <x v="0"/>
    <x v="0"/>
    <n v="6.3636363636363633"/>
    <n v="0.54545454545454541"/>
    <x v="3"/>
    <s v="Online"/>
    <n v="13.2"/>
    <n v="21.8"/>
    <x v="1"/>
    <n v="6"/>
    <n v="2"/>
    <x v="1"/>
    <n v="28.186274509803919"/>
    <n v="1"/>
  </r>
  <r>
    <s v="ORD543"/>
    <x v="3"/>
    <s v="Durham, NC"/>
    <d v="2025-04-09T00:00:00"/>
    <d v="1899-12-30T18:30:00"/>
    <d v="2025-04-09T00:00:00"/>
    <d v="1899-12-30T18:50:00"/>
    <n v="20"/>
    <s v="Small"/>
    <s v="Vegan"/>
    <n v="2"/>
    <x v="4"/>
    <x v="2"/>
    <s v="UPI"/>
    <x v="0"/>
    <x v="0"/>
    <n v="10"/>
    <n v="1"/>
    <x v="3"/>
    <s v="Online"/>
    <n v="4.8"/>
    <n v="15.2"/>
    <x v="0"/>
    <n v="2"/>
    <n v="1"/>
    <x v="0"/>
    <n v="29.948453608247419"/>
    <n v="0"/>
  </r>
  <r>
    <s v="ORD544"/>
    <x v="0"/>
    <s v="Austin, TX"/>
    <d v="2025-04-10T00:00:00"/>
    <d v="1899-12-30T19:00:00"/>
    <d v="2025-04-10T00:00:00"/>
    <d v="1899-12-30T19:45:00"/>
    <n v="45"/>
    <s v="Large"/>
    <s v="Thai Chicken"/>
    <n v="4"/>
    <x v="15"/>
    <x v="0"/>
    <s v="Card"/>
    <x v="0"/>
    <x v="0"/>
    <n v="6.4285714285714288"/>
    <n v="0.5714285714285714"/>
    <x v="3"/>
    <s v="Online"/>
    <n v="16.8"/>
    <n v="28.2"/>
    <x v="1"/>
    <n v="12"/>
    <n v="2"/>
    <x v="3"/>
    <n v="30.259433962264151"/>
    <n v="1"/>
  </r>
  <r>
    <s v="ORD545"/>
    <x v="1"/>
    <s v="Denver, CO"/>
    <d v="2025-04-11T00:00:00"/>
    <d v="1899-12-30T20:15:00"/>
    <d v="2025-04-11T00:00:00"/>
    <d v="1899-12-30T20:55:00"/>
    <n v="40"/>
    <s v="Medium"/>
    <s v="Sicilian"/>
    <n v="3"/>
    <x v="14"/>
    <x v="1"/>
    <s v="Wallet"/>
    <x v="0"/>
    <x v="0"/>
    <n v="6.1538461538461542"/>
    <n v="0.46153846153846162"/>
    <x v="3"/>
    <s v="Online"/>
    <n v="15.6"/>
    <n v="24.4"/>
    <x v="1"/>
    <n v="6"/>
    <n v="3"/>
    <x v="1"/>
    <n v="28.186274509803919"/>
    <n v="1"/>
  </r>
  <r>
    <s v="ORD546"/>
    <x v="3"/>
    <s v="Miami, FL"/>
    <d v="2025-04-12T00:00:00"/>
    <d v="1899-12-30T18:45:00"/>
    <d v="2025-04-12T00:00:00"/>
    <d v="1899-12-30T19:05:00"/>
    <n v="20"/>
    <s v="Small"/>
    <s v="Vegan"/>
    <n v="1"/>
    <x v="0"/>
    <x v="2"/>
    <s v="Cash"/>
    <x v="0"/>
    <x v="1"/>
    <n v="8"/>
    <n v="0.4"/>
    <x v="3"/>
    <s v="Offline"/>
    <n v="6"/>
    <n v="14"/>
    <x v="0"/>
    <n v="1"/>
    <n v="1"/>
    <x v="0"/>
    <n v="29.948453608247419"/>
    <n v="0"/>
  </r>
  <r>
    <s v="ORD547"/>
    <x v="2"/>
    <s v="Seattle, WA"/>
    <d v="2025-04-13T00:00:00"/>
    <d v="1899-12-30T19:30:00"/>
    <d v="2025-04-13T00:00:00"/>
    <d v="1899-12-30T20:10:00"/>
    <n v="40"/>
    <s v="XL"/>
    <s v="Cheese Burst"/>
    <n v="5"/>
    <x v="8"/>
    <x v="1"/>
    <s v="Card"/>
    <x v="0"/>
    <x v="1"/>
    <n v="5"/>
    <n v="0.625"/>
    <x v="3"/>
    <s v="Online"/>
    <n v="19.2"/>
    <n v="20.8"/>
    <x v="1"/>
    <n v="20"/>
    <n v="3"/>
    <x v="3"/>
    <n v="28.844221105527641"/>
    <n v="1"/>
  </r>
  <r>
    <s v="ORD548"/>
    <x v="4"/>
    <s v="Portland, OR"/>
    <d v="2025-04-14T00:00:00"/>
    <d v="1899-12-30T18:00:00"/>
    <d v="2025-04-14T00:00:00"/>
    <d v="1899-12-30T18:30:00"/>
    <n v="30"/>
    <s v="Medium"/>
    <s v="Non-Veg"/>
    <n v="3"/>
    <x v="6"/>
    <x v="0"/>
    <s v="UPI"/>
    <x v="0"/>
    <x v="0"/>
    <n v="7.5"/>
    <n v="0.75"/>
    <x v="3"/>
    <s v="Online"/>
    <n v="9.6"/>
    <n v="20.399999999999999"/>
    <x v="0"/>
    <n v="6"/>
    <n v="2"/>
    <x v="0"/>
    <n v="30.286458333333329"/>
    <n v="0"/>
  </r>
  <r>
    <s v="ORD549"/>
    <x v="0"/>
    <s v="Chicago, IL"/>
    <d v="2025-04-15T00:00:00"/>
    <d v="1899-12-30T20:15:00"/>
    <d v="2025-04-15T00:00:00"/>
    <d v="1899-12-30T21:00:00"/>
    <n v="45"/>
    <s v="Large"/>
    <s v="Veg"/>
    <n v="4"/>
    <x v="12"/>
    <x v="1"/>
    <s v="Cash"/>
    <x v="0"/>
    <x v="0"/>
    <n v="5"/>
    <n v="0.44444444444444442"/>
    <x v="3"/>
    <s v="Offline"/>
    <n v="21.6"/>
    <n v="23.4"/>
    <x v="1"/>
    <n v="12"/>
    <n v="3"/>
    <x v="1"/>
    <n v="30.259433962264151"/>
    <n v="1"/>
  </r>
  <r>
    <s v="ORD550"/>
    <x v="1"/>
    <s v="Boston, MA"/>
    <d v="2025-04-16T00:00:00"/>
    <d v="1899-12-30T18:00:00"/>
    <d v="2025-04-16T00:00:00"/>
    <d v="1899-12-30T18:20:00"/>
    <n v="20"/>
    <s v="Medium"/>
    <s v="Veg"/>
    <n v="2"/>
    <x v="2"/>
    <x v="2"/>
    <s v="Card"/>
    <x v="0"/>
    <x v="0"/>
    <n v="6.666666666666667"/>
    <n v="0.66666666666666663"/>
    <x v="3"/>
    <s v="Online"/>
    <n v="7.1999999999999993"/>
    <n v="12.8"/>
    <x v="0"/>
    <n v="4"/>
    <n v="1"/>
    <x v="0"/>
    <n v="28.186274509803919"/>
    <n v="0"/>
  </r>
  <r>
    <s v="ORD551"/>
    <x v="3"/>
    <s v="Atlanta, GA"/>
    <d v="2025-04-17T00:00:00"/>
    <d v="1899-12-30T19:15:00"/>
    <d v="2025-04-17T00:00:00"/>
    <d v="1899-12-30T19:45:00"/>
    <n v="30"/>
    <s v="Large"/>
    <s v="Non-Veg"/>
    <n v="4"/>
    <x v="7"/>
    <x v="0"/>
    <s v="Wallet"/>
    <x v="0"/>
    <x v="0"/>
    <n v="5"/>
    <n v="0.66666666666666663"/>
    <x v="3"/>
    <s v="Online"/>
    <n v="14.4"/>
    <n v="15.6"/>
    <x v="0"/>
    <n v="12"/>
    <n v="2"/>
    <x v="3"/>
    <n v="29.948453608247419"/>
    <n v="0"/>
  </r>
  <r>
    <s v="ORD552"/>
    <x v="2"/>
    <s v="Phoenix, AZ"/>
    <d v="2025-04-18T00:00:00"/>
    <d v="1899-12-30T20:30:00"/>
    <d v="2025-04-18T00:00:00"/>
    <d v="1899-12-30T21:10:00"/>
    <n v="40"/>
    <s v="XL"/>
    <s v="Cheese Burst"/>
    <n v="5"/>
    <x v="8"/>
    <x v="1"/>
    <s v="Card"/>
    <x v="0"/>
    <x v="0"/>
    <n v="5"/>
    <n v="0.625"/>
    <x v="3"/>
    <s v="Online"/>
    <n v="19.2"/>
    <n v="20.8"/>
    <x v="1"/>
    <n v="20"/>
    <n v="3"/>
    <x v="1"/>
    <n v="28.844221105527641"/>
    <n v="1"/>
  </r>
  <r>
    <s v="ORD553"/>
    <x v="4"/>
    <s v="San Diego, CA"/>
    <d v="2025-04-19T00:00:00"/>
    <d v="1899-12-30T18:45:00"/>
    <d v="2025-04-19T00:00:00"/>
    <d v="1899-12-30T19:05:00"/>
    <n v="20"/>
    <s v="Small"/>
    <s v="Vegan"/>
    <n v="1"/>
    <x v="0"/>
    <x v="2"/>
    <s v="Cash"/>
    <x v="0"/>
    <x v="1"/>
    <n v="8"/>
    <n v="0.4"/>
    <x v="3"/>
    <s v="Offline"/>
    <n v="6"/>
    <n v="14"/>
    <x v="0"/>
    <n v="1"/>
    <n v="1"/>
    <x v="0"/>
    <n v="30.286458333333329"/>
    <n v="0"/>
  </r>
  <r>
    <s v="ORD554"/>
    <x v="0"/>
    <s v="Columbus, OH"/>
    <d v="2025-04-20T00:00:00"/>
    <d v="1899-12-30T19:00:00"/>
    <d v="2025-04-20T00:00:00"/>
    <d v="1899-12-30T19:50:00"/>
    <n v="50"/>
    <s v="Large"/>
    <s v="Non-Veg"/>
    <n v="4"/>
    <x v="9"/>
    <x v="1"/>
    <s v="Domino's Cash"/>
    <x v="0"/>
    <x v="1"/>
    <n v="5"/>
    <n v="0.4"/>
    <x v="3"/>
    <s v="Offline"/>
    <n v="24"/>
    <n v="26"/>
    <x v="1"/>
    <n v="12"/>
    <n v="3"/>
    <x v="3"/>
    <n v="30.259433962264151"/>
    <n v="1"/>
  </r>
  <r>
    <s v="ORD555"/>
    <x v="1"/>
    <s v="Charlotte, NC"/>
    <d v="2025-04-21T00:00:00"/>
    <d v="1899-12-30T20:00:00"/>
    <d v="2025-04-21T00:00:00"/>
    <d v="1899-12-30T20:35:00"/>
    <n v="35"/>
    <s v="Medium"/>
    <s v="Gluten-Free"/>
    <n v="3"/>
    <x v="10"/>
    <x v="0"/>
    <s v="Wallet"/>
    <x v="0"/>
    <x v="0"/>
    <n v="6.3636363636363633"/>
    <n v="0.54545454545454541"/>
    <x v="3"/>
    <s v="Online"/>
    <n v="13.2"/>
    <n v="21.8"/>
    <x v="1"/>
    <n v="6"/>
    <n v="2"/>
    <x v="1"/>
    <n v="28.186274509803919"/>
    <n v="1"/>
  </r>
  <r>
    <s v="ORD556"/>
    <x v="3"/>
    <s v="Nashville, TN"/>
    <d v="2025-04-22T00:00:00"/>
    <d v="1899-12-30T18:30:00"/>
    <d v="2025-04-22T00:00:00"/>
    <d v="1899-12-30T18:50:00"/>
    <n v="20"/>
    <s v="Small"/>
    <s v="Vegan"/>
    <n v="2"/>
    <x v="4"/>
    <x v="2"/>
    <s v="UPI"/>
    <x v="0"/>
    <x v="0"/>
    <n v="10"/>
    <n v="1"/>
    <x v="3"/>
    <s v="Online"/>
    <n v="4.8"/>
    <n v="15.2"/>
    <x v="0"/>
    <n v="2"/>
    <n v="1"/>
    <x v="0"/>
    <n v="29.948453608247419"/>
    <n v="0"/>
  </r>
  <r>
    <s v="ORD557"/>
    <x v="2"/>
    <s v="Oklahoma City, OK"/>
    <d v="2025-04-23T00:00:00"/>
    <d v="1899-12-30T19:45:00"/>
    <d v="2025-04-23T00:00:00"/>
    <d v="1899-12-30T20:25:00"/>
    <n v="40"/>
    <s v="XL"/>
    <s v="Stuffed Crust"/>
    <n v="5"/>
    <x v="11"/>
    <x v="1"/>
    <s v="Card"/>
    <x v="0"/>
    <x v="0"/>
    <n v="5.333333333333333"/>
    <n v="0.66666666666666663"/>
    <x v="3"/>
    <s v="Online"/>
    <n v="18"/>
    <n v="22"/>
    <x v="1"/>
    <n v="20"/>
    <n v="3"/>
    <x v="3"/>
    <n v="28.844221105527641"/>
    <n v="1"/>
  </r>
  <r>
    <s v="ORD558"/>
    <x v="4"/>
    <s v="Las Vegas, NV"/>
    <d v="2025-04-24T00:00:00"/>
    <d v="1899-12-30T18:00:00"/>
    <d v="2025-04-24T00:00:00"/>
    <d v="1899-12-30T18:30:00"/>
    <n v="30"/>
    <s v="Medium"/>
    <s v="Non-Veg"/>
    <n v="3"/>
    <x v="6"/>
    <x v="0"/>
    <s v="UPI"/>
    <x v="0"/>
    <x v="0"/>
    <n v="7.5"/>
    <n v="0.75"/>
    <x v="3"/>
    <s v="Online"/>
    <n v="9.6"/>
    <n v="20.399999999999999"/>
    <x v="0"/>
    <n v="6"/>
    <n v="2"/>
    <x v="0"/>
    <n v="30.286458333333329"/>
    <n v="0"/>
  </r>
  <r>
    <s v="ORD559"/>
    <x v="0"/>
    <s v="Indianapolis, IN"/>
    <d v="2025-04-25T00:00:00"/>
    <d v="1899-12-30T20:15:00"/>
    <d v="2025-04-25T00:00:00"/>
    <d v="1899-12-30T21:00:00"/>
    <n v="45"/>
    <s v="Large"/>
    <s v="Veg"/>
    <n v="4"/>
    <x v="12"/>
    <x v="1"/>
    <s v="Cash"/>
    <x v="0"/>
    <x v="0"/>
    <n v="5"/>
    <n v="0.44444444444444442"/>
    <x v="3"/>
    <s v="Offline"/>
    <n v="21.6"/>
    <n v="23.4"/>
    <x v="1"/>
    <n v="12"/>
    <n v="3"/>
    <x v="1"/>
    <n v="30.259433962264151"/>
    <n v="1"/>
  </r>
  <r>
    <s v="ORD560"/>
    <x v="1"/>
    <s v="San Jose, CA"/>
    <d v="2025-04-26T00:00:00"/>
    <d v="1899-12-30T18:00:00"/>
    <d v="2025-04-26T00:00:00"/>
    <d v="1899-12-30T18:20:00"/>
    <n v="20"/>
    <s v="Medium"/>
    <s v="Veg"/>
    <n v="2"/>
    <x v="2"/>
    <x v="2"/>
    <s v="Card"/>
    <x v="0"/>
    <x v="1"/>
    <n v="6.666666666666667"/>
    <n v="0.66666666666666663"/>
    <x v="3"/>
    <s v="Online"/>
    <n v="7.1999999999999993"/>
    <n v="12.8"/>
    <x v="0"/>
    <n v="4"/>
    <n v="1"/>
    <x v="0"/>
    <n v="28.186274509803919"/>
    <n v="0"/>
  </r>
  <r>
    <s v="ORD561"/>
    <x v="3"/>
    <s v="Jacksonville, FL"/>
    <d v="2025-04-27T00:00:00"/>
    <d v="1899-12-30T19:15:00"/>
    <d v="2025-04-27T00:00:00"/>
    <d v="1899-12-30T19:45:00"/>
    <n v="30"/>
    <s v="Large"/>
    <s v="Non-Veg"/>
    <n v="4"/>
    <x v="7"/>
    <x v="0"/>
    <s v="Wallet"/>
    <x v="0"/>
    <x v="1"/>
    <n v="5"/>
    <n v="0.66666666666666663"/>
    <x v="3"/>
    <s v="Online"/>
    <n v="14.4"/>
    <n v="15.6"/>
    <x v="0"/>
    <n v="12"/>
    <n v="2"/>
    <x v="3"/>
    <n v="29.948453608247419"/>
    <n v="0"/>
  </r>
  <r>
    <s v="ORD562"/>
    <x v="2"/>
    <s v="Fort Worth, TX"/>
    <d v="2025-04-28T00:00:00"/>
    <d v="1899-12-30T20:30:00"/>
    <d v="2025-04-28T00:00:00"/>
    <d v="1899-12-30T21:10:00"/>
    <n v="40"/>
    <s v="XL"/>
    <s v="Cheese Burst"/>
    <n v="5"/>
    <x v="8"/>
    <x v="1"/>
    <s v="Card"/>
    <x v="0"/>
    <x v="0"/>
    <n v="5"/>
    <n v="0.625"/>
    <x v="3"/>
    <s v="Online"/>
    <n v="19.2"/>
    <n v="20.8"/>
    <x v="1"/>
    <n v="20"/>
    <n v="3"/>
    <x v="1"/>
    <n v="28.844221105527641"/>
    <n v="1"/>
  </r>
  <r>
    <s v="ORD563"/>
    <x v="4"/>
    <s v="Memphis, TN"/>
    <d v="2025-04-29T00:00:00"/>
    <d v="1899-12-30T18:45:00"/>
    <d v="2025-04-29T00:00:00"/>
    <d v="1899-12-30T19:05:00"/>
    <n v="20"/>
    <s v="Small"/>
    <s v="Vegan"/>
    <n v="1"/>
    <x v="0"/>
    <x v="2"/>
    <s v="Cash"/>
    <x v="0"/>
    <x v="0"/>
    <n v="8"/>
    <n v="0.4"/>
    <x v="3"/>
    <s v="Offline"/>
    <n v="6"/>
    <n v="14"/>
    <x v="0"/>
    <n v="1"/>
    <n v="1"/>
    <x v="0"/>
    <n v="30.286458333333329"/>
    <n v="0"/>
  </r>
  <r>
    <s v="ORD564"/>
    <x v="0"/>
    <s v="Baltimore, MD"/>
    <d v="2025-04-30T00:00:00"/>
    <d v="1899-12-30T19:00:00"/>
    <d v="2025-04-30T00:00:00"/>
    <d v="1899-12-30T19:50:00"/>
    <n v="50"/>
    <s v="Large"/>
    <s v="Non-Veg"/>
    <n v="4"/>
    <x v="9"/>
    <x v="1"/>
    <s v="Card"/>
    <x v="0"/>
    <x v="0"/>
    <n v="5"/>
    <n v="0.4"/>
    <x v="3"/>
    <s v="Online"/>
    <n v="24"/>
    <n v="26"/>
    <x v="1"/>
    <n v="12"/>
    <n v="3"/>
    <x v="3"/>
    <n v="30.259433962264151"/>
    <n v="1"/>
  </r>
  <r>
    <s v="ORD565"/>
    <x v="1"/>
    <s v="Milwaukee, WI"/>
    <d v="2025-05-01T00:00:00"/>
    <d v="1899-12-30T20:00:00"/>
    <d v="2025-05-01T00:00:00"/>
    <d v="1899-12-30T20:35:00"/>
    <n v="35"/>
    <s v="Medium"/>
    <s v="Gluten-Free"/>
    <n v="3"/>
    <x v="10"/>
    <x v="0"/>
    <s v="Wallet"/>
    <x v="0"/>
    <x v="0"/>
    <n v="6.3636363636363633"/>
    <n v="0.54545454545454541"/>
    <x v="4"/>
    <s v="Online"/>
    <n v="13.2"/>
    <n v="21.8"/>
    <x v="1"/>
    <n v="6"/>
    <n v="2"/>
    <x v="1"/>
    <n v="28.186274509803919"/>
    <n v="1"/>
  </r>
  <r>
    <s v="ORD566"/>
    <x v="3"/>
    <s v="Albuquerque, NM"/>
    <d v="2025-05-02T00:00:00"/>
    <d v="1899-12-30T18:30:00"/>
    <d v="2025-05-02T00:00:00"/>
    <d v="1899-12-30T18:50:00"/>
    <n v="20"/>
    <s v="Small"/>
    <s v="Vegan"/>
    <n v="2"/>
    <x v="4"/>
    <x v="2"/>
    <s v="UPI"/>
    <x v="0"/>
    <x v="0"/>
    <n v="10"/>
    <n v="1"/>
    <x v="4"/>
    <s v="Online"/>
    <n v="4.8"/>
    <n v="15.2"/>
    <x v="0"/>
    <n v="2"/>
    <n v="1"/>
    <x v="0"/>
    <n v="29.948453608247419"/>
    <n v="0"/>
  </r>
  <r>
    <s v="ORD567"/>
    <x v="2"/>
    <s v="Tucson, AZ"/>
    <d v="2025-05-03T00:00:00"/>
    <d v="1899-12-30T19:45:00"/>
    <d v="2025-05-03T00:00:00"/>
    <d v="1899-12-30T20:25:00"/>
    <n v="40"/>
    <s v="XL"/>
    <s v="Stuffed Crust"/>
    <n v="5"/>
    <x v="11"/>
    <x v="1"/>
    <s v="Card"/>
    <x v="0"/>
    <x v="1"/>
    <n v="5.333333333333333"/>
    <n v="0.66666666666666663"/>
    <x v="4"/>
    <s v="Online"/>
    <n v="18"/>
    <n v="22"/>
    <x v="1"/>
    <n v="20"/>
    <n v="3"/>
    <x v="3"/>
    <n v="28.844221105527641"/>
    <n v="1"/>
  </r>
  <r>
    <s v="ORD568"/>
    <x v="4"/>
    <s v="Fresno, CA"/>
    <d v="2025-05-04T00:00:00"/>
    <d v="1899-12-30T18:00:00"/>
    <d v="2025-05-04T00:00:00"/>
    <d v="1899-12-30T18:30:00"/>
    <n v="30"/>
    <s v="Medium"/>
    <s v="Non-Veg"/>
    <n v="3"/>
    <x v="6"/>
    <x v="0"/>
    <s v="UPI"/>
    <x v="0"/>
    <x v="1"/>
    <n v="7.5"/>
    <n v="0.75"/>
    <x v="4"/>
    <s v="Online"/>
    <n v="9.6"/>
    <n v="20.399999999999999"/>
    <x v="0"/>
    <n v="6"/>
    <n v="2"/>
    <x v="0"/>
    <n v="30.286458333333329"/>
    <n v="0"/>
  </r>
  <r>
    <s v="ORD569"/>
    <x v="0"/>
    <s v="Sacramento, CA"/>
    <d v="2025-05-05T00:00:00"/>
    <d v="1899-12-30T20:15:00"/>
    <d v="2025-05-05T00:00:00"/>
    <d v="1899-12-30T21:00:00"/>
    <n v="45"/>
    <s v="Large"/>
    <s v="Veg"/>
    <n v="4"/>
    <x v="12"/>
    <x v="1"/>
    <s v="Cash"/>
    <x v="0"/>
    <x v="0"/>
    <n v="5"/>
    <n v="0.44444444444444442"/>
    <x v="4"/>
    <s v="Offline"/>
    <n v="21.6"/>
    <n v="23.4"/>
    <x v="1"/>
    <n v="12"/>
    <n v="3"/>
    <x v="1"/>
    <n v="30.259433962264151"/>
    <n v="1"/>
  </r>
  <r>
    <s v="ORD570"/>
    <x v="1"/>
    <s v="Milwaukee, WI"/>
    <d v="2025-05-01T00:00:00"/>
    <d v="1899-12-30T20:00:00"/>
    <d v="2025-05-01T00:00:00"/>
    <d v="1899-12-30T20:35:00"/>
    <n v="35"/>
    <s v="Medium"/>
    <s v="Gluten-Free"/>
    <n v="3"/>
    <x v="10"/>
    <x v="0"/>
    <s v="Wallet"/>
    <x v="0"/>
    <x v="0"/>
    <n v="6.3636363636363633"/>
    <n v="0.54545454545454541"/>
    <x v="4"/>
    <s v="Online"/>
    <n v="13.2"/>
    <n v="21.8"/>
    <x v="1"/>
    <n v="6"/>
    <n v="2"/>
    <x v="1"/>
    <n v="28.186274509803919"/>
    <n v="1"/>
  </r>
  <r>
    <s v="ORD571"/>
    <x v="0"/>
    <s v="New York, NY"/>
    <d v="2025-05-07T00:00:00"/>
    <d v="1899-12-30T19:00:00"/>
    <d v="2025-05-07T00:00:00"/>
    <d v="1899-12-30T19:45:00"/>
    <n v="45"/>
    <s v="Large"/>
    <s v="Thai Chicken"/>
    <n v="4"/>
    <x v="15"/>
    <x v="0"/>
    <s v="Card"/>
    <x v="0"/>
    <x v="0"/>
    <n v="6.4285714285714288"/>
    <n v="0.5714285714285714"/>
    <x v="4"/>
    <s v="Online"/>
    <n v="16.8"/>
    <n v="28.2"/>
    <x v="1"/>
    <n v="12"/>
    <n v="2"/>
    <x v="3"/>
    <n v="30.259433962264151"/>
    <n v="1"/>
  </r>
  <r>
    <s v="ORD572"/>
    <x v="1"/>
    <s v="Los Angeles, CA"/>
    <d v="2025-05-08T00:00:00"/>
    <d v="1899-12-30T20:15:00"/>
    <d v="2025-05-08T00:00:00"/>
    <d v="1899-12-30T20:55:00"/>
    <n v="40"/>
    <s v="Medium"/>
    <s v="Sicilian"/>
    <n v="3"/>
    <x v="14"/>
    <x v="1"/>
    <s v="Wallet"/>
    <x v="0"/>
    <x v="0"/>
    <n v="6.1538461538461542"/>
    <n v="0.46153846153846162"/>
    <x v="4"/>
    <s v="Online"/>
    <n v="15.6"/>
    <n v="24.4"/>
    <x v="1"/>
    <n v="6"/>
    <n v="3"/>
    <x v="1"/>
    <n v="28.186274509803919"/>
    <n v="1"/>
  </r>
  <r>
    <s v="ORD573"/>
    <x v="3"/>
    <s v="Chicago, IL"/>
    <d v="2025-05-09T00:00:00"/>
    <d v="1899-12-30T18:45:00"/>
    <d v="2025-05-09T00:00:00"/>
    <d v="1899-12-30T19:05:00"/>
    <n v="20"/>
    <s v="Small"/>
    <s v="Vegan"/>
    <n v="1"/>
    <x v="0"/>
    <x v="2"/>
    <s v="Cash"/>
    <x v="0"/>
    <x v="0"/>
    <n v="8"/>
    <n v="0.4"/>
    <x v="4"/>
    <s v="Offline"/>
    <n v="6"/>
    <n v="14"/>
    <x v="0"/>
    <n v="1"/>
    <n v="1"/>
    <x v="0"/>
    <n v="29.948453608247419"/>
    <n v="0"/>
  </r>
  <r>
    <s v="ORD574"/>
    <x v="2"/>
    <s v="Houston, TX"/>
    <d v="2025-05-10T00:00:00"/>
    <d v="1899-12-30T19:30:00"/>
    <d v="2025-05-10T00:00:00"/>
    <d v="1899-12-30T20:10:00"/>
    <n v="40"/>
    <s v="XL"/>
    <s v="Cheese Burst"/>
    <n v="5"/>
    <x v="8"/>
    <x v="1"/>
    <s v="Card"/>
    <x v="0"/>
    <x v="1"/>
    <n v="5"/>
    <n v="0.625"/>
    <x v="4"/>
    <s v="Online"/>
    <n v="19.2"/>
    <n v="20.8"/>
    <x v="1"/>
    <n v="20"/>
    <n v="3"/>
    <x v="3"/>
    <n v="28.844221105527641"/>
    <n v="1"/>
  </r>
  <r>
    <s v="ORD575"/>
    <x v="4"/>
    <s v="Phoenix, AZ"/>
    <d v="2025-05-11T00:00:00"/>
    <d v="1899-12-30T18:00:00"/>
    <d v="2025-05-11T00:00:00"/>
    <d v="1899-12-30T18:30:00"/>
    <n v="30"/>
    <s v="Medium"/>
    <s v="Non-Veg"/>
    <n v="3"/>
    <x v="6"/>
    <x v="0"/>
    <s v="UPI"/>
    <x v="0"/>
    <x v="1"/>
    <n v="7.5"/>
    <n v="0.75"/>
    <x v="4"/>
    <s v="Online"/>
    <n v="9.6"/>
    <n v="20.399999999999999"/>
    <x v="0"/>
    <n v="6"/>
    <n v="2"/>
    <x v="0"/>
    <n v="30.286458333333329"/>
    <n v="0"/>
  </r>
  <r>
    <s v="ORD576"/>
    <x v="0"/>
    <s v="Philadelphia, PA"/>
    <d v="2025-05-12T00:00:00"/>
    <d v="1899-12-30T20:15:00"/>
    <d v="2025-05-12T00:00:00"/>
    <d v="1899-12-30T21:00:00"/>
    <n v="45"/>
    <s v="Large"/>
    <s v="Veg"/>
    <n v="4"/>
    <x v="12"/>
    <x v="1"/>
    <s v="Cash"/>
    <x v="0"/>
    <x v="0"/>
    <n v="5"/>
    <n v="0.44444444444444442"/>
    <x v="4"/>
    <s v="Offline"/>
    <n v="21.6"/>
    <n v="23.4"/>
    <x v="1"/>
    <n v="12"/>
    <n v="3"/>
    <x v="1"/>
    <n v="30.259433962264151"/>
    <n v="1"/>
  </r>
  <r>
    <s v="ORD577"/>
    <x v="1"/>
    <s v="San Antonio, TX"/>
    <d v="2025-05-13T00:00:00"/>
    <d v="1899-12-30T18:00:00"/>
    <d v="2025-05-13T00:00:00"/>
    <d v="1899-12-30T18:20:00"/>
    <n v="20"/>
    <s v="Medium"/>
    <s v="Veg"/>
    <n v="2"/>
    <x v="2"/>
    <x v="2"/>
    <s v="Card"/>
    <x v="0"/>
    <x v="0"/>
    <n v="6.666666666666667"/>
    <n v="0.66666666666666663"/>
    <x v="4"/>
    <s v="Online"/>
    <n v="7.1999999999999993"/>
    <n v="12.8"/>
    <x v="0"/>
    <n v="4"/>
    <n v="1"/>
    <x v="0"/>
    <n v="28.186274509803919"/>
    <n v="0"/>
  </r>
  <r>
    <s v="ORD578"/>
    <x v="3"/>
    <s v="San Diego, CA"/>
    <d v="2025-05-14T00:00:00"/>
    <d v="1899-12-30T19:15:00"/>
    <d v="2025-05-14T00:00:00"/>
    <d v="1899-12-30T19:45:00"/>
    <n v="30"/>
    <s v="Large"/>
    <s v="Non-Veg"/>
    <n v="4"/>
    <x v="7"/>
    <x v="0"/>
    <s v="Wallet"/>
    <x v="0"/>
    <x v="0"/>
    <n v="5"/>
    <n v="0.66666666666666663"/>
    <x v="4"/>
    <s v="Online"/>
    <n v="14.4"/>
    <n v="15.6"/>
    <x v="0"/>
    <n v="12"/>
    <n v="2"/>
    <x v="3"/>
    <n v="29.948453608247419"/>
    <n v="0"/>
  </r>
  <r>
    <s v="ORD579"/>
    <x v="2"/>
    <s v="Dallas, TX"/>
    <d v="2025-05-15T00:00:00"/>
    <d v="1899-12-30T20:30:00"/>
    <d v="2025-05-15T00:00:00"/>
    <d v="1899-12-30T21:10:00"/>
    <n v="40"/>
    <s v="XL"/>
    <s v="Cheese Burst"/>
    <n v="5"/>
    <x v="8"/>
    <x v="1"/>
    <s v="Card"/>
    <x v="0"/>
    <x v="0"/>
    <n v="5"/>
    <n v="0.625"/>
    <x v="4"/>
    <s v="Online"/>
    <n v="19.2"/>
    <n v="20.8"/>
    <x v="1"/>
    <n v="20"/>
    <n v="3"/>
    <x v="1"/>
    <n v="28.844221105527641"/>
    <n v="1"/>
  </r>
  <r>
    <s v="ORD580"/>
    <x v="4"/>
    <s v="San Jose, CA"/>
    <d v="2025-05-16T00:00:00"/>
    <d v="1899-12-30T18:45:00"/>
    <d v="2025-05-16T00:00:00"/>
    <d v="1899-12-30T19:05:00"/>
    <n v="20"/>
    <s v="Small"/>
    <s v="Vegan"/>
    <n v="1"/>
    <x v="0"/>
    <x v="2"/>
    <s v="Cash"/>
    <x v="0"/>
    <x v="0"/>
    <n v="8"/>
    <n v="0.4"/>
    <x v="4"/>
    <s v="Offline"/>
    <n v="6"/>
    <n v="14"/>
    <x v="0"/>
    <n v="1"/>
    <n v="1"/>
    <x v="0"/>
    <n v="30.286458333333329"/>
    <n v="0"/>
  </r>
  <r>
    <s v="ORD581"/>
    <x v="0"/>
    <s v="Austin, TX"/>
    <d v="2025-05-17T00:00:00"/>
    <d v="1899-12-30T19:00:00"/>
    <d v="2025-05-17T00:00:00"/>
    <d v="1899-12-30T19:50:00"/>
    <n v="50"/>
    <s v="Large"/>
    <s v="Non-Veg"/>
    <n v="4"/>
    <x v="9"/>
    <x v="1"/>
    <s v="Domino's Cash"/>
    <x v="0"/>
    <x v="1"/>
    <n v="5"/>
    <n v="0.4"/>
    <x v="4"/>
    <s v="Offline"/>
    <n v="24"/>
    <n v="26"/>
    <x v="1"/>
    <n v="12"/>
    <n v="3"/>
    <x v="3"/>
    <n v="30.259433962264151"/>
    <n v="1"/>
  </r>
  <r>
    <s v="ORD582"/>
    <x v="1"/>
    <s v="Jacksonville, FL"/>
    <d v="2025-05-18T00:00:00"/>
    <d v="1899-12-30T20:00:00"/>
    <d v="2025-05-18T00:00:00"/>
    <d v="1899-12-30T20:35:00"/>
    <n v="35"/>
    <s v="Medium"/>
    <s v="Gluten-Free"/>
    <n v="3"/>
    <x v="10"/>
    <x v="0"/>
    <s v="Wallet"/>
    <x v="0"/>
    <x v="1"/>
    <n v="6.3636363636363633"/>
    <n v="0.54545454545454541"/>
    <x v="4"/>
    <s v="Online"/>
    <n v="13.2"/>
    <n v="21.8"/>
    <x v="1"/>
    <n v="6"/>
    <n v="2"/>
    <x v="1"/>
    <n v="28.186274509803919"/>
    <n v="1"/>
  </r>
  <r>
    <s v="ORD583"/>
    <x v="3"/>
    <s v="Fort Worth, TX"/>
    <d v="2025-05-19T00:00:00"/>
    <d v="1899-12-30T18:30:00"/>
    <d v="2025-05-19T00:00:00"/>
    <d v="1899-12-30T18:50:00"/>
    <n v="20"/>
    <s v="Small"/>
    <s v="Vegan"/>
    <n v="2"/>
    <x v="4"/>
    <x v="2"/>
    <s v="UPI"/>
    <x v="0"/>
    <x v="0"/>
    <n v="10"/>
    <n v="1"/>
    <x v="4"/>
    <s v="Online"/>
    <n v="4.8"/>
    <n v="15.2"/>
    <x v="0"/>
    <n v="2"/>
    <n v="1"/>
    <x v="0"/>
    <n v="29.948453608247419"/>
    <n v="0"/>
  </r>
  <r>
    <s v="ORD584"/>
    <x v="2"/>
    <s v="Columbus, OH"/>
    <d v="2025-05-20T00:00:00"/>
    <d v="1899-12-30T19:45:00"/>
    <d v="2025-05-20T00:00:00"/>
    <d v="1899-12-30T20:25:00"/>
    <n v="40"/>
    <s v="XL"/>
    <s v="Stuffed Crust"/>
    <n v="5"/>
    <x v="11"/>
    <x v="1"/>
    <s v="Card"/>
    <x v="0"/>
    <x v="0"/>
    <n v="5.333333333333333"/>
    <n v="0.66666666666666663"/>
    <x v="4"/>
    <s v="Online"/>
    <n v="18"/>
    <n v="22"/>
    <x v="1"/>
    <n v="20"/>
    <n v="3"/>
    <x v="3"/>
    <n v="28.844221105527641"/>
    <n v="1"/>
  </r>
  <r>
    <s v="ORD585"/>
    <x v="4"/>
    <s v="Charlotte, NC"/>
    <d v="2025-05-21T00:00:00"/>
    <d v="1899-12-30T18:00:00"/>
    <d v="2025-05-21T00:00:00"/>
    <d v="1899-12-30T18:30:00"/>
    <n v="30"/>
    <s v="Medium"/>
    <s v="Non-Veg"/>
    <n v="3"/>
    <x v="6"/>
    <x v="0"/>
    <s v="UPI"/>
    <x v="0"/>
    <x v="0"/>
    <n v="7.5"/>
    <n v="0.75"/>
    <x v="4"/>
    <s v="Online"/>
    <n v="9.6"/>
    <n v="20.399999999999999"/>
    <x v="0"/>
    <n v="6"/>
    <n v="2"/>
    <x v="0"/>
    <n v="30.286458333333329"/>
    <n v="0"/>
  </r>
  <r>
    <s v="ORD586"/>
    <x v="0"/>
    <s v="San Francisco, CA"/>
    <d v="2025-05-22T00:00:00"/>
    <d v="1899-12-30T20:15:00"/>
    <d v="2025-05-22T00:00:00"/>
    <d v="1899-12-30T21:00:00"/>
    <n v="45"/>
    <s v="Large"/>
    <s v="Veg"/>
    <n v="4"/>
    <x v="12"/>
    <x v="1"/>
    <s v="Cash"/>
    <x v="0"/>
    <x v="0"/>
    <n v="5"/>
    <n v="0.44444444444444442"/>
    <x v="4"/>
    <s v="Offline"/>
    <n v="21.6"/>
    <n v="23.4"/>
    <x v="1"/>
    <n v="12"/>
    <n v="3"/>
    <x v="1"/>
    <n v="30.259433962264151"/>
    <n v="1"/>
  </r>
  <r>
    <s v="ORD587"/>
    <x v="1"/>
    <s v="Indianapolis, IN"/>
    <d v="2025-05-23T00:00:00"/>
    <d v="1899-12-30T18:00:00"/>
    <d v="2025-05-23T00:00:00"/>
    <d v="1899-12-30T18:20:00"/>
    <n v="20"/>
    <s v="Medium"/>
    <s v="Veg"/>
    <n v="2"/>
    <x v="2"/>
    <x v="2"/>
    <s v="Card"/>
    <x v="0"/>
    <x v="0"/>
    <n v="6.666666666666667"/>
    <n v="0.66666666666666663"/>
    <x v="4"/>
    <s v="Online"/>
    <n v="7.1999999999999993"/>
    <n v="12.8"/>
    <x v="0"/>
    <n v="4"/>
    <n v="1"/>
    <x v="0"/>
    <n v="28.186274509803919"/>
    <n v="0"/>
  </r>
  <r>
    <s v="ORD588"/>
    <x v="3"/>
    <s v="Seattle, WA"/>
    <d v="2025-05-24T00:00:00"/>
    <d v="1899-12-30T19:15:00"/>
    <d v="2025-05-24T00:00:00"/>
    <d v="1899-12-30T19:45:00"/>
    <n v="30"/>
    <s v="Large"/>
    <s v="Non-Veg"/>
    <n v="4"/>
    <x v="7"/>
    <x v="0"/>
    <s v="Wallet"/>
    <x v="0"/>
    <x v="1"/>
    <n v="5"/>
    <n v="0.66666666666666663"/>
    <x v="4"/>
    <s v="Online"/>
    <n v="14.4"/>
    <n v="15.6"/>
    <x v="0"/>
    <n v="12"/>
    <n v="2"/>
    <x v="3"/>
    <n v="29.948453608247419"/>
    <n v="0"/>
  </r>
  <r>
    <s v="ORD589"/>
    <x v="2"/>
    <s v="Denver, CO"/>
    <d v="2025-05-25T00:00:00"/>
    <d v="1899-12-30T20:30:00"/>
    <d v="2025-05-25T00:00:00"/>
    <d v="1899-12-30T21:10:00"/>
    <n v="40"/>
    <s v="XL"/>
    <s v="Cheese Burst"/>
    <n v="5"/>
    <x v="8"/>
    <x v="1"/>
    <s v="Card"/>
    <x v="0"/>
    <x v="1"/>
    <n v="5"/>
    <n v="0.625"/>
    <x v="4"/>
    <s v="Online"/>
    <n v="19.2"/>
    <n v="20.8"/>
    <x v="1"/>
    <n v="20"/>
    <n v="3"/>
    <x v="1"/>
    <n v="28.844221105527641"/>
    <n v="1"/>
  </r>
  <r>
    <s v="ORD590"/>
    <x v="4"/>
    <s v="Washington, DC"/>
    <d v="2025-05-26T00:00:00"/>
    <d v="1899-12-30T18:45:00"/>
    <d v="2025-05-26T00:00:00"/>
    <d v="1899-12-30T19:05:00"/>
    <n v="20"/>
    <s v="Small"/>
    <s v="Vegan"/>
    <n v="1"/>
    <x v="0"/>
    <x v="2"/>
    <s v="Cash"/>
    <x v="0"/>
    <x v="0"/>
    <n v="8"/>
    <n v="0.4"/>
    <x v="4"/>
    <s v="Offline"/>
    <n v="6"/>
    <n v="14"/>
    <x v="0"/>
    <n v="1"/>
    <n v="1"/>
    <x v="0"/>
    <n v="30.286458333333329"/>
    <n v="0"/>
  </r>
  <r>
    <s v="ORD591"/>
    <x v="0"/>
    <s v="Boston, MA"/>
    <d v="2025-05-27T00:00:00"/>
    <d v="1899-12-30T19:00:00"/>
    <d v="2025-05-27T00:00:00"/>
    <d v="1899-12-30T19:50:00"/>
    <n v="50"/>
    <s v="Large"/>
    <s v="Non-Veg"/>
    <n v="4"/>
    <x v="9"/>
    <x v="1"/>
    <s v="Card"/>
    <x v="0"/>
    <x v="0"/>
    <n v="5"/>
    <n v="0.4"/>
    <x v="4"/>
    <s v="Online"/>
    <n v="24"/>
    <n v="26"/>
    <x v="1"/>
    <n v="12"/>
    <n v="3"/>
    <x v="3"/>
    <n v="30.259433962264151"/>
    <n v="1"/>
  </r>
  <r>
    <s v="ORD592"/>
    <x v="1"/>
    <s v="El Paso, TX"/>
    <d v="2025-05-28T00:00:00"/>
    <d v="1899-12-30T20:00:00"/>
    <d v="2025-05-28T00:00:00"/>
    <d v="1899-12-30T20:35:00"/>
    <n v="35"/>
    <s v="Medium"/>
    <s v="Gluten-Free"/>
    <n v="3"/>
    <x v="10"/>
    <x v="0"/>
    <s v="Wallet"/>
    <x v="0"/>
    <x v="0"/>
    <n v="6.3636363636363633"/>
    <n v="0.54545454545454541"/>
    <x v="4"/>
    <s v="Online"/>
    <n v="13.2"/>
    <n v="21.8"/>
    <x v="1"/>
    <n v="6"/>
    <n v="2"/>
    <x v="1"/>
    <n v="28.186274509803919"/>
    <n v="1"/>
  </r>
  <r>
    <s v="ORD593"/>
    <x v="3"/>
    <s v="Detroit, MI"/>
    <d v="2025-05-29T00:00:00"/>
    <d v="1899-12-30T18:30:00"/>
    <d v="2025-05-29T00:00:00"/>
    <d v="1899-12-30T18:50:00"/>
    <n v="20"/>
    <s v="Small"/>
    <s v="Vegan"/>
    <n v="2"/>
    <x v="4"/>
    <x v="2"/>
    <s v="UPI"/>
    <x v="0"/>
    <x v="0"/>
    <n v="10"/>
    <n v="1"/>
    <x v="4"/>
    <s v="Online"/>
    <n v="4.8"/>
    <n v="15.2"/>
    <x v="0"/>
    <n v="2"/>
    <n v="1"/>
    <x v="0"/>
    <n v="29.948453608247419"/>
    <n v="0"/>
  </r>
  <r>
    <s v="ORD594"/>
    <x v="2"/>
    <s v="Nashville, TN"/>
    <d v="2025-05-30T00:00:00"/>
    <d v="1899-12-30T19:45:00"/>
    <d v="2025-05-30T00:00:00"/>
    <d v="1899-12-30T20:25:00"/>
    <n v="40"/>
    <s v="XL"/>
    <s v="Stuffed Crust"/>
    <n v="5"/>
    <x v="11"/>
    <x v="1"/>
    <s v="Card"/>
    <x v="0"/>
    <x v="0"/>
    <n v="5.333333333333333"/>
    <n v="0.66666666666666663"/>
    <x v="4"/>
    <s v="Online"/>
    <n v="18"/>
    <n v="22"/>
    <x v="1"/>
    <n v="20"/>
    <n v="3"/>
    <x v="3"/>
    <n v="28.844221105527641"/>
    <n v="1"/>
  </r>
  <r>
    <s v="ORD595"/>
    <x v="4"/>
    <s v="Memphis, TN"/>
    <d v="2025-05-31T00:00:00"/>
    <d v="1899-12-30T18:00:00"/>
    <d v="2025-05-31T00:00:00"/>
    <d v="1899-12-30T18:30:00"/>
    <n v="30"/>
    <s v="Medium"/>
    <s v="Non-Veg"/>
    <n v="3"/>
    <x v="6"/>
    <x v="0"/>
    <s v="UPI"/>
    <x v="0"/>
    <x v="1"/>
    <n v="7.5"/>
    <n v="0.75"/>
    <x v="4"/>
    <s v="Online"/>
    <n v="9.6"/>
    <n v="20.399999999999999"/>
    <x v="0"/>
    <n v="6"/>
    <n v="2"/>
    <x v="0"/>
    <n v="30.286458333333329"/>
    <n v="0"/>
  </r>
  <r>
    <s v="ORD596"/>
    <x v="0"/>
    <s v="Portland, OR"/>
    <d v="2025-06-01T00:00:00"/>
    <d v="1899-12-30T20:15:00"/>
    <d v="2025-06-01T00:00:00"/>
    <d v="1899-12-30T21:00:00"/>
    <n v="45"/>
    <s v="Large"/>
    <s v="Veg"/>
    <n v="4"/>
    <x v="12"/>
    <x v="1"/>
    <s v="Cash"/>
    <x v="0"/>
    <x v="1"/>
    <n v="5"/>
    <n v="0.44444444444444442"/>
    <x v="6"/>
    <s v="Offline"/>
    <n v="21.6"/>
    <n v="23.4"/>
    <x v="1"/>
    <n v="12"/>
    <n v="3"/>
    <x v="1"/>
    <n v="30.259433962264151"/>
    <n v="1"/>
  </r>
  <r>
    <s v="ORD597"/>
    <x v="1"/>
    <s v="Oklahoma City, OK"/>
    <d v="2025-06-02T00:00:00"/>
    <d v="1899-12-30T18:00:00"/>
    <d v="2025-06-02T00:00:00"/>
    <d v="1899-12-30T18:20:00"/>
    <n v="20"/>
    <s v="Medium"/>
    <s v="Veg"/>
    <n v="2"/>
    <x v="2"/>
    <x v="2"/>
    <s v="Card"/>
    <x v="0"/>
    <x v="0"/>
    <n v="6.666666666666667"/>
    <n v="0.66666666666666663"/>
    <x v="6"/>
    <s v="Online"/>
    <n v="7.1999999999999993"/>
    <n v="12.8"/>
    <x v="0"/>
    <n v="4"/>
    <n v="1"/>
    <x v="0"/>
    <n v="28.186274509803919"/>
    <n v="0"/>
  </r>
  <r>
    <s v="ORD598"/>
    <x v="3"/>
    <s v="Las Vegas, NV"/>
    <d v="2025-06-03T00:00:00"/>
    <d v="1899-12-30T19:15:00"/>
    <d v="2025-06-03T00:00:00"/>
    <d v="1899-12-30T19:45:00"/>
    <n v="30"/>
    <s v="Large"/>
    <s v="Non-Veg"/>
    <n v="4"/>
    <x v="7"/>
    <x v="0"/>
    <s v="Wallet"/>
    <x v="0"/>
    <x v="0"/>
    <n v="5"/>
    <n v="0.66666666666666663"/>
    <x v="6"/>
    <s v="Online"/>
    <n v="14.4"/>
    <n v="15.6"/>
    <x v="0"/>
    <n v="12"/>
    <n v="2"/>
    <x v="3"/>
    <n v="29.948453608247419"/>
    <n v="0"/>
  </r>
  <r>
    <s v="ORD599"/>
    <x v="2"/>
    <s v="Atlanta, GA"/>
    <d v="2025-06-04T00:00:00"/>
    <d v="1899-12-30T20:30:00"/>
    <d v="2025-06-04T00:00:00"/>
    <d v="1899-12-30T21:10:00"/>
    <n v="40"/>
    <s v="XL"/>
    <s v="Cheese Burst"/>
    <n v="5"/>
    <x v="8"/>
    <x v="1"/>
    <s v="Card"/>
    <x v="0"/>
    <x v="0"/>
    <n v="5"/>
    <n v="0.625"/>
    <x v="6"/>
    <s v="Online"/>
    <n v="19.2"/>
    <n v="20.8"/>
    <x v="1"/>
    <n v="20"/>
    <n v="3"/>
    <x v="1"/>
    <n v="28.844221105527641"/>
    <n v="1"/>
  </r>
  <r>
    <s v="ORD600"/>
    <x v="4"/>
    <s v="Miami, FL"/>
    <d v="2025-06-05T00:00:00"/>
    <d v="1899-12-30T18:45:00"/>
    <d v="2025-06-05T00:00:00"/>
    <d v="1899-12-30T19:05:00"/>
    <n v="20"/>
    <s v="Small"/>
    <s v="Vegan"/>
    <n v="1"/>
    <x v="0"/>
    <x v="2"/>
    <s v="Cash"/>
    <x v="0"/>
    <x v="0"/>
    <n v="8"/>
    <n v="0.4"/>
    <x v="6"/>
    <s v="Offline"/>
    <n v="6"/>
    <n v="14"/>
    <x v="0"/>
    <n v="1"/>
    <n v="1"/>
    <x v="0"/>
    <n v="30.286458333333329"/>
    <n v="0"/>
  </r>
  <r>
    <s v="ORD601"/>
    <x v="0"/>
    <s v="New York, NY"/>
    <d v="2025-06-06T00:00:00"/>
    <d v="1899-12-30T19:00:00"/>
    <d v="2025-06-06T00:00:00"/>
    <d v="1899-12-30T19:45:00"/>
    <n v="45"/>
    <s v="Large"/>
    <s v="Thai Chicken"/>
    <n v="4"/>
    <x v="15"/>
    <x v="0"/>
    <s v="Card"/>
    <x v="0"/>
    <x v="0"/>
    <n v="6.4285714285714288"/>
    <n v="0.5714285714285714"/>
    <x v="6"/>
    <s v="Online"/>
    <n v="16.8"/>
    <n v="28.2"/>
    <x v="1"/>
    <n v="12"/>
    <n v="2"/>
    <x v="3"/>
    <n v="30.259433962264151"/>
    <n v="1"/>
  </r>
  <r>
    <s v="ORD602"/>
    <x v="1"/>
    <s v="Los Angeles, CA"/>
    <d v="2025-06-07T00:00:00"/>
    <d v="1899-12-30T20:15:00"/>
    <d v="2025-06-07T00:00:00"/>
    <d v="1899-12-30T20:55:00"/>
    <n v="40"/>
    <s v="Medium"/>
    <s v="Sicilian"/>
    <n v="3"/>
    <x v="14"/>
    <x v="1"/>
    <s v="Wallet"/>
    <x v="0"/>
    <x v="1"/>
    <n v="6.1538461538461542"/>
    <n v="0.46153846153846162"/>
    <x v="6"/>
    <s v="Online"/>
    <n v="15.6"/>
    <n v="24.4"/>
    <x v="1"/>
    <n v="6"/>
    <n v="3"/>
    <x v="1"/>
    <n v="28.186274509803919"/>
    <n v="1"/>
  </r>
  <r>
    <s v="ORD603"/>
    <x v="3"/>
    <s v="Chicago, IL"/>
    <d v="2025-06-08T00:00:00"/>
    <d v="1899-12-30T18:45:00"/>
    <d v="2025-06-08T00:00:00"/>
    <d v="1899-12-30T19:05:00"/>
    <n v="20"/>
    <s v="Small"/>
    <s v="Vegan"/>
    <n v="1"/>
    <x v="0"/>
    <x v="2"/>
    <s v="Cash"/>
    <x v="0"/>
    <x v="1"/>
    <n v="8"/>
    <n v="0.4"/>
    <x v="6"/>
    <s v="Offline"/>
    <n v="6"/>
    <n v="14"/>
    <x v="0"/>
    <n v="1"/>
    <n v="1"/>
    <x v="0"/>
    <n v="29.948453608247419"/>
    <n v="0"/>
  </r>
  <r>
    <s v="ORD604"/>
    <x v="2"/>
    <s v="Houston, TX"/>
    <d v="2025-06-09T00:00:00"/>
    <d v="1899-12-30T19:30:00"/>
    <d v="2025-06-09T00:00:00"/>
    <d v="1899-12-30T20:10:00"/>
    <n v="40"/>
    <s v="XL"/>
    <s v="Cheese Burst"/>
    <n v="5"/>
    <x v="8"/>
    <x v="1"/>
    <s v="Card"/>
    <x v="0"/>
    <x v="0"/>
    <n v="5"/>
    <n v="0.625"/>
    <x v="6"/>
    <s v="Online"/>
    <n v="19.2"/>
    <n v="20.8"/>
    <x v="1"/>
    <n v="20"/>
    <n v="3"/>
    <x v="3"/>
    <n v="28.844221105527641"/>
    <n v="1"/>
  </r>
  <r>
    <s v="ORD605"/>
    <x v="4"/>
    <s v="Phoenix, AZ"/>
    <d v="2025-06-10T00:00:00"/>
    <d v="1899-12-30T18:00:00"/>
    <d v="2025-06-10T00:00:00"/>
    <d v="1899-12-30T18:30:00"/>
    <n v="30"/>
    <s v="Medium"/>
    <s v="Non-Veg"/>
    <n v="3"/>
    <x v="6"/>
    <x v="0"/>
    <s v="UPI"/>
    <x v="0"/>
    <x v="0"/>
    <n v="7.5"/>
    <n v="0.75"/>
    <x v="6"/>
    <s v="Online"/>
    <n v="9.6"/>
    <n v="20.399999999999999"/>
    <x v="0"/>
    <n v="6"/>
    <n v="2"/>
    <x v="0"/>
    <n v="30.286458333333329"/>
    <n v="0"/>
  </r>
  <r>
    <s v="ORD606"/>
    <x v="0"/>
    <s v="Philadelphia, PA"/>
    <d v="2025-06-11T00:00:00"/>
    <d v="1899-12-30T20:15:00"/>
    <d v="2025-06-11T00:00:00"/>
    <d v="1899-12-30T21:00:00"/>
    <n v="45"/>
    <s v="Large"/>
    <s v="Veg"/>
    <n v="4"/>
    <x v="12"/>
    <x v="1"/>
    <s v="Cash"/>
    <x v="0"/>
    <x v="0"/>
    <n v="5"/>
    <n v="0.44444444444444442"/>
    <x v="6"/>
    <s v="Offline"/>
    <n v="21.6"/>
    <n v="23.4"/>
    <x v="1"/>
    <n v="12"/>
    <n v="3"/>
    <x v="1"/>
    <n v="30.259433962264151"/>
    <n v="1"/>
  </r>
  <r>
    <s v="ORD607"/>
    <x v="1"/>
    <s v="San Antonio, TX"/>
    <d v="2025-06-12T00:00:00"/>
    <d v="1899-12-30T18:00:00"/>
    <d v="2025-06-12T00:00:00"/>
    <d v="1899-12-30T18:20:00"/>
    <n v="20"/>
    <s v="Medium"/>
    <s v="Veg"/>
    <n v="2"/>
    <x v="2"/>
    <x v="2"/>
    <s v="Card"/>
    <x v="0"/>
    <x v="0"/>
    <n v="6.666666666666667"/>
    <n v="0.66666666666666663"/>
    <x v="6"/>
    <s v="Online"/>
    <n v="7.1999999999999993"/>
    <n v="12.8"/>
    <x v="0"/>
    <n v="4"/>
    <n v="1"/>
    <x v="0"/>
    <n v="28.186274509803919"/>
    <n v="0"/>
  </r>
  <r>
    <s v="ORD608"/>
    <x v="3"/>
    <s v="San Diego, CA"/>
    <d v="2025-06-13T00:00:00"/>
    <d v="1899-12-30T19:15:00"/>
    <d v="2025-06-13T00:00:00"/>
    <d v="1899-12-30T19:45:00"/>
    <n v="30"/>
    <s v="Large"/>
    <s v="Non-Veg"/>
    <n v="4"/>
    <x v="7"/>
    <x v="0"/>
    <s v="Wallet"/>
    <x v="0"/>
    <x v="0"/>
    <n v="5"/>
    <n v="0.66666666666666663"/>
    <x v="6"/>
    <s v="Online"/>
    <n v="14.4"/>
    <n v="15.6"/>
    <x v="0"/>
    <n v="12"/>
    <n v="2"/>
    <x v="3"/>
    <n v="29.948453608247419"/>
    <n v="0"/>
  </r>
  <r>
    <s v="ORD609"/>
    <x v="2"/>
    <s v="Dallas, TX"/>
    <d v="2025-06-14T00:00:00"/>
    <d v="1899-12-30T20:30:00"/>
    <d v="2025-06-14T00:00:00"/>
    <d v="1899-12-30T21:10:00"/>
    <n v="40"/>
    <s v="XL"/>
    <s v="Cheese Burst"/>
    <n v="5"/>
    <x v="8"/>
    <x v="1"/>
    <s v="Card"/>
    <x v="0"/>
    <x v="1"/>
    <n v="5"/>
    <n v="0.625"/>
    <x v="6"/>
    <s v="Online"/>
    <n v="19.2"/>
    <n v="20.8"/>
    <x v="1"/>
    <n v="20"/>
    <n v="3"/>
    <x v="1"/>
    <n v="28.844221105527641"/>
    <n v="1"/>
  </r>
  <r>
    <s v="ORD610"/>
    <x v="4"/>
    <s v="San Jose, CA"/>
    <d v="2025-06-15T00:00:00"/>
    <d v="1899-12-30T18:45:00"/>
    <d v="2025-06-15T00:00:00"/>
    <d v="1899-12-30T19:05:00"/>
    <n v="20"/>
    <s v="Small"/>
    <s v="Vegan"/>
    <n v="1"/>
    <x v="0"/>
    <x v="2"/>
    <s v="Cash"/>
    <x v="0"/>
    <x v="1"/>
    <n v="8"/>
    <n v="0.4"/>
    <x v="6"/>
    <s v="Offline"/>
    <n v="6"/>
    <n v="14"/>
    <x v="0"/>
    <n v="1"/>
    <n v="1"/>
    <x v="0"/>
    <n v="30.286458333333329"/>
    <n v="0"/>
  </r>
  <r>
    <s v="ORD611"/>
    <x v="0"/>
    <s v="Austin, TX"/>
    <d v="2025-06-16T00:00:00"/>
    <d v="1899-12-30T19:00:00"/>
    <d v="2025-06-16T00:00:00"/>
    <d v="1899-12-30T19:50:00"/>
    <n v="50"/>
    <s v="Large"/>
    <s v="Non-Veg"/>
    <n v="4"/>
    <x v="9"/>
    <x v="1"/>
    <s v="Domino's Cash"/>
    <x v="0"/>
    <x v="0"/>
    <n v="5"/>
    <n v="0.4"/>
    <x v="6"/>
    <s v="Offline"/>
    <n v="24"/>
    <n v="26"/>
    <x v="1"/>
    <n v="12"/>
    <n v="3"/>
    <x v="3"/>
    <n v="30.259433962264151"/>
    <n v="1"/>
  </r>
  <r>
    <s v="ORD612"/>
    <x v="1"/>
    <s v="Jacksonville, FL"/>
    <d v="2025-06-17T00:00:00"/>
    <d v="1899-12-30T20:00:00"/>
    <d v="2025-06-17T00:00:00"/>
    <d v="1899-12-30T20:35:00"/>
    <n v="35"/>
    <s v="Medium"/>
    <s v="Gluten-Free"/>
    <n v="3"/>
    <x v="10"/>
    <x v="0"/>
    <s v="Wallet"/>
    <x v="0"/>
    <x v="0"/>
    <n v="6.3636363636363633"/>
    <n v="0.54545454545454541"/>
    <x v="6"/>
    <s v="Online"/>
    <n v="13.2"/>
    <n v="21.8"/>
    <x v="1"/>
    <n v="6"/>
    <n v="2"/>
    <x v="1"/>
    <n v="28.186274509803919"/>
    <n v="1"/>
  </r>
  <r>
    <s v="ORD613"/>
    <x v="3"/>
    <s v="Fort Worth, TX"/>
    <d v="2025-06-18T00:00:00"/>
    <d v="1899-12-30T18:30:00"/>
    <d v="2025-06-18T00:00:00"/>
    <d v="1899-12-30T18:50:00"/>
    <n v="20"/>
    <s v="Small"/>
    <s v="Vegan"/>
    <n v="2"/>
    <x v="4"/>
    <x v="2"/>
    <s v="UPI"/>
    <x v="0"/>
    <x v="0"/>
    <n v="10"/>
    <n v="1"/>
    <x v="6"/>
    <s v="Online"/>
    <n v="4.8"/>
    <n v="15.2"/>
    <x v="0"/>
    <n v="2"/>
    <n v="1"/>
    <x v="0"/>
    <n v="29.948453608247419"/>
    <n v="0"/>
  </r>
  <r>
    <s v="ORD614"/>
    <x v="2"/>
    <s v="Columbus, OH"/>
    <d v="2025-06-19T00:00:00"/>
    <d v="1899-12-30T19:45:00"/>
    <d v="2025-06-19T00:00:00"/>
    <d v="1899-12-30T20:25:00"/>
    <n v="40"/>
    <s v="XL"/>
    <s v="Stuffed Crust"/>
    <n v="5"/>
    <x v="11"/>
    <x v="1"/>
    <s v="Card"/>
    <x v="0"/>
    <x v="0"/>
    <n v="5.333333333333333"/>
    <n v="0.66666666666666663"/>
    <x v="6"/>
    <s v="Online"/>
    <n v="18"/>
    <n v="22"/>
    <x v="1"/>
    <n v="20"/>
    <n v="3"/>
    <x v="3"/>
    <n v="28.844221105527641"/>
    <n v="1"/>
  </r>
  <r>
    <s v="ORD615"/>
    <x v="4"/>
    <s v="Charlotte, NC"/>
    <d v="2025-06-20T00:00:00"/>
    <d v="1899-12-30T18:00:00"/>
    <d v="2025-06-20T00:00:00"/>
    <d v="1899-12-30T18:30:00"/>
    <n v="30"/>
    <s v="Medium"/>
    <s v="Non-Veg"/>
    <n v="3"/>
    <x v="6"/>
    <x v="0"/>
    <s v="UPI"/>
    <x v="0"/>
    <x v="0"/>
    <n v="7.5"/>
    <n v="0.75"/>
    <x v="6"/>
    <s v="Online"/>
    <n v="9.6"/>
    <n v="20.399999999999999"/>
    <x v="0"/>
    <n v="6"/>
    <n v="2"/>
    <x v="0"/>
    <n v="30.286458333333329"/>
    <n v="0"/>
  </r>
  <r>
    <s v="ORD616"/>
    <x v="0"/>
    <s v="San Francisco, CA"/>
    <d v="2025-06-21T00:00:00"/>
    <d v="1899-12-30T20:15:00"/>
    <d v="2025-06-21T00:00:00"/>
    <d v="1899-12-30T21:00:00"/>
    <n v="45"/>
    <s v="Large"/>
    <s v="Veg"/>
    <n v="4"/>
    <x v="12"/>
    <x v="1"/>
    <s v="Cash"/>
    <x v="0"/>
    <x v="1"/>
    <n v="5"/>
    <n v="0.44444444444444442"/>
    <x v="6"/>
    <s v="Offline"/>
    <n v="21.6"/>
    <n v="23.4"/>
    <x v="1"/>
    <n v="12"/>
    <n v="3"/>
    <x v="1"/>
    <n v="30.259433962264151"/>
    <n v="1"/>
  </r>
  <r>
    <s v="ORD617"/>
    <x v="1"/>
    <s v="Indianapolis, IN"/>
    <d v="2025-06-22T00:00:00"/>
    <d v="1899-12-30T18:00:00"/>
    <d v="2025-06-22T00:00:00"/>
    <d v="1899-12-30T18:20:00"/>
    <n v="20"/>
    <s v="Medium"/>
    <s v="Veg"/>
    <n v="2"/>
    <x v="2"/>
    <x v="2"/>
    <s v="Card"/>
    <x v="0"/>
    <x v="1"/>
    <n v="6.666666666666667"/>
    <n v="0.66666666666666663"/>
    <x v="6"/>
    <s v="Online"/>
    <n v="7.1999999999999993"/>
    <n v="12.8"/>
    <x v="0"/>
    <n v="4"/>
    <n v="1"/>
    <x v="0"/>
    <n v="28.186274509803919"/>
    <n v="0"/>
  </r>
  <r>
    <s v="ORD618"/>
    <x v="3"/>
    <s v="Seattle, WA"/>
    <d v="2025-06-23T00:00:00"/>
    <d v="1899-12-30T19:15:00"/>
    <d v="2025-06-23T00:00:00"/>
    <d v="1899-12-30T19:45:00"/>
    <n v="30"/>
    <s v="Large"/>
    <s v="Non-Veg"/>
    <n v="4"/>
    <x v="7"/>
    <x v="0"/>
    <s v="Wallet"/>
    <x v="0"/>
    <x v="0"/>
    <n v="5"/>
    <n v="0.66666666666666663"/>
    <x v="6"/>
    <s v="Online"/>
    <n v="14.4"/>
    <n v="15.6"/>
    <x v="0"/>
    <n v="12"/>
    <n v="2"/>
    <x v="3"/>
    <n v="29.948453608247419"/>
    <n v="0"/>
  </r>
  <r>
    <s v="ORD619"/>
    <x v="2"/>
    <s v="Denver, CO"/>
    <d v="2025-06-24T00:00:00"/>
    <d v="1899-12-30T20:30:00"/>
    <d v="2025-06-24T00:00:00"/>
    <d v="1899-12-30T21:10:00"/>
    <n v="40"/>
    <s v="XL"/>
    <s v="Cheese Burst"/>
    <n v="5"/>
    <x v="8"/>
    <x v="1"/>
    <s v="Card"/>
    <x v="0"/>
    <x v="0"/>
    <n v="5"/>
    <n v="0.625"/>
    <x v="6"/>
    <s v="Online"/>
    <n v="19.2"/>
    <n v="20.8"/>
    <x v="1"/>
    <n v="20"/>
    <n v="3"/>
    <x v="1"/>
    <n v="28.844221105527641"/>
    <n v="1"/>
  </r>
  <r>
    <s v="ORD620"/>
    <x v="4"/>
    <s v="Washington, DC"/>
    <d v="2025-06-25T00:00:00"/>
    <d v="1899-12-30T18:45:00"/>
    <d v="2025-06-25T00:00:00"/>
    <d v="1899-12-30T19:05:00"/>
    <n v="20"/>
    <s v="Small"/>
    <s v="Vegan"/>
    <n v="1"/>
    <x v="0"/>
    <x v="2"/>
    <s v="Cash"/>
    <x v="0"/>
    <x v="0"/>
    <n v="8"/>
    <n v="0.4"/>
    <x v="6"/>
    <s v="Offline"/>
    <n v="6"/>
    <n v="14"/>
    <x v="0"/>
    <n v="1"/>
    <n v="1"/>
    <x v="0"/>
    <n v="30.286458333333329"/>
    <n v="0"/>
  </r>
  <r>
    <s v="ORD621"/>
    <x v="0"/>
    <s v="Boston, MA"/>
    <d v="2025-06-26T00:00:00"/>
    <d v="1899-12-30T19:00:00"/>
    <d v="2025-06-26T00:00:00"/>
    <d v="1899-12-30T19:50:00"/>
    <n v="50"/>
    <s v="Large"/>
    <s v="Non-Veg"/>
    <n v="4"/>
    <x v="9"/>
    <x v="1"/>
    <s v="Card"/>
    <x v="0"/>
    <x v="0"/>
    <n v="5"/>
    <n v="0.4"/>
    <x v="6"/>
    <s v="Online"/>
    <n v="24"/>
    <n v="26"/>
    <x v="1"/>
    <n v="12"/>
    <n v="3"/>
    <x v="3"/>
    <n v="30.259433962264151"/>
    <n v="1"/>
  </r>
  <r>
    <s v="ORD622"/>
    <x v="1"/>
    <s v="El Paso, TX"/>
    <d v="2025-06-27T00:00:00"/>
    <d v="1899-12-30T20:00:00"/>
    <d v="2025-06-27T00:00:00"/>
    <d v="1899-12-30T20:35:00"/>
    <n v="35"/>
    <s v="Medium"/>
    <s v="Gluten-Free"/>
    <n v="3"/>
    <x v="10"/>
    <x v="0"/>
    <s v="Wallet"/>
    <x v="0"/>
    <x v="0"/>
    <n v="6.3636363636363633"/>
    <n v="0.54545454545454541"/>
    <x v="6"/>
    <s v="Online"/>
    <n v="13.2"/>
    <n v="21.8"/>
    <x v="1"/>
    <n v="6"/>
    <n v="2"/>
    <x v="1"/>
    <n v="28.186274509803919"/>
    <n v="1"/>
  </r>
  <r>
    <s v="ORD623"/>
    <x v="3"/>
    <s v="Detroit, MI"/>
    <d v="2025-06-28T00:00:00"/>
    <d v="1899-12-30T18:30:00"/>
    <d v="2025-06-28T00:00:00"/>
    <d v="1899-12-30T18:50:00"/>
    <n v="20"/>
    <s v="Small"/>
    <s v="Vegan"/>
    <n v="2"/>
    <x v="4"/>
    <x v="2"/>
    <s v="UPI"/>
    <x v="0"/>
    <x v="1"/>
    <n v="10"/>
    <n v="1"/>
    <x v="6"/>
    <s v="Online"/>
    <n v="4.8"/>
    <n v="15.2"/>
    <x v="0"/>
    <n v="2"/>
    <n v="1"/>
    <x v="0"/>
    <n v="29.948453608247419"/>
    <n v="0"/>
  </r>
  <r>
    <s v="ORD624"/>
    <x v="2"/>
    <s v="Nashville, TN"/>
    <d v="2025-06-29T00:00:00"/>
    <d v="1899-12-30T19:45:00"/>
    <d v="2025-06-29T00:00:00"/>
    <d v="1899-12-30T20:25:00"/>
    <n v="40"/>
    <s v="XL"/>
    <s v="Stuffed Crust"/>
    <n v="5"/>
    <x v="11"/>
    <x v="1"/>
    <s v="Card"/>
    <x v="0"/>
    <x v="1"/>
    <n v="5.333333333333333"/>
    <n v="0.66666666666666663"/>
    <x v="6"/>
    <s v="Online"/>
    <n v="18"/>
    <n v="22"/>
    <x v="1"/>
    <n v="20"/>
    <n v="3"/>
    <x v="3"/>
    <n v="28.844221105527641"/>
    <n v="1"/>
  </r>
  <r>
    <s v="ORD625"/>
    <x v="0"/>
    <s v="Austin, TX"/>
    <d v="2025-06-15T00:00:00"/>
    <d v="1899-12-30T19:20:00"/>
    <d v="2025-06-15T00:00:00"/>
    <d v="1899-12-30T19:55:00"/>
    <n v="35"/>
    <s v="Large"/>
    <s v="Cheese Burst"/>
    <n v="4"/>
    <x v="16"/>
    <x v="0"/>
    <s v="Card"/>
    <x v="0"/>
    <x v="1"/>
    <n v="6.481481481481481"/>
    <n v="0.7407407407407407"/>
    <x v="6"/>
    <s v="Online"/>
    <n v="12.96"/>
    <n v="22.04"/>
    <x v="1"/>
    <n v="12"/>
    <n v="2"/>
    <x v="3"/>
    <n v="30.259433962264151"/>
    <n v="1"/>
  </r>
  <r>
    <s v="ORD626"/>
    <x v="3"/>
    <s v="Miami, FL"/>
    <d v="2025-06-15T00:00:00"/>
    <d v="1899-12-30T20:00:00"/>
    <d v="2025-06-15T00:00:00"/>
    <d v="1899-12-30T20:30:00"/>
    <n v="30"/>
    <s v="Medium"/>
    <s v="Veg"/>
    <n v="2"/>
    <x v="17"/>
    <x v="2"/>
    <s v="Wallet"/>
    <x v="0"/>
    <x v="1"/>
    <n v="7.3170731707317076"/>
    <n v="0.48780487804878048"/>
    <x v="6"/>
    <s v="Online"/>
    <n v="9.8399999999999981"/>
    <n v="20.16"/>
    <x v="0"/>
    <n v="4"/>
    <n v="1"/>
    <x v="1"/>
    <n v="29.948453608247419"/>
    <n v="0"/>
  </r>
  <r>
    <s v="ORD627"/>
    <x v="2"/>
    <s v="Atlanta, GA"/>
    <d v="2025-06-15T00:00:00"/>
    <d v="1899-12-30T20:05:00"/>
    <d v="2025-06-15T00:00:00"/>
    <d v="1899-12-30T20:55:00"/>
    <n v="50"/>
    <s v="XL"/>
    <s v="Non-Veg"/>
    <n v="5"/>
    <x v="18"/>
    <x v="1"/>
    <s v="Cash"/>
    <x v="0"/>
    <x v="1"/>
    <n v="5.7471264367816097"/>
    <n v="0.57471264367816099"/>
    <x v="6"/>
    <s v="Offline"/>
    <n v="20.88"/>
    <n v="29.12"/>
    <x v="1"/>
    <n v="20"/>
    <n v="3"/>
    <x v="1"/>
    <n v="28.844221105527641"/>
    <n v="1"/>
  </r>
  <r>
    <s v="ORD628"/>
    <x v="0"/>
    <s v="Austin, TX"/>
    <d v="2025-06-15T00:00:00"/>
    <d v="1899-12-30T21:00:00"/>
    <d v="2025-06-15T00:00:00"/>
    <d v="1899-12-30T21:35:00"/>
    <n v="35"/>
    <s v="Large"/>
    <s v="Cheese Burst"/>
    <n v="4"/>
    <x v="16"/>
    <x v="0"/>
    <s v="Card"/>
    <x v="0"/>
    <x v="1"/>
    <n v="6.481481481481481"/>
    <n v="0.7407407407407407"/>
    <x v="6"/>
    <s v="Online"/>
    <n v="12.96"/>
    <n v="22.04"/>
    <x v="1"/>
    <n v="12"/>
    <n v="2"/>
    <x v="7"/>
    <n v="30.259433962264151"/>
    <n v="1"/>
  </r>
  <r>
    <s v="ORD629"/>
    <x v="1"/>
    <s v="Seattle, WA"/>
    <d v="2025-06-16T00:00:00"/>
    <d v="1899-12-30T17:45:00"/>
    <d v="2025-06-16T00:00:00"/>
    <d v="1899-12-30T18:10:00"/>
    <n v="25"/>
    <s v="Medium"/>
    <s v="Gluten-Free"/>
    <n v="3"/>
    <x v="19"/>
    <x v="2"/>
    <s v="UPI"/>
    <x v="1"/>
    <x v="0"/>
    <n v="6.4102564102564106"/>
    <n v="0.76923076923076927"/>
    <x v="6"/>
    <s v="Online"/>
    <n v="9.36"/>
    <n v="15.64"/>
    <x v="0"/>
    <n v="6"/>
    <n v="1"/>
    <x v="5"/>
    <n v="28.186274509803919"/>
    <n v="0"/>
  </r>
  <r>
    <s v="ORD630"/>
    <x v="3"/>
    <s v="Miami, FL"/>
    <d v="2025-06-16T00:00:00"/>
    <d v="1899-12-30T18:30:00"/>
    <d v="2025-06-16T00:00:00"/>
    <d v="1899-12-30T19:10:00"/>
    <n v="40"/>
    <s v="Large"/>
    <s v="Stuffed Crust"/>
    <n v="5"/>
    <x v="7"/>
    <x v="0"/>
    <s v="Wallet"/>
    <x v="0"/>
    <x v="0"/>
    <n v="6.666666666666667"/>
    <n v="0.83333333333333337"/>
    <x v="6"/>
    <s v="Online"/>
    <n v="14.4"/>
    <n v="25.6"/>
    <x v="1"/>
    <n v="15"/>
    <n v="2"/>
    <x v="0"/>
    <n v="29.948453608247419"/>
    <n v="1"/>
  </r>
  <r>
    <s v="ORD631"/>
    <x v="0"/>
    <s v="Phoenix, AZ"/>
    <d v="2025-06-16T00:00:00"/>
    <d v="1899-12-30T19:00:00"/>
    <d v="2025-06-16T00:00:00"/>
    <d v="1899-12-30T19:35:00"/>
    <n v="35"/>
    <s v="Medium"/>
    <s v="Veg"/>
    <n v="2"/>
    <x v="3"/>
    <x v="0"/>
    <s v="Hut Points"/>
    <x v="0"/>
    <x v="0"/>
    <n v="7.7777777777777777"/>
    <n v="0.44444444444444442"/>
    <x v="6"/>
    <s v="Offline"/>
    <n v="10.8"/>
    <n v="24.2"/>
    <x v="1"/>
    <n v="4"/>
    <n v="2"/>
    <x v="3"/>
    <n v="30.259433962264151"/>
    <n v="1"/>
  </r>
  <r>
    <s v="ORD632"/>
    <x v="3"/>
    <s v="Dallas, TX"/>
    <d v="2025-06-16T00:00:00"/>
    <d v="1899-12-30T20:15:00"/>
    <d v="2025-06-16T00:00:00"/>
    <d v="1899-12-30T21:00:00"/>
    <n v="45"/>
    <s v="Large"/>
    <s v="Cheese Burst"/>
    <n v="4"/>
    <x v="13"/>
    <x v="1"/>
    <s v="Card"/>
    <x v="0"/>
    <x v="0"/>
    <n v="6.25"/>
    <n v="0.55555555555555558"/>
    <x v="6"/>
    <s v="Online"/>
    <n v="17.28"/>
    <n v="27.72"/>
    <x v="1"/>
    <n v="12"/>
    <n v="3"/>
    <x v="1"/>
    <n v="29.948453608247419"/>
    <n v="1"/>
  </r>
  <r>
    <s v="ORD633"/>
    <x v="0"/>
    <s v="Austin, TX"/>
    <d v="2025-06-16T00:00:00"/>
    <d v="1899-12-30T21:10:00"/>
    <d v="2025-06-16T00:00:00"/>
    <d v="1899-12-30T21:40:00"/>
    <n v="30"/>
    <s v="Large"/>
    <s v="Cheese Burst"/>
    <n v="4"/>
    <x v="16"/>
    <x v="0"/>
    <s v="Cash"/>
    <x v="0"/>
    <x v="0"/>
    <n v="5.5555555555555554"/>
    <n v="0.7407407407407407"/>
    <x v="6"/>
    <s v="Offline"/>
    <n v="12.96"/>
    <n v="17.04"/>
    <x v="0"/>
    <n v="12"/>
    <n v="2"/>
    <x v="7"/>
    <n v="30.259433962264151"/>
    <n v="0"/>
  </r>
  <r>
    <s v="ORD634"/>
    <x v="2"/>
    <s v="Chicago, IL"/>
    <d v="2025-06-17T00:00:00"/>
    <d v="1899-12-30T18:10:00"/>
    <d v="2025-06-17T00:00:00"/>
    <d v="1899-12-30T18:50:00"/>
    <n v="40"/>
    <s v="XL"/>
    <s v="Sicilian"/>
    <n v="5"/>
    <x v="20"/>
    <x v="1"/>
    <s v="UPI"/>
    <x v="0"/>
    <x v="0"/>
    <n v="5.1282051282051286"/>
    <n v="0.64102564102564108"/>
    <x v="6"/>
    <s v="Online"/>
    <n v="18.72"/>
    <n v="21.28"/>
    <x v="1"/>
    <n v="20"/>
    <n v="3"/>
    <x v="0"/>
    <n v="28.844221105527641"/>
    <n v="1"/>
  </r>
  <r>
    <s v="ORD635"/>
    <x v="4"/>
    <s v="Tampa, FL"/>
    <d v="2025-06-17T00:00:00"/>
    <d v="1899-12-30T19:15:00"/>
    <d v="2025-06-17T00:00:00"/>
    <d v="1899-12-30T19:40:00"/>
    <n v="25"/>
    <s v="Small"/>
    <s v="Thai Chicken"/>
    <n v="3"/>
    <x v="21"/>
    <x v="0"/>
    <s v="Card"/>
    <x v="0"/>
    <x v="0"/>
    <n v="7.8125"/>
    <n v="0.9375"/>
    <x v="6"/>
    <s v="Online"/>
    <n v="7.68"/>
    <n v="17.32"/>
    <x v="0"/>
    <n v="3"/>
    <n v="2"/>
    <x v="3"/>
    <n v="26.666666666666671"/>
    <n v="0"/>
  </r>
  <r>
    <s v="ORD636"/>
    <x v="3"/>
    <s v="Miami, FL"/>
    <d v="2025-06-17T00:00:00"/>
    <d v="1899-12-30T20:00:00"/>
    <d v="2025-06-17T00:00:00"/>
    <d v="1899-12-30T20:30:00"/>
    <n v="30"/>
    <s v="Medium"/>
    <s v="Veg"/>
    <n v="2"/>
    <x v="17"/>
    <x v="2"/>
    <s v="Wallet"/>
    <x v="0"/>
    <x v="0"/>
    <n v="7.3170731707317076"/>
    <n v="0.48780487804878048"/>
    <x v="6"/>
    <s v="Online"/>
    <n v="9.8399999999999981"/>
    <n v="20.16"/>
    <x v="0"/>
    <n v="4"/>
    <n v="1"/>
    <x v="1"/>
    <n v="29.948453608247419"/>
    <n v="0"/>
  </r>
  <r>
    <s v="ORD637"/>
    <x v="1"/>
    <s v="San Diego, CA"/>
    <d v="2025-06-18T00:00:00"/>
    <d v="1899-12-30T17:45:00"/>
    <d v="2025-06-18T00:00:00"/>
    <d v="1899-12-30T18:35:00"/>
    <n v="50"/>
    <s v="Large"/>
    <s v="Non-Veg"/>
    <n v="4"/>
    <x v="22"/>
    <x v="1"/>
    <s v="Card"/>
    <x v="1"/>
    <x v="0"/>
    <n v="6.0240963855421681"/>
    <n v="0.48192771084337338"/>
    <x v="6"/>
    <s v="Online"/>
    <n v="19.920000000000002"/>
    <n v="30.08"/>
    <x v="1"/>
    <n v="12"/>
    <n v="3"/>
    <x v="5"/>
    <n v="28.186274509803919"/>
    <n v="1"/>
  </r>
  <r>
    <s v="ORD638"/>
    <x v="0"/>
    <s v="Austin, TX"/>
    <d v="2025-06-18T00:00:00"/>
    <d v="1899-12-30T19:05:00"/>
    <d v="2025-06-18T00:00:00"/>
    <d v="1899-12-30T19:40:00"/>
    <n v="35"/>
    <s v="Large"/>
    <s v="Cheese Burst"/>
    <n v="4"/>
    <x v="16"/>
    <x v="0"/>
    <s v="UPI"/>
    <x v="0"/>
    <x v="0"/>
    <n v="6.481481481481481"/>
    <n v="0.7407407407407407"/>
    <x v="6"/>
    <s v="Online"/>
    <n v="12.96"/>
    <n v="22.04"/>
    <x v="1"/>
    <n v="12"/>
    <n v="2"/>
    <x v="3"/>
    <n v="30.259433962264151"/>
    <n v="1"/>
  </r>
  <r>
    <s v="ORD639"/>
    <x v="4"/>
    <s v="Charlotte, NC"/>
    <d v="2025-06-18T00:00:00"/>
    <d v="1899-12-30T20:00:00"/>
    <d v="2025-06-18T00:00:00"/>
    <d v="1899-12-30T20:25:00"/>
    <n v="25"/>
    <s v="Medium"/>
    <s v="Non-Veg"/>
    <n v="3"/>
    <x v="6"/>
    <x v="2"/>
    <s v="Wallet"/>
    <x v="0"/>
    <x v="0"/>
    <n v="6.25"/>
    <n v="0.75"/>
    <x v="6"/>
    <s v="Online"/>
    <n v="9.6"/>
    <n v="15.4"/>
    <x v="0"/>
    <n v="6"/>
    <n v="1"/>
    <x v="1"/>
    <n v="26.666666666666671"/>
    <n v="0"/>
  </r>
  <r>
    <s v="ORD640"/>
    <x v="3"/>
    <s v="Miami, FL"/>
    <d v="2025-06-18T00:00:00"/>
    <d v="1899-12-30T21:00:00"/>
    <d v="2025-06-18T00:00:00"/>
    <d v="1899-12-30T21:30:00"/>
    <n v="30"/>
    <s v="Medium"/>
    <s v="Veg"/>
    <n v="2"/>
    <x v="17"/>
    <x v="2"/>
    <s v="Card"/>
    <x v="0"/>
    <x v="0"/>
    <n v="7.3170731707317076"/>
    <n v="0.48780487804878048"/>
    <x v="6"/>
    <s v="Online"/>
    <n v="9.8399999999999981"/>
    <n v="20.16"/>
    <x v="0"/>
    <n v="4"/>
    <n v="1"/>
    <x v="7"/>
    <n v="29.948453608247419"/>
    <n v="0"/>
  </r>
  <r>
    <s v="ORD641"/>
    <x v="0"/>
    <s v="Los Angeles, CA"/>
    <d v="2025-06-19T00:00:00"/>
    <d v="1899-12-30T18:15:00"/>
    <d v="2025-06-19T00:00:00"/>
    <d v="1899-12-30T18:55:00"/>
    <n v="40"/>
    <s v="Large"/>
    <s v="Cheese Burst"/>
    <n v="5"/>
    <x v="23"/>
    <x v="0"/>
    <s v="Cash"/>
    <x v="0"/>
    <x v="0"/>
    <n v="6.3492063492063497"/>
    <n v="0.79365079365079372"/>
    <x v="6"/>
    <s v="Offline"/>
    <n v="15.12"/>
    <n v="24.88"/>
    <x v="1"/>
    <n v="15"/>
    <n v="2"/>
    <x v="0"/>
    <n v="30.259433962264151"/>
    <n v="1"/>
  </r>
  <r>
    <s v="ORD642"/>
    <x v="2"/>
    <s v="Denver, CO"/>
    <d v="2025-06-19T00:00:00"/>
    <d v="1899-12-30T19:10:00"/>
    <d v="2025-06-19T00:00:00"/>
    <d v="1899-12-30T19:55:00"/>
    <n v="45"/>
    <s v="XL"/>
    <s v="Vegan"/>
    <n v="2"/>
    <x v="15"/>
    <x v="1"/>
    <s v="Wallet"/>
    <x v="0"/>
    <x v="0"/>
    <n v="6.4285714285714288"/>
    <n v="0.2857142857142857"/>
    <x v="6"/>
    <s v="Online"/>
    <n v="16.8"/>
    <n v="28.2"/>
    <x v="1"/>
    <n v="8"/>
    <n v="3"/>
    <x v="3"/>
    <n v="28.844221105527641"/>
    <n v="1"/>
  </r>
  <r>
    <s v="ORD643"/>
    <x v="0"/>
    <s v="Austin, TX"/>
    <d v="2025-06-19T00:00:00"/>
    <d v="1899-12-30T20:00:00"/>
    <d v="2025-06-19T00:00:00"/>
    <d v="1899-12-30T20:30:00"/>
    <n v="30"/>
    <s v="Large"/>
    <s v="Cheese Burst"/>
    <n v="4"/>
    <x v="16"/>
    <x v="0"/>
    <s v="Card"/>
    <x v="0"/>
    <x v="0"/>
    <n v="5.5555555555555554"/>
    <n v="0.7407407407407407"/>
    <x v="6"/>
    <s v="Online"/>
    <n v="12.96"/>
    <n v="17.04"/>
    <x v="0"/>
    <n v="12"/>
    <n v="2"/>
    <x v="1"/>
    <n v="30.259433962264151"/>
    <n v="0"/>
  </r>
  <r>
    <s v="ORD644"/>
    <x v="4"/>
    <s v="Tampa, FL"/>
    <d v="2025-06-20T00:00:00"/>
    <d v="1899-12-30T18:10:00"/>
    <d v="2025-06-20T00:00:00"/>
    <d v="1899-12-30T18:40:00"/>
    <n v="30"/>
    <s v="Small"/>
    <s v="Thai Chicken"/>
    <n v="3"/>
    <x v="21"/>
    <x v="0"/>
    <s v="Cash"/>
    <x v="0"/>
    <x v="0"/>
    <n v="9.375"/>
    <n v="0.9375"/>
    <x v="6"/>
    <s v="Offline"/>
    <n v="7.68"/>
    <n v="22.32"/>
    <x v="0"/>
    <n v="3"/>
    <n v="2"/>
    <x v="0"/>
    <n v="26.666666666666671"/>
    <n v="0"/>
  </r>
  <r>
    <s v="ORD645"/>
    <x v="3"/>
    <s v="Dallas, TX"/>
    <d v="2025-06-20T00:00:00"/>
    <d v="1899-12-30T19:00:00"/>
    <d v="2025-06-20T00:00:00"/>
    <d v="1899-12-30T19:30:00"/>
    <n v="30"/>
    <s v="Medium"/>
    <s v="Stuffed Crust"/>
    <n v="4"/>
    <x v="24"/>
    <x v="0"/>
    <s v="Card"/>
    <x v="0"/>
    <x v="0"/>
    <n v="5.1724137931034484"/>
    <n v="0.68965517241379315"/>
    <x v="6"/>
    <s v="Online"/>
    <n v="13.92"/>
    <n v="16.079999999999998"/>
    <x v="0"/>
    <n v="8"/>
    <n v="2"/>
    <x v="3"/>
    <n v="29.948453608247419"/>
    <n v="0"/>
  </r>
  <r>
    <s v="ORD646"/>
    <x v="0"/>
    <s v="San Francisco, CA"/>
    <d v="2025-07-21T00:00:00"/>
    <d v="1899-12-30T19:00:00"/>
    <d v="2025-07-21T00:00:00"/>
    <d v="1899-12-30T19:50:00"/>
    <n v="50"/>
    <s v="Large"/>
    <s v="Non-Veg"/>
    <n v="4"/>
    <x v="9"/>
    <x v="1"/>
    <s v="Card"/>
    <x v="0"/>
    <x v="0"/>
    <n v="5"/>
    <n v="0.4"/>
    <x v="7"/>
    <s v="Online"/>
    <n v="24"/>
    <n v="26"/>
    <x v="1"/>
    <n v="12"/>
    <n v="3"/>
    <x v="3"/>
    <n v="30.259433962264151"/>
    <n v="1"/>
  </r>
  <r>
    <s v="ORD647"/>
    <x v="1"/>
    <s v="Indianapolis, IN"/>
    <d v="2025-07-22T00:00:00"/>
    <d v="1899-12-30T20:00:00"/>
    <d v="2025-07-22T00:00:00"/>
    <d v="1899-12-30T20:35:00"/>
    <n v="35"/>
    <s v="Medium"/>
    <s v="Gluten-Free"/>
    <n v="3"/>
    <x v="10"/>
    <x v="0"/>
    <s v="Wallet"/>
    <x v="0"/>
    <x v="0"/>
    <n v="6.3636363636363633"/>
    <n v="0.54545454545454541"/>
    <x v="7"/>
    <s v="Online"/>
    <n v="13.2"/>
    <n v="21.8"/>
    <x v="1"/>
    <n v="6"/>
    <n v="2"/>
    <x v="1"/>
    <n v="28.186274509803919"/>
    <n v="1"/>
  </r>
  <r>
    <s v="ORD648"/>
    <x v="3"/>
    <s v="Seattle, WA"/>
    <d v="2025-07-23T00:00:00"/>
    <d v="1899-12-30T18:30:00"/>
    <d v="2025-07-23T00:00:00"/>
    <d v="1899-12-30T18:50:00"/>
    <n v="20"/>
    <s v="Small"/>
    <s v="Vegan"/>
    <n v="2"/>
    <x v="4"/>
    <x v="2"/>
    <s v="UPI"/>
    <x v="0"/>
    <x v="0"/>
    <n v="10"/>
    <n v="1"/>
    <x v="7"/>
    <s v="Online"/>
    <n v="4.8"/>
    <n v="15.2"/>
    <x v="0"/>
    <n v="2"/>
    <n v="1"/>
    <x v="0"/>
    <n v="29.948453608247419"/>
    <n v="0"/>
  </r>
  <r>
    <s v="ORD649"/>
    <x v="2"/>
    <s v="Denver, CO"/>
    <d v="2025-07-24T00:00:00"/>
    <d v="1899-12-30T19:45:00"/>
    <d v="2025-07-24T00:00:00"/>
    <d v="1899-12-30T20:25:00"/>
    <n v="40"/>
    <s v="XL"/>
    <s v="Cheese Burst"/>
    <n v="5"/>
    <x v="8"/>
    <x v="1"/>
    <s v="Card"/>
    <x v="0"/>
    <x v="0"/>
    <n v="5"/>
    <n v="0.625"/>
    <x v="7"/>
    <s v="Online"/>
    <n v="19.2"/>
    <n v="20.8"/>
    <x v="1"/>
    <n v="20"/>
    <n v="3"/>
    <x v="3"/>
    <n v="28.844221105527641"/>
    <n v="1"/>
  </r>
  <r>
    <s v="ORD650"/>
    <x v="4"/>
    <s v="Boston, MA"/>
    <d v="2025-07-25T00:00:00"/>
    <d v="1899-12-30T18:15:00"/>
    <d v="2025-07-25T00:00:00"/>
    <d v="1899-12-30T18:45:00"/>
    <n v="30"/>
    <s v="Medium"/>
    <s v="Thai Chicken"/>
    <n v="3"/>
    <x v="6"/>
    <x v="0"/>
    <s v="UPI"/>
    <x v="0"/>
    <x v="0"/>
    <n v="7.5"/>
    <n v="0.75"/>
    <x v="7"/>
    <s v="Online"/>
    <n v="9.6"/>
    <n v="20.399999999999999"/>
    <x v="0"/>
    <n v="6"/>
    <n v="2"/>
    <x v="0"/>
    <n v="30.286458333333329"/>
    <n v="0"/>
  </r>
  <r>
    <s v="ORD651"/>
    <x v="0"/>
    <s v="Nashville, TN"/>
    <d v="2025-07-26T00:00:00"/>
    <d v="1899-12-30T19:30:00"/>
    <d v="2025-07-26T00:00:00"/>
    <d v="1899-12-30T20:10:00"/>
    <n v="40"/>
    <s v="Large"/>
    <s v="Sicilian"/>
    <n v="4"/>
    <x v="14"/>
    <x v="1"/>
    <s v="Cash"/>
    <x v="0"/>
    <x v="1"/>
    <n v="6.1538461538461542"/>
    <n v="0.61538461538461542"/>
    <x v="7"/>
    <s v="Offline"/>
    <n v="15.6"/>
    <n v="24.4"/>
    <x v="1"/>
    <n v="12"/>
    <n v="3"/>
    <x v="3"/>
    <n v="30.259433962264151"/>
    <n v="1"/>
  </r>
  <r>
    <s v="ORD652"/>
    <x v="1"/>
    <s v="Detroit, MI"/>
    <d v="2025-07-27T00:00:00"/>
    <d v="1899-12-30T20:45:00"/>
    <d v="2025-07-27T00:00:00"/>
    <d v="1899-12-30T21:15:00"/>
    <n v="30"/>
    <s v="Medium"/>
    <s v="Veg"/>
    <n v="2"/>
    <x v="5"/>
    <x v="2"/>
    <s v="Card"/>
    <x v="0"/>
    <x v="1"/>
    <n v="8.5714285714285712"/>
    <n v="0.5714285714285714"/>
    <x v="7"/>
    <s v="Online"/>
    <n v="8.4"/>
    <n v="21.6"/>
    <x v="0"/>
    <n v="4"/>
    <n v="1"/>
    <x v="1"/>
    <n v="28.186274509803919"/>
    <n v="0"/>
  </r>
  <r>
    <s v="ORD653"/>
    <x v="3"/>
    <s v="El Paso, TX"/>
    <d v="2025-07-28T00:00:00"/>
    <d v="1899-12-30T18:00:00"/>
    <d v="2025-07-28T00:00:00"/>
    <d v="1899-12-30T18:30:00"/>
    <n v="30"/>
    <s v="Large"/>
    <s v="Non-Veg"/>
    <n v="4"/>
    <x v="1"/>
    <x v="0"/>
    <s v="Wallet"/>
    <x v="0"/>
    <x v="0"/>
    <n v="6"/>
    <n v="0.8"/>
    <x v="7"/>
    <s v="Online"/>
    <n v="12"/>
    <n v="18"/>
    <x v="0"/>
    <n v="12"/>
    <n v="2"/>
    <x v="0"/>
    <n v="29.948453608247419"/>
    <n v="0"/>
  </r>
  <r>
    <s v="ORD654"/>
    <x v="2"/>
    <s v="Washington, DC"/>
    <d v="2025-07-29T00:00:00"/>
    <d v="1899-12-30T19:15:00"/>
    <d v="2025-07-29T00:00:00"/>
    <d v="1899-12-30T19:55:00"/>
    <n v="40"/>
    <s v="XL"/>
    <s v="Cheese Burst"/>
    <n v="5"/>
    <x v="15"/>
    <x v="1"/>
    <s v="Card"/>
    <x v="0"/>
    <x v="0"/>
    <n v="5.7142857142857144"/>
    <n v="0.7142857142857143"/>
    <x v="7"/>
    <s v="Online"/>
    <n v="16.8"/>
    <n v="23.2"/>
    <x v="1"/>
    <n v="20"/>
    <n v="3"/>
    <x v="3"/>
    <n v="28.844221105527641"/>
    <n v="1"/>
  </r>
  <r>
    <s v="ORD655"/>
    <x v="4"/>
    <s v="Las Vegas, NV"/>
    <d v="2025-07-30T00:00:00"/>
    <d v="1899-12-30T20:30:00"/>
    <d v="2025-07-30T00:00:00"/>
    <d v="1899-12-30T21:00:00"/>
    <n v="30"/>
    <s v="Medium"/>
    <s v="Vegan"/>
    <n v="2"/>
    <x v="6"/>
    <x v="0"/>
    <s v="UPI"/>
    <x v="0"/>
    <x v="0"/>
    <n v="7.5"/>
    <n v="0.5"/>
    <x v="7"/>
    <s v="Online"/>
    <n v="9.6"/>
    <n v="20.399999999999999"/>
    <x v="0"/>
    <n v="4"/>
    <n v="2"/>
    <x v="1"/>
    <n v="30.286458333333329"/>
    <n v="0"/>
  </r>
  <r>
    <s v="ORD656"/>
    <x v="0"/>
    <s v="Louisville, KY"/>
    <d v="2025-07-31T00:00:00"/>
    <d v="1899-12-30T18:45:00"/>
    <d v="2025-07-31T00:00:00"/>
    <d v="1899-12-30T19:25:00"/>
    <n v="40"/>
    <s v="Large"/>
    <s v="Non-Veg"/>
    <n v="4"/>
    <x v="7"/>
    <x v="1"/>
    <s v="Domino's Cash"/>
    <x v="0"/>
    <x v="0"/>
    <n v="6.666666666666667"/>
    <n v="0.66666666666666663"/>
    <x v="7"/>
    <s v="Offline"/>
    <n v="14.4"/>
    <n v="25.6"/>
    <x v="1"/>
    <n v="12"/>
    <n v="3"/>
    <x v="0"/>
    <n v="30.259433962264151"/>
    <n v="1"/>
  </r>
  <r>
    <s v="ORD657"/>
    <x v="1"/>
    <s v="Baltimore, MD"/>
    <d v="2025-08-01T00:00:00"/>
    <d v="1899-12-30T20:00:00"/>
    <d v="2025-08-01T00:00:00"/>
    <d v="1899-12-30T20:30:00"/>
    <n v="30"/>
    <s v="Medium"/>
    <s v="Gluten-Free"/>
    <n v="3"/>
    <x v="1"/>
    <x v="0"/>
    <s v="Wallet"/>
    <x v="0"/>
    <x v="0"/>
    <n v="6"/>
    <n v="0.6"/>
    <x v="5"/>
    <s v="Online"/>
    <n v="12"/>
    <n v="18"/>
    <x v="0"/>
    <n v="6"/>
    <n v="2"/>
    <x v="1"/>
    <n v="28.186274509803919"/>
    <n v="0"/>
  </r>
  <r>
    <s v="ORD658"/>
    <x v="3"/>
    <s v="Milwaukee, WI"/>
    <d v="2025-08-02T00:00:00"/>
    <d v="1899-12-30T18:30:00"/>
    <d v="2025-08-02T00:00:00"/>
    <d v="1899-12-30T19:00:00"/>
    <n v="30"/>
    <s v="Small"/>
    <s v="Vegan"/>
    <n v="2"/>
    <x v="2"/>
    <x v="2"/>
    <s v="UPI"/>
    <x v="0"/>
    <x v="1"/>
    <n v="10"/>
    <n v="0.66666666666666663"/>
    <x v="5"/>
    <s v="Online"/>
    <n v="7.1999999999999993"/>
    <n v="22.8"/>
    <x v="0"/>
    <n v="2"/>
    <n v="1"/>
    <x v="0"/>
    <n v="29.948453608247419"/>
    <n v="0"/>
  </r>
  <r>
    <s v="ORD659"/>
    <x v="2"/>
    <s v="Albuquerque, NM"/>
    <d v="2025-08-03T00:00:00"/>
    <d v="1899-12-30T19:45:00"/>
    <d v="2025-08-03T00:00:00"/>
    <d v="1899-12-30T20:25:00"/>
    <n v="40"/>
    <s v="XL"/>
    <s v="Stuffed Crust"/>
    <n v="5"/>
    <x v="8"/>
    <x v="1"/>
    <s v="Card"/>
    <x v="0"/>
    <x v="1"/>
    <n v="5"/>
    <n v="0.625"/>
    <x v="5"/>
    <s v="Online"/>
    <n v="19.2"/>
    <n v="20.8"/>
    <x v="1"/>
    <n v="20"/>
    <n v="3"/>
    <x v="3"/>
    <n v="28.844221105527641"/>
    <n v="1"/>
  </r>
  <r>
    <s v="ORD660"/>
    <x v="4"/>
    <s v="Tucson, AZ"/>
    <d v="2025-08-04T00:00:00"/>
    <d v="1899-12-30T18:00:00"/>
    <d v="2025-08-04T00:00:00"/>
    <d v="1899-12-30T18:30:00"/>
    <n v="30"/>
    <s v="Medium"/>
    <s v="Non-Veg"/>
    <n v="3"/>
    <x v="6"/>
    <x v="0"/>
    <s v="UPI"/>
    <x v="0"/>
    <x v="0"/>
    <n v="7.5"/>
    <n v="0.75"/>
    <x v="5"/>
    <s v="Online"/>
    <n v="9.6"/>
    <n v="20.399999999999999"/>
    <x v="0"/>
    <n v="6"/>
    <n v="2"/>
    <x v="0"/>
    <n v="30.286458333333329"/>
    <n v="0"/>
  </r>
  <r>
    <s v="ORD661"/>
    <x v="0"/>
    <s v="Fresno, CA"/>
    <d v="2025-08-05T00:00:00"/>
    <d v="1899-12-30T19:15:00"/>
    <d v="2025-08-05T00:00:00"/>
    <d v="1899-12-30T19:55:00"/>
    <n v="40"/>
    <s v="Large"/>
    <s v="Veg"/>
    <n v="4"/>
    <x v="7"/>
    <x v="1"/>
    <s v="Cash"/>
    <x v="0"/>
    <x v="0"/>
    <n v="6.666666666666667"/>
    <n v="0.66666666666666663"/>
    <x v="5"/>
    <s v="Offline"/>
    <n v="14.4"/>
    <n v="25.6"/>
    <x v="1"/>
    <n v="12"/>
    <n v="3"/>
    <x v="3"/>
    <n v="30.259433962264151"/>
    <n v="1"/>
  </r>
  <r>
    <s v="ORD662"/>
    <x v="1"/>
    <s v="Sacramento, CA"/>
    <d v="2025-08-06T00:00:00"/>
    <d v="1899-12-30T20:30:00"/>
    <d v="2025-08-06T00:00:00"/>
    <d v="1899-12-30T21:00:00"/>
    <n v="30"/>
    <s v="Medium"/>
    <s v="Veg"/>
    <n v="2"/>
    <x v="5"/>
    <x v="2"/>
    <s v="Card"/>
    <x v="0"/>
    <x v="0"/>
    <n v="8.5714285714285712"/>
    <n v="0.5714285714285714"/>
    <x v="5"/>
    <s v="Online"/>
    <n v="8.4"/>
    <n v="21.6"/>
    <x v="0"/>
    <n v="4"/>
    <n v="1"/>
    <x v="1"/>
    <n v="28.186274509803919"/>
    <n v="0"/>
  </r>
  <r>
    <s v="ORD663"/>
    <x v="3"/>
    <s v="Kansas City, MO"/>
    <d v="2025-08-07T00:00:00"/>
    <d v="1899-12-30T18:45:00"/>
    <d v="2025-08-07T00:00:00"/>
    <d v="1899-12-30T19:15:00"/>
    <n v="30"/>
    <s v="Large"/>
    <s v="Non-Veg"/>
    <n v="4"/>
    <x v="10"/>
    <x v="0"/>
    <s v="Wallet"/>
    <x v="0"/>
    <x v="0"/>
    <n v="5.4545454545454541"/>
    <n v="0.72727272727272729"/>
    <x v="5"/>
    <s v="Online"/>
    <n v="13.2"/>
    <n v="16.8"/>
    <x v="0"/>
    <n v="12"/>
    <n v="2"/>
    <x v="0"/>
    <n v="29.948453608247419"/>
    <n v="0"/>
  </r>
  <r>
    <s v="ORD664"/>
    <x v="2"/>
    <s v="Mesa, AZ"/>
    <d v="2025-08-08T00:00:00"/>
    <d v="1899-12-30T20:00:00"/>
    <d v="2025-08-08T00:00:00"/>
    <d v="1899-12-30T20:40:00"/>
    <n v="40"/>
    <s v="XL"/>
    <s v="Cheese Burst"/>
    <n v="5"/>
    <x v="11"/>
    <x v="1"/>
    <s v="Card"/>
    <x v="0"/>
    <x v="0"/>
    <n v="5.333333333333333"/>
    <n v="0.66666666666666663"/>
    <x v="5"/>
    <s v="Online"/>
    <n v="18"/>
    <n v="22"/>
    <x v="1"/>
    <n v="20"/>
    <n v="3"/>
    <x v="1"/>
    <n v="28.844221105527641"/>
    <n v="1"/>
  </r>
  <r>
    <s v="ORD665"/>
    <x v="4"/>
    <s v="Atlanta, GA"/>
    <d v="2025-08-09T00:00:00"/>
    <d v="1899-12-30T18:15:00"/>
    <d v="2025-08-09T00:00:00"/>
    <d v="1899-12-30T18:45:00"/>
    <n v="30"/>
    <s v="Small"/>
    <s v="Vegan"/>
    <n v="1"/>
    <x v="0"/>
    <x v="2"/>
    <s v="Cash"/>
    <x v="0"/>
    <x v="1"/>
    <n v="12"/>
    <n v="0.4"/>
    <x v="5"/>
    <s v="Offline"/>
    <n v="6"/>
    <n v="24"/>
    <x v="0"/>
    <n v="1"/>
    <n v="1"/>
    <x v="0"/>
    <n v="30.286458333333329"/>
    <n v="0"/>
  </r>
  <r>
    <s v="ORD666"/>
    <x v="0"/>
    <s v="Omaha, NE"/>
    <d v="2025-08-10T00:00:00"/>
    <d v="1899-12-30T19:30:00"/>
    <d v="2025-08-10T00:00:00"/>
    <d v="1899-12-30T20:10:00"/>
    <n v="40"/>
    <s v="Large"/>
    <s v="Non-Veg"/>
    <n v="4"/>
    <x v="14"/>
    <x v="1"/>
    <s v="Card"/>
    <x v="0"/>
    <x v="1"/>
    <n v="6.1538461538461542"/>
    <n v="0.61538461538461542"/>
    <x v="5"/>
    <s v="Online"/>
    <n v="15.6"/>
    <n v="24.4"/>
    <x v="1"/>
    <n v="12"/>
    <n v="3"/>
    <x v="3"/>
    <n v="30.259433962264151"/>
    <n v="1"/>
  </r>
  <r>
    <s v="ORD667"/>
    <x v="1"/>
    <s v="Raleigh, NC"/>
    <d v="2025-08-11T00:00:00"/>
    <d v="1899-12-30T20:45:00"/>
    <d v="2025-08-11T00:00:00"/>
    <d v="1899-12-30T21:15:00"/>
    <n v="30"/>
    <s v="Medium"/>
    <s v="Gluten-Free"/>
    <n v="3"/>
    <x v="1"/>
    <x v="0"/>
    <s v="Wallet"/>
    <x v="0"/>
    <x v="0"/>
    <n v="6"/>
    <n v="0.6"/>
    <x v="5"/>
    <s v="Online"/>
    <n v="12"/>
    <n v="18"/>
    <x v="0"/>
    <n v="6"/>
    <n v="2"/>
    <x v="1"/>
    <n v="28.186274509803919"/>
    <n v="0"/>
  </r>
  <r>
    <s v="ORD668"/>
    <x v="3"/>
    <s v="Long Beach, CA"/>
    <d v="2025-08-12T00:00:00"/>
    <d v="1899-12-30T18:00:00"/>
    <d v="2025-08-12T00:00:00"/>
    <d v="1899-12-30T18:30:00"/>
    <n v="30"/>
    <s v="Small"/>
    <s v="Vegan"/>
    <n v="2"/>
    <x v="2"/>
    <x v="2"/>
    <s v="UPI"/>
    <x v="0"/>
    <x v="0"/>
    <n v="10"/>
    <n v="0.66666666666666663"/>
    <x v="5"/>
    <s v="Online"/>
    <n v="7.1999999999999993"/>
    <n v="22.8"/>
    <x v="0"/>
    <n v="2"/>
    <n v="1"/>
    <x v="0"/>
    <n v="29.948453608247419"/>
    <n v="0"/>
  </r>
  <r>
    <s v="ORD669"/>
    <x v="2"/>
    <s v="Virginia Beach, VA"/>
    <d v="2025-08-13T00:00:00"/>
    <d v="1899-12-30T19:15:00"/>
    <d v="2025-08-13T00:00:00"/>
    <d v="1899-12-30T19:55:00"/>
    <n v="40"/>
    <s v="XL"/>
    <s v="Cheese Burst"/>
    <n v="5"/>
    <x v="15"/>
    <x v="1"/>
    <s v="Card"/>
    <x v="0"/>
    <x v="0"/>
    <n v="5.7142857142857144"/>
    <n v="0.7142857142857143"/>
    <x v="5"/>
    <s v="Online"/>
    <n v="16.8"/>
    <n v="23.2"/>
    <x v="1"/>
    <n v="20"/>
    <n v="3"/>
    <x v="3"/>
    <n v="28.844221105527641"/>
    <n v="1"/>
  </r>
  <r>
    <s v="ORD670"/>
    <x v="4"/>
    <s v="Oakland, CA"/>
    <d v="2025-08-14T00:00:00"/>
    <d v="1899-12-30T20:30:00"/>
    <d v="2025-08-14T00:00:00"/>
    <d v="1899-12-30T21:00:00"/>
    <n v="30"/>
    <s v="Medium"/>
    <s v="Non-Veg"/>
    <n v="3"/>
    <x v="6"/>
    <x v="0"/>
    <s v="UPI"/>
    <x v="0"/>
    <x v="0"/>
    <n v="7.5"/>
    <n v="0.75"/>
    <x v="5"/>
    <s v="Online"/>
    <n v="9.6"/>
    <n v="20.399999999999999"/>
    <x v="0"/>
    <n v="6"/>
    <n v="2"/>
    <x v="1"/>
    <n v="30.286458333333329"/>
    <n v="0"/>
  </r>
  <r>
    <s v="ORD671"/>
    <x v="0"/>
    <s v="San Jose, CA"/>
    <d v="2025-08-15T00:00:00"/>
    <d v="1899-12-30T19:00:00"/>
    <d v="2025-08-15T00:00:00"/>
    <d v="1899-12-30T19:35:00"/>
    <n v="35"/>
    <s v="Large"/>
    <s v="Cheese Burst"/>
    <n v="4"/>
    <x v="1"/>
    <x v="0"/>
    <s v="Card"/>
    <x v="0"/>
    <x v="0"/>
    <n v="7"/>
    <n v="0.8"/>
    <x v="5"/>
    <s v="Online"/>
    <n v="12"/>
    <n v="23"/>
    <x v="1"/>
    <n v="12"/>
    <n v="2"/>
    <x v="3"/>
    <n v="30.259433962264151"/>
    <n v="1"/>
  </r>
  <r>
    <s v="ORD672"/>
    <x v="3"/>
    <s v="Austin, TX"/>
    <d v="2025-08-16T00:00:00"/>
    <d v="1899-12-30T18:30:00"/>
    <d v="2025-08-16T00:00:00"/>
    <d v="1899-12-30T19:10:00"/>
    <n v="40"/>
    <s v="Medium"/>
    <s v="Veg"/>
    <n v="2"/>
    <x v="7"/>
    <x v="1"/>
    <s v="Wallet"/>
    <x v="0"/>
    <x v="1"/>
    <n v="6.666666666666667"/>
    <n v="0.33333333333333331"/>
    <x v="5"/>
    <s v="Online"/>
    <n v="14.4"/>
    <n v="25.6"/>
    <x v="1"/>
    <n v="4"/>
    <n v="3"/>
    <x v="0"/>
    <n v="29.948453608247419"/>
    <n v="1"/>
  </r>
  <r>
    <s v="ORD673"/>
    <x v="1"/>
    <s v="Columbus, OH"/>
    <d v="2025-08-17T00:00:00"/>
    <d v="1899-12-30T20:00:00"/>
    <d v="2025-08-17T00:00:00"/>
    <d v="1899-12-30T20:25:00"/>
    <n v="25"/>
    <s v="Medium"/>
    <s v="Gluten-Free"/>
    <n v="3"/>
    <x v="5"/>
    <x v="2"/>
    <s v="UPI"/>
    <x v="0"/>
    <x v="1"/>
    <n v="7.1428571428571432"/>
    <n v="0.8571428571428571"/>
    <x v="5"/>
    <s v="Online"/>
    <n v="8.4"/>
    <n v="16.600000000000001"/>
    <x v="0"/>
    <n v="6"/>
    <n v="1"/>
    <x v="1"/>
    <n v="28.186274509803919"/>
    <n v="0"/>
  </r>
  <r>
    <s v="ORD674"/>
    <x v="2"/>
    <s v="Fort Worth, TX"/>
    <d v="2025-08-18T00:00:00"/>
    <d v="1899-12-30T19:15:00"/>
    <d v="2025-08-18T00:00:00"/>
    <d v="1899-12-30T19:55:00"/>
    <n v="40"/>
    <s v="XL"/>
    <s v="Non-Veg"/>
    <n v="5"/>
    <x v="15"/>
    <x v="1"/>
    <s v="Cash"/>
    <x v="0"/>
    <x v="0"/>
    <n v="5.7142857142857144"/>
    <n v="0.7142857142857143"/>
    <x v="5"/>
    <s v="Offline"/>
    <n v="16.8"/>
    <n v="23.2"/>
    <x v="1"/>
    <n v="20"/>
    <n v="3"/>
    <x v="3"/>
    <n v="28.844221105527641"/>
    <n v="1"/>
  </r>
  <r>
    <s v="ORD675"/>
    <x v="4"/>
    <s v="Jacksonville, FL"/>
    <d v="2025-08-19T00:00:00"/>
    <d v="1899-12-30T18:45:00"/>
    <d v="2025-08-19T00:00:00"/>
    <d v="1899-12-30T19:15:00"/>
    <n v="30"/>
    <s v="Medium"/>
    <s v="Thai Chicken"/>
    <n v="3"/>
    <x v="6"/>
    <x v="0"/>
    <s v="Card"/>
    <x v="0"/>
    <x v="0"/>
    <n v="7.5"/>
    <n v="0.75"/>
    <x v="5"/>
    <s v="Online"/>
    <n v="9.6"/>
    <n v="20.399999999999999"/>
    <x v="0"/>
    <n v="6"/>
    <n v="2"/>
    <x v="0"/>
    <n v="30.286458333333329"/>
    <n v="0"/>
  </r>
  <r>
    <s v="ORD676"/>
    <x v="0"/>
    <s v="Indianapolis, IN"/>
    <d v="2025-08-20T00:00:00"/>
    <d v="1899-12-30T20:30:00"/>
    <d v="2025-08-20T00:00:00"/>
    <d v="1899-12-30T21:00:00"/>
    <n v="30"/>
    <s v="Large"/>
    <s v="Sicilian"/>
    <n v="4"/>
    <x v="10"/>
    <x v="0"/>
    <s v="UPI"/>
    <x v="0"/>
    <x v="0"/>
    <n v="5.4545454545454541"/>
    <n v="0.72727272727272729"/>
    <x v="5"/>
    <s v="Online"/>
    <n v="13.2"/>
    <n v="16.8"/>
    <x v="0"/>
    <n v="12"/>
    <n v="2"/>
    <x v="1"/>
    <n v="30.259433962264151"/>
    <n v="0"/>
  </r>
  <r>
    <s v="ORD677"/>
    <x v="3"/>
    <s v="Charlotte, NC"/>
    <d v="2025-08-21T00:00:00"/>
    <d v="1899-12-30T19:00:00"/>
    <d v="2025-08-21T00:00:00"/>
    <d v="1899-12-30T19:30:00"/>
    <n v="30"/>
    <s v="Medium"/>
    <s v="Veg"/>
    <n v="2"/>
    <x v="6"/>
    <x v="2"/>
    <s v="Wallet"/>
    <x v="0"/>
    <x v="0"/>
    <n v="7.5"/>
    <n v="0.5"/>
    <x v="5"/>
    <s v="Online"/>
    <n v="9.6"/>
    <n v="20.399999999999999"/>
    <x v="0"/>
    <n v="4"/>
    <n v="1"/>
    <x v="3"/>
    <n v="29.948453608247419"/>
    <n v="0"/>
  </r>
  <r>
    <s v="ORD678"/>
    <x v="1"/>
    <s v="San Francisco, CA"/>
    <d v="2025-08-22T00:00:00"/>
    <d v="1899-12-30T18:15:00"/>
    <d v="2025-08-22T00:00:00"/>
    <d v="1899-12-30T18:50:00"/>
    <n v="35"/>
    <s v="Medium"/>
    <s v="Gluten-Free"/>
    <n v="3"/>
    <x v="1"/>
    <x v="0"/>
    <s v="Card"/>
    <x v="0"/>
    <x v="0"/>
    <n v="7"/>
    <n v="0.6"/>
    <x v="5"/>
    <s v="Online"/>
    <n v="12"/>
    <n v="23"/>
    <x v="1"/>
    <n v="6"/>
    <n v="2"/>
    <x v="0"/>
    <n v="28.186274509803919"/>
    <n v="1"/>
  </r>
  <r>
    <s v="ORD679"/>
    <x v="2"/>
    <s v="Denver, CO"/>
    <d v="2025-08-23T00:00:00"/>
    <d v="1899-12-30T20:00:00"/>
    <d v="2025-08-23T00:00:00"/>
    <d v="1899-12-30T20:45:00"/>
    <n v="45"/>
    <s v="XL"/>
    <s v="Cheese Burst"/>
    <n v="5"/>
    <x v="8"/>
    <x v="1"/>
    <s v="Cash"/>
    <x v="0"/>
    <x v="1"/>
    <n v="5.625"/>
    <n v="0.625"/>
    <x v="5"/>
    <s v="Offline"/>
    <n v="19.2"/>
    <n v="25.8"/>
    <x v="1"/>
    <n v="20"/>
    <n v="3"/>
    <x v="1"/>
    <n v="28.844221105527641"/>
    <n v="1"/>
  </r>
  <r>
    <s v="ORD680"/>
    <x v="4"/>
    <s v="Seattle, WA"/>
    <d v="2025-08-24T00:00:00"/>
    <d v="1899-12-30T19:30:00"/>
    <d v="2025-08-24T00:00:00"/>
    <d v="1899-12-30T20:00:00"/>
    <n v="30"/>
    <s v="Medium"/>
    <s v="Thai Chicken"/>
    <n v="3"/>
    <x v="3"/>
    <x v="0"/>
    <s v="UPI"/>
    <x v="0"/>
    <x v="1"/>
    <n v="6.666666666666667"/>
    <n v="0.66666666666666663"/>
    <x v="5"/>
    <s v="Online"/>
    <n v="10.8"/>
    <n v="19.2"/>
    <x v="0"/>
    <n v="6"/>
    <n v="2"/>
    <x v="3"/>
    <n v="30.286458333333329"/>
    <n v="0"/>
  </r>
  <r>
    <s v="ORD681"/>
    <x v="0"/>
    <s v="Boston, MA"/>
    <d v="2025-08-25T00:00:00"/>
    <d v="1899-12-30T18:00:00"/>
    <d v="2025-08-25T00:00:00"/>
    <d v="1899-12-30T18:35:00"/>
    <n v="35"/>
    <s v="Large"/>
    <s v="Non-Veg"/>
    <n v="4"/>
    <x v="7"/>
    <x v="0"/>
    <s v="Card"/>
    <x v="0"/>
    <x v="0"/>
    <n v="5.833333333333333"/>
    <n v="0.66666666666666663"/>
    <x v="5"/>
    <s v="Online"/>
    <n v="14.4"/>
    <n v="20.6"/>
    <x v="1"/>
    <n v="12"/>
    <n v="2"/>
    <x v="0"/>
    <n v="30.259433962264151"/>
    <n v="1"/>
  </r>
  <r>
    <s v="ORD682"/>
    <x v="3"/>
    <s v="Detroit, MI"/>
    <d v="2025-08-26T00:00:00"/>
    <d v="1899-12-30T19:15:00"/>
    <d v="2025-08-26T00:00:00"/>
    <d v="1899-12-30T19:45:00"/>
    <n v="30"/>
    <s v="Medium"/>
    <s v="Veg"/>
    <n v="2"/>
    <x v="6"/>
    <x v="2"/>
    <s v="Wallet"/>
    <x v="0"/>
    <x v="0"/>
    <n v="7.5"/>
    <n v="0.5"/>
    <x v="5"/>
    <s v="Online"/>
    <n v="9.6"/>
    <n v="20.399999999999999"/>
    <x v="0"/>
    <n v="4"/>
    <n v="1"/>
    <x v="3"/>
    <n v="29.948453608247419"/>
    <n v="0"/>
  </r>
  <r>
    <s v="ORD683"/>
    <x v="1"/>
    <s v="Memphis, TN"/>
    <d v="2025-08-27T00:00:00"/>
    <d v="1899-12-30T20:30:00"/>
    <d v="2025-08-27T00:00:00"/>
    <d v="1899-12-30T21:00:00"/>
    <n v="30"/>
    <s v="Medium"/>
    <s v="Gluten-Free"/>
    <n v="3"/>
    <x v="1"/>
    <x v="0"/>
    <s v="UPI"/>
    <x v="0"/>
    <x v="0"/>
    <n v="6"/>
    <n v="0.6"/>
    <x v="5"/>
    <s v="Online"/>
    <n v="12"/>
    <n v="18"/>
    <x v="0"/>
    <n v="6"/>
    <n v="2"/>
    <x v="1"/>
    <n v="28.186274509803919"/>
    <n v="0"/>
  </r>
  <r>
    <s v="ORD684"/>
    <x v="2"/>
    <s v="Baltimore, MD"/>
    <d v="2025-08-28T00:00:00"/>
    <d v="1899-12-30T18:45:00"/>
    <d v="2025-08-28T00:00:00"/>
    <d v="1899-12-30T19:25:00"/>
    <n v="40"/>
    <s v="XL"/>
    <s v="Cheese Burst"/>
    <n v="5"/>
    <x v="11"/>
    <x v="1"/>
    <s v="Card"/>
    <x v="0"/>
    <x v="0"/>
    <n v="5.333333333333333"/>
    <n v="0.66666666666666663"/>
    <x v="5"/>
    <s v="Online"/>
    <n v="18"/>
    <n v="22"/>
    <x v="1"/>
    <n v="20"/>
    <n v="3"/>
    <x v="0"/>
    <n v="28.844221105527641"/>
    <n v="1"/>
  </r>
  <r>
    <s v="ORD685"/>
    <x v="4"/>
    <s v="Nashville, TN"/>
    <d v="2025-08-29T00:00:00"/>
    <d v="1899-12-30T19:00:00"/>
    <d v="2025-08-29T00:00:00"/>
    <d v="1899-12-30T19:30:00"/>
    <n v="30"/>
    <s v="Medium"/>
    <s v="Thai Chicken"/>
    <n v="3"/>
    <x v="6"/>
    <x v="0"/>
    <s v="Cash"/>
    <x v="0"/>
    <x v="0"/>
    <n v="7.5"/>
    <n v="0.75"/>
    <x v="5"/>
    <s v="Offline"/>
    <n v="9.6"/>
    <n v="20.399999999999999"/>
    <x v="0"/>
    <n v="6"/>
    <n v="2"/>
    <x v="3"/>
    <n v="30.286458333333329"/>
    <n v="0"/>
  </r>
  <r>
    <s v="ORD686"/>
    <x v="0"/>
    <s v="Portland, OR"/>
    <d v="2025-08-30T00:00:00"/>
    <d v="1899-12-30T20:15:00"/>
    <d v="2025-08-30T00:00:00"/>
    <d v="1899-12-30T20:45:00"/>
    <n v="30"/>
    <s v="Large"/>
    <s v="Sicilian"/>
    <n v="4"/>
    <x v="10"/>
    <x v="0"/>
    <s v="UPI"/>
    <x v="0"/>
    <x v="1"/>
    <n v="5.4545454545454541"/>
    <n v="0.72727272727272729"/>
    <x v="5"/>
    <s v="Online"/>
    <n v="13.2"/>
    <n v="16.8"/>
    <x v="0"/>
    <n v="12"/>
    <n v="2"/>
    <x v="1"/>
    <n v="30.259433962264151"/>
    <n v="0"/>
  </r>
  <r>
    <s v="ORD687"/>
    <x v="3"/>
    <s v="Oklahoma City, OK"/>
    <d v="2025-08-31T00:00:00"/>
    <d v="1899-12-30T18:30:00"/>
    <d v="2025-08-31T00:00:00"/>
    <d v="1899-12-30T19:00:00"/>
    <n v="30"/>
    <s v="Medium"/>
    <s v="Veg"/>
    <n v="2"/>
    <x v="6"/>
    <x v="2"/>
    <s v="Wallet"/>
    <x v="0"/>
    <x v="1"/>
    <n v="7.5"/>
    <n v="0.5"/>
    <x v="5"/>
    <s v="Online"/>
    <n v="9.6"/>
    <n v="20.399999999999999"/>
    <x v="0"/>
    <n v="4"/>
    <n v="1"/>
    <x v="0"/>
    <n v="29.948453608247419"/>
    <n v="0"/>
  </r>
  <r>
    <s v="ORD688"/>
    <x v="1"/>
    <s v="Las Vegas, NV"/>
    <d v="2025-09-01T00:00:00"/>
    <d v="1899-12-30T19:45:00"/>
    <d v="2025-09-01T00:00:00"/>
    <d v="1899-12-30T20:15:00"/>
    <n v="30"/>
    <s v="Medium"/>
    <s v="Gluten-Free"/>
    <n v="3"/>
    <x v="1"/>
    <x v="0"/>
    <s v="Card"/>
    <x v="0"/>
    <x v="0"/>
    <n v="6"/>
    <n v="0.6"/>
    <x v="8"/>
    <s v="Online"/>
    <n v="12"/>
    <n v="18"/>
    <x v="0"/>
    <n v="6"/>
    <n v="2"/>
    <x v="3"/>
    <n v="28.186274509803919"/>
    <n v="0"/>
  </r>
  <r>
    <s v="ORD689"/>
    <x v="2"/>
    <s v="Louisville, KY"/>
    <d v="2025-09-02T00:00:00"/>
    <d v="1899-12-30T20:00:00"/>
    <d v="2025-09-02T00:00:00"/>
    <d v="1899-12-30T20:40:00"/>
    <n v="40"/>
    <s v="XL"/>
    <s v="Cheese Burst"/>
    <n v="5"/>
    <x v="8"/>
    <x v="1"/>
    <s v="UPI"/>
    <x v="0"/>
    <x v="0"/>
    <n v="5"/>
    <n v="0.625"/>
    <x v="8"/>
    <s v="Online"/>
    <n v="19.2"/>
    <n v="20.8"/>
    <x v="1"/>
    <n v="20"/>
    <n v="3"/>
    <x v="1"/>
    <n v="28.844221105527641"/>
    <n v="1"/>
  </r>
  <r>
    <s v="ORD690"/>
    <x v="4"/>
    <s v="Milwaukee, WI"/>
    <d v="2025-09-03T00:00:00"/>
    <d v="1899-12-30T18:15:00"/>
    <d v="2025-09-03T00:00:00"/>
    <d v="1899-12-30T18:45:00"/>
    <n v="30"/>
    <s v="Medium"/>
    <s v="Thai Chicken"/>
    <n v="3"/>
    <x v="6"/>
    <x v="0"/>
    <s v="Card"/>
    <x v="0"/>
    <x v="0"/>
    <n v="7.5"/>
    <n v="0.75"/>
    <x v="8"/>
    <s v="Online"/>
    <n v="9.6"/>
    <n v="20.399999999999999"/>
    <x v="0"/>
    <n v="6"/>
    <n v="2"/>
    <x v="0"/>
    <n v="30.286458333333329"/>
    <n v="0"/>
  </r>
  <r>
    <s v="ORD691"/>
    <x v="0"/>
    <s v="Albuquerque, NM"/>
    <d v="2025-09-04T00:00:00"/>
    <d v="1899-12-30T19:30:00"/>
    <d v="2025-09-04T00:00:00"/>
    <d v="1899-12-30T20:00:00"/>
    <n v="30"/>
    <s v="Large"/>
    <s v="Non-Veg"/>
    <n v="4"/>
    <x v="7"/>
    <x v="0"/>
    <s v="Cash"/>
    <x v="0"/>
    <x v="0"/>
    <n v="5"/>
    <n v="0.66666666666666663"/>
    <x v="8"/>
    <s v="Offline"/>
    <n v="14.4"/>
    <n v="15.6"/>
    <x v="0"/>
    <n v="12"/>
    <n v="2"/>
    <x v="3"/>
    <n v="30.259433962264151"/>
    <n v="0"/>
  </r>
  <r>
    <s v="ORD692"/>
    <x v="3"/>
    <s v="Tucson, AZ"/>
    <d v="2025-09-05T00:00:00"/>
    <d v="1899-12-30T20:45:00"/>
    <d v="2025-09-05T00:00:00"/>
    <d v="1899-12-30T21:15:00"/>
    <n v="30"/>
    <s v="Medium"/>
    <s v="Veg"/>
    <n v="2"/>
    <x v="6"/>
    <x v="2"/>
    <s v="Wallet"/>
    <x v="0"/>
    <x v="0"/>
    <n v="7.5"/>
    <n v="0.5"/>
    <x v="8"/>
    <s v="Online"/>
    <n v="9.6"/>
    <n v="20.399999999999999"/>
    <x v="0"/>
    <n v="4"/>
    <n v="1"/>
    <x v="1"/>
    <n v="29.948453608247419"/>
    <n v="0"/>
  </r>
  <r>
    <s v="ORD693"/>
    <x v="1"/>
    <s v="Fresno, CA"/>
    <d v="2025-09-06T00:00:00"/>
    <d v="1899-12-30T18:00:00"/>
    <d v="2025-09-06T00:00:00"/>
    <d v="1899-12-30T18:30:00"/>
    <n v="30"/>
    <s v="Medium"/>
    <s v="Gluten-Free"/>
    <n v="3"/>
    <x v="1"/>
    <x v="0"/>
    <s v="UPI"/>
    <x v="0"/>
    <x v="1"/>
    <n v="6"/>
    <n v="0.6"/>
    <x v="8"/>
    <s v="Online"/>
    <n v="12"/>
    <n v="18"/>
    <x v="0"/>
    <n v="6"/>
    <n v="2"/>
    <x v="0"/>
    <n v="28.186274509803919"/>
    <n v="0"/>
  </r>
  <r>
    <s v="ORD694"/>
    <x v="2"/>
    <s v="Sacramento, CA"/>
    <d v="2025-09-07T00:00:00"/>
    <d v="1899-12-30T19:15:00"/>
    <d v="2025-09-07T00:00:00"/>
    <d v="1899-12-30T19:55:00"/>
    <n v="40"/>
    <s v="XL"/>
    <s v="Cheese Burst"/>
    <n v="5"/>
    <x v="15"/>
    <x v="1"/>
    <s v="Card"/>
    <x v="0"/>
    <x v="1"/>
    <n v="5.7142857142857144"/>
    <n v="0.7142857142857143"/>
    <x v="8"/>
    <s v="Online"/>
    <n v="16.8"/>
    <n v="23.2"/>
    <x v="1"/>
    <n v="20"/>
    <n v="3"/>
    <x v="3"/>
    <n v="28.844221105527641"/>
    <n v="1"/>
  </r>
  <r>
    <s v="ORD695"/>
    <x v="4"/>
    <s v="Kansas City, MO"/>
    <d v="2025-09-08T00:00:00"/>
    <d v="1899-12-30T20:30:00"/>
    <d v="2025-09-08T00:00:00"/>
    <d v="1899-12-30T21:00:00"/>
    <n v="30"/>
    <s v="Medium"/>
    <s v="Thai Chicken"/>
    <n v="3"/>
    <x v="3"/>
    <x v="0"/>
    <s v="Cash"/>
    <x v="0"/>
    <x v="0"/>
    <n v="6.666666666666667"/>
    <n v="0.66666666666666663"/>
    <x v="8"/>
    <s v="Offline"/>
    <n v="10.8"/>
    <n v="19.2"/>
    <x v="0"/>
    <n v="6"/>
    <n v="2"/>
    <x v="1"/>
    <n v="30.286458333333329"/>
    <n v="0"/>
  </r>
  <r>
    <s v="ORD696"/>
    <x v="0"/>
    <s v="Mesa, AZ"/>
    <d v="2025-09-09T00:00:00"/>
    <d v="1899-12-30T18:45:00"/>
    <d v="2025-09-09T00:00:00"/>
    <d v="1899-12-30T19:15:00"/>
    <n v="30"/>
    <s v="Large"/>
    <s v="Sicilian"/>
    <n v="4"/>
    <x v="10"/>
    <x v="0"/>
    <s v="UPI"/>
    <x v="0"/>
    <x v="0"/>
    <n v="5.4545454545454541"/>
    <n v="0.72727272727272729"/>
    <x v="8"/>
    <s v="Online"/>
    <n v="13.2"/>
    <n v="16.8"/>
    <x v="0"/>
    <n v="12"/>
    <n v="2"/>
    <x v="0"/>
    <n v="30.259433962264151"/>
    <n v="0"/>
  </r>
  <r>
    <s v="ORD697"/>
    <x v="3"/>
    <s v="Atlanta, GA"/>
    <d v="2025-09-10T00:00:00"/>
    <d v="1899-12-30T19:00:00"/>
    <d v="2025-09-10T00:00:00"/>
    <d v="1899-12-30T19:30:00"/>
    <n v="30"/>
    <s v="Medium"/>
    <s v="Veg"/>
    <n v="2"/>
    <x v="6"/>
    <x v="2"/>
    <s v="Wallet"/>
    <x v="0"/>
    <x v="0"/>
    <n v="7.5"/>
    <n v="0.5"/>
    <x v="8"/>
    <s v="Online"/>
    <n v="9.6"/>
    <n v="20.399999999999999"/>
    <x v="0"/>
    <n v="4"/>
    <n v="1"/>
    <x v="3"/>
    <n v="29.948453608247419"/>
    <n v="0"/>
  </r>
  <r>
    <s v="ORD698"/>
    <x v="1"/>
    <s v="Omaha, NE"/>
    <d v="2025-09-11T00:00:00"/>
    <d v="1899-12-30T20:15:00"/>
    <d v="2025-09-11T00:00:00"/>
    <d v="1899-12-30T20:45:00"/>
    <n v="30"/>
    <s v="Medium"/>
    <s v="Gluten-Free"/>
    <n v="3"/>
    <x v="1"/>
    <x v="0"/>
    <s v="UPI"/>
    <x v="0"/>
    <x v="0"/>
    <n v="6"/>
    <n v="0.6"/>
    <x v="8"/>
    <s v="Online"/>
    <n v="12"/>
    <n v="18"/>
    <x v="0"/>
    <n v="6"/>
    <n v="2"/>
    <x v="1"/>
    <n v="28.186274509803919"/>
    <n v="0"/>
  </r>
  <r>
    <s v="ORD699"/>
    <x v="2"/>
    <s v="Louisville, KY"/>
    <d v="2025-09-12T00:00:00"/>
    <d v="1899-12-30T19:30:00"/>
    <d v="2025-09-12T00:00:00"/>
    <d v="1899-12-30T20:00:00"/>
    <n v="30"/>
    <s v="XL"/>
    <s v="Cheese Burst"/>
    <n v="5"/>
    <x v="7"/>
    <x v="1"/>
    <s v="Card"/>
    <x v="0"/>
    <x v="0"/>
    <n v="5"/>
    <n v="0.83333333333333337"/>
    <x v="8"/>
    <s v="Online"/>
    <n v="14.4"/>
    <n v="15.6"/>
    <x v="0"/>
    <n v="20"/>
    <n v="3"/>
    <x v="3"/>
    <n v="28.844221105527641"/>
    <n v="0"/>
  </r>
  <r>
    <s v="ORD700"/>
    <x v="4"/>
    <s v="Milwaukee, WI"/>
    <d v="2025-09-13T00:00:00"/>
    <d v="1899-12-30T18:45:00"/>
    <d v="2025-09-13T00:00:00"/>
    <d v="1899-12-30T19:15:00"/>
    <n v="30"/>
    <s v="Medium"/>
    <s v="Thai Chicken"/>
    <n v="3"/>
    <x v="3"/>
    <x v="0"/>
    <s v="Cash"/>
    <x v="0"/>
    <x v="1"/>
    <n v="6.666666666666667"/>
    <n v="0.66666666666666663"/>
    <x v="8"/>
    <s v="Offline"/>
    <n v="10.8"/>
    <n v="19.2"/>
    <x v="0"/>
    <n v="6"/>
    <n v="2"/>
    <x v="0"/>
    <n v="30.286458333333329"/>
    <n v="0"/>
  </r>
  <r>
    <s v="ORD701"/>
    <x v="0"/>
    <s v="Albuquerque, NM"/>
    <d v="2025-09-14T00:00:00"/>
    <d v="1899-12-30T20:00:00"/>
    <d v="2025-09-14T00:00:00"/>
    <d v="1899-12-30T20:30:00"/>
    <n v="30"/>
    <s v="Large"/>
    <s v="Sicilian"/>
    <n v="4"/>
    <x v="10"/>
    <x v="0"/>
    <s v="UPI"/>
    <x v="0"/>
    <x v="1"/>
    <n v="5.4545454545454541"/>
    <n v="0.72727272727272729"/>
    <x v="8"/>
    <s v="Online"/>
    <n v="13.2"/>
    <n v="16.8"/>
    <x v="0"/>
    <n v="12"/>
    <n v="2"/>
    <x v="1"/>
    <n v="30.259433962264151"/>
    <n v="0"/>
  </r>
  <r>
    <s v="ORD702"/>
    <x v="3"/>
    <s v="Atlanta, GA"/>
    <d v="2025-09-15T00:00:00"/>
    <d v="1899-12-30T19:15:00"/>
    <d v="2025-09-15T00:00:00"/>
    <d v="1899-12-30T19:45:00"/>
    <n v="30"/>
    <s v="Medium"/>
    <s v="Veg"/>
    <n v="2"/>
    <x v="6"/>
    <x v="2"/>
    <s v="Wallet"/>
    <x v="0"/>
    <x v="0"/>
    <n v="7.5"/>
    <n v="0.5"/>
    <x v="8"/>
    <s v="Online"/>
    <n v="9.6"/>
    <n v="20.399999999999999"/>
    <x v="0"/>
    <n v="4"/>
    <n v="1"/>
    <x v="3"/>
    <n v="29.948453608247419"/>
    <n v="0"/>
  </r>
  <r>
    <s v="ORD703"/>
    <x v="1"/>
    <s v="Omaha, NE"/>
    <d v="2025-09-16T00:00:00"/>
    <d v="1899-12-30T20:30:00"/>
    <d v="2025-09-16T00:00:00"/>
    <d v="1899-12-30T21:00:00"/>
    <n v="30"/>
    <s v="Medium"/>
    <s v="Gluten-Free"/>
    <n v="3"/>
    <x v="1"/>
    <x v="0"/>
    <s v="Card"/>
    <x v="0"/>
    <x v="0"/>
    <n v="6"/>
    <n v="0.6"/>
    <x v="8"/>
    <s v="Online"/>
    <n v="12"/>
    <n v="18"/>
    <x v="0"/>
    <n v="6"/>
    <n v="2"/>
    <x v="1"/>
    <n v="28.186274509803919"/>
    <n v="0"/>
  </r>
  <r>
    <s v="ORD704"/>
    <x v="2"/>
    <s v="Louisville, KY"/>
    <d v="2025-09-17T00:00:00"/>
    <d v="1899-12-30T19:45:00"/>
    <d v="2025-09-17T00:00:00"/>
    <d v="1899-12-30T20:15:00"/>
    <n v="30"/>
    <s v="XL"/>
    <s v="Cheese Burst"/>
    <n v="5"/>
    <x v="7"/>
    <x v="1"/>
    <s v="UPI"/>
    <x v="0"/>
    <x v="0"/>
    <n v="5"/>
    <n v="0.83333333333333337"/>
    <x v="8"/>
    <s v="Online"/>
    <n v="14.4"/>
    <n v="15.6"/>
    <x v="0"/>
    <n v="20"/>
    <n v="3"/>
    <x v="3"/>
    <n v="28.844221105527641"/>
    <n v="0"/>
  </r>
  <r>
    <s v="ORD705"/>
    <x v="4"/>
    <s v="Milwaukee, WI"/>
    <d v="2025-09-18T00:00:00"/>
    <d v="1899-12-30T18:00:00"/>
    <d v="2025-09-18T00:00:00"/>
    <d v="1899-12-30T18:30:00"/>
    <n v="30"/>
    <s v="Medium"/>
    <s v="Thai Chicken"/>
    <n v="3"/>
    <x v="3"/>
    <x v="0"/>
    <s v="Cash"/>
    <x v="0"/>
    <x v="0"/>
    <n v="6.666666666666667"/>
    <n v="0.66666666666666663"/>
    <x v="8"/>
    <s v="Offline"/>
    <n v="10.8"/>
    <n v="19.2"/>
    <x v="0"/>
    <n v="6"/>
    <n v="2"/>
    <x v="0"/>
    <n v="30.286458333333329"/>
    <n v="0"/>
  </r>
  <r>
    <s v="ORD706"/>
    <x v="0"/>
    <s v="Albuquerque, NM"/>
    <d v="2025-09-19T00:00:00"/>
    <d v="1899-12-30T20:15:00"/>
    <d v="2025-09-19T00:00:00"/>
    <d v="1899-12-30T20:45:00"/>
    <n v="30"/>
    <s v="Large"/>
    <s v="Sicilian"/>
    <n v="4"/>
    <x v="10"/>
    <x v="0"/>
    <s v="UPI"/>
    <x v="0"/>
    <x v="0"/>
    <n v="5.4545454545454541"/>
    <n v="0.72727272727272729"/>
    <x v="8"/>
    <s v="Online"/>
    <n v="13.2"/>
    <n v="16.8"/>
    <x v="0"/>
    <n v="12"/>
    <n v="2"/>
    <x v="1"/>
    <n v="30.259433962264151"/>
    <n v="0"/>
  </r>
  <r>
    <s v="ORD707"/>
    <x v="3"/>
    <s v="Atlanta, GA"/>
    <d v="2025-09-20T00:00:00"/>
    <d v="1899-12-30T19:30:00"/>
    <d v="2025-09-20T00:00:00"/>
    <d v="1899-12-30T20:00:00"/>
    <n v="30"/>
    <s v="Medium"/>
    <s v="Veg"/>
    <n v="2"/>
    <x v="6"/>
    <x v="2"/>
    <s v="Wallet"/>
    <x v="0"/>
    <x v="1"/>
    <n v="7.5"/>
    <n v="0.5"/>
    <x v="8"/>
    <s v="Online"/>
    <n v="9.6"/>
    <n v="20.399999999999999"/>
    <x v="0"/>
    <n v="4"/>
    <n v="1"/>
    <x v="3"/>
    <n v="29.948453608247419"/>
    <n v="0"/>
  </r>
  <r>
    <s v="ORD708"/>
    <x v="1"/>
    <s v="Omaha, NE"/>
    <d v="2025-09-21T00:00:00"/>
    <d v="1899-12-30T20:45:00"/>
    <d v="2025-09-21T00:00:00"/>
    <d v="1899-12-30T21:15:00"/>
    <n v="30"/>
    <s v="Medium"/>
    <s v="Gluten-Free"/>
    <n v="3"/>
    <x v="1"/>
    <x v="0"/>
    <s v="Card"/>
    <x v="0"/>
    <x v="1"/>
    <n v="6"/>
    <n v="0.6"/>
    <x v="8"/>
    <s v="Online"/>
    <n v="12"/>
    <n v="18"/>
    <x v="0"/>
    <n v="6"/>
    <n v="2"/>
    <x v="1"/>
    <n v="28.186274509803919"/>
    <n v="0"/>
  </r>
  <r>
    <s v="ORD709"/>
    <x v="2"/>
    <s v="Louisville, KY"/>
    <d v="2025-09-22T00:00:00"/>
    <d v="1899-12-30T19:00:00"/>
    <d v="2025-09-22T00:00:00"/>
    <d v="1899-12-30T19:30:00"/>
    <n v="30"/>
    <s v="XL"/>
    <s v="Cheese Burst"/>
    <n v="5"/>
    <x v="7"/>
    <x v="1"/>
    <s v="UPI"/>
    <x v="0"/>
    <x v="0"/>
    <n v="5"/>
    <n v="0.83333333333333337"/>
    <x v="8"/>
    <s v="Online"/>
    <n v="14.4"/>
    <n v="15.6"/>
    <x v="0"/>
    <n v="20"/>
    <n v="3"/>
    <x v="3"/>
    <n v="28.844221105527641"/>
    <n v="0"/>
  </r>
  <r>
    <s v="ORD710"/>
    <x v="4"/>
    <s v="Milwaukee, WI"/>
    <d v="2025-09-23T00:00:00"/>
    <d v="1899-12-30T18:15:00"/>
    <d v="2025-09-23T00:00:00"/>
    <d v="1899-12-30T18:45:00"/>
    <n v="30"/>
    <s v="Medium"/>
    <s v="Thai Chicken"/>
    <n v="3"/>
    <x v="3"/>
    <x v="0"/>
    <s v="Cash"/>
    <x v="0"/>
    <x v="0"/>
    <n v="6.666666666666667"/>
    <n v="0.66666666666666663"/>
    <x v="8"/>
    <s v="Offline"/>
    <n v="10.8"/>
    <n v="19.2"/>
    <x v="0"/>
    <n v="6"/>
    <n v="2"/>
    <x v="0"/>
    <n v="30.286458333333329"/>
    <n v="0"/>
  </r>
  <r>
    <s v="ORD711"/>
    <x v="0"/>
    <s v="Albuquerque, NM"/>
    <d v="2025-09-24T00:00:00"/>
    <d v="1899-12-30T19:30:00"/>
    <d v="2025-09-24T00:00:00"/>
    <d v="1899-12-30T20:00:00"/>
    <n v="30"/>
    <s v="Large"/>
    <s v="Sicilian"/>
    <n v="4"/>
    <x v="10"/>
    <x v="0"/>
    <s v="UPI"/>
    <x v="0"/>
    <x v="0"/>
    <n v="5.4545454545454541"/>
    <n v="0.72727272727272729"/>
    <x v="8"/>
    <s v="Online"/>
    <n v="13.2"/>
    <n v="16.8"/>
    <x v="0"/>
    <n v="12"/>
    <n v="2"/>
    <x v="3"/>
    <n v="30.259433962264151"/>
    <n v="0"/>
  </r>
  <r>
    <s v="ORD712"/>
    <x v="3"/>
    <s v="Atlanta, GA"/>
    <d v="2025-09-25T00:00:00"/>
    <d v="1899-12-30T20:45:00"/>
    <d v="2025-09-25T00:00:00"/>
    <d v="1899-12-30T21:15:00"/>
    <n v="30"/>
    <s v="Medium"/>
    <s v="Veg"/>
    <n v="2"/>
    <x v="6"/>
    <x v="2"/>
    <s v="Wallet"/>
    <x v="0"/>
    <x v="0"/>
    <n v="7.5"/>
    <n v="0.5"/>
    <x v="8"/>
    <s v="Online"/>
    <n v="9.6"/>
    <n v="20.399999999999999"/>
    <x v="0"/>
    <n v="4"/>
    <n v="1"/>
    <x v="1"/>
    <n v="29.948453608247419"/>
    <n v="0"/>
  </r>
  <r>
    <s v="ORD713"/>
    <x v="1"/>
    <s v="Omaha, NE"/>
    <d v="2025-09-26T00:00:00"/>
    <d v="1899-12-30T18:00:00"/>
    <d v="2025-09-26T00:00:00"/>
    <d v="1899-12-30T18:30:00"/>
    <n v="30"/>
    <s v="Medium"/>
    <s v="Gluten-Free"/>
    <n v="3"/>
    <x v="1"/>
    <x v="0"/>
    <s v="Card"/>
    <x v="0"/>
    <x v="0"/>
    <n v="6"/>
    <n v="0.6"/>
    <x v="8"/>
    <s v="Online"/>
    <n v="12"/>
    <n v="18"/>
    <x v="0"/>
    <n v="6"/>
    <n v="2"/>
    <x v="0"/>
    <n v="28.186274509803919"/>
    <n v="0"/>
  </r>
  <r>
    <s v="ORD714"/>
    <x v="2"/>
    <s v="Louisville, KY"/>
    <d v="2025-09-27T00:00:00"/>
    <d v="1899-12-30T19:15:00"/>
    <d v="2025-09-27T00:00:00"/>
    <d v="1899-12-30T19:45:00"/>
    <n v="30"/>
    <s v="XL"/>
    <s v="Cheese Burst"/>
    <n v="5"/>
    <x v="7"/>
    <x v="1"/>
    <s v="UPI"/>
    <x v="0"/>
    <x v="1"/>
    <n v="5"/>
    <n v="0.83333333333333337"/>
    <x v="8"/>
    <s v="Online"/>
    <n v="14.4"/>
    <n v="15.6"/>
    <x v="0"/>
    <n v="20"/>
    <n v="3"/>
    <x v="3"/>
    <n v="28.844221105527641"/>
    <n v="0"/>
  </r>
  <r>
    <s v="ORD715"/>
    <x v="4"/>
    <s v="Milwaukee, WI"/>
    <d v="2025-09-28T00:00:00"/>
    <d v="1899-12-30T20:30:00"/>
    <d v="2025-09-28T00:00:00"/>
    <d v="1899-12-30T21:00:00"/>
    <n v="30"/>
    <s v="Medium"/>
    <s v="Thai Chicken"/>
    <n v="3"/>
    <x v="3"/>
    <x v="0"/>
    <s v="Cash"/>
    <x v="0"/>
    <x v="1"/>
    <n v="6.666666666666667"/>
    <n v="0.66666666666666663"/>
    <x v="8"/>
    <s v="Offline"/>
    <n v="10.8"/>
    <n v="19.2"/>
    <x v="0"/>
    <n v="6"/>
    <n v="2"/>
    <x v="1"/>
    <n v="30.286458333333329"/>
    <n v="0"/>
  </r>
  <r>
    <s v="ORD716"/>
    <x v="0"/>
    <s v="Albuquerque, NM"/>
    <d v="2025-09-29T00:00:00"/>
    <d v="1899-12-30T19:00:00"/>
    <d v="2025-09-29T00:00:00"/>
    <d v="1899-12-30T19:30:00"/>
    <n v="30"/>
    <s v="Large"/>
    <s v="Sicilian"/>
    <n v="4"/>
    <x v="10"/>
    <x v="0"/>
    <s v="UPI"/>
    <x v="0"/>
    <x v="0"/>
    <n v="5.4545454545454541"/>
    <n v="0.72727272727272729"/>
    <x v="8"/>
    <s v="Online"/>
    <n v="13.2"/>
    <n v="16.8"/>
    <x v="0"/>
    <n v="12"/>
    <n v="2"/>
    <x v="3"/>
    <n v="30.259433962264151"/>
    <n v="0"/>
  </r>
  <r>
    <s v="ORD717"/>
    <x v="3"/>
    <s v="Atlanta, GA"/>
    <d v="2025-09-30T00:00:00"/>
    <d v="1899-12-30T20:15:00"/>
    <d v="2025-09-30T00:00:00"/>
    <d v="1899-12-30T20:45:00"/>
    <n v="30"/>
    <s v="Medium"/>
    <s v="Veg"/>
    <n v="2"/>
    <x v="6"/>
    <x v="2"/>
    <s v="Wallet"/>
    <x v="0"/>
    <x v="0"/>
    <n v="7.5"/>
    <n v="0.5"/>
    <x v="8"/>
    <s v="Online"/>
    <n v="9.6"/>
    <n v="20.399999999999999"/>
    <x v="0"/>
    <n v="4"/>
    <n v="1"/>
    <x v="1"/>
    <n v="29.948453608247419"/>
    <n v="0"/>
  </r>
  <r>
    <s v="ORD718"/>
    <x v="1"/>
    <s v="Omaha, NE"/>
    <d v="2025-10-01T00:00:00"/>
    <d v="1899-12-30T18:30:00"/>
    <d v="2025-10-01T00:00:00"/>
    <d v="1899-12-30T19:00:00"/>
    <n v="30"/>
    <s v="Medium"/>
    <s v="Gluten-Free"/>
    <n v="3"/>
    <x v="1"/>
    <x v="0"/>
    <s v="Card"/>
    <x v="0"/>
    <x v="0"/>
    <n v="6"/>
    <n v="0.6"/>
    <x v="9"/>
    <s v="Online"/>
    <n v="12"/>
    <n v="18"/>
    <x v="0"/>
    <n v="6"/>
    <n v="2"/>
    <x v="0"/>
    <n v="28.186274509803919"/>
    <n v="0"/>
  </r>
  <r>
    <s v="ORD719"/>
    <x v="2"/>
    <s v="Louisville, KY"/>
    <d v="2025-10-02T00:00:00"/>
    <d v="1899-12-30T19:45:00"/>
    <d v="2025-10-02T00:00:00"/>
    <d v="1899-12-30T20:15:00"/>
    <n v="30"/>
    <s v="XL"/>
    <s v="Cheese Burst"/>
    <n v="5"/>
    <x v="7"/>
    <x v="1"/>
    <s v="UPI"/>
    <x v="0"/>
    <x v="0"/>
    <n v="5"/>
    <n v="0.83333333333333337"/>
    <x v="9"/>
    <s v="Online"/>
    <n v="14.4"/>
    <n v="15.6"/>
    <x v="0"/>
    <n v="20"/>
    <n v="3"/>
    <x v="3"/>
    <n v="28.844221105527641"/>
    <n v="0"/>
  </r>
  <r>
    <s v="ORD720"/>
    <x v="4"/>
    <s v="Milwaukee, WI"/>
    <d v="2025-10-03T00:00:00"/>
    <d v="1899-12-30T18:00:00"/>
    <d v="2025-10-03T00:00:00"/>
    <d v="1899-12-30T18:30:00"/>
    <n v="30"/>
    <s v="Medium"/>
    <s v="Thai Chicken"/>
    <n v="3"/>
    <x v="3"/>
    <x v="0"/>
    <s v="Cash"/>
    <x v="0"/>
    <x v="0"/>
    <n v="6.666666666666667"/>
    <n v="0.66666666666666663"/>
    <x v="9"/>
    <s v="Offline"/>
    <n v="10.8"/>
    <n v="19.2"/>
    <x v="0"/>
    <n v="6"/>
    <n v="2"/>
    <x v="0"/>
    <n v="30.286458333333329"/>
    <n v="0"/>
  </r>
  <r>
    <s v="ORD721"/>
    <x v="0"/>
    <s v="Albuquerque, NM"/>
    <d v="2025-10-04T00:00:00"/>
    <d v="1899-12-30T19:15:00"/>
    <d v="2025-10-04T00:00:00"/>
    <d v="1899-12-30T19:45:00"/>
    <n v="30"/>
    <s v="Large"/>
    <s v="Sicilian"/>
    <n v="4"/>
    <x v="10"/>
    <x v="0"/>
    <s v="UPI"/>
    <x v="0"/>
    <x v="1"/>
    <n v="5.4545454545454541"/>
    <n v="0.72727272727272729"/>
    <x v="9"/>
    <s v="Online"/>
    <n v="13.2"/>
    <n v="16.8"/>
    <x v="0"/>
    <n v="12"/>
    <n v="2"/>
    <x v="3"/>
    <n v="30.259433962264151"/>
    <n v="0"/>
  </r>
  <r>
    <s v="ORD722"/>
    <x v="3"/>
    <s v="Atlanta, GA"/>
    <d v="2025-10-05T00:00:00"/>
    <d v="1899-12-30T20:30:00"/>
    <d v="2025-10-05T00:00:00"/>
    <d v="1899-12-30T21:00:00"/>
    <n v="30"/>
    <s v="Medium"/>
    <s v="Veg"/>
    <n v="2"/>
    <x v="6"/>
    <x v="2"/>
    <s v="Wallet"/>
    <x v="0"/>
    <x v="1"/>
    <n v="7.5"/>
    <n v="0.5"/>
    <x v="9"/>
    <s v="Online"/>
    <n v="9.6"/>
    <n v="20.399999999999999"/>
    <x v="0"/>
    <n v="4"/>
    <n v="1"/>
    <x v="1"/>
    <n v="29.948453608247419"/>
    <n v="0"/>
  </r>
  <r>
    <s v="ORD723"/>
    <x v="1"/>
    <s v="Omaha, NE"/>
    <d v="2025-10-06T00:00:00"/>
    <d v="1899-12-30T18:45:00"/>
    <d v="2025-10-06T00:00:00"/>
    <d v="1899-12-30T19:15:00"/>
    <n v="30"/>
    <s v="Medium"/>
    <s v="Gluten-Free"/>
    <n v="3"/>
    <x v="1"/>
    <x v="0"/>
    <s v="Card"/>
    <x v="0"/>
    <x v="0"/>
    <n v="6"/>
    <n v="0.6"/>
    <x v="9"/>
    <s v="Online"/>
    <n v="12"/>
    <n v="18"/>
    <x v="0"/>
    <n v="6"/>
    <n v="2"/>
    <x v="0"/>
    <n v="28.186274509803919"/>
    <n v="0"/>
  </r>
  <r>
    <s v="ORD724"/>
    <x v="2"/>
    <s v="Louisville, KY"/>
    <d v="2025-10-07T00:00:00"/>
    <d v="1899-12-30T19:00:00"/>
    <d v="2025-10-07T00:00:00"/>
    <d v="1899-12-30T19:30:00"/>
    <n v="30"/>
    <s v="XL"/>
    <s v="Cheese Burst"/>
    <n v="5"/>
    <x v="7"/>
    <x v="1"/>
    <s v="UPI"/>
    <x v="0"/>
    <x v="0"/>
    <n v="5"/>
    <n v="0.83333333333333337"/>
    <x v="9"/>
    <s v="Online"/>
    <n v="14.4"/>
    <n v="15.6"/>
    <x v="0"/>
    <n v="20"/>
    <n v="3"/>
    <x v="3"/>
    <n v="28.844221105527641"/>
    <n v="0"/>
  </r>
  <r>
    <s v="ORD725"/>
    <x v="4"/>
    <s v="Milwaukee, WI"/>
    <d v="2025-10-08T00:00:00"/>
    <d v="1899-12-30T20:15:00"/>
    <d v="2025-10-08T00:00:00"/>
    <d v="1899-12-30T20:45:00"/>
    <n v="30"/>
    <s v="Medium"/>
    <s v="Thai Chicken"/>
    <n v="3"/>
    <x v="3"/>
    <x v="0"/>
    <s v="UPI"/>
    <x v="0"/>
    <x v="0"/>
    <n v="6.666666666666667"/>
    <n v="0.66666666666666663"/>
    <x v="9"/>
    <s v="Online"/>
    <n v="10.8"/>
    <n v="19.2"/>
    <x v="0"/>
    <n v="6"/>
    <n v="2"/>
    <x v="1"/>
    <n v="30.286458333333329"/>
    <n v="0"/>
  </r>
  <r>
    <s v="ORD726"/>
    <x v="1"/>
    <s v="Omaha, NE"/>
    <d v="2025-10-09T00:00:00"/>
    <d v="1899-12-30T20:30:00"/>
    <d v="2025-10-09T00:00:00"/>
    <d v="1899-12-30T21:00:00"/>
    <n v="30"/>
    <s v="Medium"/>
    <s v="Gluten-Free"/>
    <n v="3"/>
    <x v="1"/>
    <x v="0"/>
    <s v="UPI"/>
    <x v="0"/>
    <x v="0"/>
    <n v="6"/>
    <n v="0.6"/>
    <x v="9"/>
    <s v="Online"/>
    <n v="12"/>
    <n v="18"/>
    <x v="0"/>
    <n v="6"/>
    <n v="2"/>
    <x v="1"/>
    <n v="28.186274509803919"/>
    <n v="0"/>
  </r>
  <r>
    <s v="ORD727"/>
    <x v="2"/>
    <s v="Louisville, KY"/>
    <d v="2025-10-10T00:00:00"/>
    <d v="1899-12-30T19:45:00"/>
    <d v="2025-10-10T00:00:00"/>
    <d v="1899-12-30T20:15:00"/>
    <n v="30"/>
    <s v="XL"/>
    <s v="Cheese Burst"/>
    <n v="5"/>
    <x v="7"/>
    <x v="1"/>
    <s v="Card"/>
    <x v="0"/>
    <x v="0"/>
    <n v="5"/>
    <n v="0.83333333333333337"/>
    <x v="9"/>
    <s v="Online"/>
    <n v="14.4"/>
    <n v="15.6"/>
    <x v="0"/>
    <n v="20"/>
    <n v="3"/>
    <x v="3"/>
    <n v="28.844221105527641"/>
    <n v="0"/>
  </r>
  <r>
    <s v="ORD728"/>
    <x v="4"/>
    <s v="Milwaukee, WI"/>
    <d v="2025-10-11T00:00:00"/>
    <d v="1899-12-30T18:00:00"/>
    <d v="2025-10-11T00:00:00"/>
    <d v="1899-12-30T18:30:00"/>
    <n v="30"/>
    <s v="Medium"/>
    <s v="Thai Chicken"/>
    <n v="3"/>
    <x v="3"/>
    <x v="0"/>
    <s v="Cash"/>
    <x v="0"/>
    <x v="1"/>
    <n v="6.666666666666667"/>
    <n v="0.66666666666666663"/>
    <x v="9"/>
    <s v="Offline"/>
    <n v="10.8"/>
    <n v="19.2"/>
    <x v="0"/>
    <n v="6"/>
    <n v="2"/>
    <x v="0"/>
    <n v="30.286458333333329"/>
    <n v="0"/>
  </r>
  <r>
    <s v="ORD729"/>
    <x v="0"/>
    <s v="Albuquerque, NM"/>
    <d v="2025-10-12T00:00:00"/>
    <d v="1899-12-30T19:15:00"/>
    <d v="2025-10-12T00:00:00"/>
    <d v="1899-12-30T19:45:00"/>
    <n v="30"/>
    <s v="Large"/>
    <s v="Sicilian"/>
    <n v="4"/>
    <x v="10"/>
    <x v="0"/>
    <s v="UPI"/>
    <x v="0"/>
    <x v="1"/>
    <n v="5.4545454545454541"/>
    <n v="0.72727272727272729"/>
    <x v="9"/>
    <s v="Online"/>
    <n v="13.2"/>
    <n v="16.8"/>
    <x v="0"/>
    <n v="12"/>
    <n v="2"/>
    <x v="3"/>
    <n v="30.259433962264151"/>
    <n v="0"/>
  </r>
  <r>
    <s v="ORD730"/>
    <x v="3"/>
    <s v="Atlanta, GA"/>
    <d v="2025-10-13T00:00:00"/>
    <d v="1899-12-30T20:30:00"/>
    <d v="2025-10-13T00:00:00"/>
    <d v="1899-12-30T21:00:00"/>
    <n v="30"/>
    <s v="Medium"/>
    <s v="Veg"/>
    <n v="2"/>
    <x v="6"/>
    <x v="2"/>
    <s v="Wallet"/>
    <x v="0"/>
    <x v="0"/>
    <n v="7.5"/>
    <n v="0.5"/>
    <x v="9"/>
    <s v="Online"/>
    <n v="9.6"/>
    <n v="20.399999999999999"/>
    <x v="0"/>
    <n v="4"/>
    <n v="1"/>
    <x v="1"/>
    <n v="29.948453608247419"/>
    <n v="0"/>
  </r>
  <r>
    <s v="ORD731"/>
    <x v="1"/>
    <s v="Omaha, NE"/>
    <d v="2025-10-14T00:00:00"/>
    <d v="1899-12-30T18:45:00"/>
    <d v="2025-10-14T00:00:00"/>
    <d v="1899-12-30T19:15:00"/>
    <n v="30"/>
    <s v="Medium"/>
    <s v="Gluten-Free"/>
    <n v="3"/>
    <x v="1"/>
    <x v="0"/>
    <s v="Card"/>
    <x v="0"/>
    <x v="0"/>
    <n v="6"/>
    <n v="0.6"/>
    <x v="9"/>
    <s v="Online"/>
    <n v="12"/>
    <n v="18"/>
    <x v="0"/>
    <n v="6"/>
    <n v="2"/>
    <x v="0"/>
    <n v="28.186274509803919"/>
    <n v="0"/>
  </r>
  <r>
    <s v="ORD732"/>
    <x v="2"/>
    <s v="Louisville, KY"/>
    <d v="2025-10-15T00:00:00"/>
    <d v="1899-12-30T19:00:00"/>
    <d v="2025-10-15T00:00:00"/>
    <d v="1899-12-30T19:30:00"/>
    <n v="30"/>
    <s v="XL"/>
    <s v="Cheese Burst"/>
    <n v="5"/>
    <x v="7"/>
    <x v="1"/>
    <s v="UPI"/>
    <x v="0"/>
    <x v="0"/>
    <n v="5"/>
    <n v="0.83333333333333337"/>
    <x v="9"/>
    <s v="Online"/>
    <n v="14.4"/>
    <n v="15.6"/>
    <x v="0"/>
    <n v="20"/>
    <n v="3"/>
    <x v="3"/>
    <n v="28.844221105527641"/>
    <n v="0"/>
  </r>
  <r>
    <s v="ORD733"/>
    <x v="4"/>
    <s v="Milwaukee, WI"/>
    <d v="2025-10-16T00:00:00"/>
    <d v="1899-12-30T20:15:00"/>
    <d v="2025-10-16T00:00:00"/>
    <d v="1899-12-30T20:45:00"/>
    <n v="30"/>
    <s v="Medium"/>
    <s v="Thai Chicken"/>
    <n v="3"/>
    <x v="3"/>
    <x v="0"/>
    <s v="Cash"/>
    <x v="0"/>
    <x v="0"/>
    <n v="6.666666666666667"/>
    <n v="0.66666666666666663"/>
    <x v="9"/>
    <s v="Offline"/>
    <n v="10.8"/>
    <n v="19.2"/>
    <x v="0"/>
    <n v="6"/>
    <n v="2"/>
    <x v="1"/>
    <n v="30.286458333333329"/>
    <n v="0"/>
  </r>
  <r>
    <s v="ORD734"/>
    <x v="0"/>
    <s v="Albuquerque, NM"/>
    <d v="2025-10-17T00:00:00"/>
    <d v="1899-12-30T19:30:00"/>
    <d v="2025-10-17T00:00:00"/>
    <d v="1899-12-30T20:00:00"/>
    <n v="30"/>
    <s v="Large"/>
    <s v="Sicilian"/>
    <n v="4"/>
    <x v="10"/>
    <x v="0"/>
    <s v="UPI"/>
    <x v="0"/>
    <x v="0"/>
    <n v="5.4545454545454541"/>
    <n v="0.72727272727272729"/>
    <x v="9"/>
    <s v="Online"/>
    <n v="13.2"/>
    <n v="16.8"/>
    <x v="0"/>
    <n v="12"/>
    <n v="2"/>
    <x v="3"/>
    <n v="30.259433962264151"/>
    <n v="0"/>
  </r>
  <r>
    <s v="ORD735"/>
    <x v="3"/>
    <s v="Atlanta, GA"/>
    <d v="2025-10-18T00:00:00"/>
    <d v="1899-12-30T20:45:00"/>
    <d v="2025-10-18T00:00:00"/>
    <d v="1899-12-30T21:15:00"/>
    <n v="30"/>
    <s v="Medium"/>
    <s v="Veg"/>
    <n v="2"/>
    <x v="6"/>
    <x v="2"/>
    <s v="Wallet"/>
    <x v="0"/>
    <x v="1"/>
    <n v="7.5"/>
    <n v="0.5"/>
    <x v="9"/>
    <s v="Online"/>
    <n v="9.6"/>
    <n v="20.399999999999999"/>
    <x v="0"/>
    <n v="4"/>
    <n v="1"/>
    <x v="1"/>
    <n v="29.948453608247419"/>
    <n v="0"/>
  </r>
  <r>
    <s v="ORD736"/>
    <x v="1"/>
    <s v="Omaha, NE"/>
    <d v="2025-10-19T00:00:00"/>
    <d v="1899-12-30T18:00:00"/>
    <d v="2025-10-19T00:00:00"/>
    <d v="1899-12-30T18:30:00"/>
    <n v="30"/>
    <s v="Medium"/>
    <s v="Gluten-Free"/>
    <n v="3"/>
    <x v="1"/>
    <x v="0"/>
    <s v="Card"/>
    <x v="0"/>
    <x v="1"/>
    <n v="6"/>
    <n v="0.6"/>
    <x v="9"/>
    <s v="Online"/>
    <n v="12"/>
    <n v="18"/>
    <x v="0"/>
    <n v="6"/>
    <n v="2"/>
    <x v="0"/>
    <n v="28.186274509803919"/>
    <n v="0"/>
  </r>
  <r>
    <s v="ORD737"/>
    <x v="2"/>
    <s v="Louisville, KY"/>
    <d v="2025-10-20T00:00:00"/>
    <d v="1899-12-30T19:15:00"/>
    <d v="2025-10-20T00:00:00"/>
    <d v="1899-12-30T19:45:00"/>
    <n v="30"/>
    <s v="XL"/>
    <s v="Cheese Burst"/>
    <n v="5"/>
    <x v="7"/>
    <x v="1"/>
    <s v="UPI"/>
    <x v="0"/>
    <x v="0"/>
    <n v="5"/>
    <n v="0.83333333333333337"/>
    <x v="9"/>
    <s v="Online"/>
    <n v="14.4"/>
    <n v="15.6"/>
    <x v="0"/>
    <n v="20"/>
    <n v="3"/>
    <x v="3"/>
    <n v="28.844221105527641"/>
    <n v="0"/>
  </r>
  <r>
    <s v="ORD738"/>
    <x v="4"/>
    <s v="Milwaukee, WI"/>
    <d v="2025-10-21T00:00:00"/>
    <d v="1899-12-30T20:30:00"/>
    <d v="2025-10-21T00:00:00"/>
    <d v="1899-12-30T21:00:00"/>
    <n v="30"/>
    <s v="Medium"/>
    <s v="Thai Chicken"/>
    <n v="3"/>
    <x v="3"/>
    <x v="0"/>
    <s v="Cash"/>
    <x v="0"/>
    <x v="0"/>
    <n v="6.666666666666667"/>
    <n v="0.66666666666666663"/>
    <x v="9"/>
    <s v="Offline"/>
    <n v="10.8"/>
    <n v="19.2"/>
    <x v="0"/>
    <n v="6"/>
    <n v="2"/>
    <x v="1"/>
    <n v="30.286458333333329"/>
    <n v="0"/>
  </r>
  <r>
    <s v="ORD739"/>
    <x v="0"/>
    <s v="Albuquerque, NM"/>
    <d v="2025-10-22T00:00:00"/>
    <d v="1899-12-30T19:00:00"/>
    <d v="2025-10-22T00:00:00"/>
    <d v="1899-12-30T19:30:00"/>
    <n v="30"/>
    <s v="Large"/>
    <s v="Sicilian"/>
    <n v="4"/>
    <x v="10"/>
    <x v="0"/>
    <s v="UPI"/>
    <x v="0"/>
    <x v="0"/>
    <n v="5.4545454545454541"/>
    <n v="0.72727272727272729"/>
    <x v="9"/>
    <s v="Online"/>
    <n v="13.2"/>
    <n v="16.8"/>
    <x v="0"/>
    <n v="12"/>
    <n v="2"/>
    <x v="3"/>
    <n v="30.259433962264151"/>
    <n v="0"/>
  </r>
  <r>
    <s v="ORD740"/>
    <x v="3"/>
    <s v="Atlanta, GA"/>
    <d v="2025-10-23T00:00:00"/>
    <d v="1899-12-30T20:15:00"/>
    <d v="2025-10-23T00:00:00"/>
    <d v="1899-12-30T20:45:00"/>
    <n v="30"/>
    <s v="Medium"/>
    <s v="Veg"/>
    <n v="2"/>
    <x v="6"/>
    <x v="2"/>
    <s v="Wallet"/>
    <x v="0"/>
    <x v="0"/>
    <n v="7.5"/>
    <n v="0.5"/>
    <x v="9"/>
    <s v="Online"/>
    <n v="9.6"/>
    <n v="20.399999999999999"/>
    <x v="0"/>
    <n v="4"/>
    <n v="1"/>
    <x v="1"/>
    <n v="29.948453608247419"/>
    <n v="0"/>
  </r>
  <r>
    <s v="ORD741"/>
    <x v="1"/>
    <s v="Omaha, NE"/>
    <d v="2025-10-24T00:00:00"/>
    <d v="1899-12-30T18:30:00"/>
    <d v="2025-10-24T00:00:00"/>
    <d v="1899-12-30T19:00:00"/>
    <n v="30"/>
    <s v="Medium"/>
    <s v="Gluten-Free"/>
    <n v="3"/>
    <x v="1"/>
    <x v="0"/>
    <s v="Card"/>
    <x v="0"/>
    <x v="0"/>
    <n v="6"/>
    <n v="0.6"/>
    <x v="9"/>
    <s v="Online"/>
    <n v="12"/>
    <n v="18"/>
    <x v="0"/>
    <n v="6"/>
    <n v="2"/>
    <x v="0"/>
    <n v="28.186274509803919"/>
    <n v="0"/>
  </r>
  <r>
    <s v="ORD742"/>
    <x v="2"/>
    <s v="Louisville, KY"/>
    <d v="2025-10-25T00:00:00"/>
    <d v="1899-12-30T19:45:00"/>
    <d v="2025-10-25T00:00:00"/>
    <d v="1899-12-30T20:15:00"/>
    <n v="30"/>
    <s v="XL"/>
    <s v="Cheese Burst"/>
    <n v="5"/>
    <x v="7"/>
    <x v="1"/>
    <s v="UPI"/>
    <x v="0"/>
    <x v="1"/>
    <n v="5"/>
    <n v="0.83333333333333337"/>
    <x v="9"/>
    <s v="Online"/>
    <n v="14.4"/>
    <n v="15.6"/>
    <x v="0"/>
    <n v="20"/>
    <n v="3"/>
    <x v="3"/>
    <n v="28.844221105527641"/>
    <n v="0"/>
  </r>
  <r>
    <s v="ORD743"/>
    <x v="4"/>
    <s v="Milwaukee, WI"/>
    <d v="2025-10-26T00:00:00"/>
    <d v="1899-12-30T18:00:00"/>
    <d v="2025-10-26T00:00:00"/>
    <d v="1899-12-30T18:30:00"/>
    <n v="30"/>
    <s v="Medium"/>
    <s v="Thai Chicken"/>
    <n v="3"/>
    <x v="3"/>
    <x v="0"/>
    <s v="Cash"/>
    <x v="0"/>
    <x v="1"/>
    <n v="6.666666666666667"/>
    <n v="0.66666666666666663"/>
    <x v="9"/>
    <s v="Offline"/>
    <n v="10.8"/>
    <n v="19.2"/>
    <x v="0"/>
    <n v="6"/>
    <n v="2"/>
    <x v="0"/>
    <n v="30.286458333333329"/>
    <n v="0"/>
  </r>
  <r>
    <s v="ORD744"/>
    <x v="0"/>
    <s v="Albuquerque, NM"/>
    <d v="2025-10-27T00:00:00"/>
    <d v="1899-12-30T19:15:00"/>
    <d v="2025-10-27T00:00:00"/>
    <d v="1899-12-30T19:45:00"/>
    <n v="30"/>
    <s v="Large"/>
    <s v="Sicilian"/>
    <n v="4"/>
    <x v="10"/>
    <x v="0"/>
    <s v="UPI"/>
    <x v="0"/>
    <x v="0"/>
    <n v="5.4545454545454541"/>
    <n v="0.72727272727272729"/>
    <x v="9"/>
    <s v="Online"/>
    <n v="13.2"/>
    <n v="16.8"/>
    <x v="0"/>
    <n v="12"/>
    <n v="2"/>
    <x v="3"/>
    <n v="30.259433962264151"/>
    <n v="0"/>
  </r>
  <r>
    <s v="ORD745"/>
    <x v="3"/>
    <s v="Atlanta, GA"/>
    <d v="2025-10-28T00:00:00"/>
    <d v="1899-12-30T20:30:00"/>
    <d v="2025-10-28T00:00:00"/>
    <d v="1899-12-30T21:00:00"/>
    <n v="30"/>
    <s v="Medium"/>
    <s v="Veg"/>
    <n v="2"/>
    <x v="6"/>
    <x v="2"/>
    <s v="Wallet"/>
    <x v="0"/>
    <x v="0"/>
    <n v="7.5"/>
    <n v="0.5"/>
    <x v="9"/>
    <s v="Online"/>
    <n v="9.6"/>
    <n v="20.399999999999999"/>
    <x v="0"/>
    <n v="4"/>
    <n v="1"/>
    <x v="1"/>
    <n v="29.948453608247419"/>
    <n v="0"/>
  </r>
  <r>
    <s v="ORD746"/>
    <x v="1"/>
    <s v="Omaha, NE"/>
    <d v="2025-10-29T00:00:00"/>
    <d v="1899-12-30T18:45:00"/>
    <d v="2025-10-29T00:00:00"/>
    <d v="1899-12-30T19:15:00"/>
    <n v="30"/>
    <s v="Medium"/>
    <s v="Gluten-Free"/>
    <n v="3"/>
    <x v="1"/>
    <x v="0"/>
    <s v="Card"/>
    <x v="0"/>
    <x v="0"/>
    <n v="6"/>
    <n v="0.6"/>
    <x v="9"/>
    <s v="Online"/>
    <n v="12"/>
    <n v="18"/>
    <x v="0"/>
    <n v="6"/>
    <n v="2"/>
    <x v="0"/>
    <n v="28.186274509803919"/>
    <n v="0"/>
  </r>
  <r>
    <s v="ORD747"/>
    <x v="2"/>
    <s v="Louisville, KY"/>
    <d v="2025-10-30T00:00:00"/>
    <d v="1899-12-30T19:00:00"/>
    <d v="2025-10-30T00:00:00"/>
    <d v="1899-12-30T19:30:00"/>
    <n v="30"/>
    <s v="XL"/>
    <s v="Cheese Burst"/>
    <n v="5"/>
    <x v="7"/>
    <x v="1"/>
    <s v="UPI"/>
    <x v="0"/>
    <x v="0"/>
    <n v="5"/>
    <n v="0.83333333333333337"/>
    <x v="9"/>
    <s v="Online"/>
    <n v="14.4"/>
    <n v="15.6"/>
    <x v="0"/>
    <n v="20"/>
    <n v="3"/>
    <x v="3"/>
    <n v="28.844221105527641"/>
    <n v="0"/>
  </r>
  <r>
    <s v="ORD748"/>
    <x v="4"/>
    <s v="Milwaukee, WI"/>
    <d v="2025-10-31T00:00:00"/>
    <d v="1899-12-30T20:15:00"/>
    <d v="2025-10-31T00:00:00"/>
    <d v="1899-12-30T20:45:00"/>
    <n v="30"/>
    <s v="Medium"/>
    <s v="Thai Chicken"/>
    <n v="3"/>
    <x v="3"/>
    <x v="0"/>
    <s v="Cash"/>
    <x v="0"/>
    <x v="0"/>
    <n v="6.666666666666667"/>
    <n v="0.66666666666666663"/>
    <x v="9"/>
    <s v="Offline"/>
    <n v="10.8"/>
    <n v="19.2"/>
    <x v="0"/>
    <n v="6"/>
    <n v="2"/>
    <x v="1"/>
    <n v="30.286458333333329"/>
    <n v="0"/>
  </r>
  <r>
    <s v="ORD749"/>
    <x v="0"/>
    <s v="Albuquerque, NM"/>
    <d v="2025-11-01T00:00:00"/>
    <d v="1899-12-30T19:30:00"/>
    <d v="2025-11-01T00:00:00"/>
    <d v="1899-12-30T20:00:00"/>
    <n v="30"/>
    <s v="Large"/>
    <s v="Sicilian"/>
    <n v="4"/>
    <x v="10"/>
    <x v="0"/>
    <s v="UPI"/>
    <x v="0"/>
    <x v="1"/>
    <n v="5.4545454545454541"/>
    <n v="0.72727272727272729"/>
    <x v="10"/>
    <s v="Online"/>
    <n v="13.2"/>
    <n v="16.8"/>
    <x v="0"/>
    <n v="12"/>
    <n v="2"/>
    <x v="3"/>
    <n v="30.259433962264151"/>
    <n v="0"/>
  </r>
  <r>
    <s v="ORD750"/>
    <x v="3"/>
    <s v="Atlanta, GA"/>
    <d v="2025-11-02T00:00:00"/>
    <d v="1899-12-30T20:45:00"/>
    <d v="2025-11-02T00:00:00"/>
    <d v="1899-12-30T21:15:00"/>
    <n v="30"/>
    <s v="Medium"/>
    <s v="Veg"/>
    <n v="2"/>
    <x v="6"/>
    <x v="2"/>
    <s v="Wallet"/>
    <x v="0"/>
    <x v="1"/>
    <n v="7.5"/>
    <n v="0.5"/>
    <x v="10"/>
    <s v="Online"/>
    <n v="9.6"/>
    <n v="20.399999999999999"/>
    <x v="0"/>
    <n v="4"/>
    <n v="1"/>
    <x v="1"/>
    <n v="29.948453608247419"/>
    <n v="0"/>
  </r>
  <r>
    <s v="ORD751"/>
    <x v="1"/>
    <s v="Omaha, NE"/>
    <d v="2025-11-03T00:00:00"/>
    <d v="1899-12-30T18:00:00"/>
    <d v="2025-11-03T00:00:00"/>
    <d v="1899-12-30T18:30:00"/>
    <n v="30"/>
    <s v="Medium"/>
    <s v="Gluten-Free"/>
    <n v="3"/>
    <x v="1"/>
    <x v="0"/>
    <s v="Card"/>
    <x v="0"/>
    <x v="0"/>
    <n v="6"/>
    <n v="0.6"/>
    <x v="10"/>
    <s v="Online"/>
    <n v="12"/>
    <n v="18"/>
    <x v="0"/>
    <n v="6"/>
    <n v="2"/>
    <x v="0"/>
    <n v="28.186274509803919"/>
    <n v="0"/>
  </r>
  <r>
    <s v="ORD752"/>
    <x v="2"/>
    <s v="Louisville, KY"/>
    <d v="2025-11-04T00:00:00"/>
    <d v="1899-12-30T19:15:00"/>
    <d v="2025-11-04T00:00:00"/>
    <d v="1899-12-30T19:45:00"/>
    <n v="30"/>
    <s v="XL"/>
    <s v="Cheese Burst"/>
    <n v="5"/>
    <x v="7"/>
    <x v="1"/>
    <s v="UPI"/>
    <x v="0"/>
    <x v="0"/>
    <n v="5"/>
    <n v="0.83333333333333337"/>
    <x v="10"/>
    <s v="Online"/>
    <n v="14.4"/>
    <n v="15.6"/>
    <x v="0"/>
    <n v="20"/>
    <n v="3"/>
    <x v="3"/>
    <n v="28.844221105527641"/>
    <n v="0"/>
  </r>
  <r>
    <s v="ORD753"/>
    <x v="4"/>
    <s v="Milwaukee, WI"/>
    <d v="2025-11-05T00:00:00"/>
    <d v="1899-12-30T20:30:00"/>
    <d v="2025-11-05T00:00:00"/>
    <d v="1899-12-30T21:00:00"/>
    <n v="30"/>
    <s v="Medium"/>
    <s v="Thai Chicken"/>
    <n v="3"/>
    <x v="3"/>
    <x v="0"/>
    <s v="UPI"/>
    <x v="0"/>
    <x v="0"/>
    <n v="6.666666666666667"/>
    <n v="0.66666666666666663"/>
    <x v="10"/>
    <s v="Online"/>
    <n v="10.8"/>
    <n v="19.2"/>
    <x v="0"/>
    <n v="6"/>
    <n v="2"/>
    <x v="1"/>
    <n v="30.286458333333329"/>
    <n v="0"/>
  </r>
  <r>
    <s v="ORD754"/>
    <x v="1"/>
    <s v="Omaha, NE"/>
    <d v="2025-11-06T00:00:00"/>
    <d v="1899-12-30T18:45:00"/>
    <d v="2025-11-06T00:00:00"/>
    <d v="1899-12-30T19:15:00"/>
    <n v="30"/>
    <s v="Medium"/>
    <s v="BBQ Chicken"/>
    <n v="3"/>
    <x v="1"/>
    <x v="0"/>
    <s v="UPI"/>
    <x v="0"/>
    <x v="0"/>
    <n v="6"/>
    <n v="0.6"/>
    <x v="10"/>
    <s v="Online"/>
    <n v="12"/>
    <n v="18"/>
    <x v="0"/>
    <n v="6"/>
    <n v="2"/>
    <x v="0"/>
    <n v="28.186274509803919"/>
    <n v="0"/>
  </r>
  <r>
    <s v="ORD755"/>
    <x v="2"/>
    <s v="Louisville, KY"/>
    <d v="2025-11-07T00:00:00"/>
    <d v="1899-12-30T19:00:00"/>
    <d v="2025-11-07T00:00:00"/>
    <d v="1899-12-30T19:30:00"/>
    <n v="30"/>
    <s v="XL"/>
    <s v="Cheese Burst"/>
    <n v="5"/>
    <x v="7"/>
    <x v="1"/>
    <s v="Card"/>
    <x v="0"/>
    <x v="0"/>
    <n v="5"/>
    <n v="0.83333333333333337"/>
    <x v="10"/>
    <s v="Online"/>
    <n v="14.4"/>
    <n v="15.6"/>
    <x v="0"/>
    <n v="20"/>
    <n v="3"/>
    <x v="3"/>
    <n v="28.844221105527641"/>
    <n v="0"/>
  </r>
  <r>
    <s v="ORD756"/>
    <x v="4"/>
    <s v="Milwaukee, WI"/>
    <d v="2025-11-08T00:00:00"/>
    <d v="1899-12-30T20:15:00"/>
    <d v="2025-11-08T00:00:00"/>
    <d v="1899-12-30T20:45:00"/>
    <n v="30"/>
    <s v="Medium"/>
    <s v="Margarita"/>
    <n v="3"/>
    <x v="3"/>
    <x v="0"/>
    <s v="Cash"/>
    <x v="0"/>
    <x v="1"/>
    <n v="6.666666666666667"/>
    <n v="0.66666666666666663"/>
    <x v="10"/>
    <s v="Offline"/>
    <n v="10.8"/>
    <n v="19.2"/>
    <x v="0"/>
    <n v="6"/>
    <n v="2"/>
    <x v="1"/>
    <n v="30.286458333333329"/>
    <n v="0"/>
  </r>
  <r>
    <s v="ORD757"/>
    <x v="0"/>
    <s v="Albuquerque, NM"/>
    <d v="2025-11-09T00:00:00"/>
    <d v="1899-12-30T19:30:00"/>
    <d v="2025-11-09T00:00:00"/>
    <d v="1899-12-30T20:00:00"/>
    <n v="30"/>
    <s v="Large"/>
    <s v="Sicilian"/>
    <n v="4"/>
    <x v="10"/>
    <x v="0"/>
    <s v="UPI"/>
    <x v="0"/>
    <x v="1"/>
    <n v="5.4545454545454541"/>
    <n v="0.72727272727272729"/>
    <x v="10"/>
    <s v="Online"/>
    <n v="13.2"/>
    <n v="16.8"/>
    <x v="0"/>
    <n v="12"/>
    <n v="2"/>
    <x v="3"/>
    <n v="30.259433962264151"/>
    <n v="0"/>
  </r>
  <r>
    <s v="ORD758"/>
    <x v="3"/>
    <s v="Atlanta, GA"/>
    <d v="2025-11-10T00:00:00"/>
    <d v="1899-12-30T20:45:00"/>
    <d v="2025-11-10T00:00:00"/>
    <d v="1899-12-30T21:15:00"/>
    <n v="30"/>
    <s v="Medium"/>
    <s v="Veg"/>
    <n v="2"/>
    <x v="6"/>
    <x v="2"/>
    <s v="Wallet"/>
    <x v="0"/>
    <x v="0"/>
    <n v="7.5"/>
    <n v="0.5"/>
    <x v="10"/>
    <s v="Online"/>
    <n v="9.6"/>
    <n v="20.399999999999999"/>
    <x v="0"/>
    <n v="4"/>
    <n v="1"/>
    <x v="1"/>
    <n v="29.948453608247419"/>
    <n v="0"/>
  </r>
  <r>
    <s v="ORD759"/>
    <x v="1"/>
    <s v="Omaha, NE"/>
    <d v="2025-11-11T00:00:00"/>
    <d v="1899-12-30T18:00:00"/>
    <d v="2025-11-11T00:00:00"/>
    <d v="1899-12-30T18:30:00"/>
    <n v="30"/>
    <s v="Medium"/>
    <s v="BBQ Chicken"/>
    <n v="3"/>
    <x v="1"/>
    <x v="0"/>
    <s v="Card"/>
    <x v="0"/>
    <x v="0"/>
    <n v="6"/>
    <n v="0.6"/>
    <x v="10"/>
    <s v="Online"/>
    <n v="12"/>
    <n v="18"/>
    <x v="0"/>
    <n v="6"/>
    <n v="2"/>
    <x v="0"/>
    <n v="28.186274509803919"/>
    <n v="0"/>
  </r>
  <r>
    <s v="ORD760"/>
    <x v="2"/>
    <s v="Louisville, KY"/>
    <d v="2025-11-12T00:00:00"/>
    <d v="1899-12-30T19:15:00"/>
    <d v="2025-11-12T00:00:00"/>
    <d v="1899-12-30T19:45:00"/>
    <n v="30"/>
    <s v="XL"/>
    <s v="Cheese Burst"/>
    <n v="5"/>
    <x v="7"/>
    <x v="1"/>
    <s v="UPI"/>
    <x v="0"/>
    <x v="0"/>
    <n v="5"/>
    <n v="0.83333333333333337"/>
    <x v="10"/>
    <s v="Online"/>
    <n v="14.4"/>
    <n v="15.6"/>
    <x v="0"/>
    <n v="20"/>
    <n v="3"/>
    <x v="3"/>
    <n v="28.844221105527641"/>
    <n v="0"/>
  </r>
  <r>
    <s v="ORD761"/>
    <x v="4"/>
    <s v="Milwaukee, WI"/>
    <d v="2025-11-13T00:00:00"/>
    <d v="1899-12-30T20:30:00"/>
    <d v="2025-11-13T00:00:00"/>
    <d v="1899-12-30T21:00:00"/>
    <n v="30"/>
    <s v="Medium"/>
    <s v="Margarita"/>
    <n v="3"/>
    <x v="3"/>
    <x v="0"/>
    <s v="Cash"/>
    <x v="0"/>
    <x v="0"/>
    <n v="6.666666666666667"/>
    <n v="0.66666666666666663"/>
    <x v="10"/>
    <s v="Offline"/>
    <n v="10.8"/>
    <n v="19.2"/>
    <x v="0"/>
    <n v="6"/>
    <n v="2"/>
    <x v="1"/>
    <n v="30.286458333333329"/>
    <n v="0"/>
  </r>
  <r>
    <s v="ORD762"/>
    <x v="0"/>
    <s v="Albuquerque, NM"/>
    <d v="2025-11-14T00:00:00"/>
    <d v="1899-12-30T19:00:00"/>
    <d v="2025-11-14T00:00:00"/>
    <d v="1899-12-30T19:30:00"/>
    <n v="30"/>
    <s v="Large"/>
    <s v="Sicilian"/>
    <n v="4"/>
    <x v="10"/>
    <x v="0"/>
    <s v="UPI"/>
    <x v="0"/>
    <x v="0"/>
    <n v="5.4545454545454541"/>
    <n v="0.72727272727272729"/>
    <x v="10"/>
    <s v="Online"/>
    <n v="13.2"/>
    <n v="16.8"/>
    <x v="0"/>
    <n v="12"/>
    <n v="2"/>
    <x v="3"/>
    <n v="30.259433962264151"/>
    <n v="0"/>
  </r>
  <r>
    <s v="ORD763"/>
    <x v="3"/>
    <s v="Atlanta, GA"/>
    <d v="2025-11-15T00:00:00"/>
    <d v="1899-12-30T20:15:00"/>
    <d v="2025-11-15T00:00:00"/>
    <d v="1899-12-30T20:45:00"/>
    <n v="30"/>
    <s v="Medium"/>
    <s v="Veg"/>
    <n v="2"/>
    <x v="6"/>
    <x v="2"/>
    <s v="Wallet"/>
    <x v="0"/>
    <x v="1"/>
    <n v="7.5"/>
    <n v="0.5"/>
    <x v="10"/>
    <s v="Online"/>
    <n v="9.6"/>
    <n v="20.399999999999999"/>
    <x v="0"/>
    <n v="4"/>
    <n v="1"/>
    <x v="1"/>
    <n v="29.948453608247419"/>
    <n v="0"/>
  </r>
  <r>
    <s v="ORD764"/>
    <x v="1"/>
    <s v="Omaha, NE"/>
    <d v="2025-11-16T00:00:00"/>
    <d v="1899-12-30T18:30:00"/>
    <d v="2025-11-16T00:00:00"/>
    <d v="1899-12-30T19:00:00"/>
    <n v="30"/>
    <s v="Medium"/>
    <s v="BBQ Chicken"/>
    <n v="3"/>
    <x v="1"/>
    <x v="0"/>
    <s v="Card"/>
    <x v="0"/>
    <x v="1"/>
    <n v="6"/>
    <n v="0.6"/>
    <x v="10"/>
    <s v="Online"/>
    <n v="12"/>
    <n v="18"/>
    <x v="0"/>
    <n v="6"/>
    <n v="2"/>
    <x v="0"/>
    <n v="28.186274509803919"/>
    <n v="0"/>
  </r>
  <r>
    <s v="ORD765"/>
    <x v="2"/>
    <s v="Louisville, KY"/>
    <d v="2025-11-17T00:00:00"/>
    <d v="1899-12-30T19:45:00"/>
    <d v="2025-11-17T00:00:00"/>
    <d v="1899-12-30T20:15:00"/>
    <n v="30"/>
    <s v="XL"/>
    <s v="Cheese Burst"/>
    <n v="5"/>
    <x v="7"/>
    <x v="1"/>
    <s v="UPI"/>
    <x v="0"/>
    <x v="0"/>
    <n v="5"/>
    <n v="0.83333333333333337"/>
    <x v="10"/>
    <s v="Online"/>
    <n v="14.4"/>
    <n v="15.6"/>
    <x v="0"/>
    <n v="20"/>
    <n v="3"/>
    <x v="3"/>
    <n v="28.844221105527641"/>
    <n v="0"/>
  </r>
  <r>
    <s v="ORD766"/>
    <x v="4"/>
    <s v="Milwaukee, WI"/>
    <d v="2025-11-18T00:00:00"/>
    <d v="1899-12-30T20:00:00"/>
    <d v="2025-11-18T00:00:00"/>
    <d v="1899-12-30T20:30:00"/>
    <n v="30"/>
    <s v="Medium"/>
    <s v="Margarita"/>
    <n v="3"/>
    <x v="3"/>
    <x v="0"/>
    <s v="Cash"/>
    <x v="0"/>
    <x v="0"/>
    <n v="6.666666666666667"/>
    <n v="0.66666666666666663"/>
    <x v="10"/>
    <s v="Offline"/>
    <n v="10.8"/>
    <n v="19.2"/>
    <x v="0"/>
    <n v="6"/>
    <n v="2"/>
    <x v="1"/>
    <n v="30.286458333333329"/>
    <n v="0"/>
  </r>
  <r>
    <s v="ORD767"/>
    <x v="0"/>
    <s v="Albuquerque, NM"/>
    <d v="2025-11-19T00:00:00"/>
    <d v="1899-12-30T19:15:00"/>
    <d v="2025-11-19T00:00:00"/>
    <d v="1899-12-30T19:45:00"/>
    <n v="30"/>
    <s v="Large"/>
    <s v="Sicilian"/>
    <n v="4"/>
    <x v="10"/>
    <x v="0"/>
    <s v="UPI"/>
    <x v="0"/>
    <x v="0"/>
    <n v="5.4545454545454541"/>
    <n v="0.72727272727272729"/>
    <x v="10"/>
    <s v="Online"/>
    <n v="13.2"/>
    <n v="16.8"/>
    <x v="0"/>
    <n v="12"/>
    <n v="2"/>
    <x v="3"/>
    <n v="30.259433962264151"/>
    <n v="0"/>
  </r>
  <r>
    <s v="ORD768"/>
    <x v="3"/>
    <s v="Atlanta, GA"/>
    <d v="2025-11-20T00:00:00"/>
    <d v="1899-12-30T20:30:00"/>
    <d v="2025-11-20T00:00:00"/>
    <d v="1899-12-30T21:00:00"/>
    <n v="30"/>
    <s v="Medium"/>
    <s v="Veg"/>
    <n v="2"/>
    <x v="6"/>
    <x v="2"/>
    <s v="Wallet"/>
    <x v="0"/>
    <x v="0"/>
    <n v="7.5"/>
    <n v="0.5"/>
    <x v="10"/>
    <s v="Online"/>
    <n v="9.6"/>
    <n v="20.399999999999999"/>
    <x v="0"/>
    <n v="4"/>
    <n v="1"/>
    <x v="1"/>
    <n v="29.948453608247419"/>
    <n v="0"/>
  </r>
  <r>
    <s v="ORD769"/>
    <x v="1"/>
    <s v="Omaha, NE"/>
    <d v="2025-11-21T00:00:00"/>
    <d v="1899-12-30T18:45:00"/>
    <d v="2025-11-21T00:00:00"/>
    <d v="1899-12-30T19:15:00"/>
    <n v="30"/>
    <s v="Medium"/>
    <s v="BBQ Chicken"/>
    <n v="3"/>
    <x v="1"/>
    <x v="0"/>
    <s v="Card"/>
    <x v="0"/>
    <x v="0"/>
    <n v="6"/>
    <n v="0.6"/>
    <x v="10"/>
    <s v="Online"/>
    <n v="12"/>
    <n v="18"/>
    <x v="0"/>
    <n v="6"/>
    <n v="2"/>
    <x v="0"/>
    <n v="28.186274509803919"/>
    <n v="0"/>
  </r>
  <r>
    <s v="ORD770"/>
    <x v="2"/>
    <s v="Louisville, KY"/>
    <d v="2025-11-22T00:00:00"/>
    <d v="1899-12-30T19:00:00"/>
    <d v="2025-11-22T00:00:00"/>
    <d v="1899-12-30T19:30:00"/>
    <n v="30"/>
    <s v="XL"/>
    <s v="Cheese Burst"/>
    <n v="5"/>
    <x v="7"/>
    <x v="1"/>
    <s v="UPI"/>
    <x v="0"/>
    <x v="1"/>
    <n v="5"/>
    <n v="0.83333333333333337"/>
    <x v="10"/>
    <s v="Online"/>
    <n v="14.4"/>
    <n v="15.6"/>
    <x v="0"/>
    <n v="20"/>
    <n v="3"/>
    <x v="3"/>
    <n v="28.844221105527641"/>
    <n v="0"/>
  </r>
  <r>
    <s v="ORD771"/>
    <x v="4"/>
    <s v="Milwaukee, WI"/>
    <d v="2025-11-23T00:00:00"/>
    <d v="1899-12-30T20:15:00"/>
    <d v="2025-11-23T00:00:00"/>
    <d v="1899-12-30T20:45:00"/>
    <n v="30"/>
    <s v="Medium"/>
    <s v="Margarita"/>
    <n v="3"/>
    <x v="3"/>
    <x v="0"/>
    <s v="Cash"/>
    <x v="0"/>
    <x v="1"/>
    <n v="6.666666666666667"/>
    <n v="0.66666666666666663"/>
    <x v="10"/>
    <s v="Offline"/>
    <n v="10.8"/>
    <n v="19.2"/>
    <x v="0"/>
    <n v="6"/>
    <n v="2"/>
    <x v="1"/>
    <n v="30.286458333333329"/>
    <n v="0"/>
  </r>
  <r>
    <s v="ORD772"/>
    <x v="0"/>
    <s v="Albuquerque, NM"/>
    <d v="2025-11-24T00:00:00"/>
    <d v="1899-12-30T19:30:00"/>
    <d v="2025-11-24T00:00:00"/>
    <d v="1899-12-30T20:00:00"/>
    <n v="30"/>
    <s v="Large"/>
    <s v="Sicilian"/>
    <n v="4"/>
    <x v="10"/>
    <x v="0"/>
    <s v="UPI"/>
    <x v="0"/>
    <x v="0"/>
    <n v="5.4545454545454541"/>
    <n v="0.72727272727272729"/>
    <x v="10"/>
    <s v="Online"/>
    <n v="13.2"/>
    <n v="16.8"/>
    <x v="0"/>
    <n v="12"/>
    <n v="2"/>
    <x v="3"/>
    <n v="30.259433962264151"/>
    <n v="0"/>
  </r>
  <r>
    <s v="ORD773"/>
    <x v="3"/>
    <s v="Atlanta, GA"/>
    <d v="2025-11-25T00:00:00"/>
    <d v="1899-12-30T20:45:00"/>
    <d v="2025-11-25T00:00:00"/>
    <d v="1899-12-30T21:15:00"/>
    <n v="30"/>
    <s v="Medium"/>
    <s v="Veg"/>
    <n v="2"/>
    <x v="6"/>
    <x v="2"/>
    <s v="Wallet"/>
    <x v="0"/>
    <x v="0"/>
    <n v="7.5"/>
    <n v="0.5"/>
    <x v="10"/>
    <s v="Online"/>
    <n v="9.6"/>
    <n v="20.399999999999999"/>
    <x v="0"/>
    <n v="4"/>
    <n v="1"/>
    <x v="1"/>
    <n v="29.948453608247419"/>
    <n v="0"/>
  </r>
  <r>
    <s v="ORD774"/>
    <x v="1"/>
    <s v="Omaha, NE"/>
    <d v="2025-11-26T00:00:00"/>
    <d v="1899-12-30T18:00:00"/>
    <d v="2025-11-26T00:00:00"/>
    <d v="1899-12-30T18:30:00"/>
    <n v="30"/>
    <s v="Medium"/>
    <s v="BBQ Chicken"/>
    <n v="3"/>
    <x v="1"/>
    <x v="0"/>
    <s v="Card"/>
    <x v="0"/>
    <x v="0"/>
    <n v="6"/>
    <n v="0.6"/>
    <x v="10"/>
    <s v="Online"/>
    <n v="12"/>
    <n v="18"/>
    <x v="0"/>
    <n v="6"/>
    <n v="2"/>
    <x v="0"/>
    <n v="28.186274509803919"/>
    <n v="0"/>
  </r>
  <r>
    <s v="ORD775"/>
    <x v="2"/>
    <s v="Louisville, KY"/>
    <d v="2025-11-27T00:00:00"/>
    <d v="1899-12-30T19:15:00"/>
    <d v="2025-11-27T00:00:00"/>
    <d v="1899-12-30T19:45:00"/>
    <n v="30"/>
    <s v="XL"/>
    <s v="Cheese Burst"/>
    <n v="5"/>
    <x v="7"/>
    <x v="1"/>
    <s v="UPI"/>
    <x v="0"/>
    <x v="0"/>
    <n v="5"/>
    <n v="0.83333333333333337"/>
    <x v="10"/>
    <s v="Online"/>
    <n v="14.4"/>
    <n v="15.6"/>
    <x v="0"/>
    <n v="20"/>
    <n v="3"/>
    <x v="3"/>
    <n v="28.844221105527641"/>
    <n v="0"/>
  </r>
  <r>
    <s v="ORD776"/>
    <x v="4"/>
    <s v="Milwaukee, WI"/>
    <d v="2025-11-28T00:00:00"/>
    <d v="1899-12-30T20:30:00"/>
    <d v="2025-11-28T00:00:00"/>
    <d v="1899-12-30T21:00:00"/>
    <n v="30"/>
    <s v="Medium"/>
    <s v="Margarita"/>
    <n v="3"/>
    <x v="3"/>
    <x v="0"/>
    <s v="Cash"/>
    <x v="0"/>
    <x v="0"/>
    <n v="6.666666666666667"/>
    <n v="0.66666666666666663"/>
    <x v="10"/>
    <s v="Offline"/>
    <n v="10.8"/>
    <n v="19.2"/>
    <x v="0"/>
    <n v="6"/>
    <n v="2"/>
    <x v="1"/>
    <n v="30.286458333333329"/>
    <n v="0"/>
  </r>
  <r>
    <s v="ORD777"/>
    <x v="0"/>
    <s v="Albuquerque, NM"/>
    <d v="2025-11-29T00:00:00"/>
    <d v="1899-12-30T19:00:00"/>
    <d v="2025-11-29T00:00:00"/>
    <d v="1899-12-30T19:30:00"/>
    <n v="30"/>
    <s v="Large"/>
    <s v="Sicilian"/>
    <n v="4"/>
    <x v="10"/>
    <x v="0"/>
    <s v="UPI"/>
    <x v="0"/>
    <x v="1"/>
    <n v="5.4545454545454541"/>
    <n v="0.72727272727272729"/>
    <x v="10"/>
    <s v="Online"/>
    <n v="13.2"/>
    <n v="16.8"/>
    <x v="0"/>
    <n v="12"/>
    <n v="2"/>
    <x v="3"/>
    <n v="30.259433962264151"/>
    <n v="0"/>
  </r>
  <r>
    <s v="ORD778"/>
    <x v="3"/>
    <s v="Atlanta, GA"/>
    <d v="2025-11-30T00:00:00"/>
    <d v="1899-12-30T20:15:00"/>
    <d v="2025-11-30T00:00:00"/>
    <d v="1899-12-30T20:45:00"/>
    <n v="30"/>
    <s v="Medium"/>
    <s v="Veg"/>
    <n v="2"/>
    <x v="6"/>
    <x v="2"/>
    <s v="Wallet"/>
    <x v="0"/>
    <x v="1"/>
    <n v="7.5"/>
    <n v="0.5"/>
    <x v="10"/>
    <s v="Online"/>
    <n v="9.6"/>
    <n v="20.399999999999999"/>
    <x v="0"/>
    <n v="4"/>
    <n v="1"/>
    <x v="1"/>
    <n v="29.948453608247419"/>
    <n v="0"/>
  </r>
  <r>
    <s v="ORD779"/>
    <x v="1"/>
    <s v="Omaha, NE"/>
    <d v="2025-12-01T00:00:00"/>
    <d v="1899-12-30T18:30:00"/>
    <d v="2025-12-01T00:00:00"/>
    <d v="1899-12-30T19:00:00"/>
    <n v="30"/>
    <s v="Medium"/>
    <s v="BBQ Chicken"/>
    <n v="3"/>
    <x v="1"/>
    <x v="0"/>
    <s v="Card"/>
    <x v="0"/>
    <x v="0"/>
    <n v="6"/>
    <n v="0.6"/>
    <x v="11"/>
    <s v="Online"/>
    <n v="12"/>
    <n v="18"/>
    <x v="0"/>
    <n v="6"/>
    <n v="2"/>
    <x v="0"/>
    <n v="28.186274509803919"/>
    <n v="0"/>
  </r>
  <r>
    <s v="ORD780"/>
    <x v="2"/>
    <s v="Louisville, KY"/>
    <d v="2025-12-02T00:00:00"/>
    <d v="1899-12-30T19:45:00"/>
    <d v="2025-12-02T00:00:00"/>
    <d v="1899-12-30T20:15:00"/>
    <n v="30"/>
    <s v="XL"/>
    <s v="Cheese Burst"/>
    <n v="5"/>
    <x v="7"/>
    <x v="1"/>
    <s v="UPI"/>
    <x v="0"/>
    <x v="0"/>
    <n v="5"/>
    <n v="0.83333333333333337"/>
    <x v="11"/>
    <s v="Online"/>
    <n v="14.4"/>
    <n v="15.6"/>
    <x v="0"/>
    <n v="20"/>
    <n v="3"/>
    <x v="3"/>
    <n v="28.844221105527641"/>
    <n v="0"/>
  </r>
  <r>
    <s v="ORD781"/>
    <x v="4"/>
    <s v="Milwaukee, WI"/>
    <d v="2025-12-03T00:00:00"/>
    <d v="1899-12-30T20:00:00"/>
    <d v="2025-12-03T00:00:00"/>
    <d v="1899-12-30T20:30:00"/>
    <n v="30"/>
    <s v="Medium"/>
    <s v="Margarita"/>
    <n v="3"/>
    <x v="3"/>
    <x v="0"/>
    <s v="Cash"/>
    <x v="0"/>
    <x v="0"/>
    <n v="6.666666666666667"/>
    <n v="0.66666666666666663"/>
    <x v="11"/>
    <s v="Offline"/>
    <n v="10.8"/>
    <n v="19.2"/>
    <x v="0"/>
    <n v="6"/>
    <n v="2"/>
    <x v="1"/>
    <n v="30.286458333333329"/>
    <n v="0"/>
  </r>
  <r>
    <s v="ORD782"/>
    <x v="1"/>
    <s v="Omaha, NE"/>
    <d v="2025-12-04T00:00:00"/>
    <d v="1899-12-30T18:15:00"/>
    <d v="2025-12-04T00:00:00"/>
    <d v="1899-12-30T18:45:00"/>
    <n v="30"/>
    <s v="Medium"/>
    <s v="BBQ Chicken"/>
    <n v="3"/>
    <x v="1"/>
    <x v="0"/>
    <s v="UPI"/>
    <x v="0"/>
    <x v="0"/>
    <n v="6"/>
    <n v="0.6"/>
    <x v="11"/>
    <s v="Online"/>
    <n v="12"/>
    <n v="18"/>
    <x v="0"/>
    <n v="6"/>
    <n v="2"/>
    <x v="0"/>
    <n v="28.186274509803919"/>
    <n v="0"/>
  </r>
  <r>
    <s v="ORD783"/>
    <x v="2"/>
    <s v="Louisville, KY"/>
    <d v="2025-12-05T00:00:00"/>
    <d v="1899-12-30T19:30:00"/>
    <d v="2025-12-05T00:00:00"/>
    <d v="1899-12-30T20:00:00"/>
    <n v="30"/>
    <s v="XL"/>
    <s v="Cheese Burst"/>
    <n v="5"/>
    <x v="7"/>
    <x v="1"/>
    <s v="Card"/>
    <x v="0"/>
    <x v="0"/>
    <n v="5"/>
    <n v="0.83333333333333337"/>
    <x v="11"/>
    <s v="Online"/>
    <n v="14.4"/>
    <n v="15.6"/>
    <x v="0"/>
    <n v="20"/>
    <n v="3"/>
    <x v="3"/>
    <n v="28.844221105527641"/>
    <n v="0"/>
  </r>
  <r>
    <s v="ORD784"/>
    <x v="4"/>
    <s v="Milwaukee, WI"/>
    <d v="2025-12-06T00:00:00"/>
    <d v="1899-12-30T20:45:00"/>
    <d v="2025-12-06T00:00:00"/>
    <d v="1899-12-30T21:15:00"/>
    <n v="30"/>
    <s v="Medium"/>
    <s v="Margarita"/>
    <n v="3"/>
    <x v="3"/>
    <x v="0"/>
    <s v="Cash"/>
    <x v="0"/>
    <x v="1"/>
    <n v="6.666666666666667"/>
    <n v="0.66666666666666663"/>
    <x v="11"/>
    <s v="Offline"/>
    <n v="10.8"/>
    <n v="19.2"/>
    <x v="0"/>
    <n v="6"/>
    <n v="2"/>
    <x v="1"/>
    <n v="30.286458333333329"/>
    <n v="0"/>
  </r>
  <r>
    <s v="ORD785"/>
    <x v="0"/>
    <s v="Albuquerque, NM"/>
    <d v="2025-12-07T00:00:00"/>
    <d v="1899-12-30T19:00:00"/>
    <d v="2025-12-07T00:00:00"/>
    <d v="1899-12-30T19:30:00"/>
    <n v="30"/>
    <s v="Large"/>
    <s v="Sicilian"/>
    <n v="4"/>
    <x v="10"/>
    <x v="0"/>
    <s v="UPI"/>
    <x v="0"/>
    <x v="1"/>
    <n v="5.4545454545454541"/>
    <n v="0.72727272727272729"/>
    <x v="11"/>
    <s v="Online"/>
    <n v="13.2"/>
    <n v="16.8"/>
    <x v="0"/>
    <n v="12"/>
    <n v="2"/>
    <x v="3"/>
    <n v="30.259433962264151"/>
    <n v="0"/>
  </r>
  <r>
    <s v="ORD786"/>
    <x v="3"/>
    <s v="Atlanta, GA"/>
    <d v="2025-12-08T00:00:00"/>
    <d v="1899-12-30T20:15:00"/>
    <d v="2025-12-08T00:00:00"/>
    <d v="1899-12-30T20:45:00"/>
    <n v="30"/>
    <s v="Medium"/>
    <s v="Veg"/>
    <n v="2"/>
    <x v="6"/>
    <x v="2"/>
    <s v="Wallet"/>
    <x v="0"/>
    <x v="0"/>
    <n v="7.5"/>
    <n v="0.5"/>
    <x v="11"/>
    <s v="Online"/>
    <n v="9.6"/>
    <n v="20.399999999999999"/>
    <x v="0"/>
    <n v="4"/>
    <n v="1"/>
    <x v="1"/>
    <n v="29.948453608247419"/>
    <n v="0"/>
  </r>
  <r>
    <s v="ORD787"/>
    <x v="1"/>
    <s v="Omaha, NE"/>
    <d v="2025-12-09T00:00:00"/>
    <d v="1899-12-30T18:30:00"/>
    <d v="2025-12-09T00:00:00"/>
    <d v="1899-12-30T19:00:00"/>
    <n v="30"/>
    <s v="Medium"/>
    <s v="BBQ Chicken"/>
    <n v="3"/>
    <x v="1"/>
    <x v="0"/>
    <s v="Card"/>
    <x v="0"/>
    <x v="0"/>
    <n v="6"/>
    <n v="0.6"/>
    <x v="11"/>
    <s v="Online"/>
    <n v="12"/>
    <n v="18"/>
    <x v="0"/>
    <n v="6"/>
    <n v="2"/>
    <x v="0"/>
    <n v="28.186274509803919"/>
    <n v="0"/>
  </r>
  <r>
    <s v="ORD788"/>
    <x v="2"/>
    <s v="Louisville, KY"/>
    <d v="2025-12-10T00:00:00"/>
    <d v="1899-12-30T19:45:00"/>
    <d v="2025-12-10T00:00:00"/>
    <d v="1899-12-30T20:15:00"/>
    <n v="30"/>
    <s v="XL"/>
    <s v="Cheese Burst"/>
    <n v="5"/>
    <x v="7"/>
    <x v="1"/>
    <s v="UPI"/>
    <x v="0"/>
    <x v="0"/>
    <n v="5"/>
    <n v="0.83333333333333337"/>
    <x v="11"/>
    <s v="Online"/>
    <n v="14.4"/>
    <n v="15.6"/>
    <x v="0"/>
    <n v="20"/>
    <n v="3"/>
    <x v="3"/>
    <n v="28.844221105527641"/>
    <n v="0"/>
  </r>
  <r>
    <s v="ORD789"/>
    <x v="4"/>
    <s v="Milwaukee, WI"/>
    <d v="2025-12-11T00:00:00"/>
    <d v="1899-12-30T20:00:00"/>
    <d v="2025-12-11T00:00:00"/>
    <d v="1899-12-30T20:30:00"/>
    <n v="30"/>
    <s v="Medium"/>
    <s v="Margarita"/>
    <n v="3"/>
    <x v="3"/>
    <x v="0"/>
    <s v="Cash"/>
    <x v="0"/>
    <x v="0"/>
    <n v="6.666666666666667"/>
    <n v="0.66666666666666663"/>
    <x v="11"/>
    <s v="Offline"/>
    <n v="10.8"/>
    <n v="19.2"/>
    <x v="0"/>
    <n v="6"/>
    <n v="2"/>
    <x v="1"/>
    <n v="30.286458333333329"/>
    <n v="0"/>
  </r>
  <r>
    <s v="ORD790"/>
    <x v="0"/>
    <s v="Albuquerque, NM"/>
    <d v="2025-12-12T00:00:00"/>
    <d v="1899-12-30T19:15:00"/>
    <d v="2025-12-12T00:00:00"/>
    <d v="1899-12-30T19:45:00"/>
    <n v="30"/>
    <s v="Large"/>
    <s v="Sicilian"/>
    <n v="4"/>
    <x v="10"/>
    <x v="0"/>
    <s v="UPI"/>
    <x v="0"/>
    <x v="0"/>
    <n v="5.4545454545454541"/>
    <n v="0.72727272727272729"/>
    <x v="11"/>
    <s v="Online"/>
    <n v="13.2"/>
    <n v="16.8"/>
    <x v="0"/>
    <n v="12"/>
    <n v="2"/>
    <x v="3"/>
    <n v="30.259433962264151"/>
    <n v="0"/>
  </r>
  <r>
    <s v="ORD791"/>
    <x v="3"/>
    <s v="Atlanta, GA"/>
    <d v="2025-12-13T00:00:00"/>
    <d v="1899-12-30T20:30:00"/>
    <d v="2025-12-13T00:00:00"/>
    <d v="1899-12-30T21:00:00"/>
    <n v="30"/>
    <s v="Medium"/>
    <s v="Veg"/>
    <n v="2"/>
    <x v="6"/>
    <x v="2"/>
    <s v="Wallet"/>
    <x v="0"/>
    <x v="1"/>
    <n v="7.5"/>
    <n v="0.5"/>
    <x v="11"/>
    <s v="Online"/>
    <n v="9.6"/>
    <n v="20.399999999999999"/>
    <x v="0"/>
    <n v="4"/>
    <n v="1"/>
    <x v="1"/>
    <n v="29.948453608247419"/>
    <n v="0"/>
  </r>
  <r>
    <s v="ORD792"/>
    <x v="1"/>
    <s v="Omaha, NE"/>
    <d v="2025-12-14T00:00:00"/>
    <d v="1899-12-30T18:45:00"/>
    <d v="2025-12-14T00:00:00"/>
    <d v="1899-12-30T19:15:00"/>
    <n v="30"/>
    <s v="Medium"/>
    <s v="BBQ Chicken"/>
    <n v="3"/>
    <x v="1"/>
    <x v="0"/>
    <s v="Card"/>
    <x v="0"/>
    <x v="1"/>
    <n v="6"/>
    <n v="0.6"/>
    <x v="11"/>
    <s v="Online"/>
    <n v="12"/>
    <n v="18"/>
    <x v="0"/>
    <n v="6"/>
    <n v="2"/>
    <x v="0"/>
    <n v="28.186274509803919"/>
    <n v="0"/>
  </r>
  <r>
    <s v="ORD793"/>
    <x v="2"/>
    <s v="Louisville, KY"/>
    <d v="2025-12-15T00:00:00"/>
    <d v="1899-12-30T19:00:00"/>
    <d v="2025-12-15T00:00:00"/>
    <d v="1899-12-30T19:30:00"/>
    <n v="30"/>
    <s v="XL"/>
    <s v="Cheese Burst"/>
    <n v="5"/>
    <x v="7"/>
    <x v="1"/>
    <s v="UPI"/>
    <x v="0"/>
    <x v="0"/>
    <n v="5"/>
    <n v="0.83333333333333337"/>
    <x v="11"/>
    <s v="Online"/>
    <n v="14.4"/>
    <n v="15.6"/>
    <x v="0"/>
    <n v="20"/>
    <n v="3"/>
    <x v="3"/>
    <n v="28.844221105527641"/>
    <n v="0"/>
  </r>
  <r>
    <s v="ORD794"/>
    <x v="4"/>
    <s v="Milwaukee, WI"/>
    <d v="2025-12-16T00:00:00"/>
    <d v="1899-12-30T20:15:00"/>
    <d v="2025-12-16T00:00:00"/>
    <d v="1899-12-30T20:45:00"/>
    <n v="30"/>
    <s v="Medium"/>
    <s v="Margarita"/>
    <n v="3"/>
    <x v="3"/>
    <x v="0"/>
    <s v="Cash"/>
    <x v="0"/>
    <x v="0"/>
    <n v="6.666666666666667"/>
    <n v="0.66666666666666663"/>
    <x v="11"/>
    <s v="Offline"/>
    <n v="10.8"/>
    <n v="19.2"/>
    <x v="0"/>
    <n v="6"/>
    <n v="2"/>
    <x v="1"/>
    <n v="30.286458333333329"/>
    <n v="0"/>
  </r>
  <r>
    <s v="ORD795"/>
    <x v="0"/>
    <s v="Albuquerque, NM"/>
    <d v="2025-12-17T00:00:00"/>
    <d v="1899-12-30T19:30:00"/>
    <d v="2025-12-17T00:00:00"/>
    <d v="1899-12-30T20:00:00"/>
    <n v="30"/>
    <s v="Large"/>
    <s v="Sicilian"/>
    <n v="4"/>
    <x v="10"/>
    <x v="0"/>
    <s v="UPI"/>
    <x v="0"/>
    <x v="0"/>
    <n v="5.4545454545454541"/>
    <n v="0.72727272727272729"/>
    <x v="11"/>
    <s v="Online"/>
    <n v="13.2"/>
    <n v="16.8"/>
    <x v="0"/>
    <n v="12"/>
    <n v="2"/>
    <x v="3"/>
    <n v="30.259433962264151"/>
    <n v="0"/>
  </r>
  <r>
    <s v="ORD796"/>
    <x v="3"/>
    <s v="Atlanta, GA"/>
    <d v="2025-12-18T00:00:00"/>
    <d v="1899-12-30T20:45:00"/>
    <d v="2025-12-18T00:00:00"/>
    <d v="1899-12-30T21:15:00"/>
    <n v="30"/>
    <s v="Medium"/>
    <s v="Veg"/>
    <n v="2"/>
    <x v="6"/>
    <x v="2"/>
    <s v="Wallet"/>
    <x v="0"/>
    <x v="0"/>
    <n v="7.5"/>
    <n v="0.5"/>
    <x v="11"/>
    <s v="Online"/>
    <n v="9.6"/>
    <n v="20.399999999999999"/>
    <x v="0"/>
    <n v="4"/>
    <n v="1"/>
    <x v="1"/>
    <n v="29.948453608247419"/>
    <n v="0"/>
  </r>
  <r>
    <s v="ORD797"/>
    <x v="1"/>
    <s v="Omaha, NE"/>
    <d v="2025-12-19T00:00:00"/>
    <d v="1899-12-30T18:00:00"/>
    <d v="2025-12-19T00:00:00"/>
    <d v="1899-12-30T18:30:00"/>
    <n v="30"/>
    <s v="Medium"/>
    <s v="BBQ Chicken"/>
    <n v="3"/>
    <x v="1"/>
    <x v="0"/>
    <s v="Card"/>
    <x v="0"/>
    <x v="0"/>
    <n v="6"/>
    <n v="0.6"/>
    <x v="11"/>
    <s v="Online"/>
    <n v="12"/>
    <n v="18"/>
    <x v="0"/>
    <n v="6"/>
    <n v="2"/>
    <x v="0"/>
    <n v="28.186274509803919"/>
    <n v="0"/>
  </r>
  <r>
    <s v="ORD798"/>
    <x v="2"/>
    <s v="Louisville, KY"/>
    <d v="2025-12-20T00:00:00"/>
    <d v="1899-12-30T19:15:00"/>
    <d v="2025-12-20T00:00:00"/>
    <d v="1899-12-30T19:45:00"/>
    <n v="30"/>
    <s v="XL"/>
    <s v="Cheese Burst"/>
    <n v="5"/>
    <x v="7"/>
    <x v="1"/>
    <s v="UPI"/>
    <x v="0"/>
    <x v="1"/>
    <n v="5"/>
    <n v="0.83333333333333337"/>
    <x v="11"/>
    <s v="Online"/>
    <n v="14.4"/>
    <n v="15.6"/>
    <x v="0"/>
    <n v="20"/>
    <n v="3"/>
    <x v="3"/>
    <n v="28.844221105527641"/>
    <n v="0"/>
  </r>
  <r>
    <s v="ORD799"/>
    <x v="4"/>
    <s v="Milwaukee, WI"/>
    <d v="2025-12-21T00:00:00"/>
    <d v="1899-12-30T20:30:00"/>
    <d v="2025-12-21T00:00:00"/>
    <d v="1899-12-30T21:00:00"/>
    <n v="30"/>
    <s v="Medium"/>
    <s v="Margarita"/>
    <n v="3"/>
    <x v="3"/>
    <x v="0"/>
    <s v="Cash"/>
    <x v="0"/>
    <x v="1"/>
    <n v="6.666666666666667"/>
    <n v="0.66666666666666663"/>
    <x v="11"/>
    <s v="Offline"/>
    <n v="10.8"/>
    <n v="19.2"/>
    <x v="0"/>
    <n v="6"/>
    <n v="2"/>
    <x v="1"/>
    <n v="30.286458333333329"/>
    <n v="0"/>
  </r>
  <r>
    <s v="ORD800"/>
    <x v="0"/>
    <s v="Albuquerque, NM"/>
    <d v="2025-12-22T00:00:00"/>
    <d v="1899-12-30T19:00:00"/>
    <d v="2025-12-22T00:00:00"/>
    <d v="1899-12-30T19:30:00"/>
    <n v="30"/>
    <s v="Large"/>
    <s v="Sicilian"/>
    <n v="4"/>
    <x v="10"/>
    <x v="0"/>
    <s v="UPI"/>
    <x v="0"/>
    <x v="0"/>
    <n v="5.4545454545454541"/>
    <n v="0.72727272727272729"/>
    <x v="11"/>
    <s v="Online"/>
    <n v="13.2"/>
    <n v="16.8"/>
    <x v="0"/>
    <n v="12"/>
    <n v="2"/>
    <x v="3"/>
    <n v="30.259433962264151"/>
    <n v="0"/>
  </r>
  <r>
    <s v="ORD801"/>
    <x v="3"/>
    <s v="Atlanta, GA"/>
    <d v="2025-12-23T00:00:00"/>
    <d v="1899-12-30T20:15:00"/>
    <d v="2025-12-23T00:00:00"/>
    <d v="1899-12-30T20:45:00"/>
    <n v="30"/>
    <s v="Medium"/>
    <s v="Veg"/>
    <n v="2"/>
    <x v="6"/>
    <x v="2"/>
    <s v="Wallet"/>
    <x v="0"/>
    <x v="0"/>
    <n v="7.5"/>
    <n v="0.5"/>
    <x v="11"/>
    <s v="Online"/>
    <n v="9.6"/>
    <n v="20.399999999999999"/>
    <x v="0"/>
    <n v="4"/>
    <n v="1"/>
    <x v="1"/>
    <n v="29.948453608247419"/>
    <n v="0"/>
  </r>
  <r>
    <s v="ORD802"/>
    <x v="1"/>
    <s v="Omaha, NE"/>
    <d v="2025-12-24T00:00:00"/>
    <d v="1899-12-30T18:30:00"/>
    <d v="2025-12-24T00:00:00"/>
    <d v="1899-12-30T19:00:00"/>
    <n v="30"/>
    <s v="Medium"/>
    <s v="BBQ Chicken"/>
    <n v="3"/>
    <x v="1"/>
    <x v="0"/>
    <s v="Card"/>
    <x v="0"/>
    <x v="0"/>
    <n v="6"/>
    <n v="0.6"/>
    <x v="11"/>
    <s v="Online"/>
    <n v="12"/>
    <n v="18"/>
    <x v="0"/>
    <n v="6"/>
    <n v="2"/>
    <x v="0"/>
    <n v="28.186274509803919"/>
    <n v="0"/>
  </r>
  <r>
    <s v="ORD803"/>
    <x v="2"/>
    <s v="Louisville, KY"/>
    <d v="2025-12-25T00:00:00"/>
    <d v="1899-12-30T19:45:00"/>
    <d v="2025-12-25T00:00:00"/>
    <d v="1899-12-30T20:15:00"/>
    <n v="30"/>
    <s v="XL"/>
    <s v="Cheese Burst"/>
    <n v="5"/>
    <x v="7"/>
    <x v="1"/>
    <s v="UPI"/>
    <x v="0"/>
    <x v="0"/>
    <n v="5"/>
    <n v="0.83333333333333337"/>
    <x v="11"/>
    <s v="Online"/>
    <n v="14.4"/>
    <n v="15.6"/>
    <x v="0"/>
    <n v="20"/>
    <n v="3"/>
    <x v="3"/>
    <n v="28.844221105527641"/>
    <n v="0"/>
  </r>
  <r>
    <s v="ORD804"/>
    <x v="4"/>
    <s v="Milwaukee, WI"/>
    <d v="2025-12-26T00:00:00"/>
    <d v="1899-12-30T20:00:00"/>
    <d v="2025-12-26T00:00:00"/>
    <d v="1899-12-30T20:30:00"/>
    <n v="30"/>
    <s v="Medium"/>
    <s v="Margarita"/>
    <n v="3"/>
    <x v="3"/>
    <x v="0"/>
    <s v="Cash"/>
    <x v="0"/>
    <x v="0"/>
    <n v="6.666666666666667"/>
    <n v="0.66666666666666663"/>
    <x v="11"/>
    <s v="Offline"/>
    <n v="10.8"/>
    <n v="19.2"/>
    <x v="0"/>
    <n v="6"/>
    <n v="2"/>
    <x v="1"/>
    <n v="30.286458333333329"/>
    <n v="0"/>
  </r>
  <r>
    <s v="ORD805"/>
    <x v="0"/>
    <s v="Albuquerque, NM"/>
    <d v="2025-12-27T00:00:00"/>
    <d v="1899-12-30T19:15:00"/>
    <d v="2025-12-27T00:00:00"/>
    <d v="1899-12-30T19:45:00"/>
    <n v="30"/>
    <s v="Large"/>
    <s v="Sicilian"/>
    <n v="4"/>
    <x v="10"/>
    <x v="0"/>
    <s v="UPI"/>
    <x v="0"/>
    <x v="1"/>
    <n v="5.4545454545454541"/>
    <n v="0.72727272727272729"/>
    <x v="11"/>
    <s v="Online"/>
    <n v="13.2"/>
    <n v="16.8"/>
    <x v="0"/>
    <n v="12"/>
    <n v="2"/>
    <x v="3"/>
    <n v="30.259433962264151"/>
    <n v="0"/>
  </r>
  <r>
    <s v="ORD806"/>
    <x v="3"/>
    <s v="Atlanta, GA"/>
    <d v="2025-12-28T00:00:00"/>
    <d v="1899-12-30T20:30:00"/>
    <d v="2025-12-28T00:00:00"/>
    <d v="1899-12-30T21:00:00"/>
    <n v="30"/>
    <s v="Medium"/>
    <s v="Veg"/>
    <n v="2"/>
    <x v="6"/>
    <x v="2"/>
    <s v="Wallet"/>
    <x v="0"/>
    <x v="1"/>
    <n v="7.5"/>
    <n v="0.5"/>
    <x v="11"/>
    <s v="Online"/>
    <n v="9.6"/>
    <n v="20.399999999999999"/>
    <x v="0"/>
    <n v="4"/>
    <n v="1"/>
    <x v="1"/>
    <n v="29.948453608247419"/>
    <n v="0"/>
  </r>
  <r>
    <s v="ORD807"/>
    <x v="1"/>
    <s v="Omaha, NE"/>
    <d v="2025-12-29T00:00:00"/>
    <d v="1899-12-30T18:45:00"/>
    <d v="2025-12-29T00:00:00"/>
    <d v="1899-12-30T19:15:00"/>
    <n v="30"/>
    <s v="Medium"/>
    <s v="BBQ Chicken"/>
    <n v="3"/>
    <x v="1"/>
    <x v="0"/>
    <s v="Card"/>
    <x v="0"/>
    <x v="0"/>
    <n v="6"/>
    <n v="0.6"/>
    <x v="11"/>
    <s v="Online"/>
    <n v="12"/>
    <n v="18"/>
    <x v="0"/>
    <n v="6"/>
    <n v="2"/>
    <x v="0"/>
    <n v="28.186274509803919"/>
    <n v="0"/>
  </r>
  <r>
    <s v="ORD808"/>
    <x v="2"/>
    <s v="Louisville, KY"/>
    <d v="2025-12-30T00:00:00"/>
    <d v="1899-12-30T19:00:00"/>
    <d v="2025-12-30T00:00:00"/>
    <d v="1899-12-30T19:30:00"/>
    <n v="30"/>
    <s v="XL"/>
    <s v="Cheese Burst"/>
    <n v="5"/>
    <x v="7"/>
    <x v="1"/>
    <s v="UPI"/>
    <x v="0"/>
    <x v="0"/>
    <n v="5"/>
    <n v="0.83333333333333337"/>
    <x v="11"/>
    <s v="Online"/>
    <n v="14.4"/>
    <n v="15.6"/>
    <x v="0"/>
    <n v="20"/>
    <n v="3"/>
    <x v="3"/>
    <n v="28.844221105527641"/>
    <n v="0"/>
  </r>
  <r>
    <s v="ORD809"/>
    <x v="4"/>
    <s v="Milwaukee, WI"/>
    <d v="2025-12-31T00:00:00"/>
    <d v="1899-12-30T20:15:00"/>
    <d v="2025-12-31T00:00:00"/>
    <d v="1899-12-30T20:45:00"/>
    <n v="30"/>
    <s v="Medium"/>
    <s v="Margarita"/>
    <n v="3"/>
    <x v="3"/>
    <x v="0"/>
    <s v="Cash"/>
    <x v="0"/>
    <x v="0"/>
    <n v="6.666666666666667"/>
    <n v="0.66666666666666663"/>
    <x v="11"/>
    <s v="Offline"/>
    <n v="10.8"/>
    <n v="19.2"/>
    <x v="0"/>
    <n v="6"/>
    <n v="2"/>
    <x v="1"/>
    <n v="30.286458333333329"/>
    <n v="0"/>
  </r>
  <r>
    <s v="ORD810"/>
    <x v="1"/>
    <s v="Omaha, NE"/>
    <d v="2025-12-24T00:00:00"/>
    <d v="1899-12-30T18:30:00"/>
    <d v="2025-12-24T00:00:00"/>
    <d v="1899-12-30T19:00:00"/>
    <n v="30"/>
    <s v="Medium"/>
    <s v="BBQ Chicken"/>
    <n v="3"/>
    <x v="1"/>
    <x v="0"/>
    <s v="UPI"/>
    <x v="0"/>
    <x v="0"/>
    <n v="6"/>
    <n v="0.6"/>
    <x v="11"/>
    <s v="Online"/>
    <n v="12"/>
    <n v="18"/>
    <x v="0"/>
    <n v="6"/>
    <n v="2"/>
    <x v="0"/>
    <n v="28.186274509803919"/>
    <n v="0"/>
  </r>
  <r>
    <s v="ORD811"/>
    <x v="2"/>
    <s v="Louisville, KY"/>
    <d v="2025-12-25T00:00:00"/>
    <d v="1899-12-30T19:45:00"/>
    <d v="2025-12-25T00:00:00"/>
    <d v="1899-12-30T20:15:00"/>
    <n v="30"/>
    <s v="XL"/>
    <s v="Cheese Burst"/>
    <n v="5"/>
    <x v="7"/>
    <x v="1"/>
    <s v="Card"/>
    <x v="0"/>
    <x v="0"/>
    <n v="5"/>
    <n v="0.83333333333333337"/>
    <x v="11"/>
    <s v="Online"/>
    <n v="14.4"/>
    <n v="15.6"/>
    <x v="0"/>
    <n v="20"/>
    <n v="3"/>
    <x v="3"/>
    <n v="28.844221105527641"/>
    <n v="0"/>
  </r>
  <r>
    <s v="ORD812"/>
    <x v="4"/>
    <s v="Milwaukee, WI"/>
    <d v="2025-12-26T00:00:00"/>
    <d v="1899-12-30T20:00:00"/>
    <d v="2025-12-26T00:00:00"/>
    <d v="1899-12-30T20:30:00"/>
    <n v="30"/>
    <s v="Medium"/>
    <s v="Margarita"/>
    <n v="3"/>
    <x v="3"/>
    <x v="0"/>
    <s v="Cash"/>
    <x v="0"/>
    <x v="0"/>
    <n v="6.666666666666667"/>
    <n v="0.66666666666666663"/>
    <x v="11"/>
    <s v="Offline"/>
    <n v="10.8"/>
    <n v="19.2"/>
    <x v="0"/>
    <n v="6"/>
    <n v="2"/>
    <x v="1"/>
    <n v="30.286458333333329"/>
    <n v="0"/>
  </r>
  <r>
    <s v="ORD813"/>
    <x v="0"/>
    <s v="Albuquerque, NM"/>
    <d v="2025-12-27T00:00:00"/>
    <d v="1899-12-30T19:15:00"/>
    <d v="2025-12-27T00:00:00"/>
    <d v="1899-12-30T19:45:00"/>
    <n v="30"/>
    <s v="Large"/>
    <s v="Sicilian"/>
    <n v="4"/>
    <x v="10"/>
    <x v="0"/>
    <s v="UPI"/>
    <x v="0"/>
    <x v="1"/>
    <n v="5.4545454545454541"/>
    <n v="0.72727272727272729"/>
    <x v="11"/>
    <s v="Online"/>
    <n v="13.2"/>
    <n v="16.8"/>
    <x v="0"/>
    <n v="12"/>
    <n v="2"/>
    <x v="3"/>
    <n v="30.259433962264151"/>
    <n v="0"/>
  </r>
  <r>
    <s v="ORD814"/>
    <x v="3"/>
    <s v="Atlanta, GA"/>
    <d v="2025-12-28T00:00:00"/>
    <d v="1899-12-30T20:30:00"/>
    <d v="2025-12-28T00:00:00"/>
    <d v="1899-12-30T21:00:00"/>
    <n v="30"/>
    <s v="Medium"/>
    <s v="Veg"/>
    <n v="2"/>
    <x v="6"/>
    <x v="2"/>
    <s v="Wallet"/>
    <x v="0"/>
    <x v="1"/>
    <n v="7.5"/>
    <n v="0.5"/>
    <x v="11"/>
    <s v="Online"/>
    <n v="9.6"/>
    <n v="20.399999999999999"/>
    <x v="0"/>
    <n v="4"/>
    <n v="1"/>
    <x v="1"/>
    <n v="29.948453608247419"/>
    <n v="0"/>
  </r>
  <r>
    <s v="ORD815"/>
    <x v="1"/>
    <s v="Omaha, NE"/>
    <d v="2025-12-29T00:00:00"/>
    <d v="1899-12-30T18:45:00"/>
    <d v="2025-12-29T00:00:00"/>
    <d v="1899-12-30T19:15:00"/>
    <n v="30"/>
    <s v="Medium"/>
    <s v="BBQ Chicken"/>
    <n v="3"/>
    <x v="1"/>
    <x v="0"/>
    <s v="Card"/>
    <x v="0"/>
    <x v="0"/>
    <n v="6"/>
    <n v="0.6"/>
    <x v="11"/>
    <s v="Online"/>
    <n v="12"/>
    <n v="18"/>
    <x v="0"/>
    <n v="6"/>
    <n v="2"/>
    <x v="0"/>
    <n v="28.186274509803919"/>
    <n v="0"/>
  </r>
  <r>
    <s v="ORD816"/>
    <x v="2"/>
    <s v="Louisville, KY"/>
    <d v="2025-12-30T00:00:00"/>
    <d v="1899-12-30T19:00:00"/>
    <d v="2025-12-30T00:00:00"/>
    <d v="1899-12-30T19:30:00"/>
    <n v="30"/>
    <s v="XL"/>
    <s v="Cheese Burst"/>
    <n v="5"/>
    <x v="7"/>
    <x v="1"/>
    <s v="UPI"/>
    <x v="0"/>
    <x v="0"/>
    <n v="5"/>
    <n v="0.83333333333333337"/>
    <x v="11"/>
    <s v="Online"/>
    <n v="14.4"/>
    <n v="15.6"/>
    <x v="0"/>
    <n v="20"/>
    <n v="3"/>
    <x v="3"/>
    <n v="28.844221105527641"/>
    <n v="0"/>
  </r>
  <r>
    <s v="ORD817"/>
    <x v="4"/>
    <s v="Milwaukee, WI"/>
    <d v="2025-12-31T00:00:00"/>
    <d v="1899-12-30T20:15:00"/>
    <d v="2025-12-31T00:00:00"/>
    <d v="1899-12-30T20:45:00"/>
    <n v="30"/>
    <s v="Medium"/>
    <s v="Margarita"/>
    <n v="3"/>
    <x v="3"/>
    <x v="0"/>
    <s v="Cash"/>
    <x v="0"/>
    <x v="0"/>
    <n v="6.666666666666667"/>
    <n v="0.66666666666666663"/>
    <x v="11"/>
    <s v="Offline"/>
    <n v="10.8"/>
    <n v="19.2"/>
    <x v="0"/>
    <n v="6"/>
    <n v="2"/>
    <x v="1"/>
    <n v="30.286458333333329"/>
    <n v="0"/>
  </r>
  <r>
    <s v="ORD818"/>
    <x v="0"/>
    <s v="Albuquerque, NM"/>
    <d v="2025-01-01T00:00:00"/>
    <d v="1899-12-30T19:30:00"/>
    <d v="2025-01-01T00:00:00"/>
    <d v="1899-12-30T20:00:00"/>
    <n v="30"/>
    <s v="Large"/>
    <s v="Sicilian"/>
    <n v="4"/>
    <x v="10"/>
    <x v="0"/>
    <s v="UPI"/>
    <x v="0"/>
    <x v="0"/>
    <n v="5.4545454545454541"/>
    <n v="0.72727272727272729"/>
    <x v="0"/>
    <s v="Online"/>
    <n v="13.2"/>
    <n v="16.8"/>
    <x v="0"/>
    <n v="12"/>
    <n v="2"/>
    <x v="3"/>
    <n v="30.259433962264151"/>
    <n v="0"/>
  </r>
  <r>
    <s v="ORD819"/>
    <x v="3"/>
    <s v="Atlanta, GA"/>
    <d v="2025-01-02T00:00:00"/>
    <d v="1899-12-30T20:45:00"/>
    <d v="2025-01-02T00:00:00"/>
    <d v="1899-12-30T21:15:00"/>
    <n v="30"/>
    <s v="Medium"/>
    <s v="Veg"/>
    <n v="2"/>
    <x v="6"/>
    <x v="2"/>
    <s v="Wallet"/>
    <x v="0"/>
    <x v="0"/>
    <n v="7.5"/>
    <n v="0.5"/>
    <x v="0"/>
    <s v="Online"/>
    <n v="9.6"/>
    <n v="20.399999999999999"/>
    <x v="0"/>
    <n v="4"/>
    <n v="1"/>
    <x v="1"/>
    <n v="29.948453608247419"/>
    <n v="0"/>
  </r>
  <r>
    <s v="ORD820"/>
    <x v="1"/>
    <s v="Omaha, NE"/>
    <d v="2025-01-03T00:00:00"/>
    <d v="1899-12-30T18:00:00"/>
    <d v="2025-01-03T00:00:00"/>
    <d v="1899-12-30T18:30:00"/>
    <n v="30"/>
    <s v="Medium"/>
    <s v="BBQ Chicken"/>
    <n v="3"/>
    <x v="1"/>
    <x v="0"/>
    <s v="Card"/>
    <x v="0"/>
    <x v="1"/>
    <n v="6"/>
    <n v="0.6"/>
    <x v="0"/>
    <s v="Online"/>
    <n v="12"/>
    <n v="18"/>
    <x v="0"/>
    <n v="6"/>
    <n v="2"/>
    <x v="0"/>
    <n v="28.186274509803919"/>
    <n v="0"/>
  </r>
  <r>
    <s v="ORD821"/>
    <x v="2"/>
    <s v="Louisville, KY"/>
    <d v="2025-01-04T00:00:00"/>
    <d v="1899-12-30T19:15:00"/>
    <d v="2025-01-04T00:00:00"/>
    <d v="1899-12-30T19:45:00"/>
    <n v="30"/>
    <s v="XL"/>
    <s v="Cheese Burst"/>
    <n v="5"/>
    <x v="7"/>
    <x v="1"/>
    <s v="UPI"/>
    <x v="0"/>
    <x v="1"/>
    <n v="5"/>
    <n v="0.83333333333333337"/>
    <x v="0"/>
    <s v="Online"/>
    <n v="14.4"/>
    <n v="15.6"/>
    <x v="0"/>
    <n v="20"/>
    <n v="3"/>
    <x v="3"/>
    <n v="28.844221105527641"/>
    <n v="0"/>
  </r>
  <r>
    <s v="ORD822"/>
    <x v="4"/>
    <s v="Milwaukee, WI"/>
    <d v="2025-01-05T00:00:00"/>
    <d v="1899-12-30T20:30:00"/>
    <d v="2025-01-05T00:00:00"/>
    <d v="1899-12-30T21:00:00"/>
    <n v="30"/>
    <s v="Medium"/>
    <s v="Margarita"/>
    <n v="3"/>
    <x v="3"/>
    <x v="0"/>
    <s v="Cash"/>
    <x v="0"/>
    <x v="0"/>
    <n v="6.666666666666667"/>
    <n v="0.66666666666666663"/>
    <x v="0"/>
    <s v="Offline"/>
    <n v="10.8"/>
    <n v="19.2"/>
    <x v="0"/>
    <n v="6"/>
    <n v="2"/>
    <x v="1"/>
    <n v="30.286458333333329"/>
    <n v="0"/>
  </r>
  <r>
    <s v="ORD823"/>
    <x v="0"/>
    <s v="Albuquerque, NM"/>
    <d v="2025-01-06T00:00:00"/>
    <d v="1899-12-30T19:00:00"/>
    <d v="2025-01-06T00:00:00"/>
    <d v="1899-12-30T19:30:00"/>
    <n v="30"/>
    <s v="Large"/>
    <s v="Sicilian"/>
    <n v="4"/>
    <x v="10"/>
    <x v="0"/>
    <s v="UPI"/>
    <x v="0"/>
    <x v="0"/>
    <n v="5.4545454545454541"/>
    <n v="0.72727272727272729"/>
    <x v="0"/>
    <s v="Online"/>
    <n v="13.2"/>
    <n v="16.8"/>
    <x v="0"/>
    <n v="12"/>
    <n v="2"/>
    <x v="3"/>
    <n v="30.259433962264151"/>
    <n v="0"/>
  </r>
  <r>
    <s v="ORD824"/>
    <x v="3"/>
    <s v="Atlanta, GA"/>
    <d v="2025-01-07T00:00:00"/>
    <d v="1899-12-30T20:15:00"/>
    <d v="2025-01-07T00:00:00"/>
    <d v="1899-12-30T20:45:00"/>
    <n v="30"/>
    <s v="Medium"/>
    <s v="Veg"/>
    <n v="2"/>
    <x v="6"/>
    <x v="2"/>
    <s v="Wallet"/>
    <x v="0"/>
    <x v="0"/>
    <n v="7.5"/>
    <n v="0.5"/>
    <x v="0"/>
    <s v="Online"/>
    <n v="9.6"/>
    <n v="20.399999999999999"/>
    <x v="0"/>
    <n v="4"/>
    <n v="1"/>
    <x v="1"/>
    <n v="29.948453608247419"/>
    <n v="0"/>
  </r>
  <r>
    <s v="ORD825"/>
    <x v="1"/>
    <s v="Omaha, NE"/>
    <d v="2025-01-08T00:00:00"/>
    <d v="1899-12-30T18:30:00"/>
    <d v="2025-01-08T00:00:00"/>
    <d v="1899-12-30T19:00:00"/>
    <n v="30"/>
    <s v="Medium"/>
    <s v="BBQ Chicken"/>
    <n v="3"/>
    <x v="1"/>
    <x v="0"/>
    <s v="Card"/>
    <x v="0"/>
    <x v="0"/>
    <n v="6"/>
    <n v="0.6"/>
    <x v="0"/>
    <s v="Online"/>
    <n v="12"/>
    <n v="18"/>
    <x v="0"/>
    <n v="6"/>
    <n v="2"/>
    <x v="0"/>
    <n v="28.186274509803919"/>
    <n v="0"/>
  </r>
  <r>
    <s v="ORD826"/>
    <x v="2"/>
    <s v="Louisville, KY"/>
    <d v="2025-01-09T00:00:00"/>
    <d v="1899-12-30T19:45:00"/>
    <d v="2025-01-09T00:00:00"/>
    <d v="1899-12-30T20:15:00"/>
    <n v="30"/>
    <s v="XL"/>
    <s v="Cheese Burst"/>
    <n v="5"/>
    <x v="7"/>
    <x v="1"/>
    <s v="UPI"/>
    <x v="0"/>
    <x v="0"/>
    <n v="5"/>
    <n v="0.83333333333333337"/>
    <x v="0"/>
    <s v="Online"/>
    <n v="14.4"/>
    <n v="15.6"/>
    <x v="0"/>
    <n v="20"/>
    <n v="3"/>
    <x v="3"/>
    <n v="28.844221105527641"/>
    <n v="0"/>
  </r>
  <r>
    <s v="ORD827"/>
    <x v="4"/>
    <s v="Milwaukee, WI"/>
    <d v="2025-01-10T00:00:00"/>
    <d v="1899-12-30T20:00:00"/>
    <d v="2025-01-10T00:00:00"/>
    <d v="1899-12-30T20:30:00"/>
    <n v="30"/>
    <s v="Medium"/>
    <s v="Margarita"/>
    <n v="3"/>
    <x v="3"/>
    <x v="0"/>
    <s v="Cash"/>
    <x v="0"/>
    <x v="1"/>
    <n v="6.666666666666667"/>
    <n v="0.66666666666666663"/>
    <x v="0"/>
    <s v="Offline"/>
    <n v="10.8"/>
    <n v="19.2"/>
    <x v="0"/>
    <n v="6"/>
    <n v="2"/>
    <x v="1"/>
    <n v="30.286458333333329"/>
    <n v="0"/>
  </r>
  <r>
    <s v="ORD828"/>
    <x v="0"/>
    <s v="Albuquerque, NM"/>
    <d v="2025-01-11T00:00:00"/>
    <d v="1899-12-30T19:15:00"/>
    <d v="2025-01-11T00:00:00"/>
    <d v="1899-12-30T19:45:00"/>
    <n v="30"/>
    <s v="Large"/>
    <s v="Sicilian"/>
    <n v="4"/>
    <x v="10"/>
    <x v="0"/>
    <s v="UPI"/>
    <x v="0"/>
    <x v="1"/>
    <n v="5.4545454545454541"/>
    <n v="0.72727272727272729"/>
    <x v="0"/>
    <s v="Online"/>
    <n v="13.2"/>
    <n v="16.8"/>
    <x v="0"/>
    <n v="12"/>
    <n v="2"/>
    <x v="3"/>
    <n v="30.259433962264151"/>
    <n v="0"/>
  </r>
  <r>
    <s v="ORD829"/>
    <x v="3"/>
    <s v="Atlanta, GA"/>
    <d v="2025-01-12T00:00:00"/>
    <d v="1899-12-30T20:30:00"/>
    <d v="2025-01-12T00:00:00"/>
    <d v="1899-12-30T21:00:00"/>
    <n v="30"/>
    <s v="Medium"/>
    <s v="Veg"/>
    <n v="2"/>
    <x v="6"/>
    <x v="2"/>
    <s v="Wallet"/>
    <x v="0"/>
    <x v="0"/>
    <n v="7.5"/>
    <n v="0.5"/>
    <x v="0"/>
    <s v="Online"/>
    <n v="9.6"/>
    <n v="20.399999999999999"/>
    <x v="0"/>
    <n v="4"/>
    <n v="1"/>
    <x v="1"/>
    <n v="29.948453608247419"/>
    <n v="0"/>
  </r>
  <r>
    <s v="ORD830"/>
    <x v="1"/>
    <s v="Omaha, NE"/>
    <d v="2025-01-13T00:00:00"/>
    <d v="1899-12-30T18:45:00"/>
    <d v="2025-01-13T00:00:00"/>
    <d v="1899-12-30T19:15:00"/>
    <n v="30"/>
    <s v="Medium"/>
    <s v="BBQ Chicken"/>
    <n v="3"/>
    <x v="1"/>
    <x v="0"/>
    <s v="Card"/>
    <x v="0"/>
    <x v="0"/>
    <n v="6"/>
    <n v="0.6"/>
    <x v="0"/>
    <s v="Online"/>
    <n v="12"/>
    <n v="18"/>
    <x v="0"/>
    <n v="6"/>
    <n v="2"/>
    <x v="0"/>
    <n v="28.186274509803919"/>
    <n v="0"/>
  </r>
  <r>
    <s v="ORD831"/>
    <x v="2"/>
    <s v="Louisville, KY"/>
    <d v="2025-01-14T00:00:00"/>
    <d v="1899-12-30T19:00:00"/>
    <d v="2025-01-14T00:00:00"/>
    <d v="1899-12-30T19:30:00"/>
    <n v="30"/>
    <s v="XL"/>
    <s v="Cheese Burst"/>
    <n v="5"/>
    <x v="7"/>
    <x v="1"/>
    <s v="UPI"/>
    <x v="0"/>
    <x v="0"/>
    <n v="5"/>
    <n v="0.83333333333333337"/>
    <x v="0"/>
    <s v="Online"/>
    <n v="14.4"/>
    <n v="15.6"/>
    <x v="0"/>
    <n v="20"/>
    <n v="3"/>
    <x v="3"/>
    <n v="28.844221105527641"/>
    <n v="0"/>
  </r>
  <r>
    <s v="ORD832"/>
    <x v="4"/>
    <s v="Milwaukee, WI"/>
    <d v="2025-01-15T00:00:00"/>
    <d v="1899-12-30T20:15:00"/>
    <d v="2025-01-15T00:00:00"/>
    <d v="1899-12-30T20:45:00"/>
    <n v="30"/>
    <s v="Medium"/>
    <s v="Margarita"/>
    <n v="3"/>
    <x v="3"/>
    <x v="0"/>
    <s v="Cash"/>
    <x v="0"/>
    <x v="0"/>
    <n v="6.666666666666667"/>
    <n v="0.66666666666666663"/>
    <x v="0"/>
    <s v="Offline"/>
    <n v="10.8"/>
    <n v="19.2"/>
    <x v="0"/>
    <n v="6"/>
    <n v="2"/>
    <x v="1"/>
    <n v="30.286458333333329"/>
    <n v="0"/>
  </r>
  <r>
    <s v="ORD833"/>
    <x v="0"/>
    <s v="Albuquerque, NM"/>
    <d v="2025-01-16T00:00:00"/>
    <d v="1899-12-30T19:30:00"/>
    <d v="2025-01-16T00:00:00"/>
    <d v="1899-12-30T20:00:00"/>
    <n v="30"/>
    <s v="Large"/>
    <s v="Sicilian"/>
    <n v="4"/>
    <x v="10"/>
    <x v="0"/>
    <s v="UPI"/>
    <x v="0"/>
    <x v="0"/>
    <n v="5.4545454545454541"/>
    <n v="0.72727272727272729"/>
    <x v="0"/>
    <s v="Online"/>
    <n v="13.2"/>
    <n v="16.8"/>
    <x v="0"/>
    <n v="12"/>
    <n v="2"/>
    <x v="3"/>
    <n v="30.259433962264151"/>
    <n v="0"/>
  </r>
  <r>
    <s v="ORD834"/>
    <x v="3"/>
    <s v="Atlanta, GA"/>
    <d v="2025-01-17T00:00:00"/>
    <d v="1899-12-30T20:45:00"/>
    <d v="2025-01-17T00:00:00"/>
    <d v="1899-12-30T21:15:00"/>
    <n v="30"/>
    <s v="Medium"/>
    <s v="Veg"/>
    <n v="2"/>
    <x v="6"/>
    <x v="2"/>
    <s v="Wallet"/>
    <x v="0"/>
    <x v="1"/>
    <n v="7.5"/>
    <n v="0.5"/>
    <x v="0"/>
    <s v="Online"/>
    <n v="9.6"/>
    <n v="20.399999999999999"/>
    <x v="0"/>
    <n v="4"/>
    <n v="1"/>
    <x v="1"/>
    <n v="29.948453608247419"/>
    <n v="0"/>
  </r>
  <r>
    <s v="ORD835"/>
    <x v="1"/>
    <s v="Omaha, NE"/>
    <d v="2025-01-18T00:00:00"/>
    <d v="1899-12-30T18:00:00"/>
    <d v="2025-01-18T00:00:00"/>
    <d v="1899-12-30T18:30:00"/>
    <n v="30"/>
    <s v="Medium"/>
    <s v="BBQ Chicken"/>
    <n v="3"/>
    <x v="1"/>
    <x v="0"/>
    <s v="Card"/>
    <x v="0"/>
    <x v="1"/>
    <n v="6"/>
    <n v="0.6"/>
    <x v="0"/>
    <s v="Online"/>
    <n v="12"/>
    <n v="18"/>
    <x v="0"/>
    <n v="6"/>
    <n v="2"/>
    <x v="0"/>
    <n v="28.186274509803919"/>
    <n v="0"/>
  </r>
  <r>
    <s v="ORD836"/>
    <x v="2"/>
    <s v="Louisville, KY"/>
    <d v="2025-01-19T00:00:00"/>
    <d v="1899-12-30T19:15:00"/>
    <d v="2025-01-19T00:00:00"/>
    <d v="1899-12-30T19:45:00"/>
    <n v="30"/>
    <s v="XL"/>
    <s v="Cheese Burst"/>
    <n v="5"/>
    <x v="7"/>
    <x v="1"/>
    <s v="UPI"/>
    <x v="0"/>
    <x v="0"/>
    <n v="5"/>
    <n v="0.83333333333333337"/>
    <x v="0"/>
    <s v="Online"/>
    <n v="14.4"/>
    <n v="15.6"/>
    <x v="0"/>
    <n v="20"/>
    <n v="3"/>
    <x v="3"/>
    <n v="28.844221105527641"/>
    <n v="0"/>
  </r>
  <r>
    <s v="ORD837"/>
    <x v="4"/>
    <s v="Milwaukee, WI"/>
    <d v="2025-01-20T00:00:00"/>
    <d v="1899-12-30T20:30:00"/>
    <d v="2025-01-20T00:00:00"/>
    <d v="1899-12-30T21:00:00"/>
    <n v="30"/>
    <s v="Medium"/>
    <s v="Margarita"/>
    <n v="3"/>
    <x v="3"/>
    <x v="0"/>
    <s v="Cash"/>
    <x v="0"/>
    <x v="0"/>
    <n v="6.666666666666667"/>
    <n v="0.66666666666666663"/>
    <x v="0"/>
    <s v="Offline"/>
    <n v="10.8"/>
    <n v="19.2"/>
    <x v="0"/>
    <n v="6"/>
    <n v="2"/>
    <x v="1"/>
    <n v="30.286458333333329"/>
    <n v="0"/>
  </r>
  <r>
    <s v="ORD838"/>
    <x v="1"/>
    <s v="Omaha, NE"/>
    <d v="2025-01-21T00:00:00"/>
    <d v="1899-12-30T18:00:00"/>
    <d v="2025-01-21T00:00:00"/>
    <d v="1899-12-30T18:30:00"/>
    <n v="30"/>
    <s v="Medium"/>
    <s v="BBQ Chicken"/>
    <n v="3"/>
    <x v="1"/>
    <x v="0"/>
    <s v="UPI"/>
    <x v="0"/>
    <x v="0"/>
    <n v="6"/>
    <n v="0.6"/>
    <x v="0"/>
    <s v="Online"/>
    <n v="12"/>
    <n v="18"/>
    <x v="0"/>
    <n v="6"/>
    <n v="2"/>
    <x v="0"/>
    <n v="28.186274509803919"/>
    <n v="0"/>
  </r>
  <r>
    <s v="ORD839"/>
    <x v="2"/>
    <s v="Louisville, KY"/>
    <d v="2025-01-22T00:00:00"/>
    <d v="1899-12-30T19:15:00"/>
    <d v="2025-01-22T00:00:00"/>
    <d v="1899-12-30T19:45:00"/>
    <n v="30"/>
    <s v="XL"/>
    <s v="Cheese Burst"/>
    <n v="5"/>
    <x v="7"/>
    <x v="1"/>
    <s v="Card"/>
    <x v="0"/>
    <x v="0"/>
    <n v="5"/>
    <n v="0.83333333333333337"/>
    <x v="0"/>
    <s v="Online"/>
    <n v="14.4"/>
    <n v="15.6"/>
    <x v="0"/>
    <n v="20"/>
    <n v="3"/>
    <x v="3"/>
    <n v="28.844221105527641"/>
    <n v="0"/>
  </r>
  <r>
    <s v="ORD840"/>
    <x v="4"/>
    <s v="Milwaukee, WI"/>
    <d v="2025-01-23T00:00:00"/>
    <d v="1899-12-30T20:30:00"/>
    <d v="2025-01-23T00:00:00"/>
    <d v="1899-12-30T21:00:00"/>
    <n v="30"/>
    <s v="Medium"/>
    <s v="Margarita"/>
    <n v="3"/>
    <x v="3"/>
    <x v="0"/>
    <s v="Cash"/>
    <x v="0"/>
    <x v="0"/>
    <n v="6.666666666666667"/>
    <n v="0.66666666666666663"/>
    <x v="0"/>
    <s v="Offline"/>
    <n v="10.8"/>
    <n v="19.2"/>
    <x v="0"/>
    <n v="6"/>
    <n v="2"/>
    <x v="1"/>
    <n v="30.286458333333329"/>
    <n v="0"/>
  </r>
  <r>
    <s v="ORD841"/>
    <x v="0"/>
    <s v="Albuquerque, NM"/>
    <d v="2025-01-24T00:00:00"/>
    <d v="1899-12-30T19:00:00"/>
    <d v="2025-01-24T00:00:00"/>
    <d v="1899-12-30T19:30:00"/>
    <n v="30"/>
    <s v="Large"/>
    <s v="Sicilian"/>
    <n v="4"/>
    <x v="10"/>
    <x v="0"/>
    <s v="UPI"/>
    <x v="0"/>
    <x v="1"/>
    <n v="5.4545454545454541"/>
    <n v="0.72727272727272729"/>
    <x v="0"/>
    <s v="Online"/>
    <n v="13.2"/>
    <n v="16.8"/>
    <x v="0"/>
    <n v="12"/>
    <n v="2"/>
    <x v="3"/>
    <n v="30.259433962264151"/>
    <n v="0"/>
  </r>
  <r>
    <s v="ORD842"/>
    <x v="3"/>
    <s v="Atlanta, GA"/>
    <d v="2025-01-25T00:00:00"/>
    <d v="1899-12-30T20:15:00"/>
    <d v="2025-01-25T00:00:00"/>
    <d v="1899-12-30T20:45:00"/>
    <n v="30"/>
    <s v="Medium"/>
    <s v="Veg"/>
    <n v="2"/>
    <x v="6"/>
    <x v="2"/>
    <s v="Wallet"/>
    <x v="0"/>
    <x v="1"/>
    <n v="7.5"/>
    <n v="0.5"/>
    <x v="0"/>
    <s v="Online"/>
    <n v="9.6"/>
    <n v="20.399999999999999"/>
    <x v="0"/>
    <n v="4"/>
    <n v="1"/>
    <x v="1"/>
    <n v="29.948453608247419"/>
    <n v="0"/>
  </r>
  <r>
    <s v="ORD843"/>
    <x v="1"/>
    <s v="Omaha, NE"/>
    <d v="2025-01-26T00:00:00"/>
    <d v="1899-12-30T18:30:00"/>
    <d v="2025-01-26T00:00:00"/>
    <d v="1899-12-30T19:00:00"/>
    <n v="30"/>
    <s v="Medium"/>
    <s v="BBQ Chicken"/>
    <n v="3"/>
    <x v="1"/>
    <x v="0"/>
    <s v="Card"/>
    <x v="0"/>
    <x v="0"/>
    <n v="6"/>
    <n v="0.6"/>
    <x v="0"/>
    <s v="Online"/>
    <n v="12"/>
    <n v="18"/>
    <x v="0"/>
    <n v="6"/>
    <n v="2"/>
    <x v="0"/>
    <n v="28.186274509803919"/>
    <n v="0"/>
  </r>
  <r>
    <s v="ORD844"/>
    <x v="2"/>
    <s v="Louisville, KY"/>
    <d v="2025-01-27T00:00:00"/>
    <d v="1899-12-30T19:45:00"/>
    <d v="2025-01-27T00:00:00"/>
    <d v="1899-12-30T20:15:00"/>
    <n v="30"/>
    <s v="XL"/>
    <s v="Cheese Burst"/>
    <n v="5"/>
    <x v="7"/>
    <x v="1"/>
    <s v="UPI"/>
    <x v="0"/>
    <x v="0"/>
    <n v="5"/>
    <n v="0.83333333333333337"/>
    <x v="0"/>
    <s v="Online"/>
    <n v="14.4"/>
    <n v="15.6"/>
    <x v="0"/>
    <n v="20"/>
    <n v="3"/>
    <x v="3"/>
    <n v="28.844221105527641"/>
    <n v="0"/>
  </r>
  <r>
    <s v="ORD845"/>
    <x v="4"/>
    <s v="Milwaukee, WI"/>
    <d v="2025-01-28T00:00:00"/>
    <d v="1899-12-30T20:00:00"/>
    <d v="2025-01-28T00:00:00"/>
    <d v="1899-12-30T20:30:00"/>
    <n v="30"/>
    <s v="Medium"/>
    <s v="Margarita"/>
    <n v="3"/>
    <x v="3"/>
    <x v="0"/>
    <s v="Cash"/>
    <x v="0"/>
    <x v="0"/>
    <n v="6.666666666666667"/>
    <n v="0.66666666666666663"/>
    <x v="0"/>
    <s v="Offline"/>
    <n v="10.8"/>
    <n v="19.2"/>
    <x v="0"/>
    <n v="6"/>
    <n v="2"/>
    <x v="1"/>
    <n v="30.286458333333329"/>
    <n v="0"/>
  </r>
  <r>
    <s v="ORD846"/>
    <x v="0"/>
    <s v="Albuquerque, NM"/>
    <d v="2025-01-29T00:00:00"/>
    <d v="1899-12-30T19:15:00"/>
    <d v="2025-01-29T00:00:00"/>
    <d v="1899-12-30T19:45:00"/>
    <n v="30"/>
    <s v="Large"/>
    <s v="Sicilian"/>
    <n v="4"/>
    <x v="10"/>
    <x v="0"/>
    <s v="UPI"/>
    <x v="0"/>
    <x v="0"/>
    <n v="5.4545454545454541"/>
    <n v="0.72727272727272729"/>
    <x v="0"/>
    <s v="Online"/>
    <n v="13.2"/>
    <n v="16.8"/>
    <x v="0"/>
    <n v="12"/>
    <n v="2"/>
    <x v="3"/>
    <n v="30.259433962264151"/>
    <n v="0"/>
  </r>
  <r>
    <s v="ORD847"/>
    <x v="3"/>
    <s v="Atlanta, GA"/>
    <d v="2025-01-30T00:00:00"/>
    <d v="1899-12-30T20:30:00"/>
    <d v="2025-01-30T00:00:00"/>
    <d v="1899-12-30T21:00:00"/>
    <n v="30"/>
    <s v="Medium"/>
    <s v="Veg"/>
    <n v="2"/>
    <x v="6"/>
    <x v="2"/>
    <s v="Wallet"/>
    <x v="0"/>
    <x v="0"/>
    <n v="7.5"/>
    <n v="0.5"/>
    <x v="0"/>
    <s v="Online"/>
    <n v="9.6"/>
    <n v="20.399999999999999"/>
    <x v="0"/>
    <n v="4"/>
    <n v="1"/>
    <x v="1"/>
    <n v="29.948453608247419"/>
    <n v="0"/>
  </r>
  <r>
    <s v="ORD848"/>
    <x v="1"/>
    <s v="Omaha, NE"/>
    <d v="2025-01-31T00:00:00"/>
    <d v="1899-12-30T18:45:00"/>
    <d v="2025-01-31T00:00:00"/>
    <d v="1899-12-30T19:15:00"/>
    <n v="30"/>
    <s v="Medium"/>
    <s v="BBQ Chicken"/>
    <n v="3"/>
    <x v="1"/>
    <x v="0"/>
    <s v="Card"/>
    <x v="0"/>
    <x v="1"/>
    <n v="6"/>
    <n v="0.6"/>
    <x v="0"/>
    <s v="Online"/>
    <n v="12"/>
    <n v="18"/>
    <x v="0"/>
    <n v="6"/>
    <n v="2"/>
    <x v="0"/>
    <n v="28.186274509803919"/>
    <n v="0"/>
  </r>
  <r>
    <s v="ORD849"/>
    <x v="2"/>
    <s v="Louisville, KY"/>
    <d v="2025-02-01T00:00:00"/>
    <d v="1899-12-30T19:00:00"/>
    <d v="2025-02-01T00:00:00"/>
    <d v="1899-12-30T19:30:00"/>
    <n v="30"/>
    <s v="XL"/>
    <s v="Cheese Burst"/>
    <n v="5"/>
    <x v="7"/>
    <x v="1"/>
    <s v="UPI"/>
    <x v="0"/>
    <x v="1"/>
    <n v="5"/>
    <n v="0.83333333333333337"/>
    <x v="1"/>
    <s v="Online"/>
    <n v="14.4"/>
    <n v="15.6"/>
    <x v="0"/>
    <n v="20"/>
    <n v="3"/>
    <x v="3"/>
    <n v="28.844221105527641"/>
    <n v="0"/>
  </r>
  <r>
    <s v="ORD850"/>
    <x v="4"/>
    <s v="Milwaukee, WI"/>
    <d v="2025-02-02T00:00:00"/>
    <d v="1899-12-30T20:15:00"/>
    <d v="2025-02-02T00:00:00"/>
    <d v="1899-12-30T20:45:00"/>
    <n v="30"/>
    <s v="Medium"/>
    <s v="Margarita"/>
    <n v="3"/>
    <x v="3"/>
    <x v="0"/>
    <s v="Cash"/>
    <x v="0"/>
    <x v="0"/>
    <n v="6.666666666666667"/>
    <n v="0.66666666666666663"/>
    <x v="1"/>
    <s v="Offline"/>
    <n v="10.8"/>
    <n v="19.2"/>
    <x v="0"/>
    <n v="6"/>
    <n v="2"/>
    <x v="1"/>
    <n v="30.286458333333329"/>
    <n v="0"/>
  </r>
  <r>
    <s v="ORD851"/>
    <x v="0"/>
    <s v="Albuquerque, NM"/>
    <d v="2025-02-03T00:00:00"/>
    <d v="1899-12-30T19:30:00"/>
    <d v="2025-02-03T00:00:00"/>
    <d v="1899-12-30T20:00:00"/>
    <n v="30"/>
    <s v="Large"/>
    <s v="Sicilian"/>
    <n v="4"/>
    <x v="10"/>
    <x v="0"/>
    <s v="UPI"/>
    <x v="0"/>
    <x v="0"/>
    <n v="5.4545454545454541"/>
    <n v="0.72727272727272729"/>
    <x v="1"/>
    <s v="Online"/>
    <n v="13.2"/>
    <n v="16.8"/>
    <x v="0"/>
    <n v="12"/>
    <n v="2"/>
    <x v="3"/>
    <n v="30.259433962264151"/>
    <n v="0"/>
  </r>
  <r>
    <s v="ORD852"/>
    <x v="3"/>
    <s v="Atlanta, GA"/>
    <d v="2025-02-04T00:00:00"/>
    <d v="1899-12-30T20:45:00"/>
    <d v="2025-02-04T00:00:00"/>
    <d v="1899-12-30T21:15:00"/>
    <n v="30"/>
    <s v="Medium"/>
    <s v="Veg"/>
    <n v="2"/>
    <x v="6"/>
    <x v="2"/>
    <s v="Wallet"/>
    <x v="0"/>
    <x v="0"/>
    <n v="7.5"/>
    <n v="0.5"/>
    <x v="1"/>
    <s v="Online"/>
    <n v="9.6"/>
    <n v="20.399999999999999"/>
    <x v="0"/>
    <n v="4"/>
    <n v="1"/>
    <x v="1"/>
    <n v="29.948453608247419"/>
    <n v="0"/>
  </r>
  <r>
    <s v="ORD853"/>
    <x v="1"/>
    <s v="Omaha, NE"/>
    <d v="2025-02-05T00:00:00"/>
    <d v="1899-12-30T18:00:00"/>
    <d v="2025-02-05T00:00:00"/>
    <d v="1899-12-30T18:30:00"/>
    <n v="30"/>
    <s v="Medium"/>
    <s v="BBQ Chicken"/>
    <n v="3"/>
    <x v="1"/>
    <x v="0"/>
    <s v="Card"/>
    <x v="0"/>
    <x v="0"/>
    <n v="6"/>
    <n v="0.6"/>
    <x v="1"/>
    <s v="Online"/>
    <n v="12"/>
    <n v="18"/>
    <x v="0"/>
    <n v="6"/>
    <n v="2"/>
    <x v="0"/>
    <n v="28.186274509803919"/>
    <n v="0"/>
  </r>
  <r>
    <s v="ORD854"/>
    <x v="2"/>
    <s v="Louisville, KY"/>
    <d v="2025-02-06T00:00:00"/>
    <d v="1899-12-30T19:15:00"/>
    <d v="2025-02-06T00:00:00"/>
    <d v="1899-12-30T19:45:00"/>
    <n v="30"/>
    <s v="XL"/>
    <s v="Cheese Burst"/>
    <n v="5"/>
    <x v="7"/>
    <x v="1"/>
    <s v="UPI"/>
    <x v="0"/>
    <x v="0"/>
    <n v="5"/>
    <n v="0.83333333333333337"/>
    <x v="1"/>
    <s v="Online"/>
    <n v="14.4"/>
    <n v="15.6"/>
    <x v="0"/>
    <n v="20"/>
    <n v="3"/>
    <x v="3"/>
    <n v="28.844221105527641"/>
    <n v="0"/>
  </r>
  <r>
    <s v="ORD855"/>
    <x v="4"/>
    <s v="Milwaukee, WI"/>
    <d v="2025-02-07T00:00:00"/>
    <d v="1899-12-30T20:30:00"/>
    <d v="2025-02-07T00:00:00"/>
    <d v="1899-12-30T21:00:00"/>
    <n v="30"/>
    <s v="Medium"/>
    <s v="Margarita"/>
    <n v="3"/>
    <x v="3"/>
    <x v="0"/>
    <s v="Cash"/>
    <x v="0"/>
    <x v="1"/>
    <n v="6.666666666666667"/>
    <n v="0.66666666666666663"/>
    <x v="1"/>
    <s v="Offline"/>
    <n v="10.8"/>
    <n v="19.2"/>
    <x v="0"/>
    <n v="6"/>
    <n v="2"/>
    <x v="1"/>
    <n v="30.286458333333329"/>
    <n v="0"/>
  </r>
  <r>
    <s v="ORD856"/>
    <x v="0"/>
    <s v="Albuquerque, NM"/>
    <d v="2025-02-08T00:00:00"/>
    <d v="1899-12-30T19:00:00"/>
    <d v="2025-02-08T00:00:00"/>
    <d v="1899-12-30T19:30:00"/>
    <n v="30"/>
    <s v="Large"/>
    <s v="Sicilian"/>
    <n v="4"/>
    <x v="10"/>
    <x v="0"/>
    <s v="UPI"/>
    <x v="0"/>
    <x v="1"/>
    <n v="5.4545454545454541"/>
    <n v="0.72727272727272729"/>
    <x v="1"/>
    <s v="Online"/>
    <n v="13.2"/>
    <n v="16.8"/>
    <x v="0"/>
    <n v="12"/>
    <n v="2"/>
    <x v="3"/>
    <n v="30.259433962264151"/>
    <n v="0"/>
  </r>
  <r>
    <s v="ORD857"/>
    <x v="3"/>
    <s v="Atlanta, GA"/>
    <d v="2025-02-09T00:00:00"/>
    <d v="1899-12-30T20:15:00"/>
    <d v="2025-02-09T00:00:00"/>
    <d v="1899-12-30T20:45:00"/>
    <n v="30"/>
    <s v="Medium"/>
    <s v="Veg"/>
    <n v="2"/>
    <x v="6"/>
    <x v="2"/>
    <s v="Wallet"/>
    <x v="0"/>
    <x v="0"/>
    <n v="7.5"/>
    <n v="0.5"/>
    <x v="1"/>
    <s v="Online"/>
    <n v="9.6"/>
    <n v="20.399999999999999"/>
    <x v="0"/>
    <n v="4"/>
    <n v="1"/>
    <x v="1"/>
    <n v="29.948453608247419"/>
    <n v="0"/>
  </r>
  <r>
    <s v="ORD858"/>
    <x v="1"/>
    <s v="Omaha, NE"/>
    <d v="2025-02-10T00:00:00"/>
    <d v="1899-12-30T18:30:00"/>
    <d v="2025-02-10T00:00:00"/>
    <d v="1899-12-30T19:00:00"/>
    <n v="30"/>
    <s v="Medium"/>
    <s v="BBQ Chicken"/>
    <n v="3"/>
    <x v="1"/>
    <x v="0"/>
    <s v="Card"/>
    <x v="0"/>
    <x v="0"/>
    <n v="6"/>
    <n v="0.6"/>
    <x v="1"/>
    <s v="Online"/>
    <n v="12"/>
    <n v="18"/>
    <x v="0"/>
    <n v="6"/>
    <n v="2"/>
    <x v="0"/>
    <n v="28.186274509803919"/>
    <n v="0"/>
  </r>
  <r>
    <s v="ORD859"/>
    <x v="2"/>
    <s v="Louisville, KY"/>
    <d v="2025-02-11T00:00:00"/>
    <d v="1899-12-30T19:45:00"/>
    <d v="2025-02-11T00:00:00"/>
    <d v="1899-12-30T20:15:00"/>
    <n v="30"/>
    <s v="XL"/>
    <s v="Cheese Burst"/>
    <n v="5"/>
    <x v="7"/>
    <x v="1"/>
    <s v="UPI"/>
    <x v="0"/>
    <x v="0"/>
    <n v="5"/>
    <n v="0.83333333333333337"/>
    <x v="1"/>
    <s v="Online"/>
    <n v="14.4"/>
    <n v="15.6"/>
    <x v="0"/>
    <n v="20"/>
    <n v="3"/>
    <x v="3"/>
    <n v="28.844221105527641"/>
    <n v="0"/>
  </r>
  <r>
    <s v="ORD860"/>
    <x v="4"/>
    <s v="Milwaukee, WI"/>
    <d v="2025-02-12T00:00:00"/>
    <d v="1899-12-30T20:00:00"/>
    <d v="2025-02-12T00:00:00"/>
    <d v="1899-12-30T20:30:00"/>
    <n v="30"/>
    <s v="Medium"/>
    <s v="Margarita"/>
    <n v="3"/>
    <x v="3"/>
    <x v="0"/>
    <s v="Cash"/>
    <x v="0"/>
    <x v="0"/>
    <n v="6.666666666666667"/>
    <n v="0.66666666666666663"/>
    <x v="1"/>
    <s v="Offline"/>
    <n v="10.8"/>
    <n v="19.2"/>
    <x v="0"/>
    <n v="6"/>
    <n v="2"/>
    <x v="1"/>
    <n v="30.286458333333329"/>
    <n v="0"/>
  </r>
  <r>
    <s v="ORD861"/>
    <x v="0"/>
    <s v="Albuquerque, NM"/>
    <d v="2025-02-13T00:00:00"/>
    <d v="1899-12-30T19:15:00"/>
    <d v="2025-02-13T00:00:00"/>
    <d v="1899-12-30T19:45:00"/>
    <n v="30"/>
    <s v="Large"/>
    <s v="Sicilian"/>
    <n v="4"/>
    <x v="10"/>
    <x v="0"/>
    <s v="UPI"/>
    <x v="0"/>
    <x v="0"/>
    <n v="5.4545454545454541"/>
    <n v="0.72727272727272729"/>
    <x v="1"/>
    <s v="Online"/>
    <n v="13.2"/>
    <n v="16.8"/>
    <x v="0"/>
    <n v="12"/>
    <n v="2"/>
    <x v="3"/>
    <n v="30.259433962264151"/>
    <n v="0"/>
  </r>
  <r>
    <s v="ORD862"/>
    <x v="3"/>
    <s v="Atlanta, GA"/>
    <d v="2025-02-14T00:00:00"/>
    <d v="1899-12-30T20:30:00"/>
    <d v="2025-02-14T00:00:00"/>
    <d v="1899-12-30T21:00:00"/>
    <n v="30"/>
    <s v="Medium"/>
    <s v="Veg"/>
    <n v="2"/>
    <x v="6"/>
    <x v="2"/>
    <s v="Wallet"/>
    <x v="0"/>
    <x v="1"/>
    <n v="7.5"/>
    <n v="0.5"/>
    <x v="1"/>
    <s v="Online"/>
    <n v="9.6"/>
    <n v="20.399999999999999"/>
    <x v="0"/>
    <n v="4"/>
    <n v="1"/>
    <x v="1"/>
    <n v="29.948453608247419"/>
    <n v="0"/>
  </r>
  <r>
    <s v="ORD863"/>
    <x v="1"/>
    <s v="Omaha, NE"/>
    <d v="2025-02-15T00:00:00"/>
    <d v="1899-12-30T18:45:00"/>
    <d v="2025-02-15T00:00:00"/>
    <d v="1899-12-30T19:15:00"/>
    <n v="30"/>
    <s v="Medium"/>
    <s v="BBQ Chicken"/>
    <n v="3"/>
    <x v="1"/>
    <x v="0"/>
    <s v="Card"/>
    <x v="0"/>
    <x v="1"/>
    <n v="6"/>
    <n v="0.6"/>
    <x v="1"/>
    <s v="Online"/>
    <n v="12"/>
    <n v="18"/>
    <x v="0"/>
    <n v="6"/>
    <n v="2"/>
    <x v="0"/>
    <n v="28.186274509803919"/>
    <n v="0"/>
  </r>
  <r>
    <s v="ORD864"/>
    <x v="2"/>
    <s v="Louisville, KY"/>
    <d v="2025-02-16T00:00:00"/>
    <d v="1899-12-30T19:00:00"/>
    <d v="2025-02-16T00:00:00"/>
    <d v="1899-12-30T19:30:00"/>
    <n v="30"/>
    <s v="XL"/>
    <s v="Cheese Burst"/>
    <n v="5"/>
    <x v="7"/>
    <x v="1"/>
    <s v="UPI"/>
    <x v="0"/>
    <x v="0"/>
    <n v="5"/>
    <n v="0.83333333333333337"/>
    <x v="1"/>
    <s v="Online"/>
    <n v="14.4"/>
    <n v="15.6"/>
    <x v="0"/>
    <n v="20"/>
    <n v="3"/>
    <x v="3"/>
    <n v="28.844221105527641"/>
    <n v="0"/>
  </r>
  <r>
    <s v="ORD865"/>
    <x v="4"/>
    <s v="Milwaukee, WI"/>
    <d v="2025-02-17T00:00:00"/>
    <d v="1899-12-30T20:15:00"/>
    <d v="2025-02-17T00:00:00"/>
    <d v="1899-12-30T20:45:00"/>
    <n v="30"/>
    <s v="Medium"/>
    <s v="Margarita"/>
    <n v="3"/>
    <x v="3"/>
    <x v="0"/>
    <s v="Cash"/>
    <x v="0"/>
    <x v="0"/>
    <n v="6.666666666666667"/>
    <n v="0.66666666666666663"/>
    <x v="1"/>
    <s v="Offline"/>
    <n v="10.8"/>
    <n v="19.2"/>
    <x v="0"/>
    <n v="6"/>
    <n v="2"/>
    <x v="1"/>
    <n v="30.286458333333329"/>
    <n v="0"/>
  </r>
  <r>
    <s v="ORD866"/>
    <x v="1"/>
    <s v="Omaha, NE"/>
    <d v="2025-02-18T00:00:00"/>
    <d v="1899-12-30T18:30:00"/>
    <d v="2025-02-18T00:00:00"/>
    <d v="1899-12-30T19:00:00"/>
    <n v="30"/>
    <s v="Medium"/>
    <s v="BBQ Chicken"/>
    <n v="3"/>
    <x v="1"/>
    <x v="0"/>
    <s v="UPI"/>
    <x v="0"/>
    <x v="0"/>
    <n v="6"/>
    <n v="0.6"/>
    <x v="1"/>
    <s v="Online"/>
    <n v="12"/>
    <n v="18"/>
    <x v="0"/>
    <n v="6"/>
    <n v="2"/>
    <x v="0"/>
    <n v="28.186274509803919"/>
    <n v="0"/>
  </r>
  <r>
    <s v="ORD867"/>
    <x v="2"/>
    <s v="Louisville, KY"/>
    <d v="2025-02-19T00:00:00"/>
    <d v="1899-12-30T19:45:00"/>
    <d v="2025-02-19T00:00:00"/>
    <d v="1899-12-30T20:15:00"/>
    <n v="30"/>
    <s v="XL"/>
    <s v="Cheese Burst"/>
    <n v="5"/>
    <x v="7"/>
    <x v="1"/>
    <s v="Card"/>
    <x v="0"/>
    <x v="0"/>
    <n v="5"/>
    <n v="0.83333333333333337"/>
    <x v="1"/>
    <s v="Online"/>
    <n v="14.4"/>
    <n v="15.6"/>
    <x v="0"/>
    <n v="20"/>
    <n v="3"/>
    <x v="3"/>
    <n v="28.844221105527641"/>
    <n v="0"/>
  </r>
  <r>
    <s v="ORD868"/>
    <x v="4"/>
    <s v="Milwaukee, WI"/>
    <d v="2025-02-20T00:00:00"/>
    <d v="1899-12-30T20:00:00"/>
    <d v="2025-02-20T00:00:00"/>
    <d v="1899-12-30T20:30:00"/>
    <n v="30"/>
    <s v="Medium"/>
    <s v="Margarita"/>
    <n v="3"/>
    <x v="3"/>
    <x v="0"/>
    <s v="Cash"/>
    <x v="0"/>
    <x v="0"/>
    <n v="6.666666666666667"/>
    <n v="0.66666666666666663"/>
    <x v="1"/>
    <s v="Offline"/>
    <n v="10.8"/>
    <n v="19.2"/>
    <x v="0"/>
    <n v="6"/>
    <n v="2"/>
    <x v="1"/>
    <n v="30.286458333333329"/>
    <n v="0"/>
  </r>
  <r>
    <s v="ORD869"/>
    <x v="0"/>
    <s v="Albuquerque, NM"/>
    <d v="2025-02-21T00:00:00"/>
    <d v="1899-12-30T19:15:00"/>
    <d v="2025-02-21T00:00:00"/>
    <d v="1899-12-30T19:45:00"/>
    <n v="30"/>
    <s v="Large"/>
    <s v="Sicilian"/>
    <n v="4"/>
    <x v="10"/>
    <x v="0"/>
    <s v="UPI"/>
    <x v="0"/>
    <x v="1"/>
    <n v="5.4545454545454541"/>
    <n v="0.72727272727272729"/>
    <x v="1"/>
    <s v="Online"/>
    <n v="13.2"/>
    <n v="16.8"/>
    <x v="0"/>
    <n v="12"/>
    <n v="2"/>
    <x v="3"/>
    <n v="30.259433962264151"/>
    <n v="0"/>
  </r>
  <r>
    <s v="ORD870"/>
    <x v="3"/>
    <s v="Atlanta, GA"/>
    <d v="2025-02-22T00:00:00"/>
    <d v="1899-12-30T20:30:00"/>
    <d v="2025-02-22T00:00:00"/>
    <d v="1899-12-30T21:00:00"/>
    <n v="30"/>
    <s v="Medium"/>
    <s v="Veg"/>
    <n v="2"/>
    <x v="6"/>
    <x v="2"/>
    <s v="Wallet"/>
    <x v="0"/>
    <x v="1"/>
    <n v="7.5"/>
    <n v="0.5"/>
    <x v="1"/>
    <s v="Online"/>
    <n v="9.6"/>
    <n v="20.399999999999999"/>
    <x v="0"/>
    <n v="4"/>
    <n v="1"/>
    <x v="1"/>
    <n v="29.948453608247419"/>
    <n v="0"/>
  </r>
  <r>
    <s v="ORD871"/>
    <x v="1"/>
    <s v="Omaha, NE"/>
    <d v="2025-02-23T00:00:00"/>
    <d v="1899-12-30T18:00:00"/>
    <d v="2025-02-23T00:00:00"/>
    <d v="1899-12-30T18:30:00"/>
    <n v="30"/>
    <s v="Medium"/>
    <s v="BBQ Chicken"/>
    <n v="3"/>
    <x v="1"/>
    <x v="0"/>
    <s v="Card"/>
    <x v="0"/>
    <x v="0"/>
    <n v="6"/>
    <n v="0.6"/>
    <x v="1"/>
    <s v="Online"/>
    <n v="12"/>
    <n v="18"/>
    <x v="0"/>
    <n v="6"/>
    <n v="2"/>
    <x v="0"/>
    <n v="28.186274509803919"/>
    <n v="0"/>
  </r>
  <r>
    <s v="ORD872"/>
    <x v="2"/>
    <s v="Louisville, KY"/>
    <d v="2025-02-24T00:00:00"/>
    <d v="1899-12-30T19:15:00"/>
    <d v="2025-02-24T00:00:00"/>
    <d v="1899-12-30T19:45:00"/>
    <n v="30"/>
    <s v="XL"/>
    <s v="Cheese Burst"/>
    <n v="5"/>
    <x v="7"/>
    <x v="1"/>
    <s v="UPI"/>
    <x v="0"/>
    <x v="0"/>
    <n v="5"/>
    <n v="0.83333333333333337"/>
    <x v="1"/>
    <s v="Online"/>
    <n v="14.4"/>
    <n v="15.6"/>
    <x v="0"/>
    <n v="20"/>
    <n v="3"/>
    <x v="3"/>
    <n v="28.844221105527641"/>
    <n v="0"/>
  </r>
  <r>
    <s v="ORD873"/>
    <x v="4"/>
    <s v="Milwaukee, WI"/>
    <d v="2025-02-25T00:00:00"/>
    <d v="1899-12-30T20:30:00"/>
    <d v="2025-02-25T00:00:00"/>
    <d v="1899-12-30T21:00:00"/>
    <n v="30"/>
    <s v="Medium"/>
    <s v="Margarita"/>
    <n v="3"/>
    <x v="3"/>
    <x v="0"/>
    <s v="Cash"/>
    <x v="0"/>
    <x v="0"/>
    <n v="6.666666666666667"/>
    <n v="0.66666666666666663"/>
    <x v="1"/>
    <s v="Offline"/>
    <n v="10.8"/>
    <n v="19.2"/>
    <x v="0"/>
    <n v="6"/>
    <n v="2"/>
    <x v="1"/>
    <n v="30.286458333333329"/>
    <n v="0"/>
  </r>
  <r>
    <s v="ORD874"/>
    <x v="0"/>
    <s v="Albuquerque, NM"/>
    <d v="2025-02-26T00:00:00"/>
    <d v="1899-12-30T19:00:00"/>
    <d v="2025-02-26T00:00:00"/>
    <d v="1899-12-30T19:30:00"/>
    <n v="30"/>
    <s v="Large"/>
    <s v="Sicilian"/>
    <n v="4"/>
    <x v="10"/>
    <x v="0"/>
    <s v="UPI"/>
    <x v="0"/>
    <x v="0"/>
    <n v="5.4545454545454541"/>
    <n v="0.72727272727272729"/>
    <x v="1"/>
    <s v="Online"/>
    <n v="13.2"/>
    <n v="16.8"/>
    <x v="0"/>
    <n v="12"/>
    <n v="2"/>
    <x v="3"/>
    <n v="30.259433962264151"/>
    <n v="0"/>
  </r>
  <r>
    <s v="ORD875"/>
    <x v="3"/>
    <s v="Atlanta, GA"/>
    <d v="2025-02-27T00:00:00"/>
    <d v="1899-12-30T20:15:00"/>
    <d v="2025-02-27T00:00:00"/>
    <d v="1899-12-30T20:45:00"/>
    <n v="30"/>
    <s v="Medium"/>
    <s v="Veg"/>
    <n v="2"/>
    <x v="6"/>
    <x v="2"/>
    <s v="Wallet"/>
    <x v="0"/>
    <x v="0"/>
    <n v="7.5"/>
    <n v="0.5"/>
    <x v="1"/>
    <s v="Online"/>
    <n v="9.6"/>
    <n v="20.399999999999999"/>
    <x v="0"/>
    <n v="4"/>
    <n v="1"/>
    <x v="1"/>
    <n v="29.948453608247419"/>
    <n v="0"/>
  </r>
  <r>
    <s v="ORD876"/>
    <x v="1"/>
    <s v="Omaha, NE"/>
    <d v="2025-02-28T00:00:00"/>
    <d v="1899-12-30T18:30:00"/>
    <d v="2025-02-28T00:00:00"/>
    <d v="1899-12-30T19:00:00"/>
    <n v="30"/>
    <s v="Medium"/>
    <s v="BBQ Chicken"/>
    <n v="3"/>
    <x v="1"/>
    <x v="0"/>
    <s v="Card"/>
    <x v="0"/>
    <x v="1"/>
    <n v="6"/>
    <n v="0.6"/>
    <x v="1"/>
    <s v="Online"/>
    <n v="12"/>
    <n v="18"/>
    <x v="0"/>
    <n v="6"/>
    <n v="2"/>
    <x v="0"/>
    <n v="28.186274509803919"/>
    <n v="0"/>
  </r>
  <r>
    <s v="ORD877"/>
    <x v="2"/>
    <s v="Louisville, KY"/>
    <d v="2025-03-01T00:00:00"/>
    <d v="1899-12-30T19:45:00"/>
    <d v="2025-03-01T00:00:00"/>
    <d v="1899-12-30T20:15:00"/>
    <n v="30"/>
    <s v="XL"/>
    <s v="Cheese Burst"/>
    <n v="5"/>
    <x v="7"/>
    <x v="1"/>
    <s v="UPI"/>
    <x v="0"/>
    <x v="1"/>
    <n v="5"/>
    <n v="0.83333333333333337"/>
    <x v="2"/>
    <s v="Online"/>
    <n v="14.4"/>
    <n v="15.6"/>
    <x v="0"/>
    <n v="20"/>
    <n v="3"/>
    <x v="3"/>
    <n v="28.844221105527641"/>
    <n v="0"/>
  </r>
  <r>
    <s v="ORD878"/>
    <x v="4"/>
    <s v="Milwaukee, WI"/>
    <d v="2025-03-02T00:00:00"/>
    <d v="1899-12-30T20:00:00"/>
    <d v="2025-03-02T00:00:00"/>
    <d v="1899-12-30T20:30:00"/>
    <n v="30"/>
    <s v="Medium"/>
    <s v="Margarita"/>
    <n v="3"/>
    <x v="3"/>
    <x v="0"/>
    <s v="Cash"/>
    <x v="0"/>
    <x v="0"/>
    <n v="6.666666666666667"/>
    <n v="0.66666666666666663"/>
    <x v="2"/>
    <s v="Offline"/>
    <n v="10.8"/>
    <n v="19.2"/>
    <x v="0"/>
    <n v="6"/>
    <n v="2"/>
    <x v="1"/>
    <n v="30.286458333333329"/>
    <n v="0"/>
  </r>
  <r>
    <s v="ORD879"/>
    <x v="0"/>
    <s v="Albuquerque, NM"/>
    <d v="2025-03-03T00:00:00"/>
    <d v="1899-12-30T19:15:00"/>
    <d v="2025-03-03T00:00:00"/>
    <d v="1899-12-30T19:45:00"/>
    <n v="30"/>
    <s v="Large"/>
    <s v="Sicilian"/>
    <n v="4"/>
    <x v="10"/>
    <x v="0"/>
    <s v="UPI"/>
    <x v="0"/>
    <x v="0"/>
    <n v="5.4545454545454541"/>
    <n v="0.72727272727272729"/>
    <x v="2"/>
    <s v="Online"/>
    <n v="13.2"/>
    <n v="16.8"/>
    <x v="0"/>
    <n v="12"/>
    <n v="2"/>
    <x v="3"/>
    <n v="30.259433962264151"/>
    <n v="0"/>
  </r>
  <r>
    <s v="ORD880"/>
    <x v="3"/>
    <s v="Atlanta, GA"/>
    <d v="2025-03-04T00:00:00"/>
    <d v="1899-12-30T20:30:00"/>
    <d v="2025-03-04T00:00:00"/>
    <d v="1899-12-30T21:00:00"/>
    <n v="30"/>
    <s v="Medium"/>
    <s v="Veg"/>
    <n v="2"/>
    <x v="6"/>
    <x v="2"/>
    <s v="Wallet"/>
    <x v="0"/>
    <x v="0"/>
    <n v="7.5"/>
    <n v="0.5"/>
    <x v="2"/>
    <s v="Online"/>
    <n v="9.6"/>
    <n v="20.399999999999999"/>
    <x v="0"/>
    <n v="4"/>
    <n v="1"/>
    <x v="1"/>
    <n v="29.948453608247419"/>
    <n v="0"/>
  </r>
  <r>
    <s v="ORD881"/>
    <x v="1"/>
    <s v="Omaha, NE"/>
    <d v="2025-03-05T00:00:00"/>
    <d v="1899-12-30T18:00:00"/>
    <d v="2025-03-05T00:00:00"/>
    <d v="1899-12-30T18:30:00"/>
    <n v="30"/>
    <s v="Medium"/>
    <s v="BBQ Chicken"/>
    <n v="3"/>
    <x v="1"/>
    <x v="0"/>
    <s v="Card"/>
    <x v="0"/>
    <x v="0"/>
    <n v="6"/>
    <n v="0.6"/>
    <x v="2"/>
    <s v="Online"/>
    <n v="12"/>
    <n v="18"/>
    <x v="0"/>
    <n v="6"/>
    <n v="2"/>
    <x v="0"/>
    <n v="28.186274509803919"/>
    <n v="0"/>
  </r>
  <r>
    <s v="ORD882"/>
    <x v="2"/>
    <s v="Louisville, KY"/>
    <d v="2025-03-06T00:00:00"/>
    <d v="1899-12-30T19:15:00"/>
    <d v="2025-03-06T00:00:00"/>
    <d v="1899-12-30T19:45:00"/>
    <n v="30"/>
    <s v="XL"/>
    <s v="Cheese Burst"/>
    <n v="5"/>
    <x v="7"/>
    <x v="1"/>
    <s v="UPI"/>
    <x v="0"/>
    <x v="0"/>
    <n v="5"/>
    <n v="0.83333333333333337"/>
    <x v="2"/>
    <s v="Online"/>
    <n v="14.4"/>
    <n v="15.6"/>
    <x v="0"/>
    <n v="20"/>
    <n v="3"/>
    <x v="3"/>
    <n v="28.844221105527641"/>
    <n v="0"/>
  </r>
  <r>
    <s v="ORD883"/>
    <x v="4"/>
    <s v="Milwaukee, WI"/>
    <d v="2025-03-07T00:00:00"/>
    <d v="1899-12-30T20:30:00"/>
    <d v="2025-03-07T00:00:00"/>
    <d v="1899-12-30T21:00:00"/>
    <n v="30"/>
    <s v="Medium"/>
    <s v="Margarita"/>
    <n v="3"/>
    <x v="3"/>
    <x v="0"/>
    <s v="Cash"/>
    <x v="0"/>
    <x v="1"/>
    <n v="6.666666666666667"/>
    <n v="0.66666666666666663"/>
    <x v="2"/>
    <s v="Offline"/>
    <n v="10.8"/>
    <n v="19.2"/>
    <x v="0"/>
    <n v="6"/>
    <n v="2"/>
    <x v="1"/>
    <n v="30.286458333333329"/>
    <n v="0"/>
  </r>
  <r>
    <s v="ORD884"/>
    <x v="0"/>
    <s v="Albuquerque, NM"/>
    <d v="2025-03-08T00:00:00"/>
    <d v="1899-12-30T19:00:00"/>
    <d v="2025-03-08T00:00:00"/>
    <d v="1899-12-30T19:30:00"/>
    <n v="30"/>
    <s v="Large"/>
    <s v="Sicilian"/>
    <n v="4"/>
    <x v="10"/>
    <x v="0"/>
    <s v="UPI"/>
    <x v="0"/>
    <x v="1"/>
    <n v="5.4545454545454541"/>
    <n v="0.72727272727272729"/>
    <x v="2"/>
    <s v="Online"/>
    <n v="13.2"/>
    <n v="16.8"/>
    <x v="0"/>
    <n v="12"/>
    <n v="2"/>
    <x v="3"/>
    <n v="30.259433962264151"/>
    <n v="0"/>
  </r>
  <r>
    <s v="ORD885"/>
    <x v="3"/>
    <s v="Atlanta, GA"/>
    <d v="2025-03-09T00:00:00"/>
    <d v="1899-12-30T20:15:00"/>
    <d v="2025-03-09T00:00:00"/>
    <d v="1899-12-30T20:45:00"/>
    <n v="30"/>
    <s v="Medium"/>
    <s v="Veg"/>
    <n v="2"/>
    <x v="6"/>
    <x v="2"/>
    <s v="Wallet"/>
    <x v="0"/>
    <x v="0"/>
    <n v="7.5"/>
    <n v="0.5"/>
    <x v="2"/>
    <s v="Online"/>
    <n v="9.6"/>
    <n v="20.399999999999999"/>
    <x v="0"/>
    <n v="4"/>
    <n v="1"/>
    <x v="1"/>
    <n v="29.948453608247419"/>
    <n v="0"/>
  </r>
  <r>
    <s v="ORD886"/>
    <x v="1"/>
    <s v="Omaha, NE"/>
    <d v="2025-03-10T00:00:00"/>
    <d v="1899-12-30T18:30:00"/>
    <d v="2025-03-10T00:00:00"/>
    <d v="1899-12-30T19:00:00"/>
    <n v="30"/>
    <s v="Medium"/>
    <s v="BBQ Chicken"/>
    <n v="3"/>
    <x v="1"/>
    <x v="0"/>
    <s v="Card"/>
    <x v="0"/>
    <x v="0"/>
    <n v="6"/>
    <n v="0.6"/>
    <x v="2"/>
    <s v="Online"/>
    <n v="12"/>
    <n v="18"/>
    <x v="0"/>
    <n v="6"/>
    <n v="2"/>
    <x v="0"/>
    <n v="28.186274509803919"/>
    <n v="0"/>
  </r>
  <r>
    <s v="ORD887"/>
    <x v="2"/>
    <s v="Louisville, KY"/>
    <d v="2025-03-11T00:00:00"/>
    <d v="1899-12-30T19:45:00"/>
    <d v="2025-03-11T00:00:00"/>
    <d v="1899-12-30T20:15:00"/>
    <n v="30"/>
    <s v="XL"/>
    <s v="Cheese Burst"/>
    <n v="5"/>
    <x v="7"/>
    <x v="1"/>
    <s v="UPI"/>
    <x v="0"/>
    <x v="0"/>
    <n v="5"/>
    <n v="0.83333333333333337"/>
    <x v="2"/>
    <s v="Online"/>
    <n v="14.4"/>
    <n v="15.6"/>
    <x v="0"/>
    <n v="20"/>
    <n v="3"/>
    <x v="3"/>
    <n v="28.844221105527641"/>
    <n v="0"/>
  </r>
  <r>
    <s v="ORD888"/>
    <x v="4"/>
    <s v="Milwaukee, WI"/>
    <d v="2025-03-12T00:00:00"/>
    <d v="1899-12-30T20:00:00"/>
    <d v="2025-03-12T00:00:00"/>
    <d v="1899-12-30T20:30:00"/>
    <n v="30"/>
    <s v="Medium"/>
    <s v="Margarita"/>
    <n v="3"/>
    <x v="3"/>
    <x v="0"/>
    <s v="Cash"/>
    <x v="0"/>
    <x v="0"/>
    <n v="6.666666666666667"/>
    <n v="0.66666666666666663"/>
    <x v="2"/>
    <s v="Offline"/>
    <n v="10.8"/>
    <n v="19.2"/>
    <x v="0"/>
    <n v="6"/>
    <n v="2"/>
    <x v="1"/>
    <n v="30.286458333333329"/>
    <n v="0"/>
  </r>
  <r>
    <s v="ORD889"/>
    <x v="0"/>
    <s v="Albuquerque, NM"/>
    <d v="2025-03-13T00:00:00"/>
    <d v="1899-12-30T19:15:00"/>
    <d v="2025-03-13T00:00:00"/>
    <d v="1899-12-30T19:45:00"/>
    <n v="30"/>
    <s v="Large"/>
    <s v="Sicilian"/>
    <n v="4"/>
    <x v="10"/>
    <x v="0"/>
    <s v="UPI"/>
    <x v="0"/>
    <x v="0"/>
    <n v="5.4545454545454541"/>
    <n v="0.72727272727272729"/>
    <x v="2"/>
    <s v="Online"/>
    <n v="13.2"/>
    <n v="16.8"/>
    <x v="0"/>
    <n v="12"/>
    <n v="2"/>
    <x v="3"/>
    <n v="30.259433962264151"/>
    <n v="0"/>
  </r>
  <r>
    <s v="ORD890"/>
    <x v="3"/>
    <s v="Atlanta, GA"/>
    <d v="2025-03-14T00:00:00"/>
    <d v="1899-12-30T20:30:00"/>
    <d v="2025-03-14T00:00:00"/>
    <d v="1899-12-30T21:00:00"/>
    <n v="30"/>
    <s v="Medium"/>
    <s v="Veg"/>
    <n v="2"/>
    <x v="6"/>
    <x v="2"/>
    <s v="Wallet"/>
    <x v="0"/>
    <x v="1"/>
    <n v="7.5"/>
    <n v="0.5"/>
    <x v="2"/>
    <s v="Online"/>
    <n v="9.6"/>
    <n v="20.399999999999999"/>
    <x v="0"/>
    <n v="4"/>
    <n v="1"/>
    <x v="1"/>
    <n v="29.948453608247419"/>
    <n v="0"/>
  </r>
  <r>
    <s v="ORD891"/>
    <x v="1"/>
    <s v="Omaha, NE"/>
    <d v="2025-03-15T00:00:00"/>
    <d v="1899-12-30T18:00:00"/>
    <d v="2025-03-15T00:00:00"/>
    <d v="1899-12-30T18:30:00"/>
    <n v="30"/>
    <s v="Medium"/>
    <s v="BBQ Chicken"/>
    <n v="3"/>
    <x v="1"/>
    <x v="0"/>
    <s v="Card"/>
    <x v="0"/>
    <x v="1"/>
    <n v="6"/>
    <n v="0.6"/>
    <x v="2"/>
    <s v="Online"/>
    <n v="12"/>
    <n v="18"/>
    <x v="0"/>
    <n v="6"/>
    <n v="2"/>
    <x v="0"/>
    <n v="28.186274509803919"/>
    <n v="0"/>
  </r>
  <r>
    <s v="ORD892"/>
    <x v="2"/>
    <s v="Louisville, KY"/>
    <d v="2025-03-16T00:00:00"/>
    <d v="1899-12-30T19:15:00"/>
    <d v="2025-03-16T00:00:00"/>
    <d v="1899-12-30T19:45:00"/>
    <n v="30"/>
    <s v="XL"/>
    <s v="Cheese Burst"/>
    <n v="5"/>
    <x v="7"/>
    <x v="1"/>
    <s v="UPI"/>
    <x v="0"/>
    <x v="0"/>
    <n v="5"/>
    <n v="0.83333333333333337"/>
    <x v="2"/>
    <s v="Online"/>
    <n v="14.4"/>
    <n v="15.6"/>
    <x v="0"/>
    <n v="20"/>
    <n v="3"/>
    <x v="3"/>
    <n v="28.844221105527641"/>
    <n v="0"/>
  </r>
  <r>
    <s v="ORD893"/>
    <x v="4"/>
    <s v="Milwaukee, WI"/>
    <d v="2025-03-17T00:00:00"/>
    <d v="1899-12-30T20:30:00"/>
    <d v="2025-03-17T00:00:00"/>
    <d v="1899-12-30T21:00:00"/>
    <n v="30"/>
    <s v="Medium"/>
    <s v="Margarita"/>
    <n v="3"/>
    <x v="3"/>
    <x v="0"/>
    <s v="Cash"/>
    <x v="0"/>
    <x v="0"/>
    <n v="6.666666666666667"/>
    <n v="0.66666666666666663"/>
    <x v="2"/>
    <s v="Offline"/>
    <n v="10.8"/>
    <n v="19.2"/>
    <x v="0"/>
    <n v="6"/>
    <n v="2"/>
    <x v="1"/>
    <n v="30.286458333333329"/>
    <n v="0"/>
  </r>
  <r>
    <s v="ORD894"/>
    <x v="1"/>
    <s v="Omaha, NE"/>
    <d v="2025-03-18T00:00:00"/>
    <d v="1899-12-30T18:00:00"/>
    <d v="2025-03-18T00:00:00"/>
    <d v="1899-12-30T18:30:00"/>
    <n v="30"/>
    <s v="Medium"/>
    <s v="BBQ Chicken"/>
    <n v="3"/>
    <x v="1"/>
    <x v="0"/>
    <s v="UPI"/>
    <x v="0"/>
    <x v="0"/>
    <n v="6"/>
    <n v="0.6"/>
    <x v="2"/>
    <s v="Online"/>
    <n v="12"/>
    <n v="18"/>
    <x v="0"/>
    <n v="6"/>
    <n v="2"/>
    <x v="0"/>
    <n v="28.186274509803919"/>
    <n v="0"/>
  </r>
  <r>
    <s v="ORD895"/>
    <x v="2"/>
    <s v="Louisville, KY"/>
    <d v="2025-03-19T00:00:00"/>
    <d v="1899-12-30T19:15:00"/>
    <d v="2025-03-19T00:00:00"/>
    <d v="1899-12-30T19:45:00"/>
    <n v="30"/>
    <s v="XL"/>
    <s v="Cheese Burst"/>
    <n v="5"/>
    <x v="7"/>
    <x v="1"/>
    <s v="Card"/>
    <x v="0"/>
    <x v="0"/>
    <n v="5"/>
    <n v="0.83333333333333337"/>
    <x v="2"/>
    <s v="Online"/>
    <n v="14.4"/>
    <n v="15.6"/>
    <x v="0"/>
    <n v="20"/>
    <n v="3"/>
    <x v="3"/>
    <n v="28.844221105527641"/>
    <n v="0"/>
  </r>
  <r>
    <s v="ORD896"/>
    <x v="4"/>
    <s v="Milwaukee, WI"/>
    <d v="2025-03-20T00:00:00"/>
    <d v="1899-12-30T20:30:00"/>
    <d v="2025-03-20T00:00:00"/>
    <d v="1899-12-30T21:00:00"/>
    <n v="30"/>
    <s v="Medium"/>
    <s v="Margarita"/>
    <n v="3"/>
    <x v="3"/>
    <x v="0"/>
    <s v="Cash"/>
    <x v="0"/>
    <x v="0"/>
    <n v="6.666666666666667"/>
    <n v="0.66666666666666663"/>
    <x v="2"/>
    <s v="Offline"/>
    <n v="10.8"/>
    <n v="19.2"/>
    <x v="0"/>
    <n v="6"/>
    <n v="2"/>
    <x v="1"/>
    <n v="30.286458333333329"/>
    <n v="0"/>
  </r>
  <r>
    <s v="ORD897"/>
    <x v="0"/>
    <s v="Albuquerque, NM"/>
    <d v="2025-03-21T00:00:00"/>
    <d v="1899-12-30T19:00:00"/>
    <d v="2025-03-21T00:00:00"/>
    <d v="1899-12-30T19:30:00"/>
    <n v="30"/>
    <s v="Large"/>
    <s v="Sicilian"/>
    <n v="4"/>
    <x v="10"/>
    <x v="0"/>
    <s v="UPI"/>
    <x v="0"/>
    <x v="1"/>
    <n v="5.4545454545454541"/>
    <n v="0.72727272727272729"/>
    <x v="2"/>
    <s v="Online"/>
    <n v="13.2"/>
    <n v="16.8"/>
    <x v="0"/>
    <n v="12"/>
    <n v="2"/>
    <x v="3"/>
    <n v="30.259433962264151"/>
    <n v="0"/>
  </r>
  <r>
    <s v="ORD898"/>
    <x v="3"/>
    <s v="Atlanta, GA"/>
    <d v="2025-03-22T00:00:00"/>
    <d v="1899-12-30T20:15:00"/>
    <d v="2025-03-22T00:00:00"/>
    <d v="1899-12-30T20:45:00"/>
    <n v="30"/>
    <s v="Medium"/>
    <s v="Veg"/>
    <n v="2"/>
    <x v="6"/>
    <x v="2"/>
    <s v="Wallet"/>
    <x v="0"/>
    <x v="1"/>
    <n v="7.5"/>
    <n v="0.5"/>
    <x v="2"/>
    <s v="Online"/>
    <n v="9.6"/>
    <n v="20.399999999999999"/>
    <x v="0"/>
    <n v="4"/>
    <n v="1"/>
    <x v="1"/>
    <n v="29.948453608247419"/>
    <n v="0"/>
  </r>
  <r>
    <s v="ORD899"/>
    <x v="1"/>
    <s v="Omaha, NE"/>
    <d v="2025-03-23T00:00:00"/>
    <d v="1899-12-30T18:30:00"/>
    <d v="2025-03-23T00:00:00"/>
    <d v="1899-12-30T19:00:00"/>
    <n v="30"/>
    <s v="Medium"/>
    <s v="BBQ Chicken"/>
    <n v="3"/>
    <x v="1"/>
    <x v="0"/>
    <s v="Card"/>
    <x v="0"/>
    <x v="0"/>
    <n v="6"/>
    <n v="0.6"/>
    <x v="2"/>
    <s v="Online"/>
    <n v="12"/>
    <n v="18"/>
    <x v="0"/>
    <n v="6"/>
    <n v="2"/>
    <x v="0"/>
    <n v="28.186274509803919"/>
    <n v="0"/>
  </r>
  <r>
    <s v="ORD900"/>
    <x v="2"/>
    <s v="Louisville, KY"/>
    <d v="2025-03-24T00:00:00"/>
    <d v="1899-12-30T19:45:00"/>
    <d v="2025-03-24T00:00:00"/>
    <d v="1899-12-30T20:15:00"/>
    <n v="30"/>
    <s v="XL"/>
    <s v="Cheese Burst"/>
    <n v="5"/>
    <x v="7"/>
    <x v="1"/>
    <s v="UPI"/>
    <x v="0"/>
    <x v="0"/>
    <n v="5"/>
    <n v="0.83333333333333337"/>
    <x v="2"/>
    <s v="Online"/>
    <n v="14.4"/>
    <n v="15.6"/>
    <x v="0"/>
    <n v="20"/>
    <n v="3"/>
    <x v="3"/>
    <n v="28.844221105527641"/>
    <n v="0"/>
  </r>
  <r>
    <s v="ORD901"/>
    <x v="4"/>
    <s v="Milwaukee, WI"/>
    <d v="2025-03-25T00:00:00"/>
    <d v="1899-12-30T20:00:00"/>
    <d v="2025-03-25T00:00:00"/>
    <d v="1899-12-30T20:30:00"/>
    <n v="30"/>
    <s v="Medium"/>
    <s v="Margarita"/>
    <n v="3"/>
    <x v="3"/>
    <x v="0"/>
    <s v="Cash"/>
    <x v="0"/>
    <x v="0"/>
    <n v="6.666666666666667"/>
    <n v="0.66666666666666663"/>
    <x v="2"/>
    <s v="Offline"/>
    <n v="10.8"/>
    <n v="19.2"/>
    <x v="0"/>
    <n v="6"/>
    <n v="2"/>
    <x v="1"/>
    <n v="30.286458333333329"/>
    <n v="0"/>
  </r>
  <r>
    <s v="ORD902"/>
    <x v="0"/>
    <s v="Albuquerque, NM"/>
    <d v="2025-03-26T00:00:00"/>
    <d v="1899-12-30T19:15:00"/>
    <d v="2025-03-26T00:00:00"/>
    <d v="1899-12-30T19:45:00"/>
    <n v="30"/>
    <s v="Large"/>
    <s v="Sicilian"/>
    <n v="4"/>
    <x v="10"/>
    <x v="0"/>
    <s v="UPI"/>
    <x v="0"/>
    <x v="0"/>
    <n v="5.4545454545454541"/>
    <n v="0.72727272727272729"/>
    <x v="2"/>
    <s v="Online"/>
    <n v="13.2"/>
    <n v="16.8"/>
    <x v="0"/>
    <n v="12"/>
    <n v="2"/>
    <x v="3"/>
    <n v="30.259433962264151"/>
    <n v="0"/>
  </r>
  <r>
    <s v="ORD903"/>
    <x v="3"/>
    <s v="Atlanta, GA"/>
    <d v="2025-03-27T00:00:00"/>
    <d v="1899-12-30T20:30:00"/>
    <d v="2025-03-27T00:00:00"/>
    <d v="1899-12-30T21:00:00"/>
    <n v="30"/>
    <s v="Medium"/>
    <s v="Veg"/>
    <n v="2"/>
    <x v="6"/>
    <x v="2"/>
    <s v="Wallet"/>
    <x v="0"/>
    <x v="0"/>
    <n v="7.5"/>
    <n v="0.5"/>
    <x v="2"/>
    <s v="Online"/>
    <n v="9.6"/>
    <n v="20.399999999999999"/>
    <x v="0"/>
    <n v="4"/>
    <n v="1"/>
    <x v="1"/>
    <n v="29.948453608247419"/>
    <n v="0"/>
  </r>
  <r>
    <s v="ORD904"/>
    <x v="1"/>
    <s v="Omaha, NE"/>
    <d v="2025-03-28T00:00:00"/>
    <d v="1899-12-30T18:00:00"/>
    <d v="2025-03-28T00:00:00"/>
    <d v="1899-12-30T18:30:00"/>
    <n v="30"/>
    <s v="Medium"/>
    <s v="BBQ Chicken"/>
    <n v="3"/>
    <x v="1"/>
    <x v="0"/>
    <s v="Card"/>
    <x v="0"/>
    <x v="1"/>
    <n v="6"/>
    <n v="0.6"/>
    <x v="2"/>
    <s v="Online"/>
    <n v="12"/>
    <n v="18"/>
    <x v="0"/>
    <n v="6"/>
    <n v="2"/>
    <x v="0"/>
    <n v="28.186274509803919"/>
    <n v="0"/>
  </r>
  <r>
    <s v="ORD905"/>
    <x v="2"/>
    <s v="Louisville, KY"/>
    <d v="2025-03-29T00:00:00"/>
    <d v="1899-12-30T19:15:00"/>
    <d v="2025-03-29T00:00:00"/>
    <d v="1899-12-30T19:45:00"/>
    <n v="30"/>
    <s v="XL"/>
    <s v="Cheese Burst"/>
    <n v="5"/>
    <x v="7"/>
    <x v="1"/>
    <s v="UPI"/>
    <x v="0"/>
    <x v="1"/>
    <n v="5"/>
    <n v="0.83333333333333337"/>
    <x v="2"/>
    <s v="Online"/>
    <n v="14.4"/>
    <n v="15.6"/>
    <x v="0"/>
    <n v="20"/>
    <n v="3"/>
    <x v="3"/>
    <n v="28.844221105527641"/>
    <n v="0"/>
  </r>
  <r>
    <s v="ORD906"/>
    <x v="4"/>
    <s v="Milwaukee, WI"/>
    <d v="2025-03-30T00:00:00"/>
    <d v="1899-12-30T20:30:00"/>
    <d v="2025-03-30T00:00:00"/>
    <d v="1899-12-30T21:00:00"/>
    <n v="30"/>
    <s v="Medium"/>
    <s v="Margarita"/>
    <n v="3"/>
    <x v="3"/>
    <x v="0"/>
    <s v="Cash"/>
    <x v="0"/>
    <x v="0"/>
    <n v="6.666666666666667"/>
    <n v="0.66666666666666663"/>
    <x v="2"/>
    <s v="Offline"/>
    <n v="10.8"/>
    <n v="19.2"/>
    <x v="0"/>
    <n v="6"/>
    <n v="2"/>
    <x v="1"/>
    <n v="30.286458333333329"/>
    <n v="0"/>
  </r>
  <r>
    <s v="ORD907"/>
    <x v="0"/>
    <s v="Albuquerque, NM"/>
    <d v="2025-03-31T00:00:00"/>
    <d v="1899-12-30T19:00:00"/>
    <d v="2025-03-31T00:00:00"/>
    <d v="1899-12-30T19:30:00"/>
    <n v="30"/>
    <s v="Large"/>
    <s v="Sicilian"/>
    <n v="4"/>
    <x v="10"/>
    <x v="0"/>
    <s v="UPI"/>
    <x v="0"/>
    <x v="0"/>
    <n v="5.4545454545454541"/>
    <n v="0.72727272727272729"/>
    <x v="2"/>
    <s v="Online"/>
    <n v="13.2"/>
    <n v="16.8"/>
    <x v="0"/>
    <n v="12"/>
    <n v="2"/>
    <x v="3"/>
    <n v="30.259433962264151"/>
    <n v="0"/>
  </r>
  <r>
    <s v="ORD908"/>
    <x v="3"/>
    <s v="Atlanta, GA"/>
    <d v="2025-04-01T00:00:00"/>
    <d v="1899-12-30T20:15:00"/>
    <d v="2025-04-01T00:00:00"/>
    <d v="1899-12-30T20:45:00"/>
    <n v="30"/>
    <s v="Medium"/>
    <s v="Veg"/>
    <n v="2"/>
    <x v="6"/>
    <x v="2"/>
    <s v="Wallet"/>
    <x v="0"/>
    <x v="0"/>
    <n v="7.5"/>
    <n v="0.5"/>
    <x v="3"/>
    <s v="Online"/>
    <n v="9.6"/>
    <n v="20.399999999999999"/>
    <x v="0"/>
    <n v="4"/>
    <n v="1"/>
    <x v="1"/>
    <n v="29.948453608247419"/>
    <n v="0"/>
  </r>
  <r>
    <s v="ORD909"/>
    <x v="1"/>
    <s v="Omaha, NE"/>
    <d v="2025-04-02T00:00:00"/>
    <d v="1899-12-30T18:30:00"/>
    <d v="2025-04-02T00:00:00"/>
    <d v="1899-12-30T19:00:00"/>
    <n v="30"/>
    <s v="Medium"/>
    <s v="BBQ Chicken"/>
    <n v="3"/>
    <x v="1"/>
    <x v="0"/>
    <s v="Card"/>
    <x v="0"/>
    <x v="0"/>
    <n v="6"/>
    <n v="0.6"/>
    <x v="3"/>
    <s v="Online"/>
    <n v="12"/>
    <n v="18"/>
    <x v="0"/>
    <n v="6"/>
    <n v="2"/>
    <x v="0"/>
    <n v="28.186274509803919"/>
    <n v="0"/>
  </r>
  <r>
    <s v="ORD910"/>
    <x v="2"/>
    <s v="Louisville, KY"/>
    <d v="2025-04-03T00:00:00"/>
    <d v="1899-12-30T19:45:00"/>
    <d v="2025-04-03T00:00:00"/>
    <d v="1899-12-30T20:15:00"/>
    <n v="30"/>
    <s v="XL"/>
    <s v="Cheese Burst"/>
    <n v="5"/>
    <x v="7"/>
    <x v="1"/>
    <s v="UPI"/>
    <x v="0"/>
    <x v="0"/>
    <n v="5"/>
    <n v="0.83333333333333337"/>
    <x v="3"/>
    <s v="Online"/>
    <n v="14.4"/>
    <n v="15.6"/>
    <x v="0"/>
    <n v="20"/>
    <n v="3"/>
    <x v="3"/>
    <n v="28.844221105527641"/>
    <n v="0"/>
  </r>
  <r>
    <s v="ORD911"/>
    <x v="4"/>
    <s v="Milwaukee, WI"/>
    <d v="2025-04-04T00:00:00"/>
    <d v="1899-12-30T20:00:00"/>
    <d v="2025-04-04T00:00:00"/>
    <d v="1899-12-30T20:30:00"/>
    <n v="30"/>
    <s v="Medium"/>
    <s v="Margarita"/>
    <n v="3"/>
    <x v="3"/>
    <x v="0"/>
    <s v="Cash"/>
    <x v="0"/>
    <x v="1"/>
    <n v="6.666666666666667"/>
    <n v="0.66666666666666663"/>
    <x v="3"/>
    <s v="Offline"/>
    <n v="10.8"/>
    <n v="19.2"/>
    <x v="0"/>
    <n v="6"/>
    <n v="2"/>
    <x v="1"/>
    <n v="30.286458333333329"/>
    <n v="0"/>
  </r>
  <r>
    <s v="ORD912"/>
    <x v="0"/>
    <s v="Albuquerque, NM"/>
    <d v="2025-04-05T00:00:00"/>
    <d v="1899-12-30T19:15:00"/>
    <d v="2025-04-05T00:00:00"/>
    <d v="1899-12-30T19:45:00"/>
    <n v="30"/>
    <s v="Large"/>
    <s v="Sicilian"/>
    <n v="4"/>
    <x v="10"/>
    <x v="0"/>
    <s v="UPI"/>
    <x v="0"/>
    <x v="1"/>
    <n v="5.4545454545454541"/>
    <n v="0.72727272727272729"/>
    <x v="3"/>
    <s v="Online"/>
    <n v="13.2"/>
    <n v="16.8"/>
    <x v="0"/>
    <n v="12"/>
    <n v="2"/>
    <x v="3"/>
    <n v="30.259433962264151"/>
    <n v="0"/>
  </r>
  <r>
    <s v="ORD913"/>
    <x v="3"/>
    <s v="Atlanta, GA"/>
    <d v="2025-04-06T00:00:00"/>
    <d v="1899-12-30T20:30:00"/>
    <d v="2025-04-06T00:00:00"/>
    <d v="1899-12-30T21:00:00"/>
    <n v="30"/>
    <s v="Medium"/>
    <s v="Veg"/>
    <n v="2"/>
    <x v="6"/>
    <x v="2"/>
    <s v="Wallet"/>
    <x v="0"/>
    <x v="0"/>
    <n v="7.5"/>
    <n v="0.5"/>
    <x v="3"/>
    <s v="Online"/>
    <n v="9.6"/>
    <n v="20.399999999999999"/>
    <x v="0"/>
    <n v="4"/>
    <n v="1"/>
    <x v="1"/>
    <n v="29.948453608247419"/>
    <n v="0"/>
  </r>
  <r>
    <s v="ORD914"/>
    <x v="1"/>
    <s v="Omaha, NE"/>
    <d v="2025-04-07T00:00:00"/>
    <d v="1899-12-30T18:00:00"/>
    <d v="2025-04-07T00:00:00"/>
    <d v="1899-12-30T18:30:00"/>
    <n v="30"/>
    <s v="Medium"/>
    <s v="BBQ Chicken"/>
    <n v="3"/>
    <x v="1"/>
    <x v="0"/>
    <s v="Card"/>
    <x v="0"/>
    <x v="0"/>
    <n v="6"/>
    <n v="0.6"/>
    <x v="3"/>
    <s v="Online"/>
    <n v="12"/>
    <n v="18"/>
    <x v="0"/>
    <n v="6"/>
    <n v="2"/>
    <x v="0"/>
    <n v="28.186274509803919"/>
    <n v="0"/>
  </r>
  <r>
    <s v="ORD915"/>
    <x v="2"/>
    <s v="Louisville, KY"/>
    <d v="2025-04-08T00:00:00"/>
    <d v="1899-12-30T19:15:00"/>
    <d v="2025-04-08T00:00:00"/>
    <d v="1899-12-30T19:45:00"/>
    <n v="30"/>
    <s v="XL"/>
    <s v="Cheese Burst"/>
    <n v="5"/>
    <x v="7"/>
    <x v="1"/>
    <s v="UPI"/>
    <x v="0"/>
    <x v="0"/>
    <n v="5"/>
    <n v="0.83333333333333337"/>
    <x v="3"/>
    <s v="Online"/>
    <n v="14.4"/>
    <n v="15.6"/>
    <x v="0"/>
    <n v="20"/>
    <n v="3"/>
    <x v="3"/>
    <n v="28.844221105527641"/>
    <n v="0"/>
  </r>
  <r>
    <s v="ORD916"/>
    <x v="4"/>
    <s v="Milwaukee, WI"/>
    <d v="2025-04-09T00:00:00"/>
    <d v="1899-12-30T20:30:00"/>
    <d v="2025-04-09T00:00:00"/>
    <d v="1899-12-30T21:00:00"/>
    <n v="30"/>
    <s v="Medium"/>
    <s v="Margarita"/>
    <n v="3"/>
    <x v="3"/>
    <x v="0"/>
    <s v="Cash"/>
    <x v="0"/>
    <x v="0"/>
    <n v="6.666666666666667"/>
    <n v="0.66666666666666663"/>
    <x v="3"/>
    <s v="Offline"/>
    <n v="10.8"/>
    <n v="19.2"/>
    <x v="0"/>
    <n v="6"/>
    <n v="2"/>
    <x v="1"/>
    <n v="30.286458333333329"/>
    <n v="0"/>
  </r>
  <r>
    <s v="ORD917"/>
    <x v="0"/>
    <s v="Albuquerque, NM"/>
    <d v="2025-04-10T00:00:00"/>
    <d v="1899-12-30T19:00:00"/>
    <d v="2025-04-10T00:00:00"/>
    <d v="1899-12-30T19:30:00"/>
    <n v="30"/>
    <s v="Large"/>
    <s v="Sicilian"/>
    <n v="4"/>
    <x v="10"/>
    <x v="0"/>
    <s v="UPI"/>
    <x v="0"/>
    <x v="0"/>
    <n v="5.4545454545454541"/>
    <n v="0.72727272727272729"/>
    <x v="3"/>
    <s v="Online"/>
    <n v="13.2"/>
    <n v="16.8"/>
    <x v="0"/>
    <n v="12"/>
    <n v="2"/>
    <x v="3"/>
    <n v="30.259433962264151"/>
    <n v="0"/>
  </r>
  <r>
    <s v="ORD918"/>
    <x v="3"/>
    <s v="Atlanta, GA"/>
    <d v="2025-04-11T00:00:00"/>
    <d v="1899-12-30T20:15:00"/>
    <d v="2025-04-11T00:00:00"/>
    <d v="1899-12-30T20:45:00"/>
    <n v="30"/>
    <s v="Medium"/>
    <s v="Veg"/>
    <n v="2"/>
    <x v="6"/>
    <x v="2"/>
    <s v="Wallet"/>
    <x v="0"/>
    <x v="1"/>
    <n v="7.5"/>
    <n v="0.5"/>
    <x v="3"/>
    <s v="Online"/>
    <n v="9.6"/>
    <n v="20.399999999999999"/>
    <x v="0"/>
    <n v="4"/>
    <n v="1"/>
    <x v="1"/>
    <n v="29.948453608247419"/>
    <n v="0"/>
  </r>
  <r>
    <s v="ORD919"/>
    <x v="1"/>
    <s v="Omaha, NE"/>
    <d v="2025-04-12T00:00:00"/>
    <d v="1899-12-30T18:30:00"/>
    <d v="2025-04-12T00:00:00"/>
    <d v="1899-12-30T19:00:00"/>
    <n v="30"/>
    <s v="Medium"/>
    <s v="BBQ Chicken"/>
    <n v="3"/>
    <x v="1"/>
    <x v="0"/>
    <s v="Card"/>
    <x v="0"/>
    <x v="1"/>
    <n v="6"/>
    <n v="0.6"/>
    <x v="3"/>
    <s v="Online"/>
    <n v="12"/>
    <n v="18"/>
    <x v="0"/>
    <n v="6"/>
    <n v="2"/>
    <x v="0"/>
    <n v="28.186274509803919"/>
    <n v="0"/>
  </r>
  <r>
    <s v="ORD920"/>
    <x v="2"/>
    <s v="Louisville, KY"/>
    <d v="2025-04-13T00:00:00"/>
    <d v="1899-12-30T19:45:00"/>
    <d v="2025-04-13T00:00:00"/>
    <d v="1899-12-30T20:15:00"/>
    <n v="30"/>
    <s v="XL"/>
    <s v="Cheese Burst"/>
    <n v="5"/>
    <x v="7"/>
    <x v="1"/>
    <s v="UPI"/>
    <x v="0"/>
    <x v="0"/>
    <n v="5"/>
    <n v="0.83333333333333337"/>
    <x v="3"/>
    <s v="Online"/>
    <n v="14.4"/>
    <n v="15.6"/>
    <x v="0"/>
    <n v="20"/>
    <n v="3"/>
    <x v="3"/>
    <n v="28.844221105527641"/>
    <n v="0"/>
  </r>
  <r>
    <s v="ORD921"/>
    <x v="4"/>
    <s v="Milwaukee, WI"/>
    <d v="2025-04-14T00:00:00"/>
    <d v="1899-12-30T20:00:00"/>
    <d v="2025-04-14T00:00:00"/>
    <d v="1899-12-30T20:30:00"/>
    <n v="30"/>
    <s v="Medium"/>
    <s v="Margarita"/>
    <n v="3"/>
    <x v="3"/>
    <x v="0"/>
    <s v="Cash"/>
    <x v="0"/>
    <x v="0"/>
    <n v="6.666666666666667"/>
    <n v="0.66666666666666663"/>
    <x v="3"/>
    <s v="Offline"/>
    <n v="10.8"/>
    <n v="19.2"/>
    <x v="0"/>
    <n v="6"/>
    <n v="2"/>
    <x v="1"/>
    <n v="30.286458333333329"/>
    <n v="0"/>
  </r>
  <r>
    <s v="ORD922"/>
    <x v="1"/>
    <s v="Omaha, NE"/>
    <d v="2025-04-15T00:00:00"/>
    <d v="1899-12-30T18:00:00"/>
    <d v="2025-04-15T00:00:00"/>
    <d v="1899-12-30T18:30:00"/>
    <n v="30"/>
    <s v="Medium"/>
    <s v="BBQ Chicken"/>
    <n v="3"/>
    <x v="1"/>
    <x v="0"/>
    <s v="UPI"/>
    <x v="0"/>
    <x v="0"/>
    <n v="6"/>
    <n v="0.6"/>
    <x v="3"/>
    <s v="Online"/>
    <n v="12"/>
    <n v="18"/>
    <x v="0"/>
    <n v="6"/>
    <n v="2"/>
    <x v="0"/>
    <n v="28.186274509803919"/>
    <n v="0"/>
  </r>
  <r>
    <s v="ORD923"/>
    <x v="2"/>
    <s v="Louisville, KY"/>
    <d v="2025-04-16T00:00:00"/>
    <d v="1899-12-30T19:15:00"/>
    <d v="2025-04-16T00:00:00"/>
    <d v="1899-12-30T19:45:00"/>
    <n v="30"/>
    <s v="XL"/>
    <s v="Cheese Burst"/>
    <n v="5"/>
    <x v="7"/>
    <x v="1"/>
    <s v="Card"/>
    <x v="0"/>
    <x v="0"/>
    <n v="5"/>
    <n v="0.83333333333333337"/>
    <x v="3"/>
    <s v="Online"/>
    <n v="14.4"/>
    <n v="15.6"/>
    <x v="0"/>
    <n v="20"/>
    <n v="3"/>
    <x v="3"/>
    <n v="28.844221105527641"/>
    <n v="0"/>
  </r>
  <r>
    <s v="ORD924"/>
    <x v="4"/>
    <s v="Milwaukee, WI"/>
    <d v="2025-04-17T00:00:00"/>
    <d v="1899-12-30T20:30:00"/>
    <d v="2025-04-17T00:00:00"/>
    <d v="1899-12-30T21:00:00"/>
    <n v="30"/>
    <s v="Medium"/>
    <s v="Margarita"/>
    <n v="3"/>
    <x v="3"/>
    <x v="0"/>
    <s v="Cash"/>
    <x v="0"/>
    <x v="0"/>
    <n v="6.666666666666667"/>
    <n v="0.66666666666666663"/>
    <x v="3"/>
    <s v="Offline"/>
    <n v="10.8"/>
    <n v="19.2"/>
    <x v="0"/>
    <n v="6"/>
    <n v="2"/>
    <x v="1"/>
    <n v="30.286458333333329"/>
    <n v="0"/>
  </r>
  <r>
    <s v="ORD925"/>
    <x v="0"/>
    <s v="Albuquerque, NM"/>
    <d v="2025-04-18T00:00:00"/>
    <d v="1899-12-30T19:00:00"/>
    <d v="2025-04-18T00:00:00"/>
    <d v="1899-12-30T19:30:00"/>
    <n v="30"/>
    <s v="Large"/>
    <s v="Sicilian"/>
    <n v="4"/>
    <x v="10"/>
    <x v="0"/>
    <s v="UPI"/>
    <x v="0"/>
    <x v="1"/>
    <n v="5.4545454545454541"/>
    <n v="0.72727272727272729"/>
    <x v="3"/>
    <s v="Online"/>
    <n v="13.2"/>
    <n v="16.8"/>
    <x v="0"/>
    <n v="12"/>
    <n v="2"/>
    <x v="3"/>
    <n v="30.259433962264151"/>
    <n v="0"/>
  </r>
  <r>
    <s v="ORD926"/>
    <x v="3"/>
    <s v="Atlanta, GA"/>
    <d v="2025-04-19T00:00:00"/>
    <d v="1899-12-30T20:15:00"/>
    <d v="2025-04-19T00:00:00"/>
    <d v="1899-12-30T20:45:00"/>
    <n v="30"/>
    <s v="Medium"/>
    <s v="Veg"/>
    <n v="2"/>
    <x v="6"/>
    <x v="2"/>
    <s v="Wallet"/>
    <x v="0"/>
    <x v="1"/>
    <n v="7.5"/>
    <n v="0.5"/>
    <x v="3"/>
    <s v="Online"/>
    <n v="9.6"/>
    <n v="20.399999999999999"/>
    <x v="0"/>
    <n v="4"/>
    <n v="1"/>
    <x v="1"/>
    <n v="29.948453608247419"/>
    <n v="0"/>
  </r>
  <r>
    <s v="ORD927"/>
    <x v="1"/>
    <s v="Omaha, NE"/>
    <d v="2025-04-20T00:00:00"/>
    <d v="1899-12-30T18:30:00"/>
    <d v="2025-04-20T00:00:00"/>
    <d v="1899-12-30T19:00:00"/>
    <n v="30"/>
    <s v="Medium"/>
    <s v="BBQ Chicken"/>
    <n v="3"/>
    <x v="1"/>
    <x v="0"/>
    <s v="Card"/>
    <x v="0"/>
    <x v="0"/>
    <n v="6"/>
    <n v="0.6"/>
    <x v="3"/>
    <s v="Online"/>
    <n v="12"/>
    <n v="18"/>
    <x v="0"/>
    <n v="6"/>
    <n v="2"/>
    <x v="0"/>
    <n v="28.186274509803919"/>
    <n v="0"/>
  </r>
  <r>
    <s v="ORD928"/>
    <x v="2"/>
    <s v="Louisville, KY"/>
    <d v="2025-04-21T00:00:00"/>
    <d v="1899-12-30T19:45:00"/>
    <d v="2025-04-21T00:00:00"/>
    <d v="1899-12-30T20:15:00"/>
    <n v="30"/>
    <s v="XL"/>
    <s v="Cheese Burst"/>
    <n v="5"/>
    <x v="7"/>
    <x v="1"/>
    <s v="UPI"/>
    <x v="0"/>
    <x v="0"/>
    <n v="5"/>
    <n v="0.83333333333333337"/>
    <x v="3"/>
    <s v="Online"/>
    <n v="14.4"/>
    <n v="15.6"/>
    <x v="0"/>
    <n v="20"/>
    <n v="3"/>
    <x v="3"/>
    <n v="28.844221105527641"/>
    <n v="0"/>
  </r>
  <r>
    <s v="ORD929"/>
    <x v="4"/>
    <s v="Milwaukee, WI"/>
    <d v="2025-04-22T00:00:00"/>
    <d v="1899-12-30T20:00:00"/>
    <d v="2025-04-22T00:00:00"/>
    <d v="1899-12-30T20:30:00"/>
    <n v="30"/>
    <s v="Medium"/>
    <s v="Margarita"/>
    <n v="3"/>
    <x v="3"/>
    <x v="0"/>
    <s v="Cash"/>
    <x v="0"/>
    <x v="0"/>
    <n v="6.666666666666667"/>
    <n v="0.66666666666666663"/>
    <x v="3"/>
    <s v="Offline"/>
    <n v="10.8"/>
    <n v="19.2"/>
    <x v="0"/>
    <n v="6"/>
    <n v="2"/>
    <x v="1"/>
    <n v="30.286458333333329"/>
    <n v="0"/>
  </r>
  <r>
    <s v="ORD930"/>
    <x v="0"/>
    <s v="Albuquerque, NM"/>
    <d v="2025-04-23T00:00:00"/>
    <d v="1899-12-30T19:15:00"/>
    <d v="2025-04-23T00:00:00"/>
    <d v="1899-12-30T19:45:00"/>
    <n v="30"/>
    <s v="Large"/>
    <s v="Sicilian"/>
    <n v="4"/>
    <x v="10"/>
    <x v="0"/>
    <s v="UPI"/>
    <x v="0"/>
    <x v="0"/>
    <n v="5.4545454545454541"/>
    <n v="0.72727272727272729"/>
    <x v="3"/>
    <s v="Online"/>
    <n v="13.2"/>
    <n v="16.8"/>
    <x v="0"/>
    <n v="12"/>
    <n v="2"/>
    <x v="3"/>
    <n v="30.259433962264151"/>
    <n v="0"/>
  </r>
  <r>
    <s v="ORD931"/>
    <x v="3"/>
    <s v="Atlanta, GA"/>
    <d v="2025-04-24T00:00:00"/>
    <d v="1899-12-30T20:30:00"/>
    <d v="2025-04-24T00:00:00"/>
    <d v="1899-12-30T21:00:00"/>
    <n v="30"/>
    <s v="Medium"/>
    <s v="Veg"/>
    <n v="2"/>
    <x v="6"/>
    <x v="2"/>
    <s v="Wallet"/>
    <x v="0"/>
    <x v="0"/>
    <n v="7.5"/>
    <n v="0.5"/>
    <x v="3"/>
    <s v="Online"/>
    <n v="9.6"/>
    <n v="20.399999999999999"/>
    <x v="0"/>
    <n v="4"/>
    <n v="1"/>
    <x v="1"/>
    <n v="29.948453608247419"/>
    <n v="0"/>
  </r>
  <r>
    <s v="ORD932"/>
    <x v="1"/>
    <s v="Omaha, NE"/>
    <d v="2025-04-25T00:00:00"/>
    <d v="1899-12-30T18:00:00"/>
    <d v="2025-04-25T00:00:00"/>
    <d v="1899-12-30T18:30:00"/>
    <n v="30"/>
    <s v="Medium"/>
    <s v="BBQ Chicken"/>
    <n v="3"/>
    <x v="1"/>
    <x v="0"/>
    <s v="Card"/>
    <x v="0"/>
    <x v="1"/>
    <n v="6"/>
    <n v="0.6"/>
    <x v="3"/>
    <s v="Online"/>
    <n v="12"/>
    <n v="18"/>
    <x v="0"/>
    <n v="6"/>
    <n v="2"/>
    <x v="0"/>
    <n v="28.186274509803919"/>
    <n v="0"/>
  </r>
  <r>
    <s v="ORD933"/>
    <x v="2"/>
    <s v="Louisville, KY"/>
    <d v="2025-04-26T00:00:00"/>
    <d v="1899-12-30T19:15:00"/>
    <d v="2025-04-26T00:00:00"/>
    <d v="1899-12-30T19:45:00"/>
    <n v="30"/>
    <s v="XL"/>
    <s v="Cheese Burst"/>
    <n v="5"/>
    <x v="7"/>
    <x v="1"/>
    <s v="UPI"/>
    <x v="0"/>
    <x v="1"/>
    <n v="5"/>
    <n v="0.83333333333333337"/>
    <x v="3"/>
    <s v="Online"/>
    <n v="14.4"/>
    <n v="15.6"/>
    <x v="0"/>
    <n v="20"/>
    <n v="3"/>
    <x v="3"/>
    <n v="28.844221105527641"/>
    <n v="0"/>
  </r>
  <r>
    <s v="ORD934"/>
    <x v="4"/>
    <s v="Milwaukee, WI"/>
    <d v="2025-04-27T00:00:00"/>
    <d v="1899-12-30T20:30:00"/>
    <d v="2025-04-27T00:00:00"/>
    <d v="1899-12-30T21:00:00"/>
    <n v="30"/>
    <s v="Medium"/>
    <s v="Margarita"/>
    <n v="3"/>
    <x v="3"/>
    <x v="0"/>
    <s v="Cash"/>
    <x v="0"/>
    <x v="0"/>
    <n v="6.666666666666667"/>
    <n v="0.66666666666666663"/>
    <x v="3"/>
    <s v="Offline"/>
    <n v="10.8"/>
    <n v="19.2"/>
    <x v="0"/>
    <n v="6"/>
    <n v="2"/>
    <x v="1"/>
    <n v="30.286458333333329"/>
    <n v="0"/>
  </r>
  <r>
    <s v="ORD935"/>
    <x v="0"/>
    <s v="Albuquerque, NM"/>
    <d v="2025-04-28T00:00:00"/>
    <d v="1899-12-30T19:00:00"/>
    <d v="2025-04-28T00:00:00"/>
    <d v="1899-12-30T19:30:00"/>
    <n v="30"/>
    <s v="Large"/>
    <s v="Sicilian"/>
    <n v="4"/>
    <x v="10"/>
    <x v="0"/>
    <s v="UPI"/>
    <x v="0"/>
    <x v="0"/>
    <n v="5.4545454545454541"/>
    <n v="0.72727272727272729"/>
    <x v="3"/>
    <s v="Online"/>
    <n v="13.2"/>
    <n v="16.8"/>
    <x v="0"/>
    <n v="12"/>
    <n v="2"/>
    <x v="3"/>
    <n v="30.259433962264151"/>
    <n v="0"/>
  </r>
  <r>
    <s v="ORD936"/>
    <x v="3"/>
    <s v="Atlanta, GA"/>
    <d v="2025-04-29T00:00:00"/>
    <d v="1899-12-30T20:15:00"/>
    <d v="2025-04-29T00:00:00"/>
    <d v="1899-12-30T20:45:00"/>
    <n v="30"/>
    <s v="Medium"/>
    <s v="Veg"/>
    <n v="2"/>
    <x v="6"/>
    <x v="2"/>
    <s v="Wallet"/>
    <x v="0"/>
    <x v="0"/>
    <n v="7.5"/>
    <n v="0.5"/>
    <x v="3"/>
    <s v="Online"/>
    <n v="9.6"/>
    <n v="20.399999999999999"/>
    <x v="0"/>
    <n v="4"/>
    <n v="1"/>
    <x v="1"/>
    <n v="29.948453608247419"/>
    <n v="0"/>
  </r>
  <r>
    <s v="ORD937"/>
    <x v="1"/>
    <s v="Omaha, NE"/>
    <d v="2025-04-30T00:00:00"/>
    <d v="1899-12-30T18:30:00"/>
    <d v="2025-04-30T00:00:00"/>
    <d v="1899-12-30T19:00:00"/>
    <n v="30"/>
    <s v="Medium"/>
    <s v="BBQ Chicken"/>
    <n v="3"/>
    <x v="1"/>
    <x v="0"/>
    <s v="Card"/>
    <x v="0"/>
    <x v="0"/>
    <n v="6"/>
    <n v="0.6"/>
    <x v="3"/>
    <s v="Online"/>
    <n v="12"/>
    <n v="18"/>
    <x v="0"/>
    <n v="6"/>
    <n v="2"/>
    <x v="0"/>
    <n v="28.186274509803919"/>
    <n v="0"/>
  </r>
  <r>
    <s v="ORD938"/>
    <x v="2"/>
    <s v="Louisville, KY"/>
    <d v="2025-05-01T00:00:00"/>
    <d v="1899-12-30T19:45:00"/>
    <d v="2025-05-01T00:00:00"/>
    <d v="1899-12-30T20:15:00"/>
    <n v="30"/>
    <s v="XL"/>
    <s v="Cheese Burst"/>
    <n v="5"/>
    <x v="7"/>
    <x v="1"/>
    <s v="UPI"/>
    <x v="0"/>
    <x v="0"/>
    <n v="5"/>
    <n v="0.83333333333333337"/>
    <x v="4"/>
    <s v="Online"/>
    <n v="14.4"/>
    <n v="15.6"/>
    <x v="0"/>
    <n v="20"/>
    <n v="3"/>
    <x v="3"/>
    <n v="28.844221105527641"/>
    <n v="0"/>
  </r>
  <r>
    <s v="ORD939"/>
    <x v="4"/>
    <s v="Milwaukee, WI"/>
    <d v="2025-05-02T00:00:00"/>
    <d v="1899-12-30T20:00:00"/>
    <d v="2025-05-02T00:00:00"/>
    <d v="1899-12-30T20:30:00"/>
    <n v="30"/>
    <s v="Medium"/>
    <s v="Margarita"/>
    <n v="3"/>
    <x v="3"/>
    <x v="0"/>
    <s v="Cash"/>
    <x v="0"/>
    <x v="1"/>
    <n v="6.666666666666667"/>
    <n v="0.66666666666666663"/>
    <x v="4"/>
    <s v="Offline"/>
    <n v="10.8"/>
    <n v="19.2"/>
    <x v="0"/>
    <n v="6"/>
    <n v="2"/>
    <x v="1"/>
    <n v="30.286458333333329"/>
    <n v="0"/>
  </r>
  <r>
    <s v="ORD940"/>
    <x v="0"/>
    <s v="Albuquerque, NM"/>
    <d v="2025-05-03T00:00:00"/>
    <d v="1899-12-30T19:15:00"/>
    <d v="2025-05-03T00:00:00"/>
    <d v="1899-12-30T19:45:00"/>
    <n v="30"/>
    <s v="Large"/>
    <s v="Sicilian"/>
    <n v="4"/>
    <x v="10"/>
    <x v="0"/>
    <s v="UPI"/>
    <x v="0"/>
    <x v="1"/>
    <n v="5.4545454545454541"/>
    <n v="0.72727272727272729"/>
    <x v="4"/>
    <s v="Online"/>
    <n v="13.2"/>
    <n v="16.8"/>
    <x v="0"/>
    <n v="12"/>
    <n v="2"/>
    <x v="3"/>
    <n v="30.259433962264151"/>
    <n v="0"/>
  </r>
  <r>
    <s v="ORD941"/>
    <x v="3"/>
    <s v="Atlanta, GA"/>
    <d v="2025-05-04T00:00:00"/>
    <d v="1899-12-30T20:30:00"/>
    <d v="2025-05-04T00:00:00"/>
    <d v="1899-12-30T21:00:00"/>
    <n v="30"/>
    <s v="Medium"/>
    <s v="Veg"/>
    <n v="2"/>
    <x v="6"/>
    <x v="2"/>
    <s v="Wallet"/>
    <x v="0"/>
    <x v="0"/>
    <n v="7.5"/>
    <n v="0.5"/>
    <x v="4"/>
    <s v="Online"/>
    <n v="9.6"/>
    <n v="20.399999999999999"/>
    <x v="0"/>
    <n v="4"/>
    <n v="1"/>
    <x v="1"/>
    <n v="29.948453608247419"/>
    <n v="0"/>
  </r>
  <r>
    <s v="ORD942"/>
    <x v="1"/>
    <s v="Omaha, NE"/>
    <d v="2025-05-05T00:00:00"/>
    <d v="1899-12-30T18:00:00"/>
    <d v="2025-05-05T00:00:00"/>
    <d v="1899-12-30T18:30:00"/>
    <n v="30"/>
    <s v="Medium"/>
    <s v="BBQ Chicken"/>
    <n v="3"/>
    <x v="1"/>
    <x v="0"/>
    <s v="Card"/>
    <x v="0"/>
    <x v="0"/>
    <n v="6"/>
    <n v="0.6"/>
    <x v="4"/>
    <s v="Online"/>
    <n v="12"/>
    <n v="18"/>
    <x v="0"/>
    <n v="6"/>
    <n v="2"/>
    <x v="0"/>
    <n v="28.186274509803919"/>
    <n v="0"/>
  </r>
  <r>
    <s v="ORD943"/>
    <x v="2"/>
    <s v="Louisville, KY"/>
    <d v="2025-05-06T00:00:00"/>
    <d v="1899-12-30T19:15:00"/>
    <d v="2025-05-06T00:00:00"/>
    <d v="1899-12-30T19:45:00"/>
    <n v="30"/>
    <s v="XL"/>
    <s v="Cheese Burst"/>
    <n v="5"/>
    <x v="7"/>
    <x v="1"/>
    <s v="UPI"/>
    <x v="0"/>
    <x v="0"/>
    <n v="5"/>
    <n v="0.83333333333333337"/>
    <x v="4"/>
    <s v="Online"/>
    <n v="14.4"/>
    <n v="15.6"/>
    <x v="0"/>
    <n v="20"/>
    <n v="3"/>
    <x v="3"/>
    <n v="28.844221105527641"/>
    <n v="0"/>
  </r>
  <r>
    <s v="ORD944"/>
    <x v="4"/>
    <s v="Milwaukee, WI"/>
    <d v="2025-05-07T00:00:00"/>
    <d v="1899-12-30T20:30:00"/>
    <d v="2025-05-07T00:00:00"/>
    <d v="1899-12-30T21:00:00"/>
    <n v="30"/>
    <s v="Medium"/>
    <s v="Margarita"/>
    <n v="3"/>
    <x v="3"/>
    <x v="0"/>
    <s v="Cash"/>
    <x v="0"/>
    <x v="0"/>
    <n v="6.666666666666667"/>
    <n v="0.66666666666666663"/>
    <x v="4"/>
    <s v="Offline"/>
    <n v="10.8"/>
    <n v="19.2"/>
    <x v="0"/>
    <n v="6"/>
    <n v="2"/>
    <x v="1"/>
    <n v="30.286458333333329"/>
    <n v="0"/>
  </r>
  <r>
    <s v="ORD945"/>
    <x v="0"/>
    <s v="Albuquerque, NM"/>
    <d v="2025-05-08T00:00:00"/>
    <d v="1899-12-30T19:00:00"/>
    <d v="2025-05-08T00:00:00"/>
    <d v="1899-12-30T19:30:00"/>
    <n v="30"/>
    <s v="Large"/>
    <s v="Sicilian"/>
    <n v="4"/>
    <x v="10"/>
    <x v="0"/>
    <s v="UPI"/>
    <x v="0"/>
    <x v="0"/>
    <n v="5.4545454545454541"/>
    <n v="0.72727272727272729"/>
    <x v="4"/>
    <s v="Online"/>
    <n v="13.2"/>
    <n v="16.8"/>
    <x v="0"/>
    <n v="12"/>
    <n v="2"/>
    <x v="3"/>
    <n v="30.259433962264151"/>
    <n v="0"/>
  </r>
  <r>
    <s v="ORD946"/>
    <x v="3"/>
    <s v="Atlanta, GA"/>
    <d v="2025-05-09T00:00:00"/>
    <d v="1899-12-30T20:15:00"/>
    <d v="2025-05-09T00:00:00"/>
    <d v="1899-12-30T20:45:00"/>
    <n v="30"/>
    <s v="Medium"/>
    <s v="Veg"/>
    <n v="2"/>
    <x v="6"/>
    <x v="2"/>
    <s v="Wallet"/>
    <x v="0"/>
    <x v="1"/>
    <n v="7.5"/>
    <n v="0.5"/>
    <x v="4"/>
    <s v="Online"/>
    <n v="9.6"/>
    <n v="20.399999999999999"/>
    <x v="0"/>
    <n v="4"/>
    <n v="1"/>
    <x v="1"/>
    <n v="29.948453608247419"/>
    <n v="0"/>
  </r>
  <r>
    <s v="ORD947"/>
    <x v="1"/>
    <s v="Omaha, NE"/>
    <d v="2025-05-10T00:00:00"/>
    <d v="1899-12-30T18:30:00"/>
    <d v="2025-05-10T00:00:00"/>
    <d v="1899-12-30T19:00:00"/>
    <n v="30"/>
    <s v="Medium"/>
    <s v="BBQ Chicken"/>
    <n v="3"/>
    <x v="1"/>
    <x v="0"/>
    <s v="Card"/>
    <x v="0"/>
    <x v="1"/>
    <n v="6"/>
    <n v="0.6"/>
    <x v="4"/>
    <s v="Online"/>
    <n v="12"/>
    <n v="18"/>
    <x v="0"/>
    <n v="6"/>
    <n v="2"/>
    <x v="0"/>
    <n v="28.186274509803919"/>
    <n v="0"/>
  </r>
  <r>
    <s v="ORD948"/>
    <x v="2"/>
    <s v="Louisville, KY"/>
    <d v="2025-05-11T00:00:00"/>
    <d v="1899-12-30T19:45:00"/>
    <d v="2025-05-11T00:00:00"/>
    <d v="1899-12-30T20:15:00"/>
    <n v="30"/>
    <s v="XL"/>
    <s v="Cheese Burst"/>
    <n v="5"/>
    <x v="7"/>
    <x v="1"/>
    <s v="UPI"/>
    <x v="0"/>
    <x v="0"/>
    <n v="5"/>
    <n v="0.83333333333333337"/>
    <x v="4"/>
    <s v="Online"/>
    <n v="14.4"/>
    <n v="15.6"/>
    <x v="0"/>
    <n v="20"/>
    <n v="3"/>
    <x v="3"/>
    <n v="28.844221105527641"/>
    <n v="0"/>
  </r>
  <r>
    <s v="ORD949"/>
    <x v="4"/>
    <s v="Milwaukee, WI"/>
    <d v="2025-05-12T00:00:00"/>
    <d v="1899-12-30T20:00:00"/>
    <d v="2025-05-12T00:00:00"/>
    <d v="1899-12-30T20:30:00"/>
    <n v="30"/>
    <s v="Medium"/>
    <s v="Margarita"/>
    <n v="3"/>
    <x v="3"/>
    <x v="0"/>
    <s v="Cash"/>
    <x v="0"/>
    <x v="0"/>
    <n v="6.666666666666667"/>
    <n v="0.66666666666666663"/>
    <x v="4"/>
    <s v="Offline"/>
    <n v="10.8"/>
    <n v="19.2"/>
    <x v="0"/>
    <n v="6"/>
    <n v="2"/>
    <x v="1"/>
    <n v="30.286458333333329"/>
    <n v="0"/>
  </r>
  <r>
    <s v="ORD950"/>
    <x v="1"/>
    <s v="Omaha, NE"/>
    <d v="2025-05-13T00:00:00"/>
    <d v="1899-12-30T18:00:00"/>
    <d v="2025-05-13T00:00:00"/>
    <d v="1899-12-30T18:30:00"/>
    <n v="30"/>
    <s v="Medium"/>
    <s v="BBQ Chicken"/>
    <n v="3"/>
    <x v="1"/>
    <x v="0"/>
    <s v="UPI"/>
    <x v="0"/>
    <x v="0"/>
    <n v="6"/>
    <n v="0.6"/>
    <x v="4"/>
    <s v="Online"/>
    <n v="12"/>
    <n v="18"/>
    <x v="0"/>
    <n v="6"/>
    <n v="2"/>
    <x v="0"/>
    <n v="28.186274509803919"/>
    <n v="0"/>
  </r>
  <r>
    <s v="ORD951"/>
    <x v="2"/>
    <s v="Louisville, KY"/>
    <d v="2025-05-14T00:00:00"/>
    <d v="1899-12-30T19:15:00"/>
    <d v="2025-05-14T00:00:00"/>
    <d v="1899-12-30T19:45:00"/>
    <n v="30"/>
    <s v="XL"/>
    <s v="Cheese Burst"/>
    <n v="5"/>
    <x v="7"/>
    <x v="1"/>
    <s v="Card"/>
    <x v="0"/>
    <x v="0"/>
    <n v="5"/>
    <n v="0.83333333333333337"/>
    <x v="4"/>
    <s v="Online"/>
    <n v="14.4"/>
    <n v="15.6"/>
    <x v="0"/>
    <n v="20"/>
    <n v="3"/>
    <x v="3"/>
    <n v="28.844221105527641"/>
    <n v="0"/>
  </r>
  <r>
    <s v="ORD952"/>
    <x v="4"/>
    <s v="Milwaukee, WI"/>
    <d v="2025-05-15T00:00:00"/>
    <d v="1899-12-30T20:30:00"/>
    <d v="2025-05-15T00:00:00"/>
    <d v="1899-12-30T21:00:00"/>
    <n v="30"/>
    <s v="Medium"/>
    <s v="Margarita"/>
    <n v="3"/>
    <x v="3"/>
    <x v="0"/>
    <s v="Cash"/>
    <x v="0"/>
    <x v="0"/>
    <n v="6.666666666666667"/>
    <n v="0.66666666666666663"/>
    <x v="4"/>
    <s v="Offline"/>
    <n v="10.8"/>
    <n v="19.2"/>
    <x v="0"/>
    <n v="6"/>
    <n v="2"/>
    <x v="1"/>
    <n v="30.286458333333329"/>
    <n v="0"/>
  </r>
  <r>
    <s v="ORD953"/>
    <x v="0"/>
    <s v="Albuquerque, NM"/>
    <d v="2025-05-16T00:00:00"/>
    <d v="1899-12-30T19:00:00"/>
    <d v="2025-05-16T00:00:00"/>
    <d v="1899-12-30T19:30:00"/>
    <n v="30"/>
    <s v="Large"/>
    <s v="Sicilian"/>
    <n v="4"/>
    <x v="10"/>
    <x v="0"/>
    <s v="UPI"/>
    <x v="0"/>
    <x v="1"/>
    <n v="5.4545454545454541"/>
    <n v="0.72727272727272729"/>
    <x v="4"/>
    <s v="Online"/>
    <n v="13.2"/>
    <n v="16.8"/>
    <x v="0"/>
    <n v="12"/>
    <n v="2"/>
    <x v="3"/>
    <n v="30.259433962264151"/>
    <n v="0"/>
  </r>
  <r>
    <s v="ORD954"/>
    <x v="3"/>
    <s v="Atlanta, GA"/>
    <d v="2025-05-17T00:00:00"/>
    <d v="1899-12-30T20:15:00"/>
    <d v="2025-05-17T00:00:00"/>
    <d v="1899-12-30T20:45:00"/>
    <n v="30"/>
    <s v="Medium"/>
    <s v="Veg"/>
    <n v="2"/>
    <x v="6"/>
    <x v="2"/>
    <s v="Wallet"/>
    <x v="0"/>
    <x v="1"/>
    <n v="7.5"/>
    <n v="0.5"/>
    <x v="4"/>
    <s v="Online"/>
    <n v="9.6"/>
    <n v="20.399999999999999"/>
    <x v="0"/>
    <n v="4"/>
    <n v="1"/>
    <x v="1"/>
    <n v="29.948453608247419"/>
    <n v="0"/>
  </r>
  <r>
    <s v="ORD955"/>
    <x v="1"/>
    <s v="Omaha, NE"/>
    <d v="2025-05-18T00:00:00"/>
    <d v="1899-12-30T18:30:00"/>
    <d v="2025-05-18T00:00:00"/>
    <d v="1899-12-30T19:00:00"/>
    <n v="30"/>
    <s v="Medium"/>
    <s v="BBQ Chicken"/>
    <n v="3"/>
    <x v="1"/>
    <x v="0"/>
    <s v="Card"/>
    <x v="0"/>
    <x v="0"/>
    <n v="6"/>
    <n v="0.6"/>
    <x v="4"/>
    <s v="Online"/>
    <n v="12"/>
    <n v="18"/>
    <x v="0"/>
    <n v="6"/>
    <n v="2"/>
    <x v="0"/>
    <n v="28.186274509803919"/>
    <n v="0"/>
  </r>
  <r>
    <s v="ORD956"/>
    <x v="2"/>
    <s v="Louisville, KY"/>
    <d v="2025-05-19T00:00:00"/>
    <d v="1899-12-30T19:45:00"/>
    <d v="2025-05-19T00:00:00"/>
    <d v="1899-12-30T20:15:00"/>
    <n v="30"/>
    <s v="XL"/>
    <s v="Cheese Burst"/>
    <n v="5"/>
    <x v="7"/>
    <x v="1"/>
    <s v="UPI"/>
    <x v="0"/>
    <x v="0"/>
    <n v="5"/>
    <n v="0.83333333333333337"/>
    <x v="4"/>
    <s v="Online"/>
    <n v="14.4"/>
    <n v="15.6"/>
    <x v="0"/>
    <n v="20"/>
    <n v="3"/>
    <x v="3"/>
    <n v="28.844221105527641"/>
    <n v="0"/>
  </r>
  <r>
    <s v="ORD957"/>
    <x v="4"/>
    <s v="Milwaukee, WI"/>
    <d v="2025-05-20T00:00:00"/>
    <d v="1899-12-30T20:00:00"/>
    <d v="2025-05-20T00:00:00"/>
    <d v="1899-12-30T20:30:00"/>
    <n v="30"/>
    <s v="Medium"/>
    <s v="Margarita"/>
    <n v="3"/>
    <x v="3"/>
    <x v="0"/>
    <s v="Cash"/>
    <x v="0"/>
    <x v="0"/>
    <n v="6.666666666666667"/>
    <n v="0.66666666666666663"/>
    <x v="4"/>
    <s v="Offline"/>
    <n v="10.8"/>
    <n v="19.2"/>
    <x v="0"/>
    <n v="6"/>
    <n v="2"/>
    <x v="1"/>
    <n v="30.286458333333329"/>
    <n v="0"/>
  </r>
  <r>
    <s v="ORD958"/>
    <x v="0"/>
    <s v="Albuquerque, NM"/>
    <d v="2025-05-21T00:00:00"/>
    <d v="1899-12-30T19:15:00"/>
    <d v="2025-05-21T00:00:00"/>
    <d v="1899-12-30T19:45:00"/>
    <n v="30"/>
    <s v="Large"/>
    <s v="Sicilian"/>
    <n v="4"/>
    <x v="10"/>
    <x v="0"/>
    <s v="UPI"/>
    <x v="0"/>
    <x v="0"/>
    <n v="5.4545454545454541"/>
    <n v="0.72727272727272729"/>
    <x v="4"/>
    <s v="Online"/>
    <n v="13.2"/>
    <n v="16.8"/>
    <x v="0"/>
    <n v="12"/>
    <n v="2"/>
    <x v="3"/>
    <n v="30.259433962264151"/>
    <n v="0"/>
  </r>
  <r>
    <s v="ORD959"/>
    <x v="3"/>
    <s v="Atlanta, GA"/>
    <d v="2025-05-22T00:00:00"/>
    <d v="1899-12-30T20:30:00"/>
    <d v="2025-05-22T00:00:00"/>
    <d v="1899-12-30T21:00:00"/>
    <n v="30"/>
    <s v="Medium"/>
    <s v="Veg"/>
    <n v="2"/>
    <x v="6"/>
    <x v="2"/>
    <s v="Wallet"/>
    <x v="0"/>
    <x v="0"/>
    <n v="7.5"/>
    <n v="0.5"/>
    <x v="4"/>
    <s v="Online"/>
    <n v="9.6"/>
    <n v="20.399999999999999"/>
    <x v="0"/>
    <n v="4"/>
    <n v="1"/>
    <x v="1"/>
    <n v="29.948453608247419"/>
    <n v="0"/>
  </r>
  <r>
    <s v="ORD960"/>
    <x v="1"/>
    <s v="Omaha, NE"/>
    <d v="2025-05-23T00:00:00"/>
    <d v="1899-12-30T18:00:00"/>
    <d v="2025-05-23T00:00:00"/>
    <d v="1899-12-30T18:30:00"/>
    <n v="30"/>
    <s v="Medium"/>
    <s v="BBQ Chicken"/>
    <n v="3"/>
    <x v="1"/>
    <x v="0"/>
    <s v="UPI"/>
    <x v="0"/>
    <x v="1"/>
    <n v="6"/>
    <n v="0.6"/>
    <x v="4"/>
    <s v="Online"/>
    <n v="12"/>
    <n v="18"/>
    <x v="0"/>
    <n v="6"/>
    <n v="2"/>
    <x v="0"/>
    <n v="28.186274509803919"/>
    <n v="0"/>
  </r>
  <r>
    <s v="ORD961"/>
    <x v="2"/>
    <s v="Louisville, KY"/>
    <d v="2025-05-24T00:00:00"/>
    <d v="1899-12-30T19:15:00"/>
    <d v="2025-05-24T00:00:00"/>
    <d v="1899-12-30T19:45:00"/>
    <n v="30"/>
    <s v="XL"/>
    <s v="Cheese Burst"/>
    <n v="5"/>
    <x v="7"/>
    <x v="1"/>
    <s v="Card"/>
    <x v="0"/>
    <x v="1"/>
    <n v="5"/>
    <n v="0.83333333333333337"/>
    <x v="4"/>
    <s v="Online"/>
    <n v="14.4"/>
    <n v="15.6"/>
    <x v="0"/>
    <n v="20"/>
    <n v="3"/>
    <x v="3"/>
    <n v="28.844221105527641"/>
    <n v="0"/>
  </r>
  <r>
    <s v="ORD962"/>
    <x v="4"/>
    <s v="Milwaukee, WI"/>
    <d v="2025-05-25T00:00:00"/>
    <d v="1899-12-30T20:30:00"/>
    <d v="2025-05-25T00:00:00"/>
    <d v="1899-12-30T21:00:00"/>
    <n v="30"/>
    <s v="Medium"/>
    <s v="Margarita"/>
    <n v="3"/>
    <x v="3"/>
    <x v="0"/>
    <s v="Cash"/>
    <x v="0"/>
    <x v="0"/>
    <n v="6.666666666666667"/>
    <n v="0.66666666666666663"/>
    <x v="4"/>
    <s v="Offline"/>
    <n v="10.8"/>
    <n v="19.2"/>
    <x v="0"/>
    <n v="6"/>
    <n v="2"/>
    <x v="1"/>
    <n v="30.286458333333329"/>
    <n v="0"/>
  </r>
  <r>
    <s v="ORD963"/>
    <x v="0"/>
    <s v="Albuquerque, NM"/>
    <d v="2025-05-26T00:00:00"/>
    <d v="1899-12-30T19:00:00"/>
    <d v="2025-05-26T00:00:00"/>
    <d v="1899-12-30T19:30:00"/>
    <n v="30"/>
    <s v="Large"/>
    <s v="Sicilian"/>
    <n v="4"/>
    <x v="10"/>
    <x v="0"/>
    <s v="UPI"/>
    <x v="0"/>
    <x v="0"/>
    <n v="5.4545454545454541"/>
    <n v="0.72727272727272729"/>
    <x v="4"/>
    <s v="Online"/>
    <n v="13.2"/>
    <n v="16.8"/>
    <x v="0"/>
    <n v="12"/>
    <n v="2"/>
    <x v="3"/>
    <n v="30.259433962264151"/>
    <n v="0"/>
  </r>
  <r>
    <s v="ORD964"/>
    <x v="3"/>
    <s v="Atlanta, GA"/>
    <d v="2025-05-27T00:00:00"/>
    <d v="1899-12-30T20:15:00"/>
    <d v="2025-05-27T00:00:00"/>
    <d v="1899-12-30T20:45:00"/>
    <n v="30"/>
    <s v="Medium"/>
    <s v="Veg"/>
    <n v="2"/>
    <x v="6"/>
    <x v="2"/>
    <s v="Wallet"/>
    <x v="0"/>
    <x v="0"/>
    <n v="7.5"/>
    <n v="0.5"/>
    <x v="4"/>
    <s v="Online"/>
    <n v="9.6"/>
    <n v="20.399999999999999"/>
    <x v="0"/>
    <n v="4"/>
    <n v="1"/>
    <x v="1"/>
    <n v="29.948453608247419"/>
    <n v="0"/>
  </r>
  <r>
    <s v="ORD965"/>
    <x v="1"/>
    <s v="Omaha, NE"/>
    <d v="2025-05-28T00:00:00"/>
    <d v="1899-12-30T18:30:00"/>
    <d v="2025-05-28T00:00:00"/>
    <d v="1899-12-30T19:00:00"/>
    <n v="30"/>
    <s v="Medium"/>
    <s v="BBQ Chicken"/>
    <n v="3"/>
    <x v="1"/>
    <x v="0"/>
    <s v="Card"/>
    <x v="0"/>
    <x v="0"/>
    <n v="6"/>
    <n v="0.6"/>
    <x v="4"/>
    <s v="Online"/>
    <n v="12"/>
    <n v="18"/>
    <x v="0"/>
    <n v="6"/>
    <n v="2"/>
    <x v="0"/>
    <n v="28.186274509803919"/>
    <n v="0"/>
  </r>
  <r>
    <s v="ORD966"/>
    <x v="2"/>
    <s v="Louisville, KY"/>
    <d v="2025-05-29T00:00:00"/>
    <d v="1899-12-30T19:45:00"/>
    <d v="2025-05-29T00:00:00"/>
    <d v="1899-12-30T20:15:00"/>
    <n v="30"/>
    <s v="XL"/>
    <s v="Cheese Burst"/>
    <n v="5"/>
    <x v="7"/>
    <x v="1"/>
    <s v="UPI"/>
    <x v="0"/>
    <x v="0"/>
    <n v="5"/>
    <n v="0.83333333333333337"/>
    <x v="4"/>
    <s v="Online"/>
    <n v="14.4"/>
    <n v="15.6"/>
    <x v="0"/>
    <n v="20"/>
    <n v="3"/>
    <x v="3"/>
    <n v="28.844221105527641"/>
    <n v="0"/>
  </r>
  <r>
    <s v="ORD967"/>
    <x v="4"/>
    <s v="Milwaukee, WI"/>
    <d v="2025-05-30T00:00:00"/>
    <d v="1899-12-30T20:00:00"/>
    <d v="2025-05-30T00:00:00"/>
    <d v="1899-12-30T20:30:00"/>
    <n v="30"/>
    <s v="Medium"/>
    <s v="Margarita"/>
    <n v="3"/>
    <x v="3"/>
    <x v="0"/>
    <s v="Cash"/>
    <x v="0"/>
    <x v="1"/>
    <n v="6.666666666666667"/>
    <n v="0.66666666666666663"/>
    <x v="4"/>
    <s v="Offline"/>
    <n v="10.8"/>
    <n v="19.2"/>
    <x v="0"/>
    <n v="6"/>
    <n v="2"/>
    <x v="1"/>
    <n v="30.286458333333329"/>
    <n v="0"/>
  </r>
  <r>
    <s v="ORD968"/>
    <x v="0"/>
    <s v="Albuquerque, NM"/>
    <d v="2025-05-31T00:00:00"/>
    <d v="1899-12-30T19:15:00"/>
    <d v="2025-05-31T00:00:00"/>
    <d v="1899-12-30T19:45:00"/>
    <n v="30"/>
    <s v="Large"/>
    <s v="Sicilian"/>
    <n v="4"/>
    <x v="10"/>
    <x v="0"/>
    <s v="UPI"/>
    <x v="0"/>
    <x v="1"/>
    <n v="5.4545454545454541"/>
    <n v="0.72727272727272729"/>
    <x v="4"/>
    <s v="Online"/>
    <n v="13.2"/>
    <n v="16.8"/>
    <x v="0"/>
    <n v="12"/>
    <n v="2"/>
    <x v="3"/>
    <n v="30.259433962264151"/>
    <n v="0"/>
  </r>
  <r>
    <s v="ORD969"/>
    <x v="3"/>
    <s v="Atlanta, GA"/>
    <d v="2025-06-01T00:00:00"/>
    <d v="1899-12-30T20:30:00"/>
    <d v="2025-06-01T00:00:00"/>
    <d v="1899-12-30T21:00:00"/>
    <n v="30"/>
    <s v="Medium"/>
    <s v="Veg"/>
    <n v="2"/>
    <x v="6"/>
    <x v="2"/>
    <s v="Wallet"/>
    <x v="0"/>
    <x v="0"/>
    <n v="7.5"/>
    <n v="0.5"/>
    <x v="6"/>
    <s v="Online"/>
    <n v="9.6"/>
    <n v="20.399999999999999"/>
    <x v="0"/>
    <n v="4"/>
    <n v="1"/>
    <x v="1"/>
    <n v="29.948453608247419"/>
    <n v="0"/>
  </r>
  <r>
    <s v="ORD970"/>
    <x v="1"/>
    <s v="Omaha, NE"/>
    <d v="2025-06-02T00:00:00"/>
    <d v="1899-12-30T18:00:00"/>
    <d v="2025-06-02T00:00:00"/>
    <d v="1899-12-30T18:30:00"/>
    <n v="30"/>
    <s v="Medium"/>
    <s v="BBQ Chicken"/>
    <n v="3"/>
    <x v="1"/>
    <x v="0"/>
    <s v="UPI"/>
    <x v="0"/>
    <x v="0"/>
    <n v="6"/>
    <n v="0.6"/>
    <x v="6"/>
    <s v="Online"/>
    <n v="12"/>
    <n v="18"/>
    <x v="0"/>
    <n v="6"/>
    <n v="2"/>
    <x v="0"/>
    <n v="28.186274509803919"/>
    <n v="0"/>
  </r>
  <r>
    <s v="ORD971"/>
    <x v="2"/>
    <s v="Louisville, KY"/>
    <d v="2025-06-03T00:00:00"/>
    <d v="1899-12-30T19:15:00"/>
    <d v="2025-06-03T00:00:00"/>
    <d v="1899-12-30T19:45:00"/>
    <n v="30"/>
    <s v="XL"/>
    <s v="Cheese Burst"/>
    <n v="5"/>
    <x v="7"/>
    <x v="1"/>
    <s v="Card"/>
    <x v="0"/>
    <x v="0"/>
    <n v="5"/>
    <n v="0.83333333333333337"/>
    <x v="6"/>
    <s v="Online"/>
    <n v="14.4"/>
    <n v="15.6"/>
    <x v="0"/>
    <n v="20"/>
    <n v="3"/>
    <x v="3"/>
    <n v="28.844221105527641"/>
    <n v="0"/>
  </r>
  <r>
    <s v="ORD972"/>
    <x v="4"/>
    <s v="Milwaukee, WI"/>
    <d v="2025-06-04T00:00:00"/>
    <d v="1899-12-30T20:30:00"/>
    <d v="2025-06-04T00:00:00"/>
    <d v="1899-12-30T21:00:00"/>
    <n v="30"/>
    <s v="Medium"/>
    <s v="Margarita"/>
    <n v="3"/>
    <x v="3"/>
    <x v="0"/>
    <s v="Cash"/>
    <x v="0"/>
    <x v="0"/>
    <n v="6.666666666666667"/>
    <n v="0.66666666666666663"/>
    <x v="6"/>
    <s v="Offline"/>
    <n v="10.8"/>
    <n v="19.2"/>
    <x v="0"/>
    <n v="6"/>
    <n v="2"/>
    <x v="1"/>
    <n v="30.286458333333329"/>
    <n v="0"/>
  </r>
  <r>
    <s v="ORD973"/>
    <x v="0"/>
    <s v="Albuquerque, NM"/>
    <d v="2025-06-05T00:00:00"/>
    <d v="1899-12-30T19:00:00"/>
    <d v="2025-06-05T00:00:00"/>
    <d v="1899-12-30T19:30:00"/>
    <n v="30"/>
    <s v="Large"/>
    <s v="Sicilian"/>
    <n v="4"/>
    <x v="10"/>
    <x v="0"/>
    <s v="UPI"/>
    <x v="0"/>
    <x v="0"/>
    <n v="5.4545454545454541"/>
    <n v="0.72727272727272729"/>
    <x v="6"/>
    <s v="Online"/>
    <n v="13.2"/>
    <n v="16.8"/>
    <x v="0"/>
    <n v="12"/>
    <n v="2"/>
    <x v="3"/>
    <n v="30.259433962264151"/>
    <n v="0"/>
  </r>
  <r>
    <s v="ORD974"/>
    <x v="3"/>
    <s v="Atlanta, GA"/>
    <d v="2025-06-06T00:00:00"/>
    <d v="1899-12-30T20:15:00"/>
    <d v="2025-06-06T00:00:00"/>
    <d v="1899-12-30T20:45:00"/>
    <n v="30"/>
    <s v="Medium"/>
    <s v="Veg"/>
    <n v="2"/>
    <x v="6"/>
    <x v="2"/>
    <s v="Wallet"/>
    <x v="0"/>
    <x v="1"/>
    <n v="7.5"/>
    <n v="0.5"/>
    <x v="6"/>
    <s v="Online"/>
    <n v="9.6"/>
    <n v="20.399999999999999"/>
    <x v="0"/>
    <n v="4"/>
    <n v="1"/>
    <x v="1"/>
    <n v="29.948453608247419"/>
    <n v="0"/>
  </r>
  <r>
    <s v="ORD975"/>
    <x v="1"/>
    <s v="Omaha, NE"/>
    <d v="2025-06-07T00:00:00"/>
    <d v="1899-12-30T18:30:00"/>
    <d v="2025-06-07T00:00:00"/>
    <d v="1899-12-30T19:00:00"/>
    <n v="30"/>
    <s v="Medium"/>
    <s v="BBQ Chicken"/>
    <n v="3"/>
    <x v="1"/>
    <x v="0"/>
    <s v="Card"/>
    <x v="0"/>
    <x v="1"/>
    <n v="6"/>
    <n v="0.6"/>
    <x v="6"/>
    <s v="Online"/>
    <n v="12"/>
    <n v="18"/>
    <x v="0"/>
    <n v="6"/>
    <n v="2"/>
    <x v="0"/>
    <n v="28.186274509803919"/>
    <n v="0"/>
  </r>
  <r>
    <s v="ORD976"/>
    <x v="2"/>
    <s v="Louisville, KY"/>
    <d v="2025-06-08T00:00:00"/>
    <d v="1899-12-30T19:45:00"/>
    <d v="2025-06-08T00:00:00"/>
    <d v="1899-12-30T20:15:00"/>
    <n v="30"/>
    <s v="XL"/>
    <s v="Cheese Burst"/>
    <n v="5"/>
    <x v="7"/>
    <x v="1"/>
    <s v="UPI"/>
    <x v="0"/>
    <x v="0"/>
    <n v="5"/>
    <n v="0.83333333333333337"/>
    <x v="6"/>
    <s v="Online"/>
    <n v="14.4"/>
    <n v="15.6"/>
    <x v="0"/>
    <n v="20"/>
    <n v="3"/>
    <x v="3"/>
    <n v="28.844221105527641"/>
    <n v="0"/>
  </r>
  <r>
    <s v="ORD977"/>
    <x v="4"/>
    <s v="Milwaukee, WI"/>
    <d v="2025-06-09T00:00:00"/>
    <d v="1899-12-30T20:00:00"/>
    <d v="2025-06-09T00:00:00"/>
    <d v="1899-12-30T20:30:00"/>
    <n v="30"/>
    <s v="Medium"/>
    <s v="Margarita"/>
    <n v="3"/>
    <x v="3"/>
    <x v="0"/>
    <s v="Cash"/>
    <x v="0"/>
    <x v="0"/>
    <n v="6.666666666666667"/>
    <n v="0.66666666666666663"/>
    <x v="6"/>
    <s v="Offline"/>
    <n v="10.8"/>
    <n v="19.2"/>
    <x v="0"/>
    <n v="6"/>
    <n v="2"/>
    <x v="1"/>
    <n v="30.286458333333329"/>
    <n v="0"/>
  </r>
  <r>
    <s v="ORD978"/>
    <x v="1"/>
    <s v="Omaha, NE"/>
    <d v="2025-06-10T00:00:00"/>
    <d v="1899-12-30T18:00:00"/>
    <d v="2025-06-10T00:00:00"/>
    <d v="1899-12-30T18:30:00"/>
    <n v="30"/>
    <s v="Medium"/>
    <s v="BBQ Chicken"/>
    <n v="3"/>
    <x v="1"/>
    <x v="0"/>
    <s v="UPI"/>
    <x v="0"/>
    <x v="0"/>
    <n v="6"/>
    <n v="0.6"/>
    <x v="6"/>
    <s v="Online"/>
    <n v="12"/>
    <n v="18"/>
    <x v="0"/>
    <n v="6"/>
    <n v="2"/>
    <x v="0"/>
    <n v="28.186274509803919"/>
    <n v="0"/>
  </r>
  <r>
    <s v="ORD979"/>
    <x v="2"/>
    <s v="Louisville, KY"/>
    <d v="2025-06-11T00:00:00"/>
    <d v="1899-12-30T19:15:00"/>
    <d v="2025-06-11T00:00:00"/>
    <d v="1899-12-30T19:45:00"/>
    <n v="30"/>
    <s v="XL"/>
    <s v="Cheese Burst"/>
    <n v="5"/>
    <x v="7"/>
    <x v="1"/>
    <s v="Card"/>
    <x v="0"/>
    <x v="0"/>
    <n v="5"/>
    <n v="0.83333333333333337"/>
    <x v="6"/>
    <s v="Online"/>
    <n v="14.4"/>
    <n v="15.6"/>
    <x v="0"/>
    <n v="20"/>
    <n v="3"/>
    <x v="3"/>
    <n v="28.844221105527641"/>
    <n v="0"/>
  </r>
  <r>
    <s v="ORD980"/>
    <x v="4"/>
    <s v="Milwaukee, WI"/>
    <d v="2025-06-12T00:00:00"/>
    <d v="1899-12-30T20:30:00"/>
    <d v="2025-06-12T00:00:00"/>
    <d v="1899-12-30T21:00:00"/>
    <n v="30"/>
    <s v="Medium"/>
    <s v="Margarita"/>
    <n v="3"/>
    <x v="3"/>
    <x v="0"/>
    <s v="Cash"/>
    <x v="0"/>
    <x v="0"/>
    <n v="6.666666666666667"/>
    <n v="0.66666666666666663"/>
    <x v="6"/>
    <s v="Offline"/>
    <n v="10.8"/>
    <n v="19.2"/>
    <x v="0"/>
    <n v="6"/>
    <n v="2"/>
    <x v="1"/>
    <n v="30.286458333333329"/>
    <n v="0"/>
  </r>
  <r>
    <s v="ORD981"/>
    <x v="0"/>
    <s v="Albuquerque, NM"/>
    <d v="2025-06-13T00:00:00"/>
    <d v="1899-12-30T19:00:00"/>
    <d v="2025-06-13T00:00:00"/>
    <d v="1899-12-30T19:30:00"/>
    <n v="30"/>
    <s v="Large"/>
    <s v="Sicilian"/>
    <n v="4"/>
    <x v="10"/>
    <x v="0"/>
    <s v="UPI"/>
    <x v="0"/>
    <x v="1"/>
    <n v="5.4545454545454541"/>
    <n v="0.72727272727272729"/>
    <x v="6"/>
    <s v="Online"/>
    <n v="13.2"/>
    <n v="16.8"/>
    <x v="0"/>
    <n v="12"/>
    <n v="2"/>
    <x v="3"/>
    <n v="30.259433962264151"/>
    <n v="0"/>
  </r>
  <r>
    <s v="ORD982"/>
    <x v="3"/>
    <s v="Atlanta, GA"/>
    <d v="2025-06-14T00:00:00"/>
    <d v="1899-12-30T20:15:00"/>
    <d v="2025-06-14T00:00:00"/>
    <d v="1899-12-30T20:45:00"/>
    <n v="30"/>
    <s v="Medium"/>
    <s v="Veg"/>
    <n v="2"/>
    <x v="6"/>
    <x v="2"/>
    <s v="Wallet"/>
    <x v="0"/>
    <x v="1"/>
    <n v="7.5"/>
    <n v="0.5"/>
    <x v="6"/>
    <s v="Online"/>
    <n v="9.6"/>
    <n v="20.399999999999999"/>
    <x v="0"/>
    <n v="4"/>
    <n v="1"/>
    <x v="1"/>
    <n v="29.948453608247419"/>
    <n v="0"/>
  </r>
  <r>
    <s v="ORD983"/>
    <x v="1"/>
    <s v="Omaha, NE"/>
    <d v="2025-06-15T00:00:00"/>
    <d v="1899-12-30T18:30:00"/>
    <d v="2025-06-15T00:00:00"/>
    <d v="1899-12-30T19:00:00"/>
    <n v="30"/>
    <s v="Medium"/>
    <s v="BBQ Chicken"/>
    <n v="3"/>
    <x v="1"/>
    <x v="0"/>
    <s v="Card"/>
    <x v="0"/>
    <x v="0"/>
    <n v="6"/>
    <n v="0.6"/>
    <x v="6"/>
    <s v="Online"/>
    <n v="12"/>
    <n v="18"/>
    <x v="0"/>
    <n v="6"/>
    <n v="2"/>
    <x v="0"/>
    <n v="28.186274509803919"/>
    <n v="0"/>
  </r>
  <r>
    <s v="ORD984"/>
    <x v="2"/>
    <s v="Louisville, KY"/>
    <d v="2025-06-16T00:00:00"/>
    <d v="1899-12-30T19:45:00"/>
    <d v="2025-06-16T00:00:00"/>
    <d v="1899-12-30T20:15:00"/>
    <n v="30"/>
    <s v="XL"/>
    <s v="Cheese Burst"/>
    <n v="5"/>
    <x v="7"/>
    <x v="1"/>
    <s v="UPI"/>
    <x v="0"/>
    <x v="0"/>
    <n v="5"/>
    <n v="0.83333333333333337"/>
    <x v="6"/>
    <s v="Online"/>
    <n v="14.4"/>
    <n v="15.6"/>
    <x v="0"/>
    <n v="20"/>
    <n v="3"/>
    <x v="3"/>
    <n v="28.844221105527641"/>
    <n v="0"/>
  </r>
  <r>
    <s v="ORD985"/>
    <x v="4"/>
    <s v="Milwaukee, WI"/>
    <d v="2025-06-17T00:00:00"/>
    <d v="1899-12-30T20:00:00"/>
    <d v="2025-06-17T00:00:00"/>
    <d v="1899-12-30T20:30:00"/>
    <n v="30"/>
    <s v="Medium"/>
    <s v="Margarita"/>
    <n v="3"/>
    <x v="3"/>
    <x v="0"/>
    <s v="Cash"/>
    <x v="0"/>
    <x v="0"/>
    <n v="6.666666666666667"/>
    <n v="0.66666666666666663"/>
    <x v="6"/>
    <s v="Offline"/>
    <n v="10.8"/>
    <n v="19.2"/>
    <x v="0"/>
    <n v="6"/>
    <n v="2"/>
    <x v="1"/>
    <n v="30.286458333333329"/>
    <n v="0"/>
  </r>
  <r>
    <s v="ORD986"/>
    <x v="0"/>
    <s v="Albuquerque, NM"/>
    <d v="2025-06-18T00:00:00"/>
    <d v="1899-12-30T19:15:00"/>
    <d v="2025-06-18T00:00:00"/>
    <d v="1899-12-30T19:45:00"/>
    <n v="30"/>
    <s v="Large"/>
    <s v="Sicilian"/>
    <n v="4"/>
    <x v="10"/>
    <x v="0"/>
    <s v="UPI"/>
    <x v="0"/>
    <x v="0"/>
    <n v="5.4545454545454541"/>
    <n v="0.72727272727272729"/>
    <x v="6"/>
    <s v="Online"/>
    <n v="13.2"/>
    <n v="16.8"/>
    <x v="0"/>
    <n v="12"/>
    <n v="2"/>
    <x v="3"/>
    <n v="30.259433962264151"/>
    <n v="0"/>
  </r>
  <r>
    <s v="ORD987"/>
    <x v="3"/>
    <s v="Atlanta, GA"/>
    <d v="2025-06-19T00:00:00"/>
    <d v="1899-12-30T20:30:00"/>
    <d v="2025-06-19T00:00:00"/>
    <d v="1899-12-30T21:00:00"/>
    <n v="30"/>
    <s v="Medium"/>
    <s v="Veg"/>
    <n v="2"/>
    <x v="6"/>
    <x v="2"/>
    <s v="Wallet"/>
    <x v="0"/>
    <x v="0"/>
    <n v="7.5"/>
    <n v="0.5"/>
    <x v="6"/>
    <s v="Online"/>
    <n v="9.6"/>
    <n v="20.399999999999999"/>
    <x v="0"/>
    <n v="4"/>
    <n v="1"/>
    <x v="1"/>
    <n v="29.948453608247419"/>
    <n v="0"/>
  </r>
  <r>
    <s v="ORD988"/>
    <x v="1"/>
    <s v="Omaha, NE"/>
    <d v="2025-06-20T00:00:00"/>
    <d v="1899-12-30T18:00:00"/>
    <d v="2025-06-20T00:00:00"/>
    <d v="1899-12-30T18:30:00"/>
    <n v="30"/>
    <s v="Medium"/>
    <s v="BBQ Chicken"/>
    <n v="3"/>
    <x v="1"/>
    <x v="0"/>
    <s v="UPI"/>
    <x v="0"/>
    <x v="1"/>
    <n v="6"/>
    <n v="0.6"/>
    <x v="6"/>
    <s v="Online"/>
    <n v="12"/>
    <n v="18"/>
    <x v="0"/>
    <n v="6"/>
    <n v="2"/>
    <x v="0"/>
    <n v="28.186274509803919"/>
    <n v="0"/>
  </r>
  <r>
    <s v="ORD989"/>
    <x v="2"/>
    <s v="Louisville, KY"/>
    <d v="2025-06-21T00:00:00"/>
    <d v="1899-12-30T19:15:00"/>
    <d v="2025-06-21T00:00:00"/>
    <d v="1899-12-30T19:45:00"/>
    <n v="30"/>
    <s v="XL"/>
    <s v="Cheese Burst"/>
    <n v="5"/>
    <x v="7"/>
    <x v="1"/>
    <s v="Card"/>
    <x v="0"/>
    <x v="1"/>
    <n v="5"/>
    <n v="0.83333333333333337"/>
    <x v="6"/>
    <s v="Online"/>
    <n v="14.4"/>
    <n v="15.6"/>
    <x v="0"/>
    <n v="20"/>
    <n v="3"/>
    <x v="3"/>
    <n v="28.844221105527641"/>
    <n v="0"/>
  </r>
  <r>
    <s v="ORD990"/>
    <x v="4"/>
    <s v="Milwaukee, WI"/>
    <d v="2025-06-22T00:00:00"/>
    <d v="1899-12-30T20:30:00"/>
    <d v="2025-06-22T00:00:00"/>
    <d v="1899-12-30T21:00:00"/>
    <n v="30"/>
    <s v="Medium"/>
    <s v="Margarita"/>
    <n v="3"/>
    <x v="3"/>
    <x v="0"/>
    <s v="Cash"/>
    <x v="0"/>
    <x v="0"/>
    <n v="6.666666666666667"/>
    <n v="0.66666666666666663"/>
    <x v="6"/>
    <s v="Offline"/>
    <n v="10.8"/>
    <n v="19.2"/>
    <x v="0"/>
    <n v="6"/>
    <n v="2"/>
    <x v="1"/>
    <n v="30.286458333333329"/>
    <n v="0"/>
  </r>
  <r>
    <s v="ORD991"/>
    <x v="0"/>
    <s v="Albuquerque, NM"/>
    <d v="2025-06-23T00:00:00"/>
    <d v="1899-12-30T19:00:00"/>
    <d v="2025-06-23T00:00:00"/>
    <d v="1899-12-30T19:30:00"/>
    <n v="30"/>
    <s v="Large"/>
    <s v="Sicilian"/>
    <n v="4"/>
    <x v="10"/>
    <x v="0"/>
    <s v="UPI"/>
    <x v="0"/>
    <x v="0"/>
    <n v="5.4545454545454541"/>
    <n v="0.72727272727272729"/>
    <x v="6"/>
    <s v="Online"/>
    <n v="13.2"/>
    <n v="16.8"/>
    <x v="0"/>
    <n v="12"/>
    <n v="2"/>
    <x v="3"/>
    <n v="30.259433962264151"/>
    <n v="0"/>
  </r>
  <r>
    <s v="ORD992"/>
    <x v="3"/>
    <s v="Atlanta, GA"/>
    <d v="2025-06-24T00:00:00"/>
    <d v="1899-12-30T20:15:00"/>
    <d v="2025-06-24T00:00:00"/>
    <d v="1899-12-30T20:45:00"/>
    <n v="30"/>
    <s v="Medium"/>
    <s v="Veg"/>
    <n v="2"/>
    <x v="6"/>
    <x v="2"/>
    <s v="Wallet"/>
    <x v="0"/>
    <x v="0"/>
    <n v="7.5"/>
    <n v="0.5"/>
    <x v="6"/>
    <s v="Online"/>
    <n v="9.6"/>
    <n v="20.399999999999999"/>
    <x v="0"/>
    <n v="4"/>
    <n v="1"/>
    <x v="1"/>
    <n v="29.948453608247419"/>
    <n v="0"/>
  </r>
  <r>
    <s v="ORD993"/>
    <x v="1"/>
    <s v="Omaha, NE"/>
    <d v="2025-06-25T00:00:00"/>
    <d v="1899-12-30T18:30:00"/>
    <d v="2025-06-25T00:00:00"/>
    <d v="1899-12-30T19:00:00"/>
    <n v="30"/>
    <s v="Medium"/>
    <s v="BBQ Chicken"/>
    <n v="3"/>
    <x v="1"/>
    <x v="0"/>
    <s v="Card"/>
    <x v="0"/>
    <x v="0"/>
    <n v="6"/>
    <n v="0.6"/>
    <x v="6"/>
    <s v="Online"/>
    <n v="12"/>
    <n v="18"/>
    <x v="0"/>
    <n v="6"/>
    <n v="2"/>
    <x v="0"/>
    <n v="28.186274509803919"/>
    <n v="0"/>
  </r>
  <r>
    <s v="ORD994"/>
    <x v="2"/>
    <s v="Louisville, KY"/>
    <d v="2025-06-26T00:00:00"/>
    <d v="1899-12-30T19:45:00"/>
    <d v="2025-06-26T00:00:00"/>
    <d v="1899-12-30T20:15:00"/>
    <n v="30"/>
    <s v="XL"/>
    <s v="Cheese Burst"/>
    <n v="5"/>
    <x v="7"/>
    <x v="1"/>
    <s v="UPI"/>
    <x v="0"/>
    <x v="0"/>
    <n v="5"/>
    <n v="0.83333333333333337"/>
    <x v="6"/>
    <s v="Online"/>
    <n v="14.4"/>
    <n v="15.6"/>
    <x v="0"/>
    <n v="20"/>
    <n v="3"/>
    <x v="3"/>
    <n v="28.844221105527641"/>
    <n v="0"/>
  </r>
  <r>
    <s v="ORD995"/>
    <x v="4"/>
    <s v="Milwaukee, WI"/>
    <d v="2025-06-27T00:00:00"/>
    <d v="1899-12-30T20:00:00"/>
    <d v="2025-06-27T00:00:00"/>
    <d v="1899-12-30T20:30:00"/>
    <n v="30"/>
    <s v="Medium"/>
    <s v="Margarita"/>
    <n v="3"/>
    <x v="3"/>
    <x v="0"/>
    <s v="Cash"/>
    <x v="0"/>
    <x v="1"/>
    <n v="6.666666666666667"/>
    <n v="0.66666666666666663"/>
    <x v="6"/>
    <s v="Offline"/>
    <n v="10.8"/>
    <n v="19.2"/>
    <x v="0"/>
    <n v="6"/>
    <n v="2"/>
    <x v="1"/>
    <n v="30.286458333333329"/>
    <n v="0"/>
  </r>
  <r>
    <s v="ORD996"/>
    <x v="0"/>
    <s v="Albuquerque, NM"/>
    <d v="2025-06-28T00:00:00"/>
    <d v="1899-12-30T19:15:00"/>
    <d v="2025-06-28T00:00:00"/>
    <d v="1899-12-30T19:45:00"/>
    <n v="30"/>
    <s v="Large"/>
    <s v="Sicilian"/>
    <n v="4"/>
    <x v="10"/>
    <x v="0"/>
    <s v="UPI"/>
    <x v="0"/>
    <x v="1"/>
    <n v="5.4545454545454541"/>
    <n v="0.72727272727272729"/>
    <x v="6"/>
    <s v="Online"/>
    <n v="13.2"/>
    <n v="16.8"/>
    <x v="0"/>
    <n v="12"/>
    <n v="2"/>
    <x v="3"/>
    <n v="30.259433962264151"/>
    <n v="0"/>
  </r>
  <r>
    <s v="ORD997"/>
    <x v="3"/>
    <s v="Atlanta, GA"/>
    <d v="2025-06-29T00:00:00"/>
    <d v="1899-12-30T20:30:00"/>
    <d v="2025-06-29T00:00:00"/>
    <d v="1899-12-30T21:00:00"/>
    <n v="30"/>
    <s v="Medium"/>
    <s v="Veg"/>
    <n v="2"/>
    <x v="6"/>
    <x v="2"/>
    <s v="Wallet"/>
    <x v="0"/>
    <x v="0"/>
    <n v="7.5"/>
    <n v="0.5"/>
    <x v="6"/>
    <s v="Online"/>
    <n v="9.6"/>
    <n v="20.399999999999999"/>
    <x v="0"/>
    <n v="4"/>
    <n v="1"/>
    <x v="1"/>
    <n v="29.948453608247419"/>
    <n v="0"/>
  </r>
  <r>
    <s v="ORD998"/>
    <x v="1"/>
    <s v="Omaha, NE"/>
    <d v="2025-06-30T00:00:00"/>
    <d v="1899-12-30T18:00:00"/>
    <d v="2025-06-30T00:00:00"/>
    <d v="1899-12-30T18:30:00"/>
    <n v="30"/>
    <s v="Medium"/>
    <s v="BBQ Chicken"/>
    <n v="3"/>
    <x v="1"/>
    <x v="0"/>
    <s v="UPI"/>
    <x v="0"/>
    <x v="0"/>
    <n v="6"/>
    <n v="0.6"/>
    <x v="6"/>
    <s v="Online"/>
    <n v="12"/>
    <n v="18"/>
    <x v="0"/>
    <n v="6"/>
    <n v="2"/>
    <x v="0"/>
    <n v="28.186274509803919"/>
    <n v="0"/>
  </r>
  <r>
    <s v="ORD999"/>
    <x v="2"/>
    <s v="Louisville, KY"/>
    <d v="2025-07-01T00:00:00"/>
    <d v="1899-12-30T19:15:00"/>
    <d v="2025-07-01T00:00:00"/>
    <d v="1899-12-30T19:45:00"/>
    <n v="30"/>
    <s v="XL"/>
    <s v="Cheese Burst"/>
    <n v="5"/>
    <x v="7"/>
    <x v="1"/>
    <s v="Card"/>
    <x v="0"/>
    <x v="0"/>
    <n v="5"/>
    <n v="0.83333333333333337"/>
    <x v="7"/>
    <s v="Online"/>
    <n v="14.4"/>
    <n v="15.6"/>
    <x v="0"/>
    <n v="20"/>
    <n v="3"/>
    <x v="3"/>
    <n v="28.844221105527641"/>
    <n v="0"/>
  </r>
  <r>
    <s v="ORD1000"/>
    <x v="4"/>
    <s v="Milwaukee, WI"/>
    <d v="2025-07-02T00:00:00"/>
    <d v="1899-12-30T20:30:00"/>
    <d v="2025-07-02T00:00:00"/>
    <d v="1899-12-30T21:00:00"/>
    <n v="30"/>
    <s v="Medium"/>
    <s v="Margarita"/>
    <n v="3"/>
    <x v="3"/>
    <x v="0"/>
    <s v="Cash"/>
    <x v="0"/>
    <x v="0"/>
    <n v="6.666666666666667"/>
    <n v="0.66666666666666663"/>
    <x v="7"/>
    <s v="Offline"/>
    <n v="10.8"/>
    <n v="19.2"/>
    <x v="0"/>
    <n v="6"/>
    <n v="2"/>
    <x v="1"/>
    <n v="30.286458333333329"/>
    <n v="0"/>
  </r>
  <r>
    <s v="ORD1001"/>
    <x v="0"/>
    <s v="Albuquerque, NM"/>
    <d v="2025-07-03T00:00:00"/>
    <d v="1899-12-30T19:00:00"/>
    <d v="2025-07-03T00:00:00"/>
    <d v="1899-12-30T19:30:00"/>
    <n v="30"/>
    <s v="Large"/>
    <s v="Sicilian"/>
    <n v="4"/>
    <x v="10"/>
    <x v="0"/>
    <s v="UPI"/>
    <x v="0"/>
    <x v="0"/>
    <n v="5.4545454545454541"/>
    <n v="0.72727272727272729"/>
    <x v="7"/>
    <s v="Online"/>
    <n v="13.2"/>
    <n v="16.8"/>
    <x v="0"/>
    <n v="12"/>
    <n v="2"/>
    <x v="3"/>
    <n v="30.259433962264151"/>
    <n v="0"/>
  </r>
  <r>
    <s v="ORD1002"/>
    <x v="3"/>
    <s v="Atlanta, GA"/>
    <d v="2025-07-04T00:00:00"/>
    <d v="1899-12-30T20:15:00"/>
    <d v="2025-07-04T00:00:00"/>
    <d v="1899-12-30T20:45:00"/>
    <n v="30"/>
    <s v="Medium"/>
    <s v="Veg"/>
    <n v="2"/>
    <x v="6"/>
    <x v="2"/>
    <s v="Wallet"/>
    <x v="0"/>
    <x v="1"/>
    <n v="7.5"/>
    <n v="0.5"/>
    <x v="7"/>
    <s v="Online"/>
    <n v="9.6"/>
    <n v="20.399999999999999"/>
    <x v="0"/>
    <n v="4"/>
    <n v="1"/>
    <x v="1"/>
    <n v="29.948453608247419"/>
    <n v="0"/>
  </r>
  <r>
    <s v="ORD1003"/>
    <x v="1"/>
    <s v="Omaha, NE"/>
    <d v="2025-07-05T00:00:00"/>
    <d v="1899-12-30T18:30:00"/>
    <d v="2025-07-05T00:00:00"/>
    <d v="1899-12-30T19:00:00"/>
    <n v="30"/>
    <s v="Medium"/>
    <s v="BBQ Chicken"/>
    <n v="3"/>
    <x v="1"/>
    <x v="0"/>
    <s v="Card"/>
    <x v="0"/>
    <x v="1"/>
    <n v="6"/>
    <n v="0.6"/>
    <x v="7"/>
    <s v="Online"/>
    <n v="12"/>
    <n v="18"/>
    <x v="0"/>
    <n v="6"/>
    <n v="2"/>
    <x v="0"/>
    <n v="28.186274509803919"/>
    <n v="0"/>
  </r>
  <r>
    <s v="ORD1004"/>
    <x v="2"/>
    <s v="Louisville, KY"/>
    <d v="2025-07-06T00:00:00"/>
    <d v="1899-12-30T19:45:00"/>
    <d v="2025-07-06T00:00:00"/>
    <d v="1899-12-30T20:15:00"/>
    <n v="30"/>
    <s v="XL"/>
    <s v="Cheese Burst"/>
    <n v="5"/>
    <x v="7"/>
    <x v="1"/>
    <s v="UPI"/>
    <x v="0"/>
    <x v="0"/>
    <n v="5"/>
    <n v="0.83333333333333337"/>
    <x v="7"/>
    <s v="Online"/>
    <n v="14.4"/>
    <n v="15.6"/>
    <x v="0"/>
    <n v="20"/>
    <n v="3"/>
    <x v="3"/>
    <n v="28.844221105527641"/>
    <n v="0"/>
  </r>
  <r>
    <s v="ORD1005"/>
    <x v="4"/>
    <s v="Milwaukee, WI"/>
    <d v="2025-07-07T00:00:00"/>
    <d v="1899-12-30T20:00:00"/>
    <d v="2025-07-07T00:00:00"/>
    <d v="1899-12-30T20:30:00"/>
    <n v="30"/>
    <s v="Medium"/>
    <s v="Margarita"/>
    <n v="3"/>
    <x v="3"/>
    <x v="0"/>
    <s v="UPI"/>
    <x v="0"/>
    <x v="0"/>
    <n v="6.666666666666667"/>
    <n v="0.66666666666666663"/>
    <x v="7"/>
    <s v="Online"/>
    <n v="10.8"/>
    <n v="19.2"/>
    <x v="0"/>
    <n v="6"/>
    <n v="2"/>
    <x v="1"/>
    <n v="30.286458333333329"/>
    <n v="0"/>
  </r>
  <r>
    <m/>
    <x v="5"/>
    <m/>
    <m/>
    <m/>
    <m/>
    <m/>
    <m/>
    <m/>
    <m/>
    <m/>
    <x v="25"/>
    <x v="3"/>
    <m/>
    <x v="2"/>
    <x v="2"/>
    <m/>
    <m/>
    <x v="12"/>
    <m/>
    <m/>
    <m/>
    <x v="2"/>
    <m/>
    <m/>
    <x v="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83F2F-4D56-3E43-BB75-20299B4BBDD1}" name="OrdersandDelayedDeliveriesbyPeakHourStatus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8" rowHeaderCaption="Is Peak Hour">
  <location ref="A397:C400" firstHeaderRow="0" firstDataRow="1" firstDataCol="1" rowPageCount="1" colPageCount="1"/>
  <pivotFields count="29">
    <pivotField dataField="1" showAll="0"/>
    <pivotField axis="axisPage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5">
        <item x="1"/>
        <item x="2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2"/>
        <item x="4"/>
        <item x="6"/>
        <item x="5"/>
        <item x="0"/>
        <item x="3"/>
        <item x="1"/>
        <item x="7"/>
        <item h="1" x="8"/>
        <item t="default"/>
      </items>
    </pivotField>
    <pivotField showAll="0"/>
    <pivotField dataField="1" showAll="0"/>
    <pivotField dragToRow="0" dragToCol="0" dragToPage="0" showAll="0" defaultSubtotal="0"/>
  </pivotFields>
  <rowFields count="1">
    <field x="1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ount of Orders" fld="0" subtotal="count" baseField="0" baseItem="0"/>
    <dataField name="Total Delayed Orders" fld="27" baseField="0" baseItem="0"/>
  </dataFields>
  <formats count="17">
    <format dxfId="3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31">
      <pivotArea field="14" type="button" dataOnly="0" labelOnly="1" outline="0" axis="axisRow" fieldPosition="0"/>
    </format>
    <format dxfId="330">
      <pivotArea type="all" dataOnly="0" outline="0" fieldPosition="0"/>
    </format>
    <format dxfId="329">
      <pivotArea field="14" type="button" dataOnly="0" labelOnly="1" outline="0" axis="axisRow" fieldPosition="0"/>
    </format>
    <format dxfId="3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6">
      <pivotArea field="14" type="button" dataOnly="0" labelOnly="1" outline="0" axis="axisRow" fieldPosition="0"/>
    </format>
    <format dxfId="3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4">
      <pivotArea type="all" dataOnly="0" outline="0" fieldPosition="0"/>
    </format>
    <format dxfId="323">
      <pivotArea outline="0" collapsedLevelsAreSubtotals="1" fieldPosition="0"/>
    </format>
    <format dxfId="322">
      <pivotArea field="14" type="button" dataOnly="0" labelOnly="1" outline="0" axis="axisRow" fieldPosition="0"/>
    </format>
    <format dxfId="321">
      <pivotArea dataOnly="0" labelOnly="1" fieldPosition="0">
        <references count="1">
          <reference field="14" count="0"/>
        </references>
      </pivotArea>
    </format>
    <format dxfId="320">
      <pivotArea dataOnly="0" labelOnly="1" grandRow="1" outline="0" fieldPosition="0"/>
    </format>
    <format dxfId="3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8">
      <pivotArea field="14" type="button" dataOnly="0" labelOnly="1" outline="0" axis="axisRow" fieldPosition="0"/>
    </format>
  </formats>
  <conditionalFormats count="2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2">
              <x v="0"/>
              <x v="1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4" count="2">
              <x v="0"/>
              <x v="1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E3C02-DC43-5449-8EAA-E0482D1EB059}" name="OrderVolumeandDeliveryDelaysbyDeliveryDistance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16" rowHeaderCaption="Distance (km)">
  <location ref="A244:C270" firstHeaderRow="0" firstDataRow="1" firstDataCol="1"/>
  <pivotFields count="2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7">
        <item x="4"/>
        <item x="0"/>
        <item x="2"/>
        <item x="21"/>
        <item x="5"/>
        <item x="19"/>
        <item x="6"/>
        <item x="17"/>
        <item x="3"/>
        <item x="1"/>
        <item x="16"/>
        <item x="10"/>
        <item x="24"/>
        <item x="7"/>
        <item x="23"/>
        <item x="14"/>
        <item x="15"/>
        <item x="13"/>
        <item x="11"/>
        <item x="20"/>
        <item x="8"/>
        <item x="22"/>
        <item x="18"/>
        <item x="12"/>
        <item x="9"/>
        <item h="1"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2"/>
        <item x="4"/>
        <item x="6"/>
        <item x="5"/>
        <item x="0"/>
        <item x="3"/>
        <item x="1"/>
        <item x="7"/>
        <item h="1" x="8"/>
        <item t="default"/>
      </items>
    </pivotField>
    <pivotField showAll="0"/>
    <pivotField dataField="1" showAll="0"/>
    <pivotField dragToRow="0" dragToCol="0" dragToPage="0" showAll="0" defaultSubtotal="0"/>
  </pivotFields>
  <rowFields count="1">
    <field x="1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s" fld="0" subtotal="count" baseField="0" baseItem="0"/>
    <dataField name="Total Delayed Orders" fld="27" baseField="0" baseItem="0"/>
  </dataFields>
  <formats count="9">
    <format dxfId="343">
      <pivotArea field="11" type="button" dataOnly="0" labelOnly="1" outline="0" axis="axisRow" fieldPosition="0"/>
    </format>
    <format dxfId="3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1">
      <pivotArea type="all" dataOnly="0" outline="0" fieldPosition="0"/>
    </format>
    <format dxfId="340">
      <pivotArea outline="0" collapsedLevelsAreSubtotals="1" fieldPosition="0"/>
    </format>
    <format dxfId="339">
      <pivotArea field="11" type="button" dataOnly="0" labelOnly="1" outline="0" axis="axisRow" fieldPosition="0"/>
    </format>
    <format dxfId="338">
      <pivotArea dataOnly="0" labelOnly="1" fieldPosition="0">
        <references count="1">
          <reference field="11" count="0"/>
        </references>
      </pivotArea>
    </format>
    <format dxfId="337">
      <pivotArea dataOnly="0" labelOnly="1" grandRow="1" outline="0" fieldPosition="0"/>
    </format>
    <format dxfId="3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5">
      <pivotArea field="11" type="button" dataOnly="0" labelOnly="1" outline="0" axis="axisRow" fieldPosition="0"/>
    </format>
  </formats>
  <conditionalFormats count="2">
    <conditionalFormat priority="1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1" count="2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1" count="2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</conditionalFormats>
  <chartFormats count="35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11" count="1" selected="0">
            <x v="3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1"/>
          </reference>
          <reference field="11" count="1" selected="0">
            <x v="4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1"/>
          </reference>
          <reference field="11" count="1" selected="0">
            <x v="5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1"/>
          </reference>
          <reference field="11" count="1" selected="0">
            <x v="7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1"/>
          </reference>
          <reference field="11" count="1" selected="0">
            <x v="1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6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7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9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1"/>
          </reference>
        </references>
      </pivotArea>
    </chartFormat>
    <chartFormat chart="10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2"/>
          </reference>
        </references>
      </pivotArea>
    </chartFormat>
    <chartFormat chart="10" format="3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  <chartFormat chart="10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8"/>
          </reference>
        </references>
      </pivotArea>
    </chartFormat>
    <chartFormat chart="10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  <chartFormat chart="10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3"/>
          </reference>
        </references>
      </pivotArea>
    </chartFormat>
    <chartFormat chart="10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A2FD5-868C-9340-8BED-C21A73D27B26}" name="ImpactofWeekendonOrderVolumeandDelayedDeliveries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8" rowHeaderCaption="Is Weekend">
  <location ref="A441:C444" firstHeaderRow="0" firstDataRow="1" firstDataCol="1" rowPageCount="1" colPageCount="1"/>
  <pivotFields count="29">
    <pivotField dataField="1" showAll="0"/>
    <pivotField axis="axisPage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5">
        <item x="1"/>
        <item x="2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2"/>
        <item x="4"/>
        <item x="6"/>
        <item x="5"/>
        <item x="0"/>
        <item x="3"/>
        <item x="1"/>
        <item x="7"/>
        <item h="1" x="8"/>
        <item t="default"/>
      </items>
    </pivotField>
    <pivotField showAll="0"/>
    <pivotField dataField="1" showAll="0"/>
    <pivotField dragToRow="0" dragToCol="0" dragToPage="0" showAll="0" defaultSubtota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ount of Orders" fld="0" subtotal="count" baseField="0" baseItem="0"/>
    <dataField name="Total Delayed Orders" fld="27" baseField="0" baseItem="0"/>
  </dataFields>
  <formats count="16">
    <format dxfId="3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6">
      <pivotArea field="15" type="button" dataOnly="0" labelOnly="1" outline="0" axis="axisRow" fieldPosition="0"/>
    </format>
    <format dxfId="355">
      <pivotArea type="all" dataOnly="0" outline="0" fieldPosition="0"/>
    </format>
    <format dxfId="3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2">
      <pivotArea type="all" dataOnly="0" outline="0" fieldPosition="0"/>
    </format>
    <format dxfId="351">
      <pivotArea outline="0" collapsedLevelsAreSubtotals="1" fieldPosition="0"/>
    </format>
    <format dxfId="350">
      <pivotArea field="15" type="button" dataOnly="0" labelOnly="1" outline="0" axis="axisRow" fieldPosition="0"/>
    </format>
    <format dxfId="349">
      <pivotArea dataOnly="0" labelOnly="1" fieldPosition="0">
        <references count="1">
          <reference field="15" count="0"/>
        </references>
      </pivotArea>
    </format>
    <format dxfId="348">
      <pivotArea dataOnly="0" labelOnly="1" grandRow="1" outline="0" fieldPosition="0"/>
    </format>
    <format dxfId="3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6">
      <pivotArea field="15" type="button" dataOnly="0" labelOnly="1" outline="0" axis="axisRow" fieldPosition="0"/>
    </format>
    <format dxfId="3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4">
      <pivotArea field="15" type="button" dataOnly="0" labelOnly="1" outline="0" axis="axisRow" fieldPosition="0"/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2">
              <x v="0"/>
              <x v="1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5" count="2">
              <x v="0"/>
              <x v="1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C6780-C29D-B146-9E2E-172BCF283B90}" name="CountofOrderIDbyOrderMonth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22" rowHeaderCaption="Order Month">
  <location ref="A37:B50" firstHeaderRow="1" firstDataRow="1" firstDataCol="1" rowPageCount="1" colPageCount="1"/>
  <pivotFields count="29">
    <pivotField dataField="1" showAll="0"/>
    <pivotField axis="axisRow" showAll="0">
      <items count="7">
        <item x="0"/>
        <item x="2"/>
        <item x="4"/>
        <item x="1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sd="0" x="0"/>
        <item sd="0" x="1"/>
        <item sd="0" x="2"/>
        <item sd="0" x="3"/>
        <item sd="0" x="4"/>
        <item sd="0" x="6"/>
        <item sd="0" x="7"/>
        <item sd="0" x="5"/>
        <item sd="0" x="8"/>
        <item sd="0" x="9"/>
        <item sd="0" x="10"/>
        <item sd="0" x="11"/>
        <item x="12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2">
    <field x="18"/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2" hier="-1"/>
  </pageFields>
  <dataFields count="1">
    <dataField name="Count of Orders" fld="0" subtotal="count" baseField="0" baseItem="0"/>
  </dataFields>
  <formats count="7">
    <format dxfId="366">
      <pivotArea dataOnly="0" labelOnly="1" outline="0" axis="axisValues" fieldPosition="0"/>
    </format>
    <format dxfId="365">
      <pivotArea type="all" dataOnly="0" outline="0" fieldPosition="0"/>
    </format>
    <format dxfId="364">
      <pivotArea outline="0" collapsedLevelsAreSubtotals="1" fieldPosition="0"/>
    </format>
    <format dxfId="363">
      <pivotArea field="18" type="button" dataOnly="0" labelOnly="1" outline="0" axis="axisRow" fieldPosition="0"/>
    </format>
    <format dxfId="362">
      <pivotArea dataOnly="0" labelOnly="1" fieldPosition="0">
        <references count="1">
          <reference field="18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61">
      <pivotArea dataOnly="0" labelOnly="1" grandRow="1" outline="0" fieldPosition="0"/>
    </format>
    <format dxfId="360">
      <pivotArea dataOnly="0" labelOnly="1" outline="0" axis="axisValues" fieldPosition="0"/>
    </format>
  </formats>
  <conditionalFormats count="2">
    <conditionalFormat priority="63">
      <pivotAreas count="12"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11"/>
            </reference>
          </references>
        </pivotArea>
      </pivotAreas>
    </conditionalFormat>
    <conditionalFormat priority="20">
      <pivotAreas count="12"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11"/>
            </reference>
          </references>
        </pivotArea>
      </pivotAreas>
    </conditionalFormat>
  </conditionalFormats>
  <chartFormats count="13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8" count="1" selected="0">
            <x v="8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8" count="1" selected="0">
            <x v="9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8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1BF70-927D-5A41-84D7-1D678C5F14D6}" name="AverageDeliveryDurationbyOrderHourandRestaurant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22" rowHeaderCaption="Restaurant_x000a_Order Hour">
  <location ref="A143:C174" firstHeaderRow="1" firstDataRow="1" firstDataCol="2" rowPageCount="3" colPageCount="1"/>
  <pivotFields count="27">
    <pivotField compact="0" showAll="0" defaultSubtotal="0"/>
    <pivotField axis="axisRow" compact="0" showAll="0" defaultSubtotal="0">
      <items count="5">
        <item x="0"/>
        <item x="2"/>
        <item x="4"/>
        <item x="1"/>
        <item x="3"/>
      </items>
    </pivotField>
    <pivotField axis="axisPage" compact="0" showAll="0" defaultSubtotal="0">
      <items count="84">
        <item x="69"/>
        <item x="31"/>
        <item x="49"/>
        <item x="42"/>
        <item x="8"/>
        <item x="48"/>
        <item x="13"/>
        <item x="47"/>
        <item x="23"/>
        <item x="70"/>
        <item x="60"/>
        <item x="11"/>
        <item x="66"/>
        <item x="18"/>
        <item x="2"/>
        <item x="72"/>
        <item x="45"/>
        <item x="17"/>
        <item x="53"/>
        <item x="4"/>
        <item x="10"/>
        <item x="20"/>
        <item x="71"/>
        <item x="21"/>
        <item x="73"/>
        <item x="16"/>
        <item x="33"/>
        <item x="67"/>
        <item x="68"/>
        <item x="54"/>
        <item x="50"/>
        <item x="6"/>
        <item x="19"/>
        <item x="63"/>
        <item x="15"/>
        <item x="75"/>
        <item x="35"/>
        <item x="78"/>
        <item x="81"/>
        <item x="51"/>
        <item x="59"/>
        <item x="36"/>
        <item x="1"/>
        <item x="29"/>
        <item x="65"/>
        <item x="64"/>
        <item x="22"/>
        <item x="37"/>
        <item x="3"/>
        <item x="30"/>
        <item x="41"/>
        <item x="28"/>
        <item x="43"/>
        <item x="0"/>
        <item x="56"/>
        <item x="77"/>
        <item x="83"/>
        <item x="80"/>
        <item x="38"/>
        <item x="24"/>
        <item x="25"/>
        <item x="7"/>
        <item x="58"/>
        <item x="79"/>
        <item x="39"/>
        <item x="61"/>
        <item x="55"/>
        <item x="34"/>
        <item x="26"/>
        <item x="14"/>
        <item x="5"/>
        <item x="12"/>
        <item x="62"/>
        <item x="9"/>
        <item x="76"/>
        <item x="57"/>
        <item x="74"/>
        <item x="52"/>
        <item x="46"/>
        <item x="32"/>
        <item x="40"/>
        <item x="82"/>
        <item x="27"/>
        <item x="44"/>
      </items>
    </pivotField>
    <pivotField compact="0" numFmtId="14" showAll="0" defaultSubtotal="0"/>
    <pivotField compact="0" numFmtId="165" showAll="0" defaultSubtotal="0"/>
    <pivotField compact="0" numFmtId="14" showAll="0" defaultSubtotal="0"/>
    <pivotField compact="0" numFmtId="165" showAll="0" defaultSubtotal="0"/>
    <pivotField dataField="1" compact="0" showAll="0" defaultSubtotal="0"/>
    <pivotField compact="0" showAll="0" defaultSubtotal="0"/>
    <pivotField compact="0" showAll="0" defaultSubtotal="0"/>
    <pivotField compact="0" showAll="0" defaultSubtotal="0"/>
    <pivotField axis="axisPage" compact="0" showAll="0" defaultSubtotal="0">
      <items count="25">
        <item x="4"/>
        <item x="0"/>
        <item x="2"/>
        <item x="21"/>
        <item x="5"/>
        <item x="19"/>
        <item x="6"/>
        <item x="17"/>
        <item x="3"/>
        <item x="1"/>
        <item x="16"/>
        <item x="10"/>
        <item x="24"/>
        <item x="7"/>
        <item x="23"/>
        <item x="14"/>
        <item x="15"/>
        <item x="13"/>
        <item x="11"/>
        <item x="20"/>
        <item x="8"/>
        <item x="22"/>
        <item x="18"/>
        <item x="12"/>
        <item x="9"/>
      </items>
    </pivotField>
    <pivotField axis="axisPage" compact="0" showAll="0" defaultSubtotal="0">
      <items count="3">
        <item x="1"/>
        <item x="2"/>
        <item x="0"/>
      </items>
    </pivotField>
    <pivotField compact="0" showAll="0" defaultSubtotal="0"/>
    <pivotField compact="0" showAll="0" defaultSubtotal="0"/>
    <pivotField compact="0" showAll="0" defaultSubtotal="0"/>
    <pivotField compact="0" numFmtId="2" showAll="0" defaultSubtotal="0"/>
    <pivotField compact="0" numFmtId="2" showAll="0" defaultSubtotal="0"/>
    <pivotField compact="0" showAll="0" defaultSubtotal="0"/>
    <pivotField compact="0" showAll="0" defaultSubtotal="0"/>
    <pivotField compact="0" numFmtId="2" showAll="0" defaultSubtotal="0"/>
    <pivotField compact="0" numFmtId="2" showAll="0" defaultSubtotal="0"/>
    <pivotField compact="0" showAll="0" defaultSubtotal="0"/>
    <pivotField compact="0" showAll="0" defaultSubtotal="0"/>
    <pivotField compact="0" showAll="0" defaultSubtotal="0"/>
    <pivotField axis="axisRow" compact="0" showAll="0" defaultSubtotal="0">
      <items count="8">
        <item x="2"/>
        <item x="4"/>
        <item x="6"/>
        <item x="5"/>
        <item x="0"/>
        <item x="3"/>
        <item x="1"/>
        <item x="7"/>
      </items>
    </pivotField>
    <pivotField compact="0" numFmtId="2" showAll="0" defaultSubtotal="0"/>
  </pivotFields>
  <rowFields count="2">
    <field x="1"/>
    <field x="25"/>
  </rowFields>
  <rowItems count="31">
    <i>
      <x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>
      <x v="3"/>
    </i>
    <i r="1">
      <x v="3"/>
    </i>
    <i r="1">
      <x v="4"/>
    </i>
    <i r="1">
      <x v="5"/>
    </i>
    <i r="1">
      <x v="6"/>
    </i>
    <i>
      <x v="4"/>
    </i>
    <i r="1">
      <x v="2"/>
    </i>
    <i r="1">
      <x v="4"/>
    </i>
    <i r="1">
      <x v="5"/>
    </i>
    <i r="1">
      <x v="6"/>
    </i>
    <i r="1">
      <x v="7"/>
    </i>
    <i t="grand">
      <x/>
    </i>
  </rowItems>
  <colItems count="1">
    <i/>
  </colItems>
  <pageFields count="3">
    <pageField fld="2" hier="-1"/>
    <pageField fld="11" hier="-1"/>
    <pageField fld="12" hier="-1"/>
  </pageFields>
  <dataFields count="1">
    <dataField name="Average of Delivery Duration (min)" fld="7" subtotal="average" baseField="0" baseItem="0"/>
  </dataFields>
  <formats count="57">
    <format dxfId="423">
      <pivotArea field="1" type="button" dataOnly="0" labelOnly="1" outline="0" axis="axisRow" fieldPosition="0"/>
    </format>
    <format dxfId="422">
      <pivotArea field="1" type="button" dataOnly="0" labelOnly="1" outline="0" axis="axisRow" fieldPosition="0"/>
    </format>
    <format dxfId="421">
      <pivotArea field="1" type="button" dataOnly="0" labelOnly="1" outline="0" axis="axisRow" fieldPosition="0"/>
    </format>
    <format dxfId="420">
      <pivotArea dataOnly="0" labelOnly="1" outline="0" axis="axisValues" fieldPosition="0"/>
    </format>
    <format dxfId="419">
      <pivotArea collapsedLevelsAreSubtotals="1" fieldPosition="0">
        <references count="2">
          <reference field="1" count="1" selected="0">
            <x v="0"/>
          </reference>
          <reference field="25" count="5">
            <x v="3"/>
            <x v="4"/>
            <x v="5"/>
            <x v="6"/>
            <x v="7"/>
          </reference>
        </references>
      </pivotArea>
    </format>
    <format dxfId="418">
      <pivotArea collapsedLevelsAreSubtotals="1" fieldPosition="0">
        <references count="1">
          <reference field="1" count="1">
            <x v="1"/>
          </reference>
        </references>
      </pivotArea>
    </format>
    <format dxfId="417">
      <pivotArea collapsedLevelsAreSubtotals="1" fieldPosition="0">
        <references count="2">
          <reference field="1" count="1" selected="0">
            <x v="1"/>
          </reference>
          <reference field="25" count="5">
            <x v="0"/>
            <x v="3"/>
            <x v="4"/>
            <x v="5"/>
            <x v="6"/>
          </reference>
        </references>
      </pivotArea>
    </format>
    <format dxfId="416">
      <pivotArea collapsedLevelsAreSubtotals="1" fieldPosition="0">
        <references count="1">
          <reference field="1" count="1">
            <x v="2"/>
          </reference>
        </references>
      </pivotArea>
    </format>
    <format dxfId="415">
      <pivotArea collapsedLevelsAreSubtotals="1" fieldPosition="0">
        <references count="2">
          <reference field="1" count="1" selected="0">
            <x v="2"/>
          </reference>
          <reference field="25" count="6">
            <x v="0"/>
            <x v="1"/>
            <x v="2"/>
            <x v="4"/>
            <x v="5"/>
            <x v="6"/>
          </reference>
        </references>
      </pivotArea>
    </format>
    <format dxfId="414">
      <pivotArea collapsedLevelsAreSubtotals="1" fieldPosition="0">
        <references count="1">
          <reference field="1" count="1">
            <x v="3"/>
          </reference>
        </references>
      </pivotArea>
    </format>
    <format dxfId="413">
      <pivotArea collapsedLevelsAreSubtotals="1" fieldPosition="0">
        <references count="2">
          <reference field="1" count="1" selected="0">
            <x v="3"/>
          </reference>
          <reference field="25" count="4">
            <x v="3"/>
            <x v="4"/>
            <x v="5"/>
            <x v="6"/>
          </reference>
        </references>
      </pivotArea>
    </format>
    <format dxfId="412">
      <pivotArea collapsedLevelsAreSubtotals="1" fieldPosition="0">
        <references count="1">
          <reference field="1" count="1">
            <x v="4"/>
          </reference>
        </references>
      </pivotArea>
    </format>
    <format dxfId="411">
      <pivotArea collapsedLevelsAreSubtotals="1" fieldPosition="0">
        <references count="2">
          <reference field="1" count="1" selected="0">
            <x v="4"/>
          </reference>
          <reference field="25" count="5">
            <x v="2"/>
            <x v="4"/>
            <x v="5"/>
            <x v="6"/>
            <x v="7"/>
          </reference>
        </references>
      </pivotArea>
    </format>
    <format dxfId="410">
      <pivotArea grandRow="1" outline="0" collapsedLevelsAreSubtotals="1" fieldPosition="0"/>
    </format>
    <format dxfId="409">
      <pivotArea type="all" dataOnly="0" outline="0" fieldPosition="0"/>
    </format>
    <format dxfId="408">
      <pivotArea outline="0" collapsedLevelsAreSubtotals="1" fieldPosition="0"/>
    </format>
    <format dxfId="407">
      <pivotArea field="1" type="button" dataOnly="0" labelOnly="1" outline="0" axis="axisRow" fieldPosition="0"/>
    </format>
    <format dxfId="406">
      <pivotArea dataOnly="0" labelOnly="1" fieldPosition="0">
        <references count="1">
          <reference field="1" count="0"/>
        </references>
      </pivotArea>
    </format>
    <format dxfId="405">
      <pivotArea dataOnly="0" labelOnly="1" grandRow="1" outline="0" fieldPosition="0"/>
    </format>
    <format dxfId="404">
      <pivotArea dataOnly="0" labelOnly="1" fieldPosition="0">
        <references count="2">
          <reference field="1" count="1" selected="0">
            <x v="0"/>
          </reference>
          <reference field="25" count="5">
            <x v="3"/>
            <x v="4"/>
            <x v="5"/>
            <x v="6"/>
            <x v="7"/>
          </reference>
        </references>
      </pivotArea>
    </format>
    <format dxfId="403">
      <pivotArea dataOnly="0" labelOnly="1" fieldPosition="0">
        <references count="2">
          <reference field="1" count="1" selected="0">
            <x v="1"/>
          </reference>
          <reference field="25" count="5">
            <x v="0"/>
            <x v="3"/>
            <x v="4"/>
            <x v="5"/>
            <x v="6"/>
          </reference>
        </references>
      </pivotArea>
    </format>
    <format dxfId="402">
      <pivotArea dataOnly="0" labelOnly="1" fieldPosition="0">
        <references count="2">
          <reference field="1" count="1" selected="0">
            <x v="2"/>
          </reference>
          <reference field="25" count="6">
            <x v="0"/>
            <x v="1"/>
            <x v="2"/>
            <x v="4"/>
            <x v="5"/>
            <x v="6"/>
          </reference>
        </references>
      </pivotArea>
    </format>
    <format dxfId="401">
      <pivotArea dataOnly="0" labelOnly="1" fieldPosition="0">
        <references count="2">
          <reference field="1" count="1" selected="0">
            <x v="3"/>
          </reference>
          <reference field="25" count="4">
            <x v="3"/>
            <x v="4"/>
            <x v="5"/>
            <x v="6"/>
          </reference>
        </references>
      </pivotArea>
    </format>
    <format dxfId="400">
      <pivotArea dataOnly="0" labelOnly="1" fieldPosition="0">
        <references count="2">
          <reference field="1" count="1" selected="0">
            <x v="4"/>
          </reference>
          <reference field="25" count="5">
            <x v="2"/>
            <x v="4"/>
            <x v="5"/>
            <x v="6"/>
            <x v="7"/>
          </reference>
        </references>
      </pivotArea>
    </format>
    <format dxfId="399">
      <pivotArea dataOnly="0" labelOnly="1" outline="0" axis="axisValues" fieldPosition="0"/>
    </format>
    <format dxfId="398">
      <pivotArea collapsedLevelsAreSubtotals="1" fieldPosition="0">
        <references count="2">
          <reference field="1" count="1" selected="0">
            <x v="0"/>
          </reference>
          <reference field="25" count="5">
            <x v="3"/>
            <x v="4"/>
            <x v="5"/>
            <x v="6"/>
            <x v="7"/>
          </reference>
        </references>
      </pivotArea>
    </format>
    <format dxfId="397">
      <pivotArea collapsedLevelsAreSubtotals="1" fieldPosition="0">
        <references count="1">
          <reference field="1" count="1">
            <x v="1"/>
          </reference>
        </references>
      </pivotArea>
    </format>
    <format dxfId="396">
      <pivotArea collapsedLevelsAreSubtotals="1" fieldPosition="0">
        <references count="2">
          <reference field="1" count="1" selected="0">
            <x v="1"/>
          </reference>
          <reference field="25" count="5">
            <x v="0"/>
            <x v="3"/>
            <x v="4"/>
            <x v="5"/>
            <x v="6"/>
          </reference>
        </references>
      </pivotArea>
    </format>
    <format dxfId="395">
      <pivotArea collapsedLevelsAreSubtotals="1" fieldPosition="0">
        <references count="1">
          <reference field="1" count="1">
            <x v="2"/>
          </reference>
        </references>
      </pivotArea>
    </format>
    <format dxfId="394">
      <pivotArea collapsedLevelsAreSubtotals="1" fieldPosition="0">
        <references count="2">
          <reference field="1" count="1" selected="0">
            <x v="2"/>
          </reference>
          <reference field="25" count="6">
            <x v="0"/>
            <x v="1"/>
            <x v="2"/>
            <x v="4"/>
            <x v="5"/>
            <x v="6"/>
          </reference>
        </references>
      </pivotArea>
    </format>
    <format dxfId="393">
      <pivotArea collapsedLevelsAreSubtotals="1" fieldPosition="0">
        <references count="1">
          <reference field="1" count="1">
            <x v="3"/>
          </reference>
        </references>
      </pivotArea>
    </format>
    <format dxfId="392">
      <pivotArea collapsedLevelsAreSubtotals="1" fieldPosition="0">
        <references count="2">
          <reference field="1" count="1" selected="0">
            <x v="3"/>
          </reference>
          <reference field="25" count="4">
            <x v="3"/>
            <x v="4"/>
            <x v="5"/>
            <x v="6"/>
          </reference>
        </references>
      </pivotArea>
    </format>
    <format dxfId="391">
      <pivotArea collapsedLevelsAreSubtotals="1" fieldPosition="0">
        <references count="1">
          <reference field="1" count="1">
            <x v="4"/>
          </reference>
        </references>
      </pivotArea>
    </format>
    <format dxfId="390">
      <pivotArea collapsedLevelsAreSubtotals="1" fieldPosition="0">
        <references count="2">
          <reference field="1" count="1" selected="0">
            <x v="4"/>
          </reference>
          <reference field="25" count="5">
            <x v="2"/>
            <x v="4"/>
            <x v="5"/>
            <x v="6"/>
            <x v="7"/>
          </reference>
        </references>
      </pivotArea>
    </format>
    <format dxfId="389">
      <pivotArea dataOnly="0" labelOnly="1" fieldPosition="0">
        <references count="2">
          <reference field="1" count="1" selected="0">
            <x v="0"/>
          </reference>
          <reference field="25" count="5">
            <x v="3"/>
            <x v="4"/>
            <x v="5"/>
            <x v="6"/>
            <x v="7"/>
          </reference>
        </references>
      </pivotArea>
    </format>
    <format dxfId="388">
      <pivotArea dataOnly="0" labelOnly="1" fieldPosition="0">
        <references count="2">
          <reference field="1" count="1" selected="0">
            <x v="1"/>
          </reference>
          <reference field="25" count="5">
            <x v="0"/>
            <x v="3"/>
            <x v="4"/>
            <x v="5"/>
            <x v="6"/>
          </reference>
        </references>
      </pivotArea>
    </format>
    <format dxfId="387">
      <pivotArea dataOnly="0" labelOnly="1" fieldPosition="0">
        <references count="2">
          <reference field="1" count="1" selected="0">
            <x v="2"/>
          </reference>
          <reference field="25" count="6">
            <x v="0"/>
            <x v="1"/>
            <x v="2"/>
            <x v="4"/>
            <x v="5"/>
            <x v="6"/>
          </reference>
        </references>
      </pivotArea>
    </format>
    <format dxfId="386">
      <pivotArea dataOnly="0" labelOnly="1" fieldPosition="0">
        <references count="2">
          <reference field="1" count="1" selected="0">
            <x v="3"/>
          </reference>
          <reference field="25" count="4">
            <x v="3"/>
            <x v="4"/>
            <x v="5"/>
            <x v="6"/>
          </reference>
        </references>
      </pivotArea>
    </format>
    <format dxfId="385">
      <pivotArea dataOnly="0" labelOnly="1" fieldPosition="0">
        <references count="2">
          <reference field="1" count="1" selected="0">
            <x v="4"/>
          </reference>
          <reference field="25" count="5">
            <x v="2"/>
            <x v="4"/>
            <x v="5"/>
            <x v="6"/>
            <x v="7"/>
          </reference>
        </references>
      </pivotArea>
    </format>
    <format dxfId="384">
      <pivotArea type="all" dataOnly="0" outline="0" fieldPosition="0"/>
    </format>
    <format dxfId="383">
      <pivotArea outline="0" collapsedLevelsAreSubtotals="1" fieldPosition="0"/>
    </format>
    <format dxfId="382">
      <pivotArea field="1" type="button" dataOnly="0" labelOnly="1" outline="0" axis="axisRow" fieldPosition="0"/>
    </format>
    <format dxfId="381">
      <pivotArea dataOnly="0" labelOnly="1" fieldPosition="0">
        <references count="1">
          <reference field="1" count="0"/>
        </references>
      </pivotArea>
    </format>
    <format dxfId="380">
      <pivotArea dataOnly="0" labelOnly="1" grandRow="1" outline="0" fieldPosition="0"/>
    </format>
    <format dxfId="379">
      <pivotArea dataOnly="0" labelOnly="1" fieldPosition="0">
        <references count="2">
          <reference field="1" count="1" selected="0">
            <x v="0"/>
          </reference>
          <reference field="25" count="5">
            <x v="3"/>
            <x v="4"/>
            <x v="5"/>
            <x v="6"/>
            <x v="7"/>
          </reference>
        </references>
      </pivotArea>
    </format>
    <format dxfId="378">
      <pivotArea dataOnly="0" labelOnly="1" fieldPosition="0">
        <references count="2">
          <reference field="1" count="1" selected="0">
            <x v="1"/>
          </reference>
          <reference field="25" count="5">
            <x v="0"/>
            <x v="3"/>
            <x v="4"/>
            <x v="5"/>
            <x v="6"/>
          </reference>
        </references>
      </pivotArea>
    </format>
    <format dxfId="377">
      <pivotArea dataOnly="0" labelOnly="1" fieldPosition="0">
        <references count="2">
          <reference field="1" count="1" selected="0">
            <x v="2"/>
          </reference>
          <reference field="25" count="6">
            <x v="0"/>
            <x v="1"/>
            <x v="2"/>
            <x v="4"/>
            <x v="5"/>
            <x v="6"/>
          </reference>
        </references>
      </pivotArea>
    </format>
    <format dxfId="376">
      <pivotArea dataOnly="0" labelOnly="1" fieldPosition="0">
        <references count="2">
          <reference field="1" count="1" selected="0">
            <x v="3"/>
          </reference>
          <reference field="25" count="4">
            <x v="3"/>
            <x v="4"/>
            <x v="5"/>
            <x v="6"/>
          </reference>
        </references>
      </pivotArea>
    </format>
    <format dxfId="375">
      <pivotArea dataOnly="0" labelOnly="1" fieldPosition="0">
        <references count="2">
          <reference field="1" count="1" selected="0">
            <x v="4"/>
          </reference>
          <reference field="25" count="5">
            <x v="2"/>
            <x v="4"/>
            <x v="5"/>
            <x v="6"/>
            <x v="7"/>
          </reference>
        </references>
      </pivotArea>
    </format>
    <format dxfId="374">
      <pivotArea dataOnly="0" labelOnly="1" outline="0" axis="axisValues" fieldPosition="0"/>
    </format>
    <format dxfId="373">
      <pivotArea dataOnly="0" labelOnly="1" outline="0" axis="axisValues" fieldPosition="0"/>
    </format>
    <format dxfId="372">
      <pivotArea dataOnly="0" labelOnly="1" outline="0" axis="axisValues" fieldPosition="0"/>
    </format>
    <format dxfId="371">
      <pivotArea field="1" type="button" dataOnly="0" labelOnly="1" outline="0" axis="axisRow" fieldPosition="0"/>
    </format>
    <format dxfId="370">
      <pivotArea field="25" type="button" dataOnly="0" labelOnly="1" outline="0" axis="axisRow" fieldPosition="1"/>
    </format>
    <format dxfId="369">
      <pivotArea dataOnly="0" labelOnly="1" outline="0" axis="axisValues" fieldPosition="0"/>
    </format>
    <format dxfId="368">
      <pivotArea field="25" type="button" dataOnly="0" labelOnly="1" outline="0" axis="axisRow" fieldPosition="1"/>
    </format>
    <format dxfId="367">
      <pivotArea field="1" type="button" dataOnly="0" labelOnly="1" outline="0" axis="axisRow" fieldPosition="0"/>
    </format>
  </formats>
  <conditionalFormats count="11">
    <conditionalFormat priority="31">
      <pivotAreas count="9"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5" count="5">
              <x v="3"/>
              <x v="4"/>
              <x v="5"/>
              <x v="6"/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5" count="5">
              <x v="0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5" count="6">
              <x v="0"/>
              <x v="1"/>
              <x v="2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25" count="4"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25" count="5">
              <x v="2"/>
              <x v="4"/>
              <x v="5"/>
              <x v="6"/>
              <x v="7"/>
            </reference>
          </references>
        </pivotArea>
      </pivotAreas>
    </conditionalFormat>
    <conditionalFormat priority="30">
      <pivotAreas count="9"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5" count="5">
              <x v="3"/>
              <x v="4"/>
              <x v="5"/>
              <x v="6"/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5" count="5">
              <x v="0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5" count="6">
              <x v="0"/>
              <x v="1"/>
              <x v="2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25" count="4"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25" count="5">
              <x v="2"/>
              <x v="4"/>
              <x v="5"/>
              <x v="6"/>
              <x v="7"/>
            </reference>
          </references>
        </pivotArea>
      </pivotAreas>
    </conditionalFormat>
    <conditionalFormat priority="29">
      <pivotAreas count="10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5" count="5">
              <x v="3"/>
              <x v="4"/>
              <x v="5"/>
              <x v="6"/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5" count="5">
              <x v="0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5" count="6">
              <x v="0"/>
              <x v="1"/>
              <x v="2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25" count="4"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25" count="5">
              <x v="2"/>
              <x v="4"/>
              <x v="5"/>
              <x v="6"/>
              <x v="7"/>
            </reference>
          </references>
        </pivotArea>
      </pivotAreas>
    </conditionalFormat>
    <conditionalFormat priority="28">
      <pivotAreas count="10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5" count="5">
              <x v="3"/>
              <x v="4"/>
              <x v="5"/>
              <x v="6"/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5" count="5">
              <x v="0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5" count="6">
              <x v="0"/>
              <x v="1"/>
              <x v="2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25" count="4"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25" count="5">
              <x v="2"/>
              <x v="4"/>
              <x v="5"/>
              <x v="6"/>
              <x v="7"/>
            </reference>
          </references>
        </pivotArea>
      </pivotAreas>
    </conditionalFormat>
    <conditionalFormat priority="27">
      <pivotAreas count="10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5" count="5">
              <x v="3"/>
              <x v="4"/>
              <x v="5"/>
              <x v="6"/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5" count="5">
              <x v="0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5" count="6">
              <x v="0"/>
              <x v="1"/>
              <x v="2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25" count="4"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25" count="5">
              <x v="2"/>
              <x v="4"/>
              <x v="5"/>
              <x v="6"/>
              <x v="7"/>
            </reference>
          </references>
        </pivotArea>
      </pivotAreas>
    </conditionalFormat>
    <conditionalFormat priority="26">
      <pivotAreas count="10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5" count="5">
              <x v="3"/>
              <x v="4"/>
              <x v="5"/>
              <x v="6"/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5" count="5">
              <x v="0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5" count="6">
              <x v="0"/>
              <x v="1"/>
              <x v="2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25" count="4"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25" count="5">
              <x v="2"/>
              <x v="4"/>
              <x v="5"/>
              <x v="6"/>
              <x v="7"/>
            </reference>
          </references>
        </pivotArea>
      </pivotAreas>
    </conditionalFormat>
    <conditionalFormat priority="25">
      <pivotAreas count="10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5" count="5">
              <x v="3"/>
              <x v="4"/>
              <x v="5"/>
              <x v="6"/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5" count="5">
              <x v="0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5" count="6">
              <x v="0"/>
              <x v="1"/>
              <x v="2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25" count="4"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25" count="5">
              <x v="2"/>
              <x v="4"/>
              <x v="5"/>
              <x v="6"/>
              <x v="7"/>
            </reference>
          </references>
        </pivotArea>
      </pivotAreas>
    </conditionalFormat>
    <conditionalFormat priority="24">
      <pivotAreas count="10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5" count="5">
              <x v="3"/>
              <x v="4"/>
              <x v="5"/>
              <x v="6"/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5" count="5">
              <x v="0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5" count="6">
              <x v="0"/>
              <x v="1"/>
              <x v="2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25" count="4"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25" count="5">
              <x v="2"/>
              <x v="4"/>
              <x v="5"/>
              <x v="6"/>
              <x v="7"/>
            </reference>
          </references>
        </pivotArea>
      </pivotAreas>
    </conditionalFormat>
    <conditionalFormat priority="23">
      <pivotAreas count="9"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5" count="5">
              <x v="3"/>
              <x v="4"/>
              <x v="5"/>
              <x v="6"/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5" count="5">
              <x v="0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5" count="6">
              <x v="0"/>
              <x v="1"/>
              <x v="2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25" count="4"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25" count="5">
              <x v="2"/>
              <x v="4"/>
              <x v="5"/>
              <x v="6"/>
              <x v="7"/>
            </reference>
          </references>
        </pivotArea>
      </pivotAreas>
    </conditionalFormat>
    <conditionalFormat priority="22">
      <pivotAreas count="9"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5" count="5">
              <x v="3"/>
              <x v="4"/>
              <x v="5"/>
              <x v="6"/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5" count="5">
              <x v="0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5" count="6">
              <x v="0"/>
              <x v="1"/>
              <x v="2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25" count="4"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25" count="5">
              <x v="2"/>
              <x v="4"/>
              <x v="5"/>
              <x v="6"/>
              <x v="7"/>
            </reference>
          </references>
        </pivotArea>
      </pivotAreas>
    </conditionalFormat>
    <conditionalFormat priority="21">
      <pivotAreas count="9"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25" count="5">
              <x v="3"/>
              <x v="4"/>
              <x v="5"/>
              <x v="6"/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25" count="5">
              <x v="0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25" count="6">
              <x v="0"/>
              <x v="1"/>
              <x v="2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25" count="4"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25" count="5">
              <x v="2"/>
              <x v="4"/>
              <x v="5"/>
              <x v="6"/>
              <x v="7"/>
            </reference>
          </references>
        </pivotArea>
      </pivotAreas>
    </conditionalFormat>
  </conditionalFormats>
  <chartFormats count="180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6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5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7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4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3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6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5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4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3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0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6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5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7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4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2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5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6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4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0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1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2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3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5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6"/>
          </reference>
        </references>
      </pivotArea>
    </chartFormat>
    <chartFormat chart="7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3"/>
          </reference>
        </references>
      </pivotArea>
    </chartFormat>
    <chartFormat chart="7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4"/>
          </reference>
        </references>
      </pivotArea>
    </chartFormat>
    <chartFormat chart="7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5"/>
          </reference>
        </references>
      </pivotArea>
    </chartFormat>
    <chartFormat chart="7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6"/>
          </reference>
        </references>
      </pivotArea>
    </chartFormat>
    <chartFormat chart="7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7"/>
          </reference>
        </references>
      </pivotArea>
    </chartFormat>
    <chartFormat chart="7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0"/>
          </reference>
        </references>
      </pivotArea>
    </chartFormat>
    <chartFormat chart="7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3"/>
          </reference>
        </references>
      </pivotArea>
    </chartFormat>
    <chartFormat chart="7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4"/>
          </reference>
        </references>
      </pivotArea>
    </chartFormat>
    <chartFormat chart="7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5"/>
          </reference>
        </references>
      </pivotArea>
    </chartFormat>
    <chartFormat chart="7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6"/>
          </reference>
        </references>
      </pivotArea>
    </chartFormat>
    <chartFormat chart="7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0"/>
          </reference>
        </references>
      </pivotArea>
    </chartFormat>
    <chartFormat chart="7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1"/>
          </reference>
        </references>
      </pivotArea>
    </chartFormat>
    <chartFormat chart="7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2"/>
          </reference>
        </references>
      </pivotArea>
    </chartFormat>
    <chartFormat chart="7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4"/>
          </reference>
        </references>
      </pivotArea>
    </chartFormat>
    <chartFormat chart="7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5"/>
          </reference>
        </references>
      </pivotArea>
    </chartFormat>
    <chartFormat chart="7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6"/>
          </reference>
        </references>
      </pivotArea>
    </chartFormat>
    <chartFormat chart="7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3"/>
          </reference>
        </references>
      </pivotArea>
    </chartFormat>
    <chartFormat chart="7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5"/>
          </reference>
        </references>
      </pivotArea>
    </chartFormat>
    <chartFormat chart="7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6"/>
          </reference>
        </references>
      </pivotArea>
    </chartFormat>
    <chartFormat chart="7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2"/>
          </reference>
        </references>
      </pivotArea>
    </chartFormat>
    <chartFormat chart="7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4"/>
          </reference>
        </references>
      </pivotArea>
    </chartFormat>
    <chartFormat chart="7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5"/>
          </reference>
        </references>
      </pivotArea>
    </chartFormat>
    <chartFormat chart="7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6"/>
          </reference>
        </references>
      </pivotArea>
    </chartFormat>
    <chartFormat chart="7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7"/>
          </reference>
        </references>
      </pivotArea>
    </chartFormat>
    <chartFormat chart="8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3"/>
          </reference>
        </references>
      </pivotArea>
    </chartFormat>
    <chartFormat chart="8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4"/>
          </reference>
        </references>
      </pivotArea>
    </chartFormat>
    <chartFormat chart="8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5"/>
          </reference>
        </references>
      </pivotArea>
    </chartFormat>
    <chartFormat chart="8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6"/>
          </reference>
        </references>
      </pivotArea>
    </chartFormat>
    <chartFormat chart="8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7"/>
          </reference>
        </references>
      </pivotArea>
    </chartFormat>
    <chartFormat chart="8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0"/>
          </reference>
        </references>
      </pivotArea>
    </chartFormat>
    <chartFormat chart="8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3"/>
          </reference>
        </references>
      </pivotArea>
    </chartFormat>
    <chartFormat chart="8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4"/>
          </reference>
        </references>
      </pivotArea>
    </chartFormat>
    <chartFormat chart="8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5"/>
          </reference>
        </references>
      </pivotArea>
    </chartFormat>
    <chartFormat chart="8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6"/>
          </reference>
        </references>
      </pivotArea>
    </chartFormat>
    <chartFormat chart="8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0"/>
          </reference>
        </references>
      </pivotArea>
    </chartFormat>
    <chartFormat chart="8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1"/>
          </reference>
        </references>
      </pivotArea>
    </chartFormat>
    <chartFormat chart="8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2"/>
          </reference>
        </references>
      </pivotArea>
    </chartFormat>
    <chartFormat chart="8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4"/>
          </reference>
        </references>
      </pivotArea>
    </chartFormat>
    <chartFormat chart="8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5"/>
          </reference>
        </references>
      </pivotArea>
    </chartFormat>
    <chartFormat chart="8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6"/>
          </reference>
        </references>
      </pivotArea>
    </chartFormat>
    <chartFormat chart="8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3"/>
          </reference>
        </references>
      </pivotArea>
    </chartFormat>
    <chartFormat chart="8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5"/>
          </reference>
        </references>
      </pivotArea>
    </chartFormat>
    <chartFormat chart="8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6"/>
          </reference>
        </references>
      </pivotArea>
    </chartFormat>
    <chartFormat chart="8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2"/>
          </reference>
        </references>
      </pivotArea>
    </chartFormat>
    <chartFormat chart="8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4"/>
          </reference>
        </references>
      </pivotArea>
    </chartFormat>
    <chartFormat chart="8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5"/>
          </reference>
        </references>
      </pivotArea>
    </chartFormat>
    <chartFormat chart="8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6"/>
          </reference>
        </references>
      </pivotArea>
    </chartFormat>
    <chartFormat chart="8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7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4"/>
          </reference>
        </references>
      </pivotArea>
    </chartFormat>
    <chartFormat chart="10" format="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3"/>
          </reference>
        </references>
      </pivotArea>
    </chartFormat>
    <chartFormat chart="10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4"/>
          </reference>
        </references>
      </pivotArea>
    </chartFormat>
    <chartFormat chart="10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5"/>
          </reference>
        </references>
      </pivotArea>
    </chartFormat>
    <chartFormat chart="10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6"/>
          </reference>
        </references>
      </pivotArea>
    </chartFormat>
    <chartFormat chart="10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7"/>
          </reference>
        </references>
      </pivotArea>
    </chartFormat>
    <chartFormat chart="10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0"/>
          </reference>
        </references>
      </pivotArea>
    </chartFormat>
    <chartFormat chart="10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3"/>
          </reference>
        </references>
      </pivotArea>
    </chartFormat>
    <chartFormat chart="10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4"/>
          </reference>
        </references>
      </pivotArea>
    </chartFormat>
    <chartFormat chart="10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5"/>
          </reference>
        </references>
      </pivotArea>
    </chartFormat>
    <chartFormat chart="10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6"/>
          </reference>
        </references>
      </pivotArea>
    </chartFormat>
    <chartFormat chart="10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0"/>
          </reference>
        </references>
      </pivotArea>
    </chartFormat>
    <chartFormat chart="10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1"/>
          </reference>
        </references>
      </pivotArea>
    </chartFormat>
    <chartFormat chart="10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2"/>
          </reference>
        </references>
      </pivotArea>
    </chartFormat>
    <chartFormat chart="10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4"/>
          </reference>
        </references>
      </pivotArea>
    </chartFormat>
    <chartFormat chart="10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5"/>
          </reference>
        </references>
      </pivotArea>
    </chartFormat>
    <chartFormat chart="10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6"/>
          </reference>
        </references>
      </pivotArea>
    </chartFormat>
    <chartFormat chart="10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3"/>
          </reference>
        </references>
      </pivotArea>
    </chartFormat>
    <chartFormat chart="10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4"/>
          </reference>
        </references>
      </pivotArea>
    </chartFormat>
    <chartFormat chart="10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5"/>
          </reference>
        </references>
      </pivotArea>
    </chartFormat>
    <chartFormat chart="10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6"/>
          </reference>
        </references>
      </pivotArea>
    </chartFormat>
    <chartFormat chart="10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2"/>
          </reference>
        </references>
      </pivotArea>
    </chartFormat>
    <chartFormat chart="10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4"/>
          </reference>
        </references>
      </pivotArea>
    </chartFormat>
    <chartFormat chart="10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5"/>
          </reference>
        </references>
      </pivotArea>
    </chartFormat>
    <chartFormat chart="10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6"/>
          </reference>
        </references>
      </pivotArea>
    </chartFormat>
    <chartFormat chart="10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7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6"/>
          </reference>
        </references>
      </pivotArea>
    </chartFormat>
    <chartFormat chart="11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6"/>
          </reference>
        </references>
      </pivotArea>
    </chartFormat>
    <chartFormat chart="11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5"/>
          </reference>
        </references>
      </pivotArea>
    </chartFormat>
    <chartFormat chart="11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3"/>
          </reference>
        </references>
      </pivotArea>
    </chartFormat>
    <chartFormat chart="11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6"/>
          </reference>
        </references>
      </pivotArea>
    </chartFormat>
    <chartFormat chart="11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3"/>
          </reference>
        </references>
      </pivotArea>
    </chartFormat>
    <chartFormat chart="11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4"/>
          </reference>
        </references>
      </pivotArea>
    </chartFormat>
    <chartFormat chart="11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5"/>
          </reference>
        </references>
      </pivotArea>
    </chartFormat>
    <chartFormat chart="11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7"/>
          </reference>
        </references>
      </pivotArea>
    </chartFormat>
    <chartFormat chart="11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0"/>
          </reference>
        </references>
      </pivotArea>
    </chartFormat>
    <chartFormat chart="11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3"/>
          </reference>
        </references>
      </pivotArea>
    </chartFormat>
    <chartFormat chart="11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4"/>
          </reference>
        </references>
      </pivotArea>
    </chartFormat>
    <chartFormat chart="11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5"/>
          </reference>
        </references>
      </pivotArea>
    </chartFormat>
    <chartFormat chart="11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0"/>
          </reference>
        </references>
      </pivotArea>
    </chartFormat>
    <chartFormat chart="11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1"/>
          </reference>
        </references>
      </pivotArea>
    </chartFormat>
    <chartFormat chart="11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4"/>
          </reference>
        </references>
      </pivotArea>
    </chartFormat>
    <chartFormat chart="11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2"/>
          </reference>
        </references>
      </pivotArea>
    </chartFormat>
    <chartFormat chart="11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6"/>
          </reference>
        </references>
      </pivotArea>
    </chartFormat>
    <chartFormat chart="11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6"/>
          </reference>
        </references>
      </pivotArea>
    </chartFormat>
    <chartFormat chart="11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5"/>
          </reference>
        </references>
      </pivotArea>
    </chartFormat>
    <chartFormat chart="11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4"/>
          </reference>
        </references>
      </pivotArea>
    </chartFormat>
    <chartFormat chart="11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2"/>
          </reference>
        </references>
      </pivotArea>
    </chartFormat>
    <chartFormat chart="11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4"/>
          </reference>
        </references>
      </pivotArea>
    </chartFormat>
    <chartFormat chart="11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5"/>
          </reference>
        </references>
      </pivotArea>
    </chartFormat>
    <chartFormat chart="11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7"/>
          </reference>
        </references>
      </pivotArea>
    </chartFormat>
    <chartFormat chart="19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3"/>
          </reference>
        </references>
      </pivotArea>
    </chartFormat>
    <chartFormat chart="19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4"/>
          </reference>
        </references>
      </pivotArea>
    </chartFormat>
    <chartFormat chart="19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5"/>
          </reference>
        </references>
      </pivotArea>
    </chartFormat>
    <chartFormat chart="19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6"/>
          </reference>
        </references>
      </pivotArea>
    </chartFormat>
    <chartFormat chart="19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7"/>
          </reference>
        </references>
      </pivotArea>
    </chartFormat>
    <chartFormat chart="19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0"/>
          </reference>
        </references>
      </pivotArea>
    </chartFormat>
    <chartFormat chart="19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3"/>
          </reference>
        </references>
      </pivotArea>
    </chartFormat>
    <chartFormat chart="19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4"/>
          </reference>
        </references>
      </pivotArea>
    </chartFormat>
    <chartFormat chart="19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5"/>
          </reference>
        </references>
      </pivotArea>
    </chartFormat>
    <chartFormat chart="19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6"/>
          </reference>
        </references>
      </pivotArea>
    </chartFormat>
    <chartFormat chart="19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0"/>
          </reference>
        </references>
      </pivotArea>
    </chartFormat>
    <chartFormat chart="19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1"/>
          </reference>
        </references>
      </pivotArea>
    </chartFormat>
    <chartFormat chart="19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2"/>
          </reference>
        </references>
      </pivotArea>
    </chartFormat>
    <chartFormat chart="19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4"/>
          </reference>
        </references>
      </pivotArea>
    </chartFormat>
    <chartFormat chart="19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5"/>
          </reference>
        </references>
      </pivotArea>
    </chartFormat>
    <chartFormat chart="19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6"/>
          </reference>
        </references>
      </pivotArea>
    </chartFormat>
    <chartFormat chart="19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3"/>
          </reference>
        </references>
      </pivotArea>
    </chartFormat>
    <chartFormat chart="19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4"/>
          </reference>
        </references>
      </pivotArea>
    </chartFormat>
    <chartFormat chart="19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5"/>
          </reference>
        </references>
      </pivotArea>
    </chartFormat>
    <chartFormat chart="19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6"/>
          </reference>
        </references>
      </pivotArea>
    </chartFormat>
    <chartFormat chart="19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2"/>
          </reference>
        </references>
      </pivotArea>
    </chartFormat>
    <chartFormat chart="19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4"/>
          </reference>
        </references>
      </pivotArea>
    </chartFormat>
    <chartFormat chart="19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5"/>
          </reference>
        </references>
      </pivotArea>
    </chartFormat>
    <chartFormat chart="19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6"/>
          </reference>
        </references>
      </pivotArea>
    </chartFormat>
    <chartFormat chart="19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7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6"/>
          </reference>
        </references>
      </pivotArea>
    </chartFormat>
    <chartFormat chart="2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7"/>
          </reference>
        </references>
      </pivotArea>
    </chartFormat>
    <chartFormat chart="2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5"/>
          </reference>
        </references>
      </pivotArea>
    </chartFormat>
    <chartFormat chart="2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4"/>
          </reference>
        </references>
      </pivotArea>
    </chartFormat>
    <chartFormat chart="2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5" count="1" selected="0">
            <x v="3"/>
          </reference>
        </references>
      </pivotArea>
    </chartFormat>
    <chartFormat chart="20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6"/>
          </reference>
        </references>
      </pivotArea>
    </chartFormat>
    <chartFormat chart="2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5"/>
          </reference>
        </references>
      </pivotArea>
    </chartFormat>
    <chartFormat chart="2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4"/>
          </reference>
        </references>
      </pivotArea>
    </chartFormat>
    <chartFormat chart="20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3"/>
          </reference>
        </references>
      </pivotArea>
    </chartFormat>
    <chartFormat chart="20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5" count="1" selected="0">
            <x v="0"/>
          </reference>
        </references>
      </pivotArea>
    </chartFormat>
    <chartFormat chart="20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5"/>
          </reference>
        </references>
      </pivotArea>
    </chartFormat>
    <chartFormat chart="20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6"/>
          </reference>
        </references>
      </pivotArea>
    </chartFormat>
    <chartFormat chart="20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4"/>
          </reference>
        </references>
      </pivotArea>
    </chartFormat>
    <chartFormat chart="20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2"/>
          </reference>
        </references>
      </pivotArea>
    </chartFormat>
    <chartFormat chart="20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1"/>
          </reference>
        </references>
      </pivotArea>
    </chartFormat>
    <chartFormat chart="20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5" count="1" selected="0">
            <x v="0"/>
          </reference>
        </references>
      </pivotArea>
    </chartFormat>
    <chartFormat chart="20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3"/>
          </reference>
        </references>
      </pivotArea>
    </chartFormat>
    <chartFormat chart="20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4"/>
          </reference>
        </references>
      </pivotArea>
    </chartFormat>
    <chartFormat chart="20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5"/>
          </reference>
        </references>
      </pivotArea>
    </chartFormat>
    <chartFormat chart="20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5" count="1" selected="0">
            <x v="6"/>
          </reference>
        </references>
      </pivotArea>
    </chartFormat>
    <chartFormat chart="20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2"/>
          </reference>
        </references>
      </pivotArea>
    </chartFormat>
    <chartFormat chart="20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6"/>
          </reference>
        </references>
      </pivotArea>
    </chartFormat>
    <chartFormat chart="20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7"/>
          </reference>
        </references>
      </pivotArea>
    </chartFormat>
    <chartFormat chart="20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5"/>
          </reference>
        </references>
      </pivotArea>
    </chartFormat>
    <chartFormat chart="20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E7B2E-158C-444A-A2FC-AFD1CED3D6CE}" name="MonthlyOrderVolumeandDeliveryDelays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8" rowHeaderCaption="Order Month">
  <location ref="A73:C86" firstHeaderRow="0" firstDataRow="1" firstDataCol="1"/>
  <pivotFields count="2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6"/>
        <item x="7"/>
        <item x="5"/>
        <item x="8"/>
        <item x="9"/>
        <item x="10"/>
        <item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0">
        <item x="2"/>
        <item x="4"/>
        <item x="6"/>
        <item x="5"/>
        <item x="0"/>
        <item x="3"/>
        <item x="1"/>
        <item x="7"/>
        <item h="1" x="8"/>
        <item t="default"/>
      </items>
    </pivotField>
    <pivotField showAll="0"/>
    <pivotField dataField="1" showAll="0"/>
    <pivotField dragToRow="0" dragToCol="0" dragToPage="0" showAll="0" defaultSubtotal="0"/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s" fld="0" subtotal="count" baseField="0" baseItem="0"/>
    <dataField name="Total Delayed Orders" fld="27" baseField="0" baseItem="0"/>
  </dataFields>
  <formats count="9">
    <format dxfId="4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9">
      <pivotArea type="all" dataOnly="0" outline="0" fieldPosition="0"/>
    </format>
    <format dxfId="428">
      <pivotArea outline="0" collapsedLevelsAreSubtotals="1" fieldPosition="0"/>
    </format>
    <format dxfId="427">
      <pivotArea field="18" type="button" dataOnly="0" labelOnly="1" outline="0" axis="axisRow" fieldPosition="0"/>
    </format>
    <format dxfId="426">
      <pivotArea dataOnly="0" labelOnly="1" fieldPosition="0">
        <references count="1">
          <reference field="18" count="0"/>
        </references>
      </pivotArea>
    </format>
    <format dxfId="425">
      <pivotArea dataOnly="0" labelOnly="1" grandRow="1" outline="0" fieldPosition="0"/>
    </format>
    <format dxfId="4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1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8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8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117E6-AD9F-BC4B-A03D-B602326817AA}" name="AverageDeliveryDurationbyOrderMonth" cacheId="2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7" indent="0" outline="1" outlineData="1" multipleFieldFilters="0" chartFormat="9" rowHeaderCaption="Order Month">
  <location ref="A3:B15" firstHeaderRow="1" firstDataRow="1" firstDataCol="1"/>
  <pivotFields count="27">
    <pivotField showAll="0" defaultSubtotal="0"/>
    <pivotField axis="axisRow" showAll="0" defaultSubtotal="0">
      <items count="6">
        <item x="0"/>
        <item x="2"/>
        <item x="4"/>
        <item x="1"/>
        <item x="3"/>
        <item x="5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3">
        <item sd="0" x="0"/>
        <item sd="0" x="1"/>
        <item sd="0" x="2"/>
        <item sd="0" x="3"/>
        <item sd="0" x="4"/>
        <item sd="0" x="6"/>
        <item sd="0" x="7"/>
        <item sd="0" x="5"/>
        <item sd="0" x="8"/>
        <item sd="0" x="9"/>
        <item sd="0" x="10"/>
        <item sd="0" x="11"/>
        <item h="1" sd="0" x="1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18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Delivery Duration (min)" fld="7" subtotal="average" baseField="1" baseItem="0"/>
  </dataFields>
  <formats count="37">
    <format dxfId="469">
      <pivotArea collapsedLevelsAreSubtotals="1" fieldPosition="0">
        <references count="1">
          <reference field="18" count="1">
            <x v="0"/>
          </reference>
        </references>
      </pivotArea>
    </format>
    <format dxfId="468">
      <pivotArea collapsedLevelsAreSubtotals="1" fieldPosition="0">
        <references count="2">
          <reference field="1" count="5">
            <x v="0"/>
            <x v="1"/>
            <x v="2"/>
            <x v="3"/>
            <x v="4"/>
          </reference>
          <reference field="18" count="1" selected="0">
            <x v="0"/>
          </reference>
        </references>
      </pivotArea>
    </format>
    <format dxfId="467">
      <pivotArea collapsedLevelsAreSubtotals="1" fieldPosition="0">
        <references count="1">
          <reference field="18" count="1">
            <x v="1"/>
          </reference>
        </references>
      </pivotArea>
    </format>
    <format dxfId="466">
      <pivotArea collapsedLevelsAreSubtotals="1" fieldPosition="0">
        <references count="2">
          <reference field="1" count="5">
            <x v="0"/>
            <x v="1"/>
            <x v="2"/>
            <x v="3"/>
            <x v="4"/>
          </reference>
          <reference field="18" count="1" selected="0">
            <x v="1"/>
          </reference>
        </references>
      </pivotArea>
    </format>
    <format dxfId="465">
      <pivotArea collapsedLevelsAreSubtotals="1" fieldPosition="0">
        <references count="1">
          <reference field="18" count="1">
            <x v="2"/>
          </reference>
        </references>
      </pivotArea>
    </format>
    <format dxfId="464">
      <pivotArea collapsedLevelsAreSubtotals="1" fieldPosition="0">
        <references count="2">
          <reference field="1" count="5">
            <x v="0"/>
            <x v="1"/>
            <x v="2"/>
            <x v="3"/>
            <x v="4"/>
          </reference>
          <reference field="18" count="1" selected="0">
            <x v="2"/>
          </reference>
        </references>
      </pivotArea>
    </format>
    <format dxfId="463">
      <pivotArea collapsedLevelsAreSubtotals="1" fieldPosition="0">
        <references count="1">
          <reference field="18" count="1">
            <x v="3"/>
          </reference>
        </references>
      </pivotArea>
    </format>
    <format dxfId="462">
      <pivotArea collapsedLevelsAreSubtotals="1" fieldPosition="0">
        <references count="2">
          <reference field="1" count="5">
            <x v="0"/>
            <x v="1"/>
            <x v="2"/>
            <x v="3"/>
            <x v="4"/>
          </reference>
          <reference field="18" count="1" selected="0">
            <x v="3"/>
          </reference>
        </references>
      </pivotArea>
    </format>
    <format dxfId="461">
      <pivotArea collapsedLevelsAreSubtotals="1" fieldPosition="0">
        <references count="1">
          <reference field="18" count="1">
            <x v="4"/>
          </reference>
        </references>
      </pivotArea>
    </format>
    <format dxfId="460">
      <pivotArea collapsedLevelsAreSubtotals="1" fieldPosition="0">
        <references count="2">
          <reference field="1" count="5">
            <x v="0"/>
            <x v="1"/>
            <x v="2"/>
            <x v="3"/>
            <x v="4"/>
          </reference>
          <reference field="18" count="1" selected="0">
            <x v="4"/>
          </reference>
        </references>
      </pivotArea>
    </format>
    <format dxfId="459">
      <pivotArea collapsedLevelsAreSubtotals="1" fieldPosition="0">
        <references count="1">
          <reference field="18" count="1">
            <x v="5"/>
          </reference>
        </references>
      </pivotArea>
    </format>
    <format dxfId="458">
      <pivotArea collapsedLevelsAreSubtotals="1" fieldPosition="0">
        <references count="2">
          <reference field="1" count="5">
            <x v="0"/>
            <x v="1"/>
            <x v="2"/>
            <x v="3"/>
            <x v="4"/>
          </reference>
          <reference field="18" count="1" selected="0">
            <x v="5"/>
          </reference>
        </references>
      </pivotArea>
    </format>
    <format dxfId="457">
      <pivotArea collapsedLevelsAreSubtotals="1" fieldPosition="0">
        <references count="1">
          <reference field="18" count="1">
            <x v="6"/>
          </reference>
        </references>
      </pivotArea>
    </format>
    <format dxfId="456">
      <pivotArea collapsedLevelsAreSubtotals="1" fieldPosition="0">
        <references count="2">
          <reference field="1" count="5">
            <x v="0"/>
            <x v="1"/>
            <x v="2"/>
            <x v="3"/>
            <x v="4"/>
          </reference>
          <reference field="18" count="1" selected="0">
            <x v="6"/>
          </reference>
        </references>
      </pivotArea>
    </format>
    <format dxfId="455">
      <pivotArea collapsedLevelsAreSubtotals="1" fieldPosition="0">
        <references count="1">
          <reference field="18" count="1">
            <x v="7"/>
          </reference>
        </references>
      </pivotArea>
    </format>
    <format dxfId="454">
      <pivotArea collapsedLevelsAreSubtotals="1" fieldPosition="0">
        <references count="2">
          <reference field="1" count="5">
            <x v="0"/>
            <x v="1"/>
            <x v="2"/>
            <x v="3"/>
            <x v="4"/>
          </reference>
          <reference field="18" count="1" selected="0">
            <x v="7"/>
          </reference>
        </references>
      </pivotArea>
    </format>
    <format dxfId="453">
      <pivotArea collapsedLevelsAreSubtotals="1" fieldPosition="0">
        <references count="1">
          <reference field="18" count="1">
            <x v="8"/>
          </reference>
        </references>
      </pivotArea>
    </format>
    <format dxfId="452">
      <pivotArea collapsedLevelsAreSubtotals="1" fieldPosition="0">
        <references count="2">
          <reference field="1" count="5">
            <x v="0"/>
            <x v="1"/>
            <x v="2"/>
            <x v="3"/>
            <x v="4"/>
          </reference>
          <reference field="18" count="1" selected="0">
            <x v="8"/>
          </reference>
        </references>
      </pivotArea>
    </format>
    <format dxfId="451">
      <pivotArea collapsedLevelsAreSubtotals="1" fieldPosition="0">
        <references count="1">
          <reference field="18" count="1">
            <x v="9"/>
          </reference>
        </references>
      </pivotArea>
    </format>
    <format dxfId="450">
      <pivotArea collapsedLevelsAreSubtotals="1" fieldPosition="0">
        <references count="2">
          <reference field="1" count="5">
            <x v="0"/>
            <x v="1"/>
            <x v="2"/>
            <x v="3"/>
            <x v="4"/>
          </reference>
          <reference field="18" count="1" selected="0">
            <x v="9"/>
          </reference>
        </references>
      </pivotArea>
    </format>
    <format dxfId="449">
      <pivotArea collapsedLevelsAreSubtotals="1" fieldPosition="0">
        <references count="1">
          <reference field="18" count="1">
            <x v="10"/>
          </reference>
        </references>
      </pivotArea>
    </format>
    <format dxfId="448">
      <pivotArea collapsedLevelsAreSubtotals="1" fieldPosition="0">
        <references count="2">
          <reference field="1" count="5">
            <x v="0"/>
            <x v="1"/>
            <x v="2"/>
            <x v="3"/>
            <x v="4"/>
          </reference>
          <reference field="18" count="1" selected="0">
            <x v="10"/>
          </reference>
        </references>
      </pivotArea>
    </format>
    <format dxfId="447">
      <pivotArea collapsedLevelsAreSubtotals="1" fieldPosition="0">
        <references count="1">
          <reference field="18" count="1">
            <x v="11"/>
          </reference>
        </references>
      </pivotArea>
    </format>
    <format dxfId="446">
      <pivotArea collapsedLevelsAreSubtotals="1" fieldPosition="0">
        <references count="2">
          <reference field="1" count="5">
            <x v="0"/>
            <x v="1"/>
            <x v="2"/>
            <x v="3"/>
            <x v="4"/>
          </reference>
          <reference field="18" count="1" selected="0">
            <x v="11"/>
          </reference>
        </references>
      </pivotArea>
    </format>
    <format dxfId="445">
      <pivotArea dataOnly="0" labelOnly="1" outline="0" axis="axisValues" fieldPosition="0"/>
    </format>
    <format dxfId="444">
      <pivotArea field="18" type="button" dataOnly="0" labelOnly="1" outline="0" axis="axisRow" fieldPosition="0"/>
    </format>
    <format dxfId="443">
      <pivotArea field="18" type="button" dataOnly="0" labelOnly="1" outline="0" axis="axisRow" fieldPosition="0"/>
    </format>
    <format dxfId="442">
      <pivotArea dataOnly="0" outline="0" axis="axisValues" fieldPosition="0"/>
    </format>
    <format dxfId="441">
      <pivotArea dataOnly="0" outline="0" axis="axisValues" fieldPosition="0"/>
    </format>
    <format dxfId="440">
      <pivotArea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field="18" type="button" dataOnly="0" labelOnly="1" outline="0" axis="axisRow" fieldPosition="0"/>
    </format>
    <format dxfId="436">
      <pivotArea dataOnly="0" labelOnly="1" fieldPosition="0">
        <references count="1">
          <reference field="18" count="0"/>
        </references>
      </pivotArea>
    </format>
    <format dxfId="435">
      <pivotArea dataOnly="0" labelOnly="1" outline="0" axis="axisValues" fieldPosition="0"/>
    </format>
    <format dxfId="434">
      <pivotArea field="18" type="button" dataOnly="0" labelOnly="1" outline="0" axis="axisRow" fieldPosition="0"/>
    </format>
    <format dxfId="433">
      <pivotArea field="18" type="button" dataOnly="0" labelOnly="1" outline="0" axis="axisRow" fieldPosition="0"/>
    </format>
  </formats>
  <conditionalFormats count="3">
    <conditionalFormat priority="46">
      <pivotAreas count="23">
        <pivotArea type="data" collapsedLevelsAreSubtotals="1" fieldPosition="0">
          <references count="3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  <reference field="18" count="1" selected="0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  <reference field="18" count="1" selected="0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  <reference field="18" count="1" selected="0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  <reference field="18" count="1" selected="0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  <reference field="18" count="1" selected="0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5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  <reference field="18" count="1" selected="0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6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  <reference field="18" count="1" selected="0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  <reference field="18" count="1" selected="0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8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  <reference field="18" count="1" selected="0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9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  <reference field="18" count="1" selected="0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1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  <reference field="18" count="1" selected="0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1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  <reference field="18" count="1" selected="0">
              <x v="11"/>
            </reference>
          </references>
        </pivotArea>
      </pivotAreas>
    </conditionalFormat>
    <conditionalFormat priority="3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8" count="1">
              <x v="4"/>
            </reference>
          </references>
        </pivotArea>
      </pivotAreas>
    </conditionalFormat>
  </conditionalFormat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1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1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8" count="1" selected="0">
            <x v="8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8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FD38A-AAAF-1443-818D-3FD831666154}" name="OrderVolumeandDeliveryDelaysbyHourofDay" cacheId="2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 rowHeaderCaption="Order Hour">
  <location ref="A193:C202" firstHeaderRow="0" firstDataRow="1" firstDataCol="1"/>
  <pivotFields count="2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4"/>
        <item x="6"/>
        <item x="5"/>
        <item x="0"/>
        <item x="3"/>
        <item x="1"/>
        <item x="7"/>
        <item h="1" x="8"/>
        <item t="default"/>
      </items>
    </pivotField>
    <pivotField showAll="0"/>
    <pivotField dataField="1" showAll="0"/>
    <pivotField dragToRow="0" dragToCol="0" dragToPage="0" showAll="0" defaultSubtotal="0"/>
  </pivotFields>
  <rowFields count="1">
    <field x="2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s" fld="0" subtotal="count" baseField="0" baseItem="0"/>
    <dataField name="Total Delayed Orders" fld="27" baseField="0" baseItem="0"/>
  </dataFields>
  <formats count="9">
    <format dxfId="4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75">
      <pivotArea type="all" dataOnly="0" outline="0" fieldPosition="0"/>
    </format>
    <format dxfId="474">
      <pivotArea outline="0" collapsedLevelsAreSubtotals="1" fieldPosition="0"/>
    </format>
    <format dxfId="473">
      <pivotArea field="25" type="button" dataOnly="0" labelOnly="1" outline="0" axis="axisRow" fieldPosition="0"/>
    </format>
    <format dxfId="472">
      <pivotArea dataOnly="0" labelOnly="1" fieldPosition="0">
        <references count="1">
          <reference field="25" count="0"/>
        </references>
      </pivotArea>
    </format>
    <format dxfId="471">
      <pivotArea dataOnly="0" labelOnly="1" grandRow="1" outline="0" fieldPosition="0"/>
    </format>
    <format dxfId="4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1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5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5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1"/>
          </reference>
          <reference field="25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1"/>
          </reference>
          <reference field="25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1"/>
          </reference>
          <reference field="2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7B1A6-9FBA-C64A-8D73-7AA69887A5E7}" name="AverageDeliveryDurationbyToppingsCountandRestaurant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11" rowHeaderCaption="Restaurant_x000a_">
  <location ref="A304:C332" firstHeaderRow="1" firstDataRow="1" firstDataCol="2" rowPageCount="2" colPageCount="1"/>
  <pivotFields count="27">
    <pivotField compact="0" showAll="0" defaultSubtotal="0"/>
    <pivotField axis="axisRow" compact="0" showAll="0" defaultSubtotal="0">
      <items count="5">
        <item x="0"/>
        <item x="2"/>
        <item x="4"/>
        <item x="1"/>
        <item x="3"/>
      </items>
    </pivotField>
    <pivotField compact="0" showAll="0" defaultSubtotal="0"/>
    <pivotField compact="0" numFmtId="14" showAll="0" defaultSubtotal="0"/>
    <pivotField compact="0" numFmtId="165" showAll="0" defaultSubtotal="0"/>
    <pivotField compact="0" numFmtId="14" showAll="0" defaultSubtotal="0"/>
    <pivotField compact="0" numFmtId="165" showAll="0" defaultSubtotal="0"/>
    <pivotField dataField="1" compact="0" showAll="0" defaultSubtotal="0">
      <items count="8">
        <item x="0"/>
        <item x="2"/>
        <item x="1"/>
        <item x="3"/>
        <item x="6"/>
        <item x="4"/>
        <item x="7"/>
        <item x="5"/>
      </items>
    </pivotField>
    <pivotField axis="axisPage" compact="0" showAll="0" defaultSubtotal="0">
      <items count="4">
        <item x="1"/>
        <item x="0"/>
        <item x="2"/>
        <item x="3"/>
      </items>
    </pivotField>
    <pivotField axis="axisPage" compact="0" showAll="0" defaultSubtotal="0">
      <items count="12">
        <item x="10"/>
        <item x="3"/>
        <item x="7"/>
        <item x="4"/>
        <item x="11"/>
        <item x="1"/>
        <item x="9"/>
        <item x="5"/>
        <item x="8"/>
        <item x="6"/>
        <item x="0"/>
        <item x="2"/>
      </items>
    </pivotField>
    <pivotField axis="axisRow" compact="0" showAll="0" defaultSubtotal="0">
      <items count="5">
        <item x="4"/>
        <item x="2"/>
        <item x="0"/>
        <item x="1"/>
        <item x="3"/>
      </items>
    </pivotField>
    <pivotField compact="0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numFmtId="2" showAll="0" defaultSubtotal="0"/>
    <pivotField compact="0" numFmtId="2" showAll="0" defaultSubtotal="0"/>
    <pivotField compact="0" showAll="0" defaultSubtotal="0"/>
    <pivotField compact="0" showAll="0" defaultSubtotal="0"/>
    <pivotField compact="0" numFmtId="2" showAll="0" defaultSubtotal="0"/>
    <pivotField compact="0" numFmtId="2" showAll="0" defaultSubtotal="0"/>
    <pivotField compact="0" showAll="0" defaultSubtotal="0"/>
    <pivotField compact="0" showAll="0" defaultSubtotal="0"/>
    <pivotField compact="0" showAll="0" defaultSubtotal="0"/>
    <pivotField compact="0" showAll="0" defaultSubtotal="0"/>
    <pivotField compact="0" numFmtId="2" showAll="0" defaultSubtotal="0"/>
  </pivotFields>
  <rowFields count="2">
    <field x="1"/>
    <field x="10"/>
  </rowFields>
  <rowItems count="2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4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3"/>
    </i>
    <i r="1">
      <x v="4"/>
    </i>
    <i t="grand">
      <x/>
    </i>
  </rowItems>
  <colItems count="1">
    <i/>
  </colItems>
  <pageFields count="2">
    <pageField fld="8" hier="-1"/>
    <pageField fld="9" hier="-1"/>
  </pageFields>
  <dataFields count="1">
    <dataField name="Average of Delivery Duration (min)" fld="7" subtotal="average" baseField="0" baseItem="0"/>
  </dataFields>
  <formats count="73">
    <format dxfId="551">
      <pivotArea collapsedLevelsAreSubtotals="1" fieldPosition="0">
        <references count="1">
          <reference field="1" count="1">
            <x v="0"/>
          </reference>
        </references>
      </pivotArea>
    </format>
    <format dxfId="550">
      <pivotArea collapsedLevelsAreSubtotals="1" fieldPosition="0">
        <references count="2">
          <reference field="1" count="1" selected="0">
            <x v="0"/>
          </reference>
          <reference field="10" count="0"/>
        </references>
      </pivotArea>
    </format>
    <format dxfId="549">
      <pivotArea collapsedLevelsAreSubtotals="1" fieldPosition="0">
        <references count="1">
          <reference field="1" count="1">
            <x v="1"/>
          </reference>
        </references>
      </pivotArea>
    </format>
    <format dxfId="548">
      <pivotArea collapsedLevelsAreSubtotals="1" fieldPosition="0">
        <references count="2">
          <reference field="1" count="1" selected="0">
            <x v="1"/>
          </reference>
          <reference field="10" count="4">
            <x v="0"/>
            <x v="1"/>
            <x v="2"/>
            <x v="4"/>
          </reference>
        </references>
      </pivotArea>
    </format>
    <format dxfId="547">
      <pivotArea collapsedLevelsAreSubtotals="1" fieldPosition="0">
        <references count="1">
          <reference field="1" count="1">
            <x v="2"/>
          </reference>
        </references>
      </pivotArea>
    </format>
    <format dxfId="546">
      <pivotArea collapsedLevelsAreSubtotals="1" fieldPosition="0">
        <references count="2">
          <reference field="1" count="1" selected="0">
            <x v="2"/>
          </reference>
          <reference field="10" count="4">
            <x v="0"/>
            <x v="1"/>
            <x v="2"/>
            <x v="3"/>
          </reference>
        </references>
      </pivotArea>
    </format>
    <format dxfId="545">
      <pivotArea collapsedLevelsAreSubtotals="1" fieldPosition="0">
        <references count="1">
          <reference field="1" count="1">
            <x v="3"/>
          </reference>
        </references>
      </pivotArea>
    </format>
    <format dxfId="544">
      <pivotArea collapsedLevelsAreSubtotals="1" fieldPosition="0">
        <references count="2">
          <reference field="1" count="1" selected="0">
            <x v="3"/>
          </reference>
          <reference field="10" count="0"/>
        </references>
      </pivotArea>
    </format>
    <format dxfId="543">
      <pivotArea collapsedLevelsAreSubtotals="1" fieldPosition="0">
        <references count="1">
          <reference field="1" count="1">
            <x v="4"/>
          </reference>
        </references>
      </pivotArea>
    </format>
    <format dxfId="542">
      <pivotArea collapsedLevelsAreSubtotals="1" fieldPosition="0">
        <references count="2">
          <reference field="1" count="1" selected="0">
            <x v="4"/>
          </reference>
          <reference field="10" count="4">
            <x v="0"/>
            <x v="1"/>
            <x v="3"/>
            <x v="4"/>
          </reference>
        </references>
      </pivotArea>
    </format>
    <format dxfId="541">
      <pivotArea grandRow="1" outline="0" collapsedLevelsAreSubtotals="1" fieldPosition="0"/>
    </format>
    <format dxfId="540">
      <pivotArea field="1" type="button" dataOnly="0" labelOnly="1" outline="0" axis="axisRow" fieldPosition="0"/>
    </format>
    <format dxfId="539">
      <pivotArea dataOnly="0" labelOnly="1" outline="0" axis="axisValues" fieldPosition="0"/>
    </format>
    <format dxfId="538">
      <pivotArea field="1" type="button" dataOnly="0" labelOnly="1" outline="0" axis="axisRow" fieldPosition="0"/>
    </format>
    <format dxfId="537">
      <pivotArea field="1" type="button" dataOnly="0" labelOnly="1" outline="0" axis="axisRow" fieldPosition="0"/>
    </format>
    <format dxfId="536">
      <pivotArea type="all" dataOnly="0" outline="0" fieldPosition="0"/>
    </format>
    <format dxfId="535">
      <pivotArea outline="0" collapsedLevelsAreSubtotals="1" fieldPosition="0"/>
    </format>
    <format dxfId="534">
      <pivotArea field="1" type="button" dataOnly="0" labelOnly="1" outline="0" axis="axisRow" fieldPosition="0"/>
    </format>
    <format dxfId="533">
      <pivotArea field="10" type="button" dataOnly="0" labelOnly="1" outline="0" axis="axisRow" fieldPosition="1"/>
    </format>
    <format dxfId="532">
      <pivotArea dataOnly="0" labelOnly="1" outline="0" fieldPosition="0">
        <references count="1">
          <reference field="1" count="0"/>
        </references>
      </pivotArea>
    </format>
    <format dxfId="531">
      <pivotArea dataOnly="0" labelOnly="1" grandRow="1" outline="0" fieldPosition="0"/>
    </format>
    <format dxfId="530">
      <pivotArea dataOnly="0" labelOnly="1" outline="0" fieldPosition="0">
        <references count="2">
          <reference field="1" count="1" selected="0">
            <x v="0"/>
          </reference>
          <reference field="10" count="0"/>
        </references>
      </pivotArea>
    </format>
    <format dxfId="529">
      <pivotArea dataOnly="0" labelOnly="1" outline="0" fieldPosition="0">
        <references count="2">
          <reference field="1" count="1" selected="0">
            <x v="1"/>
          </reference>
          <reference field="10" count="4">
            <x v="0"/>
            <x v="1"/>
            <x v="2"/>
            <x v="4"/>
          </reference>
        </references>
      </pivotArea>
    </format>
    <format dxfId="528">
      <pivotArea dataOnly="0" labelOnly="1" outline="0" fieldPosition="0">
        <references count="2">
          <reference field="1" count="1" selected="0">
            <x v="2"/>
          </reference>
          <reference field="10" count="4">
            <x v="0"/>
            <x v="1"/>
            <x v="2"/>
            <x v="3"/>
          </reference>
        </references>
      </pivotArea>
    </format>
    <format dxfId="527">
      <pivotArea dataOnly="0" labelOnly="1" outline="0" fieldPosition="0">
        <references count="2">
          <reference field="1" count="1" selected="0">
            <x v="3"/>
          </reference>
          <reference field="10" count="0"/>
        </references>
      </pivotArea>
    </format>
    <format dxfId="526">
      <pivotArea dataOnly="0" labelOnly="1" outline="0" fieldPosition="0">
        <references count="2">
          <reference field="1" count="1" selected="0">
            <x v="4"/>
          </reference>
          <reference field="10" count="4">
            <x v="0"/>
            <x v="1"/>
            <x v="3"/>
            <x v="4"/>
          </reference>
        </references>
      </pivotArea>
    </format>
    <format dxfId="525">
      <pivotArea dataOnly="0" labelOnly="1" outline="0" axis="axisValues" fieldPosition="0"/>
    </format>
    <format dxfId="524">
      <pivotArea fieldPosition="0">
        <references count="2">
          <reference field="1" count="1" selected="0">
            <x v="0"/>
          </reference>
          <reference field="10" count="0"/>
        </references>
      </pivotArea>
    </format>
    <format dxfId="523">
      <pivotArea fieldPosition="0">
        <references count="1">
          <reference field="1" count="1">
            <x v="1"/>
          </reference>
        </references>
      </pivotArea>
    </format>
    <format dxfId="522">
      <pivotArea fieldPosition="0">
        <references count="2">
          <reference field="1" count="1" selected="0">
            <x v="1"/>
          </reference>
          <reference field="10" count="4">
            <x v="0"/>
            <x v="1"/>
            <x v="2"/>
            <x v="4"/>
          </reference>
        </references>
      </pivotArea>
    </format>
    <format dxfId="521">
      <pivotArea fieldPosition="0">
        <references count="1">
          <reference field="1" count="1">
            <x v="2"/>
          </reference>
        </references>
      </pivotArea>
    </format>
    <format dxfId="520">
      <pivotArea fieldPosition="0">
        <references count="2">
          <reference field="1" count="1" selected="0">
            <x v="2"/>
          </reference>
          <reference field="10" count="4">
            <x v="0"/>
            <x v="1"/>
            <x v="2"/>
            <x v="3"/>
          </reference>
        </references>
      </pivotArea>
    </format>
    <format dxfId="519">
      <pivotArea fieldPosition="0">
        <references count="1">
          <reference field="1" count="1">
            <x v="3"/>
          </reference>
        </references>
      </pivotArea>
    </format>
    <format dxfId="518">
      <pivotArea fieldPosition="0">
        <references count="2">
          <reference field="1" count="1" selected="0">
            <x v="3"/>
          </reference>
          <reference field="10" count="0"/>
        </references>
      </pivotArea>
    </format>
    <format dxfId="517">
      <pivotArea fieldPosition="0">
        <references count="1">
          <reference field="1" count="1">
            <x v="4"/>
          </reference>
        </references>
      </pivotArea>
    </format>
    <format dxfId="516">
      <pivotArea fieldPosition="0">
        <references count="2">
          <reference field="1" count="1" selected="0">
            <x v="4"/>
          </reference>
          <reference field="10" count="4">
            <x v="0"/>
            <x v="1"/>
            <x v="3"/>
            <x v="4"/>
          </reference>
        </references>
      </pivotArea>
    </format>
    <format dxfId="515">
      <pivotArea dataOnly="0" labelOnly="1" outline="0" fieldPosition="0">
        <references count="1">
          <reference field="1" count="1">
            <x v="1"/>
          </reference>
        </references>
      </pivotArea>
    </format>
    <format dxfId="514">
      <pivotArea dataOnly="0" labelOnly="1" outline="0" fieldPosition="0">
        <references count="1">
          <reference field="1" count="1">
            <x v="2"/>
          </reference>
        </references>
      </pivotArea>
    </format>
    <format dxfId="513">
      <pivotArea dataOnly="0" labelOnly="1" outline="0" fieldPosition="0">
        <references count="1">
          <reference field="1" count="1">
            <x v="3"/>
          </reference>
        </references>
      </pivotArea>
    </format>
    <format dxfId="512">
      <pivotArea dataOnly="0" labelOnly="1" outline="0" fieldPosition="0">
        <references count="1">
          <reference field="1" count="1">
            <x v="4"/>
          </reference>
        </references>
      </pivotArea>
    </format>
    <format dxfId="511">
      <pivotArea dataOnly="0" labelOnly="1" outline="0" fieldPosition="0">
        <references count="2">
          <reference field="1" count="1" selected="0">
            <x v="0"/>
          </reference>
          <reference field="10" count="0"/>
        </references>
      </pivotArea>
    </format>
    <format dxfId="510">
      <pivotArea dataOnly="0" labelOnly="1" outline="0" fieldPosition="0">
        <references count="2">
          <reference field="1" count="1" selected="0">
            <x v="1"/>
          </reference>
          <reference field="10" count="4">
            <x v="0"/>
            <x v="1"/>
            <x v="2"/>
            <x v="4"/>
          </reference>
        </references>
      </pivotArea>
    </format>
    <format dxfId="509">
      <pivotArea dataOnly="0" labelOnly="1" outline="0" fieldPosition="0">
        <references count="2">
          <reference field="1" count="1" selected="0">
            <x v="2"/>
          </reference>
          <reference field="10" count="4">
            <x v="0"/>
            <x v="1"/>
            <x v="2"/>
            <x v="3"/>
          </reference>
        </references>
      </pivotArea>
    </format>
    <format dxfId="508">
      <pivotArea dataOnly="0" labelOnly="1" outline="0" fieldPosition="0">
        <references count="2">
          <reference field="1" count="1" selected="0">
            <x v="3"/>
          </reference>
          <reference field="10" count="0"/>
        </references>
      </pivotArea>
    </format>
    <format dxfId="507">
      <pivotArea dataOnly="0" labelOnly="1" outline="0" fieldPosition="0">
        <references count="2">
          <reference field="1" count="1" selected="0">
            <x v="4"/>
          </reference>
          <reference field="10" count="4">
            <x v="0"/>
            <x v="1"/>
            <x v="3"/>
            <x v="4"/>
          </reference>
        </references>
      </pivotArea>
    </format>
    <format dxfId="506">
      <pivotArea type="all" dataOnly="0" outline="0" fieldPosition="0"/>
    </format>
    <format dxfId="505">
      <pivotArea outline="0" collapsedLevelsAreSubtotals="1" fieldPosition="0"/>
    </format>
    <format dxfId="504">
      <pivotArea field="1" type="button" dataOnly="0" labelOnly="1" outline="0" axis="axisRow" fieldPosition="0"/>
    </format>
    <format dxfId="503">
      <pivotArea field="10" type="button" dataOnly="0" labelOnly="1" outline="0" axis="axisRow" fieldPosition="1"/>
    </format>
    <format dxfId="502">
      <pivotArea dataOnly="0" labelOnly="1" outline="0" fieldPosition="0">
        <references count="1">
          <reference field="1" count="0"/>
        </references>
      </pivotArea>
    </format>
    <format dxfId="501">
      <pivotArea dataOnly="0" labelOnly="1" grandRow="1" outline="0" fieldPosition="0"/>
    </format>
    <format dxfId="500">
      <pivotArea dataOnly="0" labelOnly="1" outline="0" fieldPosition="0">
        <references count="2">
          <reference field="1" count="1" selected="0">
            <x v="0"/>
          </reference>
          <reference field="10" count="0"/>
        </references>
      </pivotArea>
    </format>
    <format dxfId="499">
      <pivotArea dataOnly="0" labelOnly="1" outline="0" fieldPosition="0">
        <references count="2">
          <reference field="1" count="1" selected="0">
            <x v="1"/>
          </reference>
          <reference field="10" count="4">
            <x v="0"/>
            <x v="1"/>
            <x v="2"/>
            <x v="4"/>
          </reference>
        </references>
      </pivotArea>
    </format>
    <format dxfId="498">
      <pivotArea dataOnly="0" labelOnly="1" outline="0" fieldPosition="0">
        <references count="2">
          <reference field="1" count="1" selected="0">
            <x v="2"/>
          </reference>
          <reference field="10" count="4">
            <x v="0"/>
            <x v="1"/>
            <x v="2"/>
            <x v="3"/>
          </reference>
        </references>
      </pivotArea>
    </format>
    <format dxfId="497">
      <pivotArea dataOnly="0" labelOnly="1" outline="0" fieldPosition="0">
        <references count="2">
          <reference field="1" count="1" selected="0">
            <x v="3"/>
          </reference>
          <reference field="10" count="0"/>
        </references>
      </pivotArea>
    </format>
    <format dxfId="496">
      <pivotArea dataOnly="0" labelOnly="1" outline="0" fieldPosition="0">
        <references count="2">
          <reference field="1" count="1" selected="0">
            <x v="4"/>
          </reference>
          <reference field="10" count="4">
            <x v="0"/>
            <x v="1"/>
            <x v="3"/>
            <x v="4"/>
          </reference>
        </references>
      </pivotArea>
    </format>
    <format dxfId="495">
      <pivotArea dataOnly="0" labelOnly="1" outline="0" axis="axisValues" fieldPosition="0"/>
    </format>
    <format dxfId="494">
      <pivotArea type="all" dataOnly="0" outline="0" fieldPosition="0"/>
    </format>
    <format dxfId="493">
      <pivotArea outline="0" collapsedLevelsAreSubtotals="1" fieldPosition="0"/>
    </format>
    <format dxfId="492">
      <pivotArea field="1" type="button" dataOnly="0" labelOnly="1" outline="0" axis="axisRow" fieldPosition="0"/>
    </format>
    <format dxfId="491">
      <pivotArea field="10" type="button" dataOnly="0" labelOnly="1" outline="0" axis="axisRow" fieldPosition="1"/>
    </format>
    <format dxfId="490">
      <pivotArea dataOnly="0" labelOnly="1" outline="0" fieldPosition="0">
        <references count="1">
          <reference field="1" count="0"/>
        </references>
      </pivotArea>
    </format>
    <format dxfId="489">
      <pivotArea dataOnly="0" labelOnly="1" grandRow="1" outline="0" fieldPosition="0"/>
    </format>
    <format dxfId="488">
      <pivotArea dataOnly="0" labelOnly="1" outline="0" fieldPosition="0">
        <references count="2">
          <reference field="1" count="1" selected="0">
            <x v="0"/>
          </reference>
          <reference field="10" count="0"/>
        </references>
      </pivotArea>
    </format>
    <format dxfId="487">
      <pivotArea dataOnly="0" labelOnly="1" outline="0" fieldPosition="0">
        <references count="2">
          <reference field="1" count="1" selected="0">
            <x v="1"/>
          </reference>
          <reference field="10" count="4">
            <x v="0"/>
            <x v="1"/>
            <x v="2"/>
            <x v="4"/>
          </reference>
        </references>
      </pivotArea>
    </format>
    <format dxfId="486">
      <pivotArea dataOnly="0" labelOnly="1" outline="0" fieldPosition="0">
        <references count="2">
          <reference field="1" count="1" selected="0">
            <x v="2"/>
          </reference>
          <reference field="10" count="4">
            <x v="0"/>
            <x v="1"/>
            <x v="2"/>
            <x v="3"/>
          </reference>
        </references>
      </pivotArea>
    </format>
    <format dxfId="485">
      <pivotArea dataOnly="0" labelOnly="1" outline="0" fieldPosition="0">
        <references count="2">
          <reference field="1" count="1" selected="0">
            <x v="3"/>
          </reference>
          <reference field="10" count="0"/>
        </references>
      </pivotArea>
    </format>
    <format dxfId="484">
      <pivotArea dataOnly="0" labelOnly="1" outline="0" fieldPosition="0">
        <references count="2">
          <reference field="1" count="1" selected="0">
            <x v="4"/>
          </reference>
          <reference field="10" count="4">
            <x v="0"/>
            <x v="1"/>
            <x v="3"/>
            <x v="4"/>
          </reference>
        </references>
      </pivotArea>
    </format>
    <format dxfId="483">
      <pivotArea dataOnly="0" labelOnly="1" outline="0" axis="axisValues" fieldPosition="0"/>
    </format>
    <format dxfId="482">
      <pivotArea field="10" type="button" dataOnly="0" labelOnly="1" outline="0" axis="axisRow" fieldPosition="1"/>
    </format>
    <format dxfId="481">
      <pivotArea dataOnly="0" outline="0" axis="axisValues" fieldPosition="0"/>
    </format>
    <format dxfId="480">
      <pivotArea dataOnly="0" outline="0" axis="axisValues" fieldPosition="0"/>
    </format>
    <format dxfId="479">
      <pivotArea field="1" type="button" dataOnly="0" labelOnly="1" outline="0" axis="axisRow" fieldPosition="0"/>
    </format>
  </formats>
  <conditionalFormats count="2">
    <conditionalFormat priority="19">
      <pivotAreas count="9"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10" count="5">
              <x v="0"/>
              <x v="1"/>
              <x v="2"/>
              <x v="3"/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10" count="4">
              <x v="0"/>
              <x v="1"/>
              <x v="2"/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10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10" count="5">
              <x v="0"/>
              <x v="1"/>
              <x v="2"/>
              <x v="3"/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10" count="4">
              <x v="0"/>
              <x v="1"/>
              <x v="3"/>
              <x v="4"/>
            </reference>
          </references>
        </pivotArea>
      </pivotAreas>
    </conditionalFormat>
    <conditionalFormat priority="18">
      <pivotAreas count="9"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10" count="5">
              <x v="0"/>
              <x v="1"/>
              <x v="2"/>
              <x v="3"/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10" count="4">
              <x v="0"/>
              <x v="1"/>
              <x v="2"/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10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10" count="5">
              <x v="0"/>
              <x v="1"/>
              <x v="2"/>
              <x v="3"/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4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4"/>
            </reference>
            <reference field="10" count="4">
              <x v="0"/>
              <x v="1"/>
              <x v="3"/>
              <x v="4"/>
            </reference>
          </references>
        </pivotArea>
      </pivotAreas>
    </conditionalFormat>
  </conditionalFormats>
  <chartFormats count="73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3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0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2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3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4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4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4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4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0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1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2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1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2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2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3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1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3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1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0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0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0"/>
          </reference>
        </references>
      </pivotArea>
    </chartFormat>
    <chartFormat chart="7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0"/>
          </reference>
        </references>
      </pivotArea>
    </chartFormat>
    <chartFormat chart="7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1"/>
          </reference>
        </references>
      </pivotArea>
    </chartFormat>
    <chartFormat chart="7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2"/>
          </reference>
        </references>
      </pivotArea>
    </chartFormat>
    <chartFormat chart="7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3"/>
          </reference>
        </references>
      </pivotArea>
    </chartFormat>
    <chartFormat chart="7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4"/>
          </reference>
        </references>
      </pivotArea>
    </chartFormat>
    <chartFormat chart="7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0"/>
          </reference>
        </references>
      </pivotArea>
    </chartFormat>
    <chartFormat chart="7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1"/>
          </reference>
        </references>
      </pivotArea>
    </chartFormat>
    <chartFormat chart="7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2"/>
          </reference>
        </references>
      </pivotArea>
    </chartFormat>
    <chartFormat chart="7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4"/>
          </reference>
        </references>
      </pivotArea>
    </chartFormat>
    <chartFormat chart="7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0"/>
          </reference>
        </references>
      </pivotArea>
    </chartFormat>
    <chartFormat chart="7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1"/>
          </reference>
        </references>
      </pivotArea>
    </chartFormat>
    <chartFormat chart="7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2"/>
          </reference>
        </references>
      </pivotArea>
    </chartFormat>
    <chartFormat chart="7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3"/>
          </reference>
        </references>
      </pivotArea>
    </chartFormat>
    <chartFormat chart="7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0"/>
          </reference>
        </references>
      </pivotArea>
    </chartFormat>
    <chartFormat chart="7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1"/>
          </reference>
        </references>
      </pivotArea>
    </chartFormat>
    <chartFormat chart="7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2"/>
          </reference>
        </references>
      </pivotArea>
    </chartFormat>
    <chartFormat chart="7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3"/>
          </reference>
        </references>
      </pivotArea>
    </chartFormat>
    <chartFormat chart="7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4"/>
          </reference>
        </references>
      </pivotArea>
    </chartFormat>
    <chartFormat chart="7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0"/>
          </reference>
        </references>
      </pivotArea>
    </chartFormat>
    <chartFormat chart="7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1"/>
          </reference>
        </references>
      </pivotArea>
    </chartFormat>
    <chartFormat chart="7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3"/>
          </reference>
        </references>
      </pivotArea>
    </chartFormat>
    <chartFormat chart="7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4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3"/>
          </reference>
        </references>
      </pivotArea>
    </chartFormat>
    <chartFormat chart="8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4"/>
          </reference>
        </references>
      </pivotArea>
    </chartFormat>
    <chartFormat chart="8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4"/>
          </reference>
        </references>
      </pivotArea>
    </chartFormat>
    <chartFormat chart="8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4"/>
          </reference>
        </references>
      </pivotArea>
    </chartFormat>
    <chartFormat chart="8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3"/>
          </reference>
        </references>
      </pivotArea>
    </chartFormat>
    <chartFormat chart="8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0"/>
          </reference>
        </references>
      </pivotArea>
    </chartFormat>
    <chartFormat chart="8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0"/>
          </reference>
        </references>
      </pivotArea>
    </chartFormat>
    <chartFormat chart="8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0"/>
          </reference>
        </references>
      </pivotArea>
    </chartFormat>
    <chartFormat chart="8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0"/>
          </reference>
        </references>
      </pivotArea>
    </chartFormat>
    <chartFormat chart="8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0"/>
          </reference>
        </references>
      </pivotArea>
    </chartFormat>
    <chartFormat chart="8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1"/>
          </reference>
        </references>
      </pivotArea>
    </chartFormat>
    <chartFormat chart="8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2"/>
          </reference>
        </references>
      </pivotArea>
    </chartFormat>
    <chartFormat chart="8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 selected="0">
            <x v="3"/>
          </reference>
        </references>
      </pivotArea>
    </chartFormat>
    <chartFormat chart="8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1"/>
          </reference>
        </references>
      </pivotArea>
    </chartFormat>
    <chartFormat chart="8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0" count="1" selected="0">
            <x v="2"/>
          </reference>
        </references>
      </pivotArea>
    </chartFormat>
    <chartFormat chart="8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1"/>
          </reference>
        </references>
      </pivotArea>
    </chartFormat>
    <chartFormat chart="8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0" count="1" selected="0">
            <x v="2"/>
          </reference>
        </references>
      </pivotArea>
    </chartFormat>
    <chartFormat chart="8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1"/>
          </reference>
        </references>
      </pivotArea>
    </chartFormat>
    <chartFormat chart="8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2"/>
          </reference>
        </references>
      </pivotArea>
    </chartFormat>
    <chartFormat chart="8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0" count="1" selected="0">
            <x v="3"/>
          </reference>
        </references>
      </pivotArea>
    </chartFormat>
    <chartFormat chart="8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1"/>
          </reference>
        </references>
      </pivotArea>
    </chartFormat>
    <chartFormat chart="8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06AC2-14F7-794E-94AD-61379F36841C}" name="TrafficLevelvsOrderCountandDelays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7" rowHeaderCaption="Traffic Level">
  <location ref="A347:C351" firstHeaderRow="0" firstDataRow="1" firstDataCol="1"/>
  <pivotFields count="2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1"/>
        <item x="2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2"/>
        <item x="4"/>
        <item x="6"/>
        <item x="5"/>
        <item x="0"/>
        <item x="3"/>
        <item x="1"/>
        <item x="7"/>
        <item h="1" x="8"/>
        <item t="default"/>
      </items>
    </pivotField>
    <pivotField showAll="0"/>
    <pivotField dataField="1" showAll="0"/>
    <pivotField dragToRow="0" dragToCol="0" dragToPage="0" showAll="0" defaultSubtotal="0"/>
  </pivotFields>
  <rowFields count="1">
    <field x="12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s" fld="0" subtotal="count" baseField="0" baseItem="0"/>
    <dataField name="Total Delayed Orders" fld="27" baseField="0" baseItem="0"/>
  </dataFields>
  <formats count="24">
    <format dxfId="5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72">
      <pivotArea type="all" dataOnly="0" outline="0" fieldPosition="0"/>
    </format>
    <format dxfId="571">
      <pivotArea outline="0" collapsedLevelsAreSubtotals="1" fieldPosition="0"/>
    </format>
    <format dxfId="570">
      <pivotArea field="12" type="button" dataOnly="0" labelOnly="1" outline="0" axis="axisRow" fieldPosition="0"/>
    </format>
    <format dxfId="569">
      <pivotArea dataOnly="0" labelOnly="1" fieldPosition="0">
        <references count="1">
          <reference field="12" count="0"/>
        </references>
      </pivotArea>
    </format>
    <format dxfId="568">
      <pivotArea dataOnly="0" labelOnly="1" grandRow="1" outline="0" fieldPosition="0"/>
    </format>
    <format dxfId="5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6">
      <pivotArea type="all" dataOnly="0" outline="0" fieldPosition="0"/>
    </format>
    <format dxfId="565">
      <pivotArea outline="0" collapsedLevelsAreSubtotals="1" fieldPosition="0"/>
    </format>
    <format dxfId="564">
      <pivotArea field="12" type="button" dataOnly="0" labelOnly="1" outline="0" axis="axisRow" fieldPosition="0"/>
    </format>
    <format dxfId="563">
      <pivotArea dataOnly="0" labelOnly="1" fieldPosition="0">
        <references count="1">
          <reference field="12" count="0"/>
        </references>
      </pivotArea>
    </format>
    <format dxfId="562">
      <pivotArea dataOnly="0" labelOnly="1" grandRow="1" outline="0" fieldPosition="0"/>
    </format>
    <format dxfId="5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0">
      <pivotArea field="12" type="button" dataOnly="0" labelOnly="1" outline="0" axis="axisRow" fieldPosition="0"/>
    </format>
    <format dxfId="5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8">
      <pivotArea type="all" dataOnly="0" outline="0" fieldPosition="0"/>
    </format>
    <format dxfId="557">
      <pivotArea outline="0" collapsedLevelsAreSubtotals="1" fieldPosition="0"/>
    </format>
    <format dxfId="556">
      <pivotArea field="12" type="button" dataOnly="0" labelOnly="1" outline="0" axis="axisRow" fieldPosition="0"/>
    </format>
    <format dxfId="555">
      <pivotArea dataOnly="0" labelOnly="1" fieldPosition="0">
        <references count="1">
          <reference field="12" count="0"/>
        </references>
      </pivotArea>
    </format>
    <format dxfId="554">
      <pivotArea dataOnly="0" labelOnly="1" grandRow="1" outline="0" fieldPosition="0"/>
    </format>
    <format dxfId="5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2">
      <pivotArea field="12" type="button" dataOnly="0" labelOnly="1" outline="0" axis="axisRow" fieldPosition="0"/>
    </format>
  </formats>
  <conditionalFormats count="3"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3">
              <x v="0"/>
              <x v="1"/>
              <x v="2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2" count="3">
              <x v="0"/>
              <x v="1"/>
              <x v="2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2" count="3">
              <x v="0"/>
              <x v="1"/>
              <x v="2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EF9C9B-028B-433F-9145-F45FCA49DB32}" autoFormatId="16" applyNumberFormats="0" applyBorderFormats="0" applyFontFormats="0" applyPatternFormats="0" applyAlignmentFormats="0" applyWidthHeightFormats="0">
  <queryTableRefresh nextId="29" unboundColumnsRight="1">
    <queryTableFields count="28">
      <queryTableField id="1" name="Order ID" tableColumnId="1"/>
      <queryTableField id="2" name="Restaurant Name" tableColumnId="2"/>
      <queryTableField id="3" name="Location" tableColumnId="3"/>
      <queryTableField id="4" name="OrderDate" tableColumnId="4"/>
      <queryTableField id="5" name="OrderTime" tableColumnId="5"/>
      <queryTableField id="6" name="DeliveryDate" tableColumnId="6"/>
      <queryTableField id="7" name="DeliveryTime" tableColumnId="7"/>
      <queryTableField id="8" name="Delivery Duration (min)" tableColumnId="8"/>
      <queryTableField id="9" name="Pizza Size" tableColumnId="9"/>
      <queryTableField id="10" name="Pizza Type" tableColumnId="10"/>
      <queryTableField id="11" name="Toppings Count" tableColumnId="11"/>
      <queryTableField id="12" name="Distance (km)" tableColumnId="12"/>
      <queryTableField id="13" name="Traffic Level" tableColumnId="13"/>
      <queryTableField id="14" name="Payment Method" tableColumnId="14"/>
      <queryTableField id="15" name="Is Peak Hour" tableColumnId="15"/>
      <queryTableField id="16" name="Is Weekend" tableColumnId="16"/>
      <queryTableField id="17" name="Delivery Efficiency (min/km)" tableColumnId="17"/>
      <queryTableField id="18" name="Topping Density" tableColumnId="18"/>
      <queryTableField id="19" name="Order Month" tableColumnId="19"/>
      <queryTableField id="20" name="Payment Category" tableColumnId="20"/>
      <queryTableField id="21" name="Estimated Duration (min)" tableColumnId="21"/>
      <queryTableField id="22" name="Delay (min)" tableColumnId="22"/>
      <queryTableField id="23" name="Is Delayed" tableColumnId="23"/>
      <queryTableField id="24" name="Pizza Complexity" tableColumnId="24"/>
      <queryTableField id="25" name="Traffic Impact" tableColumnId="25"/>
      <queryTableField id="26" name="Order Hour" tableColumnId="26"/>
      <queryTableField id="27" name="Restaurant Avg Time" tableColumnId="27"/>
      <queryTableField id="28" dataBound="0" tableColumnId="2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5FAE27-460D-446E-884A-422C9FD954C0}" name="DataDictionary" displayName="DataDictionary" ref="A1:E26" headerRowDxfId="602" dataDxfId="601" totalsRowDxfId="600">
  <tableColumns count="5">
    <tableColumn id="1" xr3:uid="{C286D2AC-F651-4C7D-92EB-BB00591245C6}" name="Attribute" dataDxfId="599"/>
    <tableColumn id="2" xr3:uid="{F9D13E1C-CE2D-4A59-B717-8D521520D6DB}" name="Description (EN)" dataDxfId="598"/>
    <tableColumn id="5" xr3:uid="{6889998D-63A6-4B75-9CE2-48AC4E8D4894}" name="Description (TH)" dataDxfId="597" dataCellStyle="Normal 2"/>
    <tableColumn id="3" xr3:uid="{072F3B75-01A2-4AE6-9780-3378B47A4443}" name="Data Type" dataDxfId="596"/>
    <tableColumn id="4" xr3:uid="{114C535F-14DC-4DF8-85D0-A818FB117528}" name="Valid Range/Example" dataDxfId="595"/>
  </tableColumns>
  <tableStyleInfo name="2. Data Dictionary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03DCD5-5F08-4CFB-AB2F-F036DD113D3C}" name="PizzaDelivery" displayName="PizzaDelivery" ref="A1:AB1005" tableType="queryTable" totalsRowShown="0">
  <autoFilter ref="A1:AB1005" xr:uid="{3603DCD5-5F08-4CFB-AB2F-F036DD113D3C}"/>
  <tableColumns count="28">
    <tableColumn id="1" xr3:uid="{2AA10CAA-3C79-468F-A464-36797C855593}" uniqueName="1" name="Order ID" queryTableFieldId="1" dataDxfId="594"/>
    <tableColumn id="2" xr3:uid="{5C2E093C-5CB7-4634-BEFF-1264A251B56C}" uniqueName="2" name="Restaurant Name" queryTableFieldId="2" dataDxfId="593"/>
    <tableColumn id="3" xr3:uid="{12519FC1-08C8-47FF-9D6A-47DEFC160627}" uniqueName="3" name="Location" queryTableFieldId="3" dataDxfId="592"/>
    <tableColumn id="4" xr3:uid="{C9D0FEB2-BBD1-411B-BE8A-7C5AA8C1FB10}" uniqueName="4" name="OrderDate" queryTableFieldId="4" dataDxfId="591"/>
    <tableColumn id="5" xr3:uid="{E2840350-17AE-41B1-9ED1-B7FBEA5F7158}" uniqueName="5" name="OrderTime" queryTableFieldId="5" dataDxfId="590"/>
    <tableColumn id="6" xr3:uid="{D1FBE299-9A99-488F-9386-AA2A55D1B475}" uniqueName="6" name="DeliveryDate" queryTableFieldId="6" dataDxfId="589"/>
    <tableColumn id="7" xr3:uid="{C5D34152-D09E-42B0-8276-3CB93FE8833B}" uniqueName="7" name="DeliveryTime" queryTableFieldId="7" dataDxfId="588"/>
    <tableColumn id="8" xr3:uid="{E9D6DCCE-A1B2-41E4-9901-BC6CC0EE331D}" uniqueName="8" name="Delivery Duration (min)" queryTableFieldId="8"/>
    <tableColumn id="9" xr3:uid="{DC4C7EA8-A98F-4042-892B-D8974C660F3A}" uniqueName="9" name="Pizza Size" queryTableFieldId="9" dataDxfId="587"/>
    <tableColumn id="10" xr3:uid="{F392ED1D-0A50-43BB-B27B-1763F6CE180A}" uniqueName="10" name="Pizza Type" queryTableFieldId="10" dataDxfId="586"/>
    <tableColumn id="11" xr3:uid="{B2E6A259-BA24-4360-B83E-E2041114D4D7}" uniqueName="11" name="Toppings Count" queryTableFieldId="11"/>
    <tableColumn id="12" xr3:uid="{9C421084-4445-4E24-9709-9CE67CC52E90}" uniqueName="12" name="Distance (km)" queryTableFieldId="12"/>
    <tableColumn id="13" xr3:uid="{641291F8-AE60-4834-AD16-099A113A37E8}" uniqueName="13" name="Traffic Level" queryTableFieldId="13" dataDxfId="585"/>
    <tableColumn id="14" xr3:uid="{DCE4C9D2-CCD7-4707-B751-4AB8C6D23686}" uniqueName="14" name="Payment Method" queryTableFieldId="14" dataDxfId="584"/>
    <tableColumn id="15" xr3:uid="{A4D4B74C-9359-4D44-B306-321D78B51FA7}" uniqueName="15" name="Is Peak Hour" queryTableFieldId="15"/>
    <tableColumn id="16" xr3:uid="{6BCC53AB-3042-475C-BF50-3F7B4F79A56F}" uniqueName="16" name="Is Weekend" queryTableFieldId="16"/>
    <tableColumn id="17" xr3:uid="{D2C60FDC-FB83-4E87-ACE3-EE7F2AA6BDB9}" uniqueName="17" name="Delivery Efficiency (min/km)" queryTableFieldId="17" dataDxfId="583"/>
    <tableColumn id="18" xr3:uid="{D3E61A83-0CBC-458A-B58E-C0F737A727EB}" uniqueName="18" name="Topping Density" queryTableFieldId="18" dataDxfId="582"/>
    <tableColumn id="19" xr3:uid="{89BE6A52-7B39-43E8-BF21-72DBA8418B5E}" uniqueName="19" name="Order Month" queryTableFieldId="19" dataDxfId="581"/>
    <tableColumn id="20" xr3:uid="{8FC90493-A94F-4C70-A1B4-71F075D04A42}" uniqueName="20" name="Payment Category" queryTableFieldId="20" dataDxfId="580"/>
    <tableColumn id="21" xr3:uid="{EF0FC707-45EE-4D42-BA93-B3CB7811E7B1}" uniqueName="21" name="Estimated Duration (min)" queryTableFieldId="21" dataDxfId="579"/>
    <tableColumn id="22" xr3:uid="{E1FCC312-7DCC-4AAF-BBD8-A1800B0F0A4E}" uniqueName="22" name="Delay (min)" queryTableFieldId="22" dataDxfId="578"/>
    <tableColumn id="23" xr3:uid="{9B6E0C51-35CD-412E-85C7-32D3711B08F1}" uniqueName="23" name="Is Delayed" queryTableFieldId="23"/>
    <tableColumn id="24" xr3:uid="{8D2648EA-A5C0-409A-B085-18D86C7C7FCF}" uniqueName="24" name="Pizza Complexity" queryTableFieldId="24"/>
    <tableColumn id="25" xr3:uid="{F5E04EFB-DCA6-49C6-90FF-94395962D949}" uniqueName="25" name="Traffic Impact" queryTableFieldId="25"/>
    <tableColumn id="26" xr3:uid="{9CF41951-CC22-4238-8DAA-620AE5497F75}" uniqueName="26" name="Order Hour" queryTableFieldId="26"/>
    <tableColumn id="27" xr3:uid="{4775BC65-8A78-45D8-8585-DBFCBE47FED9}" uniqueName="27" name="Restaurant Avg Time" queryTableFieldId="27" dataDxfId="577"/>
    <tableColumn id="28" xr3:uid="{7153D874-F4D6-4AFB-9CDB-9E40C09389EE}" uniqueName="28" name="IsDelayedNum" queryTableFieldId="28" dataDxfId="576">
      <calculatedColumnFormula>--PizzaDelivery[[#This Row],[Is Delayed]]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5FF1E-73F3-488A-A765-C17463A5D1FB}" name="Table1" displayName="Table1" ref="A1:Y1005" totalsRowShown="0" headerRowDxfId="317" dataDxfId="315" headerRowBorderDxfId="316" tableBorderDxfId="314">
  <autoFilter ref="A1:Y1005" xr:uid="{B3D5FF1E-73F3-488A-A765-C17463A5D1FB}">
    <filterColumn colId="1">
      <filters>
        <filter val="Marco’s Pizza"/>
      </filters>
    </filterColumn>
  </autoFilter>
  <tableColumns count="25">
    <tableColumn id="1" xr3:uid="{C4820FB7-42D9-4518-8F2B-2930823A999E}" name="Order ID" dataDxfId="313"/>
    <tableColumn id="2" xr3:uid="{089F3387-0508-4096-8AA7-B0F49313C65F}" name="Restaurant Name" dataDxfId="312"/>
    <tableColumn id="3" xr3:uid="{8CC963E5-A152-46AE-9937-EB56F00DA8D6}" name="Location" dataDxfId="311"/>
    <tableColumn id="4" xr3:uid="{C82D38FE-6852-4D4B-90F4-6EEDDF4A0A44}" name="Order Time" dataDxfId="310"/>
    <tableColumn id="5" xr3:uid="{9A58FF07-CFCD-4A5C-A7AB-AE1334833565}" name="Delivery Time" dataDxfId="309"/>
    <tableColumn id="6" xr3:uid="{950E11AF-9C5F-4B63-A500-9FCF09A062F9}" name="Delivery Duration (min)" dataDxfId="308"/>
    <tableColumn id="7" xr3:uid="{69BFEB07-8CD6-4B9D-B8C2-5ACE967FA7E4}" name="Pizza Size" dataDxfId="307"/>
    <tableColumn id="8" xr3:uid="{E982126C-CF18-4C85-9EC1-05D8B7F0598F}" name="Pizza Type" dataDxfId="306"/>
    <tableColumn id="9" xr3:uid="{EADBAFBB-7C36-4862-8601-ABB6056C6A80}" name="Toppings Count" dataDxfId="305"/>
    <tableColumn id="10" xr3:uid="{E1E9870E-DB07-48ED-86BE-303476207E52}" name="Distance (km)" dataDxfId="304"/>
    <tableColumn id="11" xr3:uid="{5E80F70D-357B-4E5A-963C-2D1F21CA2AEB}" name="Traffic Level" dataDxfId="303"/>
    <tableColumn id="12" xr3:uid="{DD002602-67FB-4692-9231-AC692A9A4738}" name="Payment Method" dataDxfId="302"/>
    <tableColumn id="13" xr3:uid="{08B4733F-F255-47D8-BD8A-252C63652A95}" name="Is Peak Hour" dataDxfId="301"/>
    <tableColumn id="14" xr3:uid="{1535B5C9-8A5F-4C0A-B3E6-3E12A8C2EBD8}" name="Is Weekend" dataDxfId="300"/>
    <tableColumn id="15" xr3:uid="{A438FA0F-6807-4C56-B97D-5B7F856C3889}" name="Delivery Efficiency (min/km)" dataDxfId="299"/>
    <tableColumn id="16" xr3:uid="{8311621E-1BB1-4594-BEB2-66664A4D3159}" name="Topping Density" dataDxfId="298"/>
    <tableColumn id="17" xr3:uid="{C1F523DA-CE1B-4975-8B92-30193C6CF0FA}" name="Order Month" dataDxfId="297"/>
    <tableColumn id="18" xr3:uid="{D2313910-54C3-41B5-B0AC-4FFA91B3560E}" name="Payment Category" dataDxfId="296"/>
    <tableColumn id="19" xr3:uid="{B05668A7-0D16-449D-8C6D-DFF6FB53923E}" name="Estimated Duration (min)" dataDxfId="295"/>
    <tableColumn id="20" xr3:uid="{D94CC62D-9785-4A51-BAD2-A070554D0FF2}" name="Delay (min)" dataDxfId="294"/>
    <tableColumn id="21" xr3:uid="{11F6B43E-9C86-410E-9E53-F0FB10D4C8AA}" name="Is Delayed" dataDxfId="293"/>
    <tableColumn id="22" xr3:uid="{2EBBEF8F-4CDF-4916-957D-C29EC0E30A94}" name="Pizza Complexity" dataDxfId="292"/>
    <tableColumn id="23" xr3:uid="{9C7E9967-D0B6-4ACE-AA4C-2A3562E0842C}" name="Traffic Impact" dataDxfId="291"/>
    <tableColumn id="24" xr3:uid="{2A78280A-7F8C-47DD-BC20-AA23AB5DA286}" name="Order Hour" dataDxfId="290"/>
    <tableColumn id="25" xr3:uid="{73125326-28DC-4B80-8471-8A36AF7A0654}" name="Restaurant Avg Time" dataDxfId="28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9BE4-F949-4488-86F2-5098A53870E6}">
  <dimension ref="A1:AA1004"/>
  <sheetViews>
    <sheetView showGridLines="0" zoomScale="80" zoomScaleNormal="80" workbookViewId="0">
      <selection activeCell="E22" sqref="E22"/>
    </sheetView>
  </sheetViews>
  <sheetFormatPr baseColWidth="10" defaultColWidth="21.33203125" defaultRowHeight="15"/>
  <cols>
    <col min="1" max="1" width="12.6640625" style="43" customWidth="1"/>
    <col min="2" max="2" width="21.33203125" style="43"/>
    <col min="3" max="3" width="32.6640625" style="43" customWidth="1"/>
    <col min="4" max="16384" width="21.33203125" style="43"/>
  </cols>
  <sheetData>
    <row r="1" spans="1:27" s="42" customFormat="1" ht="30.75" customHeight="1">
      <c r="A1" s="181" t="s">
        <v>0</v>
      </c>
      <c r="B1" s="181"/>
      <c r="C1" s="181"/>
      <c r="D1" s="181"/>
      <c r="E1" s="181"/>
      <c r="F1" s="181"/>
      <c r="G1" s="181"/>
      <c r="H1" s="181"/>
      <c r="I1" s="43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s="42" customFormat="1" ht="10.5" customHeight="1">
      <c r="A2" s="170"/>
      <c r="B2" s="170"/>
      <c r="C2" s="170"/>
      <c r="D2" s="170"/>
      <c r="E2" s="170"/>
      <c r="F2" s="170"/>
      <c r="G2" s="170"/>
      <c r="H2" s="170"/>
      <c r="I2" s="43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7" ht="22">
      <c r="A3" s="174" t="s">
        <v>1</v>
      </c>
      <c r="B3" s="175"/>
      <c r="C3" s="175"/>
    </row>
    <row r="4" spans="1:27" ht="17">
      <c r="A4" s="176" t="s">
        <v>2</v>
      </c>
      <c r="B4" s="176" t="s">
        <v>3</v>
      </c>
      <c r="C4" s="176" t="s">
        <v>4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spans="1:27" ht="17">
      <c r="A5" s="177">
        <v>1</v>
      </c>
      <c r="B5" s="178">
        <v>68199160294</v>
      </c>
      <c r="C5" s="179" t="s">
        <v>5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 spans="1:27" ht="17">
      <c r="A6" s="177">
        <v>2</v>
      </c>
      <c r="B6" s="178">
        <v>68199160270</v>
      </c>
      <c r="C6" s="179" t="s">
        <v>6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 spans="1:27" ht="17">
      <c r="A7" s="177">
        <v>3</v>
      </c>
      <c r="B7" s="178">
        <v>68199160308</v>
      </c>
      <c r="C7" s="179" t="s">
        <v>7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spans="1:27" ht="20.2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27" ht="20.25" customHeight="1">
      <c r="A9" s="172" t="s">
        <v>8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spans="1:27" ht="15.75" customHeight="1">
      <c r="A10" s="182" t="s">
        <v>9</v>
      </c>
      <c r="B10" s="182"/>
      <c r="C10" s="182"/>
      <c r="D10" s="182"/>
      <c r="E10" s="182"/>
      <c r="F10" s="182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spans="1:27">
      <c r="A11" s="182"/>
      <c r="B11" s="182"/>
      <c r="C11" s="182"/>
      <c r="D11" s="182"/>
      <c r="E11" s="182"/>
      <c r="F11" s="182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 spans="1:27" ht="29.25" customHeight="1">
      <c r="A12" s="182"/>
      <c r="B12" s="182"/>
      <c r="C12" s="182"/>
      <c r="D12" s="182"/>
      <c r="E12" s="182"/>
      <c r="F12" s="182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spans="1:27" ht="14.25" customHeight="1">
      <c r="A13" s="171"/>
      <c r="B13" s="171"/>
      <c r="C13" s="171"/>
      <c r="D13" s="171"/>
      <c r="E13" s="171"/>
      <c r="F13" s="171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spans="1:27" ht="21.75" customHeight="1">
      <c r="A14" s="81" t="s">
        <v>10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spans="1:27" ht="16">
      <c r="A15" s="173" t="s">
        <v>11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spans="1:27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spans="1:27" ht="19">
      <c r="A17" s="81" t="s">
        <v>12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spans="1:27" ht="16">
      <c r="A18" s="180" t="s">
        <v>13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spans="1:27" ht="16">
      <c r="A19" s="180" t="s">
        <v>14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spans="1:27" ht="16">
      <c r="A20" s="180" t="s">
        <v>15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spans="1:27" ht="16">
      <c r="A21" s="180" t="s">
        <v>16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spans="1:27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spans="1:27" ht="19">
      <c r="A23" s="81" t="s">
        <v>17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spans="1:27" ht="16">
      <c r="A24" s="180" t="s">
        <v>18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spans="1:27" ht="16">
      <c r="A25" s="180" t="s">
        <v>19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spans="1:27" ht="16">
      <c r="A26" s="180" t="s">
        <v>20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spans="1:27" ht="16">
      <c r="A27" s="180" t="s">
        <v>21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spans="1:27"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spans="1:27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spans="1:27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spans="1:27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spans="1:27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spans="1:27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spans="1:27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 spans="1:27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spans="1:27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 spans="1:2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 spans="1:27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 spans="1:27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 spans="1:27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 spans="1:27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 spans="1:27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 spans="1:27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spans="1:27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 spans="1:27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 spans="1:27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 spans="1:2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spans="1:27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spans="1:27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spans="1:27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spans="1:27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spans="1:27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spans="1:27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spans="1:27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spans="1:27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spans="1:27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spans="1:2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spans="1:27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 spans="1:27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spans="1:27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 spans="1:27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spans="1:27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spans="1:27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spans="1:27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spans="1:27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spans="1:27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spans="1:2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spans="1:27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spans="1:27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spans="1:27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spans="1:27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spans="1:27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spans="1:27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spans="1:27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spans="1:27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spans="1:27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spans="1:2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spans="1:27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 spans="1:27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spans="1:27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 spans="1:27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spans="1:27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 spans="1:27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spans="1:27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 spans="1:27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spans="1:27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 spans="1:2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spans="1:27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 spans="1:27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 spans="1:27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 spans="1:27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 spans="1:27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 spans="1:27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spans="1:27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 spans="1:27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spans="1:27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spans="1:2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spans="1:27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 spans="1:27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 spans="1:27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 spans="1:27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spans="1:27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spans="1:27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spans="1:27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spans="1:27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spans="1:27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spans="1:2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spans="1:27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spans="1:27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spans="1:27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spans="1:27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spans="1:27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spans="1:27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spans="1:27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spans="1:27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spans="1:27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spans="1:2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spans="1:27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spans="1:27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spans="1:27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spans="1:27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spans="1:27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spans="1:27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spans="1:27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spans="1:27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spans="1:27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spans="1: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spans="1:27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spans="1:27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spans="1:27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 spans="1:27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spans="1:27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 spans="1:27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spans="1:27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 spans="1:27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spans="1:27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 spans="1:2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spans="1:27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 spans="1:27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spans="1:27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 spans="1:27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spans="1:27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 spans="1:27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spans="1:27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 spans="1:27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spans="1:27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 spans="1:2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spans="1:27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 spans="1:27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spans="1:27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 spans="1:27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spans="1:27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 spans="1:27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spans="1:27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 spans="1:27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spans="1:27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 spans="1:2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spans="1:27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 spans="1:27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 spans="1:27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 spans="1:27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 spans="1:27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 spans="1:27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 spans="1:27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 spans="1:27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 spans="1:27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 spans="1:2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 spans="1:27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 spans="1:27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 spans="1:27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 spans="1:27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 spans="1:27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 spans="1:27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 spans="1:27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 spans="1:27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 spans="1:27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 spans="1:2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 spans="1:27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 spans="1:27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 spans="1:27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 spans="1:27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 spans="1:27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 spans="1:27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 spans="1:27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 spans="1:27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 spans="1:27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 spans="1:2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 spans="1:27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 spans="1:27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 spans="1:27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 spans="1:27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 spans="1:27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 spans="1:27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 spans="1:27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 spans="1:27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 spans="1:27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 spans="1:2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 spans="1:27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 spans="1:27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 spans="1:27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 spans="1:27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 spans="1:27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 spans="1:27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 spans="1:27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 spans="1:27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 spans="1:27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 spans="1:2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 spans="1:27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 spans="1:27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 spans="1:27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 spans="1:27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 spans="1:27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 spans="1:27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 spans="1:27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 spans="1:27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 spans="1:27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 spans="1:2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 spans="1:27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 spans="1:27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 spans="1:27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 spans="1:27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 spans="1:27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 spans="1:27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 spans="1:27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 spans="1:27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 spans="1:27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 spans="1: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 spans="1:27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 spans="1:27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 spans="1:27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 spans="1:27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 spans="1:27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 spans="1:27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 spans="1:27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 spans="1:27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 spans="1:27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 spans="1:2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 spans="1:27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 spans="1:27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 spans="1:27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 spans="1:27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 spans="1:27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 spans="1:27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 spans="1:27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 spans="1:27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 spans="1:27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 spans="1:2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 spans="1:27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 spans="1:27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 spans="1:27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 spans="1:27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 spans="1:27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 spans="1:27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 spans="1:27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 spans="1:27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 spans="1:27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 spans="1:2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 spans="1:27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 spans="1:27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 spans="1:27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 spans="1:27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 spans="1:27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 spans="1:27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 spans="1:27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 spans="1:27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 spans="1:27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 spans="1:2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 spans="1:27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 spans="1:27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 spans="1:27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 spans="1:27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 spans="1:27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 spans="1:27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 spans="1:27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 spans="1:27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 spans="1:27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 spans="1:2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 spans="1:27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 spans="1:27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 spans="1:27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 spans="1:27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 spans="1:27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 spans="1:27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 spans="1:27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 spans="1:27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 spans="1:27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 spans="1:2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 spans="1:27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 spans="1:27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 spans="1:27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 spans="1:27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 spans="1:27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 spans="1:27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 spans="1:27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 spans="1:27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 spans="1:27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 spans="1:2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 spans="1:27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 spans="1:27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 spans="1:27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 spans="1:27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 spans="1:27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 spans="1:27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 spans="1:27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 spans="1:27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 spans="1:27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 spans="1:2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 spans="1:27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 spans="1:27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 spans="1:27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 spans="1:27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 spans="1:27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 spans="1:27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 spans="1:27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 spans="1:27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 spans="1:27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 spans="1:2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 spans="1:27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 spans="1:27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 spans="1:27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 spans="1:27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 spans="1:27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 spans="1:27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 spans="1:27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 spans="1:27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 spans="1:27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 spans="1: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 spans="1:27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 spans="1:27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 spans="1:27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 spans="1:27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 spans="1:27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 spans="1:27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 spans="1:27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 spans="1:27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 spans="1:27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 spans="1:2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 spans="1:27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 spans="1:27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 spans="1:27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 spans="1:27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 spans="1:27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 spans="1:27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 spans="1:27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 spans="1:27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 spans="1:27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 spans="1:2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 spans="1:27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 spans="1:27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 spans="1:27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 spans="1:27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 spans="1:27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 spans="1:27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 spans="1:27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 spans="1:27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 spans="1:27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 spans="1:2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 spans="1:27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 spans="1:27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 spans="1:27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 spans="1:27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 spans="1:27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 spans="1:27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 spans="1:27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 spans="1:27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 spans="1:27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 spans="1:2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 spans="1:27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 spans="1:27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 spans="1:27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 spans="1:27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 spans="1:27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 spans="1:27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 spans="1:27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 spans="1:27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 spans="1:27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 spans="1:2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 spans="1:27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 spans="1:27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 spans="1:27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 spans="1:27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 spans="1:27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 spans="1:27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 spans="1:27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 spans="1:27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 spans="1:27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 spans="1:2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 spans="1:27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 spans="1:27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 spans="1:27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 spans="1:27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 spans="1:27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 spans="1:27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 spans="1:27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 spans="1:27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 spans="1:27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 spans="1:2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 spans="1:27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 spans="1:27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 spans="1:27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 spans="1:27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 spans="1:27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 spans="1:27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 spans="1:27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 spans="1:27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 spans="1:27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 spans="1:2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 spans="1:27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 spans="1:27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 spans="1:27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 spans="1:27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 spans="1:27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 spans="1:27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 spans="1:27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 spans="1:27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 spans="1:27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 spans="1:2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 spans="1:27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 spans="1:27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 spans="1:27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 spans="1:27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 spans="1:27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 spans="1:27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 spans="1:27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 spans="1:27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 spans="1:27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 spans="1: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 spans="1:27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 spans="1:27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 spans="1:27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 spans="1:27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 spans="1:27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 spans="1:27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 spans="1:27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 spans="1:27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 spans="1:27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 spans="1:2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 spans="1:27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 spans="1:27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 spans="1:27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 spans="1:27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 spans="1:27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 spans="1:27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 spans="1:27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 spans="1:27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 spans="1:27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 spans="1:2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 spans="1:27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 spans="1:27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 spans="1:27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 spans="1:27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 spans="1:27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 spans="1:27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 spans="1:27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 spans="1:27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 spans="1:27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 spans="1:2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 spans="1:27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 spans="1:27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 spans="1:27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 spans="1:27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 spans="1:27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 spans="1:27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 spans="1:27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 spans="1:27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 spans="1:27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 spans="1:2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 spans="1:27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 spans="1:27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 spans="1:27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 spans="1:27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 spans="1:27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 spans="1:27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 spans="1:27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 spans="1:27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 spans="1:27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 spans="1:2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 spans="1:27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 spans="1:27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 spans="1:27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 spans="1:27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 spans="1:27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 spans="1:27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 spans="1:27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 spans="1:27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 spans="1:27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 spans="1:2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 spans="1:27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 spans="1:27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 spans="1:27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 spans="1:27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 spans="1:27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 spans="1:27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 spans="1:27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 spans="1:27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 spans="1:27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 spans="1:2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 spans="1:27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 spans="1:27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 spans="1:27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 spans="1:27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 spans="1:27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 spans="1:27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 spans="1:27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 spans="1:27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 spans="1:27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 spans="1:2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 spans="1:27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 spans="1:27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 spans="1:27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 spans="1:27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 spans="1:27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 spans="1:27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 spans="1:27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 spans="1:27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 spans="1:27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 spans="1:2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 spans="1:27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 spans="1:27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 spans="1:27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 spans="1:27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 spans="1:27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 spans="1:27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 spans="1:27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 spans="1:27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 spans="1:27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 spans="1: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 spans="1:27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 spans="1:27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 spans="1:27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 spans="1:27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 spans="1:27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 spans="1:27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 spans="1:27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 spans="1:27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 spans="1:27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 spans="1:2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 spans="1:27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 spans="1:27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 spans="1:27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 spans="1:27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 spans="1:27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 spans="1:27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 spans="1:27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 spans="1:27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 spans="1:27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 spans="1:2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 spans="1:27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 spans="1:27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 spans="1:27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 spans="1:27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 spans="1:27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 spans="1:27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 spans="1:27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 spans="1:27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 spans="1:27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 spans="1:2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 spans="1:27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 spans="1:27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 spans="1:27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 spans="1:27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 spans="1:27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 spans="1:27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 spans="1:27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 spans="1:27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 spans="1:27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 spans="1:2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 spans="1:27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 spans="1:27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 spans="1:27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 spans="1:27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 spans="1:27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 spans="1:27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 spans="1:27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 spans="1:27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 spans="1:27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 spans="1:2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 spans="1:27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 spans="1:27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 spans="1:27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 spans="1:27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 spans="1:27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 spans="1:27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 spans="1:27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 spans="1:27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 spans="1:27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 spans="1:2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 spans="1:27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 spans="1:27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 spans="1:27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 spans="1:27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 spans="1:27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 spans="1:27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 spans="1:27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 spans="1:27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 spans="1:27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 spans="1:2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 spans="1:27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 spans="1:27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 spans="1:27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 spans="1:27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 spans="1:27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 spans="1:27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 spans="1:27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 spans="1:27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 spans="1:27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 spans="1:2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 spans="1:27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 spans="1:27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 spans="1:27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 spans="1:27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 spans="1:27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 spans="1:27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 spans="1:27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 spans="1:27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 spans="1:27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 spans="1:2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 spans="1:27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 spans="1:27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 spans="1:27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 spans="1:27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 spans="1:27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 spans="1:27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 spans="1:27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 spans="1:27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 spans="1:27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 spans="1: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 spans="1:27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 spans="1:27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 spans="1:27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 spans="1:27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 spans="1:27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 spans="1:27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 spans="1:27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 spans="1:27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 spans="1:27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 spans="1:2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 spans="1:27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 spans="1:27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 spans="1:27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 spans="1:27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 spans="1:27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 spans="1:27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 spans="1:27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 spans="1:27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 spans="1:27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 spans="1:2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 spans="1:27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 spans="1:27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 spans="1:27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 spans="1:27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 spans="1:27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 spans="1:27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 spans="1:27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 spans="1:27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 spans="1:27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 spans="1:2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 spans="1:27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 spans="1:27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 spans="1:27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 spans="1:27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 spans="1:27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 spans="1:27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 spans="1:27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 spans="1:27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 spans="1:27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 spans="1:2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 spans="1:27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 spans="1:27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 spans="1:27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 spans="1:27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 spans="1:27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 spans="1:27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 spans="1:27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 spans="1:27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 spans="1:27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 spans="1:2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 spans="1:27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 spans="1:27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 spans="1:27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 spans="1:27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 spans="1:27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 spans="1:27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 spans="1:27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 spans="1:27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 spans="1:27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 spans="1:2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 spans="1:27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 spans="1:27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 spans="1:27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 spans="1:27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 spans="1:27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 spans="1:27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 spans="1:27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 spans="1:27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 spans="1:27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 spans="1:2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 spans="1:27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 spans="1:27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 spans="1:27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 spans="1:27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 spans="1:27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 spans="1:27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 spans="1:27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 spans="1:27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 spans="1:27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 spans="1:2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 spans="1:27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 spans="1:27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 spans="1:27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 spans="1:27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 spans="1:27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 spans="1:27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 spans="1:27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 spans="1:27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 spans="1:27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 spans="1:2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 spans="1:27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 spans="1:27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 spans="1:27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 spans="1:27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 spans="1:27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 spans="1:27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 spans="1:27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 spans="1:27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 spans="1:27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 spans="1: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 spans="1:27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 spans="1:27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 spans="1:27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 spans="1:27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 spans="1:27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 spans="1:27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 spans="1:27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 spans="1:27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 spans="1:27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 spans="1:2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 spans="1:27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 spans="1:27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 spans="1:27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 spans="1:27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 spans="1:27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 spans="1:27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 spans="1:27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 spans="1:27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 spans="1:27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 spans="1:2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 spans="1:27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 spans="1:27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 spans="1:27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 spans="1:27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 spans="1:27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 spans="1:27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 spans="1:27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 spans="1:27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 spans="1:27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 spans="1:2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 spans="1:27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 spans="1:27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 spans="1:27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 spans="1:27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 spans="1:27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 spans="1:27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 spans="1:27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 spans="1:27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 spans="1:27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 spans="1:2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 spans="1:27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 spans="1:27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 spans="1:27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 spans="1:27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 spans="1:27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 spans="1:27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 spans="1:27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 spans="1:27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 spans="1:27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 spans="1:2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 spans="1:27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 spans="1:27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 spans="1:27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 spans="1:27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 spans="1:27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 spans="1:27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 spans="1:27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 spans="1:27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 spans="1:27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 spans="1:2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 spans="1:27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 spans="1:27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 spans="1:27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 spans="1:27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 spans="1:27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 spans="1:27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 spans="1:27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 spans="1:27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 spans="1:27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 spans="1:2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 spans="1:27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 spans="1:27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 spans="1:27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 spans="1:27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 spans="1:27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 spans="1:27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 spans="1:27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 spans="1:27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 spans="1:27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 spans="1:2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 spans="1:27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 spans="1:27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 spans="1:27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 spans="1:27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 spans="1:27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 spans="1:27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 spans="1:27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 spans="1:27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 spans="1:27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 spans="1:2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 spans="1:27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 spans="1:27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 spans="1:27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 spans="1:27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 spans="1:27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 spans="1:27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 spans="1:27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 spans="1:27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 spans="1:27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 spans="1: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 spans="1:27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 spans="1:27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 spans="1:27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 spans="1:27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 spans="1:27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 spans="1:27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 spans="1:27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 spans="1:27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 spans="1:27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 spans="1:2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 spans="1:27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 spans="1:27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 spans="1:27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 spans="1:27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 spans="1:27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 spans="1:27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 spans="1:27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 spans="1:27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 spans="1:27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 spans="1:2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 spans="1:27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 spans="1:27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 spans="1:27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 spans="1:27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 spans="1:27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 spans="1:27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 spans="1:27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 spans="1:27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 spans="1:27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 spans="1:2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 spans="1:27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 spans="1:27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 spans="1:27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 spans="1:27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 spans="1:27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 spans="1:27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 spans="1:27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 spans="1:27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 spans="1:27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 spans="1:2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 spans="1:27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 spans="1:27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 spans="1:27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 spans="1:27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 spans="1:27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 spans="1:27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 spans="1:27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 spans="1:27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 spans="1:27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 spans="1:2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 spans="1:27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 spans="1:27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 spans="1:27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 spans="1:27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 spans="1:27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 spans="1:27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 spans="1:27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 spans="1:27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 spans="1:27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 spans="1:2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 spans="1:27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 spans="1:27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 spans="1:27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 spans="1:27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 spans="1:27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 spans="1:27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 spans="1:27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 spans="1:27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 spans="1:27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 spans="1:2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 spans="1:27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 spans="1:27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 spans="1:27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 spans="1:27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 spans="1:27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 spans="1:27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 spans="1:27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 spans="1:27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 spans="1:27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 spans="1:2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 spans="1:27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 spans="1:27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 spans="1:27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 spans="1:27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 spans="1:27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 spans="1:27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 spans="1:27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 spans="1:27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 spans="1:27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 spans="1:2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 spans="1:27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 spans="1:27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 spans="1:27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 spans="1:27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 spans="1:27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 spans="1:27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 spans="1:27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 spans="1:27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 spans="1:27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 spans="1: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 spans="1:27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 spans="1:27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 spans="1:27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 spans="1:27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 spans="1:27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 spans="1:27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 spans="1:27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 spans="1:27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 spans="1:27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 spans="1:2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 spans="1:27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 spans="1:27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 spans="1:27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 spans="1:27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 spans="1:27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 spans="1:27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 spans="1:27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 spans="1:27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 spans="1:27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 spans="1:2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 spans="1:27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 spans="1:27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 spans="1:27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 spans="1:27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 spans="1:27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 spans="1:27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 spans="1:27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 spans="1:27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 spans="1:27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 spans="1:2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 spans="1:27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 spans="1:27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 spans="1:27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 spans="1:27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 spans="1:27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 spans="1:27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 spans="1:27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 spans="1:27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 spans="1:27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 spans="1:2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 spans="1:27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 spans="1:27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 spans="1:27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 spans="1:27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 spans="1:27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 spans="1:27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 spans="1:27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 spans="1:27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 spans="1:27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 spans="1:2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 spans="1:27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 spans="1:27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 spans="1:27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 spans="1:27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 spans="1:27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 spans="1:27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 spans="1:27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 spans="1:27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 spans="1:27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 spans="1:2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 spans="1:27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 spans="1:27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 spans="1:27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 spans="1:27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 spans="1:27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 spans="1:27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 spans="1:27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 spans="1:27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 spans="1:27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 spans="1:2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  <row r="998" spans="1:27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</row>
    <row r="999" spans="1:27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</row>
    <row r="1000" spans="1:27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</row>
    <row r="1001" spans="1:27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</row>
    <row r="1002" spans="1:27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</row>
    <row r="1003" spans="1:27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</row>
    <row r="1004" spans="1:27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</row>
  </sheetData>
  <mergeCells count="2">
    <mergeCell ref="A1:H1"/>
    <mergeCell ref="A10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5D65-708C-45CE-9A16-62A71D4A7894}">
  <dimension ref="A1:AB1003"/>
  <sheetViews>
    <sheetView showGridLines="0" tabSelected="1" topLeftCell="A10" zoomScale="50" zoomScaleNormal="50" workbookViewId="0">
      <selection activeCell="C35" sqref="C35"/>
    </sheetView>
  </sheetViews>
  <sheetFormatPr baseColWidth="10" defaultColWidth="28.6640625" defaultRowHeight="22"/>
  <cols>
    <col min="1" max="1" width="38.1640625" style="13" customWidth="1"/>
    <col min="2" max="2" width="68.5" style="13" customWidth="1"/>
    <col min="3" max="3" width="76.83203125" style="13" customWidth="1"/>
    <col min="4" max="4" width="28.6640625" style="13"/>
    <col min="5" max="5" width="57.1640625" style="13" customWidth="1"/>
    <col min="6" max="16384" width="28.6640625" style="13"/>
  </cols>
  <sheetData>
    <row r="1" spans="1:28" s="40" customFormat="1" ht="30.75" customHeight="1">
      <c r="A1" s="37" t="s">
        <v>22</v>
      </c>
      <c r="B1" s="37" t="s">
        <v>23</v>
      </c>
      <c r="C1" s="38" t="s">
        <v>24</v>
      </c>
      <c r="D1" s="38" t="s">
        <v>25</v>
      </c>
      <c r="E1" s="37" t="s">
        <v>26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</row>
    <row r="2" spans="1:28" ht="24.75" customHeight="1">
      <c r="A2" s="20" t="s">
        <v>27</v>
      </c>
      <c r="B2" s="21" t="s">
        <v>28</v>
      </c>
      <c r="C2" s="21" t="s">
        <v>29</v>
      </c>
      <c r="D2" s="22" t="s">
        <v>30</v>
      </c>
      <c r="E2" s="23" t="s">
        <v>31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 ht="24.75" customHeight="1">
      <c r="A3" s="24" t="s">
        <v>32</v>
      </c>
      <c r="B3" s="25" t="s">
        <v>33</v>
      </c>
      <c r="C3" s="25" t="s">
        <v>34</v>
      </c>
      <c r="D3" s="26" t="s">
        <v>35</v>
      </c>
      <c r="E3" s="27" t="s">
        <v>36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24.75" customHeight="1">
      <c r="A4" s="20" t="s">
        <v>37</v>
      </c>
      <c r="B4" s="21" t="s">
        <v>38</v>
      </c>
      <c r="C4" s="21" t="s">
        <v>39</v>
      </c>
      <c r="D4" s="22" t="s">
        <v>35</v>
      </c>
      <c r="E4" s="23" t="s">
        <v>40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ht="24.75" customHeight="1">
      <c r="A5" s="24" t="s">
        <v>41</v>
      </c>
      <c r="B5" s="25" t="s">
        <v>42</v>
      </c>
      <c r="C5" s="25" t="s">
        <v>43</v>
      </c>
      <c r="D5" s="26" t="s">
        <v>44</v>
      </c>
      <c r="E5" s="28">
        <v>45566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 ht="24.75" customHeight="1">
      <c r="A6" s="20" t="s">
        <v>45</v>
      </c>
      <c r="B6" s="21" t="s">
        <v>46</v>
      </c>
      <c r="C6" s="21" t="s">
        <v>47</v>
      </c>
      <c r="D6" s="22" t="s">
        <v>48</v>
      </c>
      <c r="E6" s="29">
        <v>0.83333333333333337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 ht="24.75" customHeight="1">
      <c r="A7" s="24" t="s">
        <v>49</v>
      </c>
      <c r="B7" s="25" t="s">
        <v>50</v>
      </c>
      <c r="C7" s="25" t="s">
        <v>51</v>
      </c>
      <c r="D7" s="26" t="s">
        <v>44</v>
      </c>
      <c r="E7" s="30" t="s">
        <v>52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ht="24.75" customHeight="1">
      <c r="A8" s="20" t="s">
        <v>53</v>
      </c>
      <c r="B8" s="31" t="s">
        <v>54</v>
      </c>
      <c r="C8" s="31" t="s">
        <v>55</v>
      </c>
      <c r="D8" s="22" t="s">
        <v>48</v>
      </c>
      <c r="E8" s="29">
        <v>0.875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ht="24.75" customHeight="1">
      <c r="A9" s="24" t="s">
        <v>56</v>
      </c>
      <c r="B9" s="25" t="s">
        <v>57</v>
      </c>
      <c r="C9" s="25" t="s">
        <v>58</v>
      </c>
      <c r="D9" s="26" t="s">
        <v>59</v>
      </c>
      <c r="E9" s="27" t="s">
        <v>60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24.75" customHeight="1">
      <c r="A10" s="20" t="s">
        <v>61</v>
      </c>
      <c r="B10" s="21" t="s">
        <v>62</v>
      </c>
      <c r="C10" s="21" t="s">
        <v>63</v>
      </c>
      <c r="D10" s="22" t="s">
        <v>30</v>
      </c>
      <c r="E10" s="23" t="s">
        <v>64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ht="24.75" customHeight="1">
      <c r="A11" s="24" t="s">
        <v>65</v>
      </c>
      <c r="B11" s="25" t="s">
        <v>66</v>
      </c>
      <c r="C11" s="25" t="s">
        <v>67</v>
      </c>
      <c r="D11" s="26" t="s">
        <v>35</v>
      </c>
      <c r="E11" s="27" t="s">
        <v>68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ht="24.75" customHeight="1">
      <c r="A12" s="20" t="s">
        <v>69</v>
      </c>
      <c r="B12" s="21" t="s">
        <v>70</v>
      </c>
      <c r="C12" s="21" t="s">
        <v>71</v>
      </c>
      <c r="D12" s="22" t="s">
        <v>72</v>
      </c>
      <c r="E12" s="23" t="s">
        <v>73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ht="24.75" customHeight="1">
      <c r="A13" s="24" t="s">
        <v>74</v>
      </c>
      <c r="B13" s="25" t="s">
        <v>75</v>
      </c>
      <c r="C13" s="25" t="s">
        <v>76</v>
      </c>
      <c r="D13" s="26" t="s">
        <v>59</v>
      </c>
      <c r="E13" s="27" t="s">
        <v>77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ht="24.75" customHeight="1">
      <c r="A14" s="20" t="s">
        <v>78</v>
      </c>
      <c r="B14" s="21" t="s">
        <v>79</v>
      </c>
      <c r="C14" s="21" t="s">
        <v>80</v>
      </c>
      <c r="D14" s="22" t="s">
        <v>30</v>
      </c>
      <c r="E14" s="23" t="s">
        <v>81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ht="24.75" customHeight="1">
      <c r="A15" s="24" t="s">
        <v>82</v>
      </c>
      <c r="B15" s="25" t="s">
        <v>83</v>
      </c>
      <c r="C15" s="25" t="s">
        <v>84</v>
      </c>
      <c r="D15" s="26" t="s">
        <v>35</v>
      </c>
      <c r="E15" s="27" t="s">
        <v>85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ht="24.75" customHeight="1">
      <c r="A16" s="20" t="s">
        <v>86</v>
      </c>
      <c r="B16" s="21" t="s">
        <v>87</v>
      </c>
      <c r="C16" s="21" t="s">
        <v>88</v>
      </c>
      <c r="D16" s="22" t="s">
        <v>89</v>
      </c>
      <c r="E16" s="23" t="s">
        <v>90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t="24.75" customHeight="1">
      <c r="A17" s="24" t="s">
        <v>91</v>
      </c>
      <c r="B17" s="25" t="s">
        <v>92</v>
      </c>
      <c r="C17" s="25" t="s">
        <v>93</v>
      </c>
      <c r="D17" s="26" t="s">
        <v>89</v>
      </c>
      <c r="E17" s="27" t="s">
        <v>90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24.75" customHeight="1">
      <c r="A18" s="20" t="s">
        <v>94</v>
      </c>
      <c r="B18" s="21" t="s">
        <v>95</v>
      </c>
      <c r="C18" s="21" t="s">
        <v>96</v>
      </c>
      <c r="D18" s="22" t="s">
        <v>59</v>
      </c>
      <c r="E18" s="23" t="s">
        <v>77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s="15" customFormat="1" ht="24.75" customHeight="1">
      <c r="A19" s="32" t="s">
        <v>97</v>
      </c>
      <c r="B19" s="33" t="s">
        <v>98</v>
      </c>
      <c r="C19" s="33" t="s">
        <v>99</v>
      </c>
      <c r="D19" s="34" t="s">
        <v>59</v>
      </c>
      <c r="E19" s="35" t="s">
        <v>100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ht="24.75" customHeight="1">
      <c r="A20" s="20" t="s">
        <v>101</v>
      </c>
      <c r="B20" s="21" t="s">
        <v>102</v>
      </c>
      <c r="C20" s="21" t="s">
        <v>103</v>
      </c>
      <c r="D20" s="22" t="s">
        <v>30</v>
      </c>
      <c r="E20" s="23" t="s">
        <v>104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24.75" customHeight="1">
      <c r="A21" s="24" t="s">
        <v>105</v>
      </c>
      <c r="B21" s="25" t="s">
        <v>106</v>
      </c>
      <c r="C21" s="25" t="s">
        <v>107</v>
      </c>
      <c r="D21" s="26" t="s">
        <v>35</v>
      </c>
      <c r="E21" s="27" t="s">
        <v>108</v>
      </c>
      <c r="F21" s="12"/>
      <c r="G21" s="12"/>
      <c r="H21" s="1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24.75" customHeight="1">
      <c r="A22" s="20" t="s">
        <v>109</v>
      </c>
      <c r="B22" s="21" t="s">
        <v>110</v>
      </c>
      <c r="C22" s="21" t="s">
        <v>111</v>
      </c>
      <c r="D22" s="22" t="s">
        <v>59</v>
      </c>
      <c r="E22" s="23" t="s">
        <v>77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24.75" customHeight="1">
      <c r="A23" s="24" t="s">
        <v>112</v>
      </c>
      <c r="B23" s="25" t="s">
        <v>113</v>
      </c>
      <c r="C23" s="25" t="s">
        <v>114</v>
      </c>
      <c r="D23" s="26" t="s">
        <v>59</v>
      </c>
      <c r="E23" s="27" t="s">
        <v>77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24.75" customHeight="1">
      <c r="A24" s="20" t="s">
        <v>115</v>
      </c>
      <c r="B24" s="21" t="s">
        <v>116</v>
      </c>
      <c r="C24" s="21" t="s">
        <v>117</v>
      </c>
      <c r="D24" s="22" t="s">
        <v>89</v>
      </c>
      <c r="E24" s="23" t="s">
        <v>90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24.75" customHeight="1">
      <c r="A25" s="24" t="s">
        <v>118</v>
      </c>
      <c r="B25" s="25" t="s">
        <v>119</v>
      </c>
      <c r="C25" s="25" t="s">
        <v>120</v>
      </c>
      <c r="D25" s="26" t="s">
        <v>72</v>
      </c>
      <c r="E25" s="27" t="s">
        <v>121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24.75" customHeight="1">
      <c r="A26" s="20" t="s">
        <v>122</v>
      </c>
      <c r="B26" s="21" t="s">
        <v>123</v>
      </c>
      <c r="C26" s="21" t="s">
        <v>124</v>
      </c>
      <c r="D26" s="22" t="s">
        <v>72</v>
      </c>
      <c r="E26" s="36" t="s">
        <v>125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24.75" customHeight="1">
      <c r="A27" s="24" t="s">
        <v>126</v>
      </c>
      <c r="B27" s="24" t="s">
        <v>127</v>
      </c>
      <c r="C27" s="25" t="s">
        <v>128</v>
      </c>
      <c r="D27" s="26" t="s">
        <v>72</v>
      </c>
      <c r="E27" s="27" t="s">
        <v>129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24.75" customHeight="1">
      <c r="A28" s="84" t="s">
        <v>130</v>
      </c>
      <c r="B28" s="84" t="s">
        <v>131</v>
      </c>
      <c r="C28" s="85" t="s">
        <v>132</v>
      </c>
      <c r="D28" s="86" t="s">
        <v>59</v>
      </c>
      <c r="E28" s="87" t="s">
        <v>77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>
      <c r="A29" s="24" t="s">
        <v>133</v>
      </c>
      <c r="B29" s="24" t="s">
        <v>134</v>
      </c>
      <c r="C29" s="24" t="s">
        <v>135</v>
      </c>
      <c r="D29" s="26" t="s">
        <v>89</v>
      </c>
      <c r="E29" s="26" t="s">
        <v>136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>
      <c r="A30" s="12"/>
      <c r="B30" s="12"/>
      <c r="C30" s="12"/>
      <c r="D30" s="17"/>
      <c r="E30" s="17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>
      <c r="A31" s="12"/>
      <c r="B31" s="12"/>
      <c r="C31" s="12"/>
      <c r="D31" s="17"/>
      <c r="E31" s="17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>
      <c r="A32" s="12"/>
      <c r="B32" s="12"/>
      <c r="C32" s="12"/>
      <c r="D32" s="12"/>
      <c r="E32" s="17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>
      <c r="A33" s="12"/>
      <c r="B33" s="12"/>
      <c r="C33" s="12"/>
      <c r="D33" s="17"/>
      <c r="E33" s="17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>
      <c r="A34" s="12"/>
      <c r="B34" s="12"/>
      <c r="C34" s="12"/>
      <c r="D34" s="17"/>
      <c r="E34" s="17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>
      <c r="A35" s="12"/>
      <c r="B35" s="12"/>
      <c r="C35" s="12"/>
      <c r="D35" s="17"/>
      <c r="E35" s="17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>
      <c r="A36" s="12"/>
      <c r="B36" s="12"/>
      <c r="C36" s="12"/>
      <c r="D36" s="17"/>
      <c r="E36" s="17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>
      <c r="A37" s="12"/>
      <c r="B37" s="12"/>
      <c r="C37" s="12"/>
      <c r="D37" s="17"/>
      <c r="E37" s="17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>
      <c r="A38" s="12"/>
      <c r="B38" s="12"/>
      <c r="C38" s="12"/>
      <c r="D38" s="17"/>
      <c r="E38" s="17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>
      <c r="A39" s="12"/>
      <c r="B39" s="12"/>
      <c r="C39" s="12"/>
      <c r="D39" s="17"/>
      <c r="E39" s="1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>
      <c r="A40" s="12"/>
      <c r="B40" s="12"/>
      <c r="C40" s="12"/>
      <c r="D40" s="17"/>
      <c r="E40" s="1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>
      <c r="A41" s="12"/>
      <c r="B41" s="12"/>
      <c r="C41" s="12"/>
      <c r="D41" s="17"/>
      <c r="E41" s="1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>
      <c r="A42" s="12"/>
      <c r="B42" s="12"/>
      <c r="C42" s="12"/>
      <c r="D42" s="17"/>
      <c r="E42" s="1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>
      <c r="A43" s="12"/>
      <c r="B43" s="12"/>
      <c r="C43" s="12"/>
      <c r="D43" s="17"/>
      <c r="E43" s="1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>
      <c r="A44" s="12"/>
      <c r="B44" s="12"/>
      <c r="C44" s="12"/>
      <c r="D44" s="17"/>
      <c r="E44" s="1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>
      <c r="A45" s="12"/>
      <c r="B45" s="12"/>
      <c r="C45" s="12"/>
      <c r="D45" s="17"/>
      <c r="E45" s="1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>
      <c r="A46" s="12"/>
      <c r="B46" s="12"/>
      <c r="C46" s="12"/>
      <c r="D46" s="17"/>
      <c r="E46" s="1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>
      <c r="A47" s="12"/>
      <c r="B47" s="12"/>
      <c r="C47" s="12"/>
      <c r="D47" s="17"/>
      <c r="E47" s="1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>
      <c r="A48" s="12"/>
      <c r="B48" s="12"/>
      <c r="C48" s="12"/>
      <c r="D48" s="17"/>
      <c r="E48" s="1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>
      <c r="A49" s="12"/>
      <c r="B49" s="12"/>
      <c r="C49" s="12"/>
      <c r="D49" s="17"/>
      <c r="E49" s="1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>
      <c r="A50" s="12"/>
      <c r="B50" s="12"/>
      <c r="C50" s="12"/>
      <c r="D50" s="17"/>
      <c r="E50" s="1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>
      <c r="A51" s="12"/>
      <c r="B51" s="12"/>
      <c r="C51" s="12"/>
      <c r="D51" s="17"/>
      <c r="E51" s="17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>
      <c r="A52" s="12"/>
      <c r="B52" s="12"/>
      <c r="C52" s="12"/>
      <c r="D52" s="17"/>
      <c r="E52" s="17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>
      <c r="A53" s="12"/>
      <c r="B53" s="12"/>
      <c r="C53" s="12"/>
      <c r="D53" s="17"/>
      <c r="E53" s="17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>
      <c r="A54" s="12"/>
      <c r="B54" s="12"/>
      <c r="C54" s="12"/>
      <c r="D54" s="17"/>
      <c r="E54" s="17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>
      <c r="A55" s="12"/>
      <c r="B55" s="12"/>
      <c r="C55" s="12"/>
      <c r="D55" s="17"/>
      <c r="E55" s="17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>
      <c r="A56" s="12"/>
      <c r="B56" s="12"/>
      <c r="C56" s="12"/>
      <c r="D56" s="17"/>
      <c r="E56" s="17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>
      <c r="A57" s="12"/>
      <c r="B57" s="12"/>
      <c r="C57" s="12"/>
      <c r="D57" s="17"/>
      <c r="E57" s="17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>
      <c r="A58" s="12"/>
      <c r="B58" s="12"/>
      <c r="C58" s="12"/>
      <c r="D58" s="17"/>
      <c r="E58" s="17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>
      <c r="A59" s="12"/>
      <c r="B59" s="12"/>
      <c r="C59" s="12"/>
      <c r="D59" s="17"/>
      <c r="E59" s="17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>
      <c r="A60" s="12"/>
      <c r="B60" s="12"/>
      <c r="C60" s="12"/>
      <c r="D60" s="17"/>
      <c r="E60" s="17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>
      <c r="A61" s="12"/>
      <c r="B61" s="12"/>
      <c r="C61" s="12"/>
      <c r="D61" s="17"/>
      <c r="E61" s="17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>
      <c r="A62" s="12"/>
      <c r="B62" s="12"/>
      <c r="C62" s="12"/>
      <c r="D62" s="17"/>
      <c r="E62" s="17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>
      <c r="A63" s="12"/>
      <c r="B63" s="12"/>
      <c r="C63" s="12"/>
      <c r="D63" s="17"/>
      <c r="E63" s="17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>
      <c r="A64" s="12"/>
      <c r="B64" s="12"/>
      <c r="C64" s="12"/>
      <c r="D64" s="17"/>
      <c r="E64" s="17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>
      <c r="A65" s="12"/>
      <c r="B65" s="12"/>
      <c r="C65" s="12"/>
      <c r="D65" s="17"/>
      <c r="E65" s="17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>
      <c r="A66" s="12"/>
      <c r="B66" s="12"/>
      <c r="C66" s="12"/>
      <c r="D66" s="17"/>
      <c r="E66" s="17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>
      <c r="A67" s="12"/>
      <c r="B67" s="12"/>
      <c r="C67" s="12"/>
      <c r="D67" s="17"/>
      <c r="E67" s="17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>
      <c r="A68" s="12"/>
      <c r="B68" s="12"/>
      <c r="C68" s="12"/>
      <c r="D68" s="17"/>
      <c r="E68" s="17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>
      <c r="A69" s="12"/>
      <c r="B69" s="12"/>
      <c r="C69" s="12"/>
      <c r="D69" s="17"/>
      <c r="E69" s="17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>
      <c r="A70" s="12"/>
      <c r="B70" s="12"/>
      <c r="C70" s="12"/>
      <c r="D70" s="17"/>
      <c r="E70" s="17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>
      <c r="A71" s="12"/>
      <c r="B71" s="12"/>
      <c r="C71" s="12"/>
      <c r="D71" s="17"/>
      <c r="E71" s="17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>
      <c r="A72" s="12"/>
      <c r="B72" s="12"/>
      <c r="C72" s="12"/>
      <c r="D72" s="17"/>
      <c r="E72" s="17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>
      <c r="A73" s="12"/>
      <c r="B73" s="12"/>
      <c r="C73" s="12"/>
      <c r="D73" s="17"/>
      <c r="E73" s="17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>
      <c r="A74" s="12"/>
      <c r="B74" s="12"/>
      <c r="C74" s="12"/>
      <c r="D74" s="17"/>
      <c r="E74" s="17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>
      <c r="A75" s="12"/>
      <c r="B75" s="12"/>
      <c r="C75" s="12"/>
      <c r="D75" s="17"/>
      <c r="E75" s="17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>
      <c r="A76" s="12"/>
      <c r="B76" s="12"/>
      <c r="C76" s="12"/>
      <c r="D76" s="17"/>
      <c r="E76" s="17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>
      <c r="A77" s="12"/>
      <c r="B77" s="12"/>
      <c r="C77" s="12"/>
      <c r="D77" s="17"/>
      <c r="E77" s="17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>
      <c r="A78" s="12"/>
      <c r="B78" s="12"/>
      <c r="C78" s="12"/>
      <c r="D78" s="17"/>
      <c r="E78" s="17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>
      <c r="A79" s="12"/>
      <c r="B79" s="12"/>
      <c r="C79" s="12"/>
      <c r="D79" s="17"/>
      <c r="E79" s="17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>
      <c r="A80" s="12"/>
      <c r="B80" s="12"/>
      <c r="C80" s="12"/>
      <c r="D80" s="17"/>
      <c r="E80" s="17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>
      <c r="A81" s="12"/>
      <c r="B81" s="12"/>
      <c r="C81" s="12"/>
      <c r="D81" s="17"/>
      <c r="E81" s="17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>
      <c r="A82" s="12"/>
      <c r="B82" s="12"/>
      <c r="C82" s="12"/>
      <c r="D82" s="17"/>
      <c r="E82" s="17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>
      <c r="A83" s="12"/>
      <c r="B83" s="12"/>
      <c r="C83" s="12"/>
      <c r="D83" s="17"/>
      <c r="E83" s="17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>
      <c r="A84" s="12"/>
      <c r="B84" s="12"/>
      <c r="C84" s="12"/>
      <c r="D84" s="17"/>
      <c r="E84" s="17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>
      <c r="A85" s="12"/>
      <c r="B85" s="12"/>
      <c r="C85" s="12"/>
      <c r="D85" s="17"/>
      <c r="E85" s="17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>
      <c r="A86" s="12"/>
      <c r="B86" s="12"/>
      <c r="C86" s="12"/>
      <c r="D86" s="17"/>
      <c r="E86" s="17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>
      <c r="A87" s="12"/>
      <c r="B87" s="12"/>
      <c r="C87" s="12"/>
      <c r="D87" s="17"/>
      <c r="E87" s="17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>
      <c r="A88" s="12"/>
      <c r="B88" s="12"/>
      <c r="C88" s="12"/>
      <c r="D88" s="17"/>
      <c r="E88" s="17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>
      <c r="A89" s="12"/>
      <c r="B89" s="12"/>
      <c r="C89" s="12"/>
      <c r="D89" s="17"/>
      <c r="E89" s="17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>
      <c r="A90" s="12"/>
      <c r="B90" s="12"/>
      <c r="C90" s="12"/>
      <c r="D90" s="17"/>
      <c r="E90" s="17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>
      <c r="A91" s="12"/>
      <c r="B91" s="12"/>
      <c r="C91" s="12"/>
      <c r="D91" s="17"/>
      <c r="E91" s="17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>
      <c r="A92" s="12"/>
      <c r="B92" s="12"/>
      <c r="C92" s="12"/>
      <c r="D92" s="17"/>
      <c r="E92" s="17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>
      <c r="A93" s="12"/>
      <c r="B93" s="12"/>
      <c r="C93" s="12"/>
      <c r="D93" s="17"/>
      <c r="E93" s="17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>
      <c r="A94" s="12"/>
      <c r="B94" s="12"/>
      <c r="C94" s="12"/>
      <c r="D94" s="17"/>
      <c r="E94" s="17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>
      <c r="A95" s="12"/>
      <c r="B95" s="12"/>
      <c r="C95" s="12"/>
      <c r="D95" s="17"/>
      <c r="E95" s="17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>
      <c r="A96" s="12"/>
      <c r="B96" s="12"/>
      <c r="C96" s="12"/>
      <c r="D96" s="17"/>
      <c r="E96" s="17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>
      <c r="A97" s="12"/>
      <c r="B97" s="12"/>
      <c r="C97" s="12"/>
      <c r="D97" s="17"/>
      <c r="E97" s="17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>
      <c r="A98" s="12"/>
      <c r="B98" s="12"/>
      <c r="C98" s="12"/>
      <c r="D98" s="17"/>
      <c r="E98" s="17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>
      <c r="A99" s="12"/>
      <c r="B99" s="12"/>
      <c r="C99" s="12"/>
      <c r="D99" s="17"/>
      <c r="E99" s="17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>
      <c r="A100" s="12"/>
      <c r="B100" s="12"/>
      <c r="C100" s="12"/>
      <c r="D100" s="17"/>
      <c r="E100" s="17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>
      <c r="A101" s="12"/>
      <c r="B101" s="12"/>
      <c r="C101" s="12"/>
      <c r="D101" s="17"/>
      <c r="E101" s="17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>
      <c r="A102" s="12"/>
      <c r="B102" s="12"/>
      <c r="C102" s="12"/>
      <c r="D102" s="17"/>
      <c r="E102" s="17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>
      <c r="A103" s="12"/>
      <c r="B103" s="12"/>
      <c r="C103" s="12"/>
      <c r="D103" s="17"/>
      <c r="E103" s="17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>
      <c r="A104" s="12"/>
      <c r="B104" s="12"/>
      <c r="C104" s="12"/>
      <c r="D104" s="17"/>
      <c r="E104" s="17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>
      <c r="A105" s="12"/>
      <c r="B105" s="12"/>
      <c r="C105" s="12"/>
      <c r="D105" s="17"/>
      <c r="E105" s="17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>
      <c r="A106" s="12"/>
      <c r="B106" s="12"/>
      <c r="C106" s="12"/>
      <c r="D106" s="17"/>
      <c r="E106" s="17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>
      <c r="A107" s="12"/>
      <c r="B107" s="12"/>
      <c r="C107" s="12"/>
      <c r="D107" s="17"/>
      <c r="E107" s="17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>
      <c r="A108" s="12"/>
      <c r="B108" s="12"/>
      <c r="C108" s="12"/>
      <c r="D108" s="17"/>
      <c r="E108" s="17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>
      <c r="A109" s="12"/>
      <c r="B109" s="12"/>
      <c r="C109" s="12"/>
      <c r="D109" s="17"/>
      <c r="E109" s="17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>
      <c r="A110" s="12"/>
      <c r="B110" s="12"/>
      <c r="C110" s="12"/>
      <c r="D110" s="17"/>
      <c r="E110" s="17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>
      <c r="A111" s="12"/>
      <c r="B111" s="12"/>
      <c r="C111" s="12"/>
      <c r="D111" s="17"/>
      <c r="E111" s="17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>
      <c r="A112" s="12"/>
      <c r="B112" s="12"/>
      <c r="C112" s="12"/>
      <c r="D112" s="17"/>
      <c r="E112" s="17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>
      <c r="A113" s="12"/>
      <c r="B113" s="12"/>
      <c r="C113" s="12"/>
      <c r="D113" s="17"/>
      <c r="E113" s="17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>
      <c r="A114" s="12"/>
      <c r="B114" s="12"/>
      <c r="C114" s="12"/>
      <c r="D114" s="17"/>
      <c r="E114" s="17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>
      <c r="A115" s="12"/>
      <c r="B115" s="12"/>
      <c r="C115" s="12"/>
      <c r="D115" s="17"/>
      <c r="E115" s="17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>
      <c r="A116" s="12"/>
      <c r="B116" s="12"/>
      <c r="C116" s="12"/>
      <c r="D116" s="17"/>
      <c r="E116" s="17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>
      <c r="A117" s="12"/>
      <c r="B117" s="12"/>
      <c r="C117" s="12"/>
      <c r="D117" s="17"/>
      <c r="E117" s="17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>
      <c r="A118" s="12"/>
      <c r="B118" s="12"/>
      <c r="C118" s="12"/>
      <c r="D118" s="17"/>
      <c r="E118" s="17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>
      <c r="A119" s="12"/>
      <c r="B119" s="12"/>
      <c r="C119" s="12"/>
      <c r="D119" s="17"/>
      <c r="E119" s="17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>
      <c r="A120" s="12"/>
      <c r="B120" s="12"/>
      <c r="C120" s="12"/>
      <c r="D120" s="17"/>
      <c r="E120" s="17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>
      <c r="A121" s="12"/>
      <c r="B121" s="12"/>
      <c r="C121" s="12"/>
      <c r="D121" s="17"/>
      <c r="E121" s="17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>
      <c r="A122" s="12"/>
      <c r="B122" s="12"/>
      <c r="C122" s="12"/>
      <c r="D122" s="17"/>
      <c r="E122" s="17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>
      <c r="A123" s="12"/>
      <c r="B123" s="12"/>
      <c r="C123" s="12"/>
      <c r="D123" s="17"/>
      <c r="E123" s="17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>
      <c r="A124" s="12"/>
      <c r="B124" s="12"/>
      <c r="C124" s="12"/>
      <c r="D124" s="17"/>
      <c r="E124" s="17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>
      <c r="A125" s="12"/>
      <c r="B125" s="12"/>
      <c r="C125" s="12"/>
      <c r="D125" s="17"/>
      <c r="E125" s="17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>
      <c r="A126" s="12"/>
      <c r="B126" s="12"/>
      <c r="C126" s="12"/>
      <c r="D126" s="17"/>
      <c r="E126" s="17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>
      <c r="A127" s="12"/>
      <c r="B127" s="12"/>
      <c r="C127" s="12"/>
      <c r="D127" s="17"/>
      <c r="E127" s="17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>
      <c r="A128" s="12"/>
      <c r="B128" s="12"/>
      <c r="C128" s="12"/>
      <c r="D128" s="17"/>
      <c r="E128" s="17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>
      <c r="A129" s="12"/>
      <c r="B129" s="12"/>
      <c r="C129" s="12"/>
      <c r="D129" s="17"/>
      <c r="E129" s="17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>
      <c r="A130" s="12"/>
      <c r="B130" s="12"/>
      <c r="C130" s="12"/>
      <c r="D130" s="17"/>
      <c r="E130" s="17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>
      <c r="A131" s="12"/>
      <c r="B131" s="12"/>
      <c r="C131" s="12"/>
      <c r="D131" s="17"/>
      <c r="E131" s="17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>
      <c r="A132" s="12"/>
      <c r="B132" s="12"/>
      <c r="C132" s="12"/>
      <c r="D132" s="17"/>
      <c r="E132" s="17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>
      <c r="A133" s="12"/>
      <c r="B133" s="12"/>
      <c r="C133" s="12"/>
      <c r="D133" s="17"/>
      <c r="E133" s="17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>
      <c r="A134" s="12"/>
      <c r="B134" s="12"/>
      <c r="C134" s="12"/>
      <c r="D134" s="17"/>
      <c r="E134" s="17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>
      <c r="A135" s="12"/>
      <c r="B135" s="12"/>
      <c r="C135" s="12"/>
      <c r="D135" s="17"/>
      <c r="E135" s="17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>
      <c r="A136" s="12"/>
      <c r="B136" s="12"/>
      <c r="C136" s="12"/>
      <c r="D136" s="17"/>
      <c r="E136" s="17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>
      <c r="A137" s="12"/>
      <c r="B137" s="12"/>
      <c r="C137" s="12"/>
      <c r="D137" s="17"/>
      <c r="E137" s="17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>
      <c r="A138" s="12"/>
      <c r="B138" s="12"/>
      <c r="C138" s="12"/>
      <c r="D138" s="17"/>
      <c r="E138" s="17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>
      <c r="A139" s="12"/>
      <c r="B139" s="12"/>
      <c r="C139" s="12"/>
      <c r="D139" s="17"/>
      <c r="E139" s="17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>
      <c r="A140" s="12"/>
      <c r="B140" s="12"/>
      <c r="C140" s="12"/>
      <c r="D140" s="17"/>
      <c r="E140" s="17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>
      <c r="A141" s="12"/>
      <c r="B141" s="12"/>
      <c r="C141" s="12"/>
      <c r="D141" s="17"/>
      <c r="E141" s="17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>
      <c r="A142" s="12"/>
      <c r="B142" s="12"/>
      <c r="C142" s="12"/>
      <c r="D142" s="17"/>
      <c r="E142" s="17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>
      <c r="A143" s="12"/>
      <c r="B143" s="12"/>
      <c r="C143" s="12"/>
      <c r="D143" s="17"/>
      <c r="E143" s="17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>
      <c r="A144" s="12"/>
      <c r="B144" s="12"/>
      <c r="C144" s="12"/>
      <c r="D144" s="17"/>
      <c r="E144" s="17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>
      <c r="A145" s="12"/>
      <c r="B145" s="12"/>
      <c r="C145" s="12"/>
      <c r="D145" s="17"/>
      <c r="E145" s="17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>
      <c r="A146" s="12"/>
      <c r="B146" s="12"/>
      <c r="C146" s="12"/>
      <c r="D146" s="17"/>
      <c r="E146" s="17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>
      <c r="A147" s="12"/>
      <c r="B147" s="12"/>
      <c r="C147" s="12"/>
      <c r="D147" s="17"/>
      <c r="E147" s="17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>
      <c r="A148" s="12"/>
      <c r="B148" s="12"/>
      <c r="C148" s="12"/>
      <c r="D148" s="17"/>
      <c r="E148" s="17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>
      <c r="A149" s="12"/>
      <c r="B149" s="12"/>
      <c r="C149" s="12"/>
      <c r="D149" s="17"/>
      <c r="E149" s="17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>
      <c r="A150" s="12"/>
      <c r="B150" s="12"/>
      <c r="C150" s="12"/>
      <c r="D150" s="17"/>
      <c r="E150" s="17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>
      <c r="A151" s="12"/>
      <c r="B151" s="12"/>
      <c r="C151" s="12"/>
      <c r="D151" s="17"/>
      <c r="E151" s="17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>
      <c r="A152" s="12"/>
      <c r="B152" s="12"/>
      <c r="C152" s="12"/>
      <c r="D152" s="17"/>
      <c r="E152" s="17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>
      <c r="A153" s="12"/>
      <c r="B153" s="12"/>
      <c r="C153" s="12"/>
      <c r="D153" s="17"/>
      <c r="E153" s="17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>
      <c r="A154" s="12"/>
      <c r="B154" s="12"/>
      <c r="C154" s="12"/>
      <c r="D154" s="17"/>
      <c r="E154" s="17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>
      <c r="A155" s="12"/>
      <c r="B155" s="12"/>
      <c r="C155" s="12"/>
      <c r="D155" s="17"/>
      <c r="E155" s="17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>
      <c r="A156" s="12"/>
      <c r="B156" s="12"/>
      <c r="C156" s="12"/>
      <c r="D156" s="17"/>
      <c r="E156" s="17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>
      <c r="A157" s="12"/>
      <c r="B157" s="12"/>
      <c r="C157" s="12"/>
      <c r="D157" s="17"/>
      <c r="E157" s="17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>
      <c r="A158" s="12"/>
      <c r="B158" s="12"/>
      <c r="C158" s="12"/>
      <c r="D158" s="17"/>
      <c r="E158" s="17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>
      <c r="A159" s="12"/>
      <c r="B159" s="12"/>
      <c r="C159" s="12"/>
      <c r="D159" s="17"/>
      <c r="E159" s="17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>
      <c r="A160" s="12"/>
      <c r="B160" s="12"/>
      <c r="C160" s="12"/>
      <c r="D160" s="17"/>
      <c r="E160" s="17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>
      <c r="A161" s="12"/>
      <c r="B161" s="12"/>
      <c r="C161" s="12"/>
      <c r="D161" s="17"/>
      <c r="E161" s="17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>
      <c r="A162" s="12"/>
      <c r="B162" s="12"/>
      <c r="C162" s="12"/>
      <c r="D162" s="17"/>
      <c r="E162" s="17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>
      <c r="A163" s="12"/>
      <c r="B163" s="12"/>
      <c r="C163" s="12"/>
      <c r="D163" s="17"/>
      <c r="E163" s="17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>
      <c r="A164" s="12"/>
      <c r="B164" s="12"/>
      <c r="C164" s="12"/>
      <c r="D164" s="17"/>
      <c r="E164" s="17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>
      <c r="A165" s="12"/>
      <c r="B165" s="12"/>
      <c r="C165" s="12"/>
      <c r="D165" s="17"/>
      <c r="E165" s="17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>
      <c r="A166" s="12"/>
      <c r="B166" s="12"/>
      <c r="C166" s="12"/>
      <c r="D166" s="17"/>
      <c r="E166" s="17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>
      <c r="A167" s="12"/>
      <c r="B167" s="12"/>
      <c r="C167" s="12"/>
      <c r="D167" s="17"/>
      <c r="E167" s="17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>
      <c r="A168" s="12"/>
      <c r="B168" s="12"/>
      <c r="C168" s="12"/>
      <c r="D168" s="17"/>
      <c r="E168" s="17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>
      <c r="A169" s="12"/>
      <c r="B169" s="12"/>
      <c r="C169" s="12"/>
      <c r="D169" s="17"/>
      <c r="E169" s="17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>
      <c r="A170" s="12"/>
      <c r="B170" s="12"/>
      <c r="C170" s="12"/>
      <c r="D170" s="17"/>
      <c r="E170" s="17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>
      <c r="A171" s="12"/>
      <c r="B171" s="12"/>
      <c r="C171" s="12"/>
      <c r="D171" s="17"/>
      <c r="E171" s="17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>
      <c r="A172" s="12"/>
      <c r="B172" s="12"/>
      <c r="C172" s="12"/>
      <c r="D172" s="17"/>
      <c r="E172" s="17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>
      <c r="A173" s="12"/>
      <c r="B173" s="12"/>
      <c r="C173" s="12"/>
      <c r="D173" s="17"/>
      <c r="E173" s="17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>
      <c r="A174" s="12"/>
      <c r="B174" s="12"/>
      <c r="C174" s="12"/>
      <c r="D174" s="17"/>
      <c r="E174" s="17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>
      <c r="A175" s="12"/>
      <c r="B175" s="12"/>
      <c r="C175" s="12"/>
      <c r="D175" s="17"/>
      <c r="E175" s="17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>
      <c r="A176" s="12"/>
      <c r="B176" s="12"/>
      <c r="C176" s="12"/>
      <c r="D176" s="17"/>
      <c r="E176" s="17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>
      <c r="A177" s="12"/>
      <c r="B177" s="12"/>
      <c r="C177" s="12"/>
      <c r="D177" s="17"/>
      <c r="E177" s="17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>
      <c r="A178" s="12"/>
      <c r="B178" s="12"/>
      <c r="C178" s="12"/>
      <c r="D178" s="17"/>
      <c r="E178" s="17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>
      <c r="A179" s="12"/>
      <c r="B179" s="12"/>
      <c r="C179" s="12"/>
      <c r="D179" s="17"/>
      <c r="E179" s="17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>
      <c r="A180" s="12"/>
      <c r="B180" s="12"/>
      <c r="C180" s="12"/>
      <c r="D180" s="17"/>
      <c r="E180" s="17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>
      <c r="A181" s="12"/>
      <c r="B181" s="12"/>
      <c r="C181" s="12"/>
      <c r="D181" s="17"/>
      <c r="E181" s="17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>
      <c r="A182" s="12"/>
      <c r="B182" s="12"/>
      <c r="C182" s="12"/>
      <c r="D182" s="17"/>
      <c r="E182" s="17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>
      <c r="A183" s="12"/>
      <c r="B183" s="12"/>
      <c r="C183" s="12"/>
      <c r="D183" s="17"/>
      <c r="E183" s="17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>
      <c r="A184" s="12"/>
      <c r="B184" s="12"/>
      <c r="C184" s="12"/>
      <c r="D184" s="17"/>
      <c r="E184" s="17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>
      <c r="A185" s="12"/>
      <c r="B185" s="12"/>
      <c r="C185" s="12"/>
      <c r="D185" s="17"/>
      <c r="E185" s="17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>
      <c r="A186" s="12"/>
      <c r="B186" s="12"/>
      <c r="C186" s="12"/>
      <c r="D186" s="17"/>
      <c r="E186" s="17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>
      <c r="A187" s="12"/>
      <c r="B187" s="12"/>
      <c r="C187" s="12"/>
      <c r="D187" s="17"/>
      <c r="E187" s="17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>
      <c r="A188" s="12"/>
      <c r="B188" s="12"/>
      <c r="C188" s="12"/>
      <c r="D188" s="17"/>
      <c r="E188" s="17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>
      <c r="A189" s="12"/>
      <c r="B189" s="12"/>
      <c r="C189" s="12"/>
      <c r="D189" s="17"/>
      <c r="E189" s="17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>
      <c r="A190" s="12"/>
      <c r="B190" s="12"/>
      <c r="C190" s="12"/>
      <c r="D190" s="17"/>
      <c r="E190" s="17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>
      <c r="A191" s="12"/>
      <c r="B191" s="12"/>
      <c r="C191" s="12"/>
      <c r="D191" s="17"/>
      <c r="E191" s="17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>
      <c r="A192" s="12"/>
      <c r="B192" s="12"/>
      <c r="C192" s="12"/>
      <c r="D192" s="17"/>
      <c r="E192" s="17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>
      <c r="A193" s="12"/>
      <c r="B193" s="12"/>
      <c r="C193" s="12"/>
      <c r="D193" s="17"/>
      <c r="E193" s="17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>
      <c r="A194" s="12"/>
      <c r="B194" s="12"/>
      <c r="C194" s="12"/>
      <c r="D194" s="17"/>
      <c r="E194" s="17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>
      <c r="A195" s="12"/>
      <c r="B195" s="12"/>
      <c r="C195" s="12"/>
      <c r="D195" s="17"/>
      <c r="E195" s="17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>
      <c r="A196" s="12"/>
      <c r="B196" s="12"/>
      <c r="C196" s="12"/>
      <c r="D196" s="17"/>
      <c r="E196" s="17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>
      <c r="A197" s="12"/>
      <c r="B197" s="12"/>
      <c r="C197" s="12"/>
      <c r="D197" s="17"/>
      <c r="E197" s="17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>
      <c r="A198" s="12"/>
      <c r="B198" s="12"/>
      <c r="C198" s="12"/>
      <c r="D198" s="17"/>
      <c r="E198" s="17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>
      <c r="A199" s="12"/>
      <c r="B199" s="12"/>
      <c r="C199" s="12"/>
      <c r="D199" s="17"/>
      <c r="E199" s="17"/>
      <c r="F199" s="18"/>
      <c r="G199" s="12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2"/>
    </row>
    <row r="200" spans="1:28">
      <c r="A200" s="12"/>
      <c r="B200" s="12"/>
      <c r="C200" s="12"/>
      <c r="D200" s="17"/>
      <c r="E200" s="17"/>
      <c r="F200" s="18"/>
      <c r="G200" s="12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2"/>
    </row>
    <row r="201" spans="1:28">
      <c r="A201" s="18"/>
      <c r="B201" s="18"/>
      <c r="C201" s="18"/>
      <c r="D201" s="19"/>
      <c r="E201" s="19"/>
      <c r="F201" s="18"/>
      <c r="G201" s="12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2"/>
    </row>
    <row r="202" spans="1:28">
      <c r="A202" s="18"/>
      <c r="B202" s="18"/>
      <c r="C202" s="18"/>
      <c r="D202" s="19"/>
      <c r="E202" s="19"/>
      <c r="F202" s="18"/>
      <c r="G202" s="12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2"/>
    </row>
    <row r="203" spans="1:28">
      <c r="A203" s="18"/>
      <c r="B203" s="18"/>
      <c r="C203" s="18"/>
      <c r="D203" s="19"/>
      <c r="E203" s="19"/>
      <c r="F203" s="18"/>
      <c r="G203" s="12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2"/>
    </row>
    <row r="204" spans="1:28">
      <c r="A204" s="18"/>
      <c r="B204" s="18"/>
      <c r="C204" s="18"/>
      <c r="D204" s="19"/>
      <c r="E204" s="19"/>
      <c r="F204" s="18"/>
      <c r="G204" s="12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2"/>
    </row>
    <row r="205" spans="1:28">
      <c r="A205" s="18"/>
      <c r="B205" s="18"/>
      <c r="C205" s="18"/>
      <c r="D205" s="19"/>
      <c r="E205" s="19"/>
      <c r="F205" s="18"/>
      <c r="G205" s="12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2"/>
    </row>
    <row r="206" spans="1:28">
      <c r="A206" s="18"/>
      <c r="B206" s="18"/>
      <c r="C206" s="18"/>
      <c r="D206" s="19"/>
      <c r="E206" s="19"/>
      <c r="F206" s="18"/>
      <c r="G206" s="12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2"/>
    </row>
    <row r="207" spans="1:28">
      <c r="A207" s="18"/>
      <c r="B207" s="18"/>
      <c r="C207" s="18"/>
      <c r="D207" s="19"/>
      <c r="E207" s="19"/>
      <c r="F207" s="18"/>
      <c r="G207" s="12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2"/>
    </row>
    <row r="208" spans="1:28">
      <c r="A208" s="18"/>
      <c r="B208" s="18"/>
      <c r="C208" s="18"/>
      <c r="D208" s="19"/>
      <c r="E208" s="19"/>
      <c r="F208" s="18"/>
      <c r="G208" s="12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2"/>
    </row>
    <row r="209" spans="1:28">
      <c r="A209" s="18"/>
      <c r="B209" s="18"/>
      <c r="C209" s="18"/>
      <c r="D209" s="19"/>
      <c r="E209" s="19"/>
      <c r="F209" s="18"/>
      <c r="G209" s="12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2"/>
    </row>
    <row r="210" spans="1:28">
      <c r="A210" s="18"/>
      <c r="B210" s="18"/>
      <c r="C210" s="18"/>
      <c r="D210" s="19"/>
      <c r="E210" s="19"/>
      <c r="F210" s="18"/>
      <c r="G210" s="12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2"/>
    </row>
    <row r="211" spans="1:28">
      <c r="A211" s="18"/>
      <c r="B211" s="18"/>
      <c r="C211" s="18"/>
      <c r="D211" s="19"/>
      <c r="E211" s="19"/>
      <c r="F211" s="18"/>
      <c r="G211" s="12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2"/>
    </row>
    <row r="212" spans="1:28">
      <c r="A212" s="18"/>
      <c r="B212" s="18"/>
      <c r="C212" s="18"/>
      <c r="D212" s="19"/>
      <c r="E212" s="19"/>
      <c r="F212" s="18"/>
      <c r="G212" s="12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2"/>
    </row>
    <row r="213" spans="1:28">
      <c r="A213" s="18"/>
      <c r="B213" s="18"/>
      <c r="C213" s="18"/>
      <c r="D213" s="19"/>
      <c r="E213" s="19"/>
      <c r="F213" s="18"/>
      <c r="G213" s="12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2"/>
    </row>
    <row r="214" spans="1:28">
      <c r="A214" s="18"/>
      <c r="B214" s="18"/>
      <c r="C214" s="18"/>
      <c r="D214" s="19"/>
      <c r="E214" s="19"/>
      <c r="F214" s="18"/>
      <c r="G214" s="12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2"/>
    </row>
    <row r="215" spans="1:28">
      <c r="A215" s="18"/>
      <c r="B215" s="18"/>
      <c r="C215" s="18"/>
      <c r="D215" s="19"/>
      <c r="E215" s="19"/>
      <c r="F215" s="18"/>
      <c r="G215" s="12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2"/>
    </row>
    <row r="216" spans="1:28">
      <c r="A216" s="18"/>
      <c r="B216" s="18"/>
      <c r="C216" s="18"/>
      <c r="D216" s="19"/>
      <c r="E216" s="19"/>
      <c r="F216" s="18"/>
      <c r="G216" s="12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2"/>
    </row>
    <row r="217" spans="1:28">
      <c r="A217" s="18"/>
      <c r="B217" s="18"/>
      <c r="C217" s="18"/>
      <c r="D217" s="19"/>
      <c r="E217" s="19"/>
      <c r="F217" s="18"/>
      <c r="G217" s="12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2"/>
    </row>
    <row r="218" spans="1:28">
      <c r="A218" s="18"/>
      <c r="B218" s="18"/>
      <c r="C218" s="18"/>
      <c r="D218" s="19"/>
      <c r="E218" s="19"/>
      <c r="F218" s="18"/>
      <c r="G218" s="12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2"/>
    </row>
    <row r="219" spans="1:28">
      <c r="A219" s="18"/>
      <c r="B219" s="18"/>
      <c r="C219" s="18"/>
      <c r="D219" s="19"/>
      <c r="E219" s="19"/>
      <c r="F219" s="18"/>
      <c r="G219" s="12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2"/>
    </row>
    <row r="220" spans="1:28">
      <c r="A220" s="18"/>
      <c r="B220" s="18"/>
      <c r="C220" s="18"/>
      <c r="D220" s="19"/>
      <c r="E220" s="19"/>
      <c r="F220" s="18"/>
      <c r="G220" s="12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2"/>
    </row>
    <row r="221" spans="1:28">
      <c r="A221" s="18"/>
      <c r="B221" s="18"/>
      <c r="C221" s="18"/>
      <c r="D221" s="19"/>
      <c r="E221" s="19"/>
      <c r="F221" s="18"/>
      <c r="G221" s="12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2"/>
    </row>
    <row r="222" spans="1:28">
      <c r="A222" s="18"/>
      <c r="B222" s="18"/>
      <c r="C222" s="18"/>
      <c r="D222" s="19"/>
      <c r="E222" s="19"/>
      <c r="F222" s="18"/>
      <c r="G222" s="12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2"/>
    </row>
    <row r="223" spans="1:28">
      <c r="A223" s="18"/>
      <c r="B223" s="18"/>
      <c r="C223" s="18"/>
      <c r="D223" s="19"/>
      <c r="E223" s="19"/>
      <c r="F223" s="18"/>
      <c r="G223" s="12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2"/>
    </row>
    <row r="224" spans="1:28">
      <c r="A224" s="18"/>
      <c r="B224" s="18"/>
      <c r="C224" s="18"/>
      <c r="D224" s="19"/>
      <c r="E224" s="19"/>
      <c r="F224" s="18"/>
      <c r="G224" s="12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2"/>
    </row>
    <row r="225" spans="1:28">
      <c r="A225" s="18"/>
      <c r="B225" s="18"/>
      <c r="C225" s="18"/>
      <c r="D225" s="19"/>
      <c r="E225" s="19"/>
      <c r="F225" s="18"/>
      <c r="G225" s="12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2"/>
    </row>
    <row r="226" spans="1:28">
      <c r="A226" s="18"/>
      <c r="B226" s="18"/>
      <c r="C226" s="18"/>
      <c r="D226" s="19"/>
      <c r="E226" s="19"/>
      <c r="F226" s="18"/>
      <c r="G226" s="12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2"/>
    </row>
    <row r="227" spans="1:28">
      <c r="A227" s="18"/>
      <c r="B227" s="18"/>
      <c r="C227" s="18"/>
      <c r="D227" s="19"/>
      <c r="E227" s="19"/>
      <c r="F227" s="18"/>
      <c r="G227" s="12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2"/>
    </row>
    <row r="228" spans="1:28">
      <c r="A228" s="18"/>
      <c r="B228" s="18"/>
      <c r="C228" s="18"/>
      <c r="D228" s="19"/>
      <c r="E228" s="19"/>
      <c r="F228" s="18"/>
      <c r="G228" s="12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2"/>
    </row>
    <row r="229" spans="1:28">
      <c r="A229" s="18"/>
      <c r="B229" s="18"/>
      <c r="C229" s="18"/>
      <c r="D229" s="19"/>
      <c r="E229" s="19"/>
      <c r="F229" s="18"/>
      <c r="G229" s="12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2"/>
    </row>
    <row r="230" spans="1:28">
      <c r="A230" s="18"/>
      <c r="B230" s="18"/>
      <c r="C230" s="18"/>
      <c r="D230" s="19"/>
      <c r="E230" s="19"/>
      <c r="F230" s="18"/>
      <c r="G230" s="12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2"/>
    </row>
    <row r="231" spans="1:28">
      <c r="A231" s="18"/>
      <c r="B231" s="18"/>
      <c r="C231" s="18"/>
      <c r="D231" s="19"/>
      <c r="E231" s="19"/>
      <c r="F231" s="18"/>
      <c r="G231" s="12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2"/>
    </row>
    <row r="232" spans="1:28">
      <c r="A232" s="18"/>
      <c r="B232" s="18"/>
      <c r="C232" s="18"/>
      <c r="D232" s="19"/>
      <c r="E232" s="19"/>
      <c r="F232" s="18"/>
      <c r="G232" s="12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2"/>
    </row>
    <row r="233" spans="1:28">
      <c r="A233" s="18"/>
      <c r="B233" s="18"/>
      <c r="C233" s="18"/>
      <c r="D233" s="19"/>
      <c r="E233" s="19"/>
      <c r="F233" s="18"/>
      <c r="G233" s="12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2"/>
    </row>
    <row r="234" spans="1:28">
      <c r="A234" s="18"/>
      <c r="B234" s="18"/>
      <c r="C234" s="18"/>
      <c r="D234" s="19"/>
      <c r="E234" s="19"/>
      <c r="F234" s="18"/>
      <c r="G234" s="12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2"/>
    </row>
    <row r="235" spans="1:28">
      <c r="A235" s="18"/>
      <c r="B235" s="18"/>
      <c r="C235" s="18"/>
      <c r="D235" s="19"/>
      <c r="E235" s="19"/>
      <c r="F235" s="18"/>
      <c r="G235" s="12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2"/>
    </row>
    <row r="236" spans="1:28">
      <c r="A236" s="18"/>
      <c r="B236" s="18"/>
      <c r="C236" s="18"/>
      <c r="D236" s="19"/>
      <c r="E236" s="19"/>
      <c r="F236" s="18"/>
      <c r="G236" s="12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2"/>
    </row>
    <row r="237" spans="1:28">
      <c r="A237" s="18"/>
      <c r="B237" s="18"/>
      <c r="C237" s="18"/>
      <c r="D237" s="19"/>
      <c r="E237" s="19"/>
      <c r="F237" s="18"/>
      <c r="G237" s="12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2"/>
    </row>
    <row r="238" spans="1:28">
      <c r="A238" s="18"/>
      <c r="B238" s="18"/>
      <c r="C238" s="18"/>
      <c r="D238" s="19"/>
      <c r="E238" s="19"/>
      <c r="F238" s="18"/>
      <c r="G238" s="12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2"/>
    </row>
    <row r="239" spans="1:28">
      <c r="A239" s="18"/>
      <c r="B239" s="18"/>
      <c r="C239" s="18"/>
      <c r="D239" s="19"/>
      <c r="E239" s="19"/>
      <c r="F239" s="18"/>
      <c r="G239" s="12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2"/>
    </row>
    <row r="240" spans="1:28">
      <c r="A240" s="18"/>
      <c r="B240" s="18"/>
      <c r="C240" s="18"/>
      <c r="D240" s="19"/>
      <c r="E240" s="19"/>
      <c r="F240" s="18"/>
      <c r="G240" s="12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2"/>
    </row>
    <row r="241" spans="1:28">
      <c r="A241" s="18"/>
      <c r="B241" s="18"/>
      <c r="C241" s="18"/>
      <c r="D241" s="19"/>
      <c r="E241" s="19"/>
      <c r="F241" s="18"/>
      <c r="G241" s="12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2"/>
    </row>
    <row r="242" spans="1:28">
      <c r="A242" s="18"/>
      <c r="B242" s="18"/>
      <c r="C242" s="18"/>
      <c r="D242" s="19"/>
      <c r="E242" s="19"/>
      <c r="F242" s="18"/>
      <c r="G242" s="12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2"/>
    </row>
    <row r="243" spans="1:28">
      <c r="A243" s="18"/>
      <c r="B243" s="18"/>
      <c r="C243" s="18"/>
      <c r="D243" s="19"/>
      <c r="E243" s="19"/>
      <c r="F243" s="18"/>
      <c r="G243" s="12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2"/>
    </row>
    <row r="244" spans="1:28">
      <c r="A244" s="18"/>
      <c r="B244" s="18"/>
      <c r="C244" s="18"/>
      <c r="D244" s="19"/>
      <c r="E244" s="19"/>
      <c r="F244" s="18"/>
      <c r="G244" s="12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2"/>
    </row>
    <row r="245" spans="1:28">
      <c r="A245" s="18"/>
      <c r="B245" s="18"/>
      <c r="C245" s="18"/>
      <c r="D245" s="19"/>
      <c r="E245" s="19"/>
      <c r="F245" s="18"/>
      <c r="G245" s="12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2"/>
    </row>
    <row r="246" spans="1:28">
      <c r="A246" s="18"/>
      <c r="B246" s="18"/>
      <c r="C246" s="18"/>
      <c r="D246" s="19"/>
      <c r="E246" s="19"/>
      <c r="F246" s="18"/>
      <c r="G246" s="12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2"/>
    </row>
    <row r="247" spans="1:28">
      <c r="A247" s="18"/>
      <c r="B247" s="18"/>
      <c r="C247" s="18"/>
      <c r="D247" s="19"/>
      <c r="E247" s="19"/>
      <c r="F247" s="18"/>
      <c r="G247" s="12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2"/>
    </row>
    <row r="248" spans="1:28">
      <c r="A248" s="18"/>
      <c r="B248" s="18"/>
      <c r="C248" s="18"/>
      <c r="D248" s="19"/>
      <c r="E248" s="19"/>
      <c r="F248" s="18"/>
      <c r="G248" s="12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2"/>
    </row>
    <row r="249" spans="1:28">
      <c r="A249" s="18"/>
      <c r="B249" s="18"/>
      <c r="C249" s="18"/>
      <c r="D249" s="19"/>
      <c r="E249" s="19"/>
      <c r="F249" s="18"/>
      <c r="G249" s="12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2"/>
    </row>
    <row r="250" spans="1:28">
      <c r="A250" s="18"/>
      <c r="B250" s="18"/>
      <c r="C250" s="18"/>
      <c r="D250" s="19"/>
      <c r="E250" s="19"/>
      <c r="F250" s="18"/>
      <c r="G250" s="12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2"/>
    </row>
    <row r="251" spans="1:28">
      <c r="A251" s="18"/>
      <c r="B251" s="18"/>
      <c r="C251" s="18"/>
      <c r="D251" s="19"/>
      <c r="E251" s="19"/>
      <c r="F251" s="18"/>
      <c r="G251" s="12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2"/>
    </row>
    <row r="252" spans="1:28">
      <c r="A252" s="18"/>
      <c r="B252" s="18"/>
      <c r="C252" s="18"/>
      <c r="D252" s="19"/>
      <c r="E252" s="19"/>
      <c r="F252" s="18"/>
      <c r="G252" s="12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2"/>
    </row>
    <row r="253" spans="1:28">
      <c r="A253" s="18"/>
      <c r="B253" s="18"/>
      <c r="C253" s="18"/>
      <c r="D253" s="19"/>
      <c r="E253" s="19"/>
      <c r="F253" s="18"/>
      <c r="G253" s="12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2"/>
    </row>
    <row r="254" spans="1:28">
      <c r="A254" s="18"/>
      <c r="B254" s="18"/>
      <c r="C254" s="18"/>
      <c r="D254" s="19"/>
      <c r="E254" s="19"/>
      <c r="F254" s="18"/>
      <c r="G254" s="12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2"/>
    </row>
    <row r="255" spans="1:28">
      <c r="A255" s="18"/>
      <c r="B255" s="18"/>
      <c r="C255" s="18"/>
      <c r="D255" s="19"/>
      <c r="E255" s="19"/>
      <c r="F255" s="18"/>
      <c r="G255" s="12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2"/>
    </row>
    <row r="256" spans="1:28">
      <c r="A256" s="18"/>
      <c r="B256" s="18"/>
      <c r="C256" s="18"/>
      <c r="D256" s="19"/>
      <c r="E256" s="19"/>
      <c r="F256" s="18"/>
      <c r="G256" s="12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2"/>
    </row>
    <row r="257" spans="1:28">
      <c r="A257" s="18"/>
      <c r="B257" s="18"/>
      <c r="C257" s="18"/>
      <c r="D257" s="19"/>
      <c r="E257" s="19"/>
      <c r="F257" s="18"/>
      <c r="G257" s="12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2"/>
    </row>
    <row r="258" spans="1:28">
      <c r="A258" s="18"/>
      <c r="B258" s="18"/>
      <c r="C258" s="18"/>
      <c r="D258" s="19"/>
      <c r="E258" s="19"/>
      <c r="F258" s="18"/>
      <c r="G258" s="12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2"/>
    </row>
    <row r="259" spans="1:28">
      <c r="A259" s="18"/>
      <c r="B259" s="18"/>
      <c r="C259" s="18"/>
      <c r="D259" s="19"/>
      <c r="E259" s="19"/>
      <c r="F259" s="18"/>
      <c r="G259" s="12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2"/>
    </row>
    <row r="260" spans="1:28">
      <c r="A260" s="18"/>
      <c r="B260" s="18"/>
      <c r="C260" s="18"/>
      <c r="D260" s="19"/>
      <c r="E260" s="19"/>
      <c r="F260" s="18"/>
      <c r="G260" s="12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2"/>
    </row>
    <row r="261" spans="1:28">
      <c r="A261" s="18"/>
      <c r="B261" s="18"/>
      <c r="C261" s="18"/>
      <c r="D261" s="19"/>
      <c r="E261" s="19"/>
      <c r="F261" s="18"/>
      <c r="G261" s="12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2"/>
    </row>
    <row r="262" spans="1:28">
      <c r="A262" s="18"/>
      <c r="B262" s="18"/>
      <c r="C262" s="18"/>
      <c r="D262" s="19"/>
      <c r="E262" s="19"/>
      <c r="F262" s="18"/>
      <c r="G262" s="12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2"/>
    </row>
    <row r="263" spans="1:28">
      <c r="A263" s="18"/>
      <c r="B263" s="18"/>
      <c r="C263" s="18"/>
      <c r="D263" s="19"/>
      <c r="E263" s="19"/>
      <c r="F263" s="18"/>
      <c r="G263" s="12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2"/>
    </row>
    <row r="264" spans="1:28">
      <c r="A264" s="18"/>
      <c r="B264" s="18"/>
      <c r="C264" s="18"/>
      <c r="D264" s="19"/>
      <c r="E264" s="19"/>
      <c r="F264" s="18"/>
      <c r="G264" s="12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2"/>
    </row>
    <row r="265" spans="1:28">
      <c r="A265" s="18"/>
      <c r="B265" s="18"/>
      <c r="C265" s="18"/>
      <c r="D265" s="19"/>
      <c r="E265" s="19"/>
      <c r="F265" s="18"/>
      <c r="G265" s="12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2"/>
    </row>
    <row r="266" spans="1:28">
      <c r="A266" s="18"/>
      <c r="B266" s="18"/>
      <c r="C266" s="18"/>
      <c r="D266" s="19"/>
      <c r="E266" s="19"/>
      <c r="F266" s="18"/>
      <c r="G266" s="12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2"/>
    </row>
    <row r="267" spans="1:28">
      <c r="A267" s="18"/>
      <c r="B267" s="18"/>
      <c r="C267" s="18"/>
      <c r="D267" s="19"/>
      <c r="E267" s="19"/>
      <c r="F267" s="18"/>
      <c r="G267" s="12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2"/>
    </row>
    <row r="268" spans="1:28">
      <c r="A268" s="18"/>
      <c r="B268" s="18"/>
      <c r="C268" s="18"/>
      <c r="D268" s="19"/>
      <c r="E268" s="19"/>
      <c r="F268" s="18"/>
      <c r="G268" s="12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2"/>
    </row>
    <row r="269" spans="1:28">
      <c r="A269" s="18"/>
      <c r="B269" s="18"/>
      <c r="C269" s="18"/>
      <c r="D269" s="19"/>
      <c r="E269" s="19"/>
      <c r="F269" s="18"/>
      <c r="G269" s="12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2"/>
    </row>
    <row r="270" spans="1:28">
      <c r="A270" s="18"/>
      <c r="B270" s="18"/>
      <c r="C270" s="18"/>
      <c r="D270" s="19"/>
      <c r="E270" s="19"/>
      <c r="F270" s="18"/>
      <c r="G270" s="12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2"/>
    </row>
    <row r="271" spans="1:28">
      <c r="A271" s="18"/>
      <c r="B271" s="18"/>
      <c r="C271" s="18"/>
      <c r="D271" s="19"/>
      <c r="E271" s="19"/>
      <c r="F271" s="18"/>
      <c r="G271" s="12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2"/>
    </row>
    <row r="272" spans="1:28">
      <c r="A272" s="18"/>
      <c r="B272" s="18"/>
      <c r="C272" s="18"/>
      <c r="D272" s="19"/>
      <c r="E272" s="19"/>
      <c r="F272" s="18"/>
      <c r="G272" s="12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2"/>
    </row>
    <row r="273" spans="1:28">
      <c r="A273" s="18"/>
      <c r="B273" s="18"/>
      <c r="C273" s="18"/>
      <c r="D273" s="19"/>
      <c r="E273" s="19"/>
      <c r="F273" s="18"/>
      <c r="G273" s="12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2"/>
    </row>
    <row r="274" spans="1:28">
      <c r="A274" s="18"/>
      <c r="B274" s="18"/>
      <c r="C274" s="18"/>
      <c r="D274" s="19"/>
      <c r="E274" s="19"/>
      <c r="F274" s="18"/>
      <c r="G274" s="12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2"/>
    </row>
    <row r="275" spans="1:28">
      <c r="A275" s="18"/>
      <c r="B275" s="18"/>
      <c r="C275" s="18"/>
      <c r="D275" s="19"/>
      <c r="E275" s="19"/>
      <c r="F275" s="18"/>
      <c r="G275" s="12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2"/>
    </row>
    <row r="276" spans="1:28">
      <c r="A276" s="18"/>
      <c r="B276" s="18"/>
      <c r="C276" s="18"/>
      <c r="D276" s="19"/>
      <c r="E276" s="19"/>
      <c r="F276" s="18"/>
      <c r="G276" s="12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2"/>
    </row>
    <row r="277" spans="1:28">
      <c r="A277" s="18"/>
      <c r="B277" s="18"/>
      <c r="C277" s="18"/>
      <c r="D277" s="19"/>
      <c r="E277" s="19"/>
      <c r="F277" s="18"/>
      <c r="G277" s="12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2"/>
    </row>
    <row r="278" spans="1:28">
      <c r="A278" s="18"/>
      <c r="B278" s="18"/>
      <c r="C278" s="18"/>
      <c r="D278" s="19"/>
      <c r="E278" s="19"/>
      <c r="F278" s="18"/>
      <c r="G278" s="12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2"/>
    </row>
    <row r="279" spans="1:28">
      <c r="A279" s="18"/>
      <c r="B279" s="18"/>
      <c r="C279" s="18"/>
      <c r="D279" s="19"/>
      <c r="E279" s="19"/>
      <c r="F279" s="18"/>
      <c r="G279" s="12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2"/>
    </row>
    <row r="280" spans="1:28">
      <c r="A280" s="18"/>
      <c r="B280" s="18"/>
      <c r="C280" s="18"/>
      <c r="D280" s="19"/>
      <c r="E280" s="19"/>
      <c r="F280" s="18"/>
      <c r="G280" s="12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2"/>
    </row>
    <row r="281" spans="1:28">
      <c r="A281" s="18"/>
      <c r="B281" s="18"/>
      <c r="C281" s="18"/>
      <c r="D281" s="19"/>
      <c r="E281" s="19"/>
      <c r="F281" s="18"/>
      <c r="G281" s="12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2"/>
    </row>
    <row r="282" spans="1:28">
      <c r="A282" s="18"/>
      <c r="B282" s="18"/>
      <c r="C282" s="18"/>
      <c r="D282" s="19"/>
      <c r="E282" s="19"/>
      <c r="F282" s="18"/>
      <c r="G282" s="12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2"/>
    </row>
    <row r="283" spans="1:28">
      <c r="A283" s="18"/>
      <c r="B283" s="18"/>
      <c r="C283" s="18"/>
      <c r="D283" s="19"/>
      <c r="E283" s="19"/>
      <c r="F283" s="18"/>
      <c r="G283" s="12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2"/>
    </row>
    <row r="284" spans="1:28">
      <c r="A284" s="18"/>
      <c r="B284" s="18"/>
      <c r="C284" s="18"/>
      <c r="D284" s="19"/>
      <c r="E284" s="19"/>
      <c r="F284" s="18"/>
      <c r="G284" s="12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2"/>
    </row>
    <row r="285" spans="1:28">
      <c r="A285" s="18"/>
      <c r="B285" s="18"/>
      <c r="C285" s="18"/>
      <c r="D285" s="19"/>
      <c r="E285" s="19"/>
      <c r="F285" s="18"/>
      <c r="G285" s="12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2"/>
    </row>
    <row r="286" spans="1:28">
      <c r="A286" s="18"/>
      <c r="B286" s="18"/>
      <c r="C286" s="18"/>
      <c r="D286" s="19"/>
      <c r="E286" s="19"/>
      <c r="F286" s="18"/>
      <c r="G286" s="12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2"/>
    </row>
    <row r="287" spans="1:28">
      <c r="A287" s="18"/>
      <c r="B287" s="18"/>
      <c r="C287" s="18"/>
      <c r="D287" s="19"/>
      <c r="E287" s="19"/>
      <c r="F287" s="18"/>
      <c r="G287" s="12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2"/>
    </row>
    <row r="288" spans="1:28">
      <c r="A288" s="18"/>
      <c r="B288" s="18"/>
      <c r="C288" s="18"/>
      <c r="D288" s="19"/>
      <c r="E288" s="19"/>
      <c r="F288" s="18"/>
      <c r="G288" s="12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2"/>
    </row>
    <row r="289" spans="1:28">
      <c r="A289" s="18"/>
      <c r="B289" s="18"/>
      <c r="C289" s="18"/>
      <c r="D289" s="19"/>
      <c r="E289" s="19"/>
      <c r="F289" s="18"/>
      <c r="G289" s="12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2"/>
    </row>
    <row r="290" spans="1:28">
      <c r="A290" s="18"/>
      <c r="B290" s="18"/>
      <c r="C290" s="18"/>
      <c r="D290" s="19"/>
      <c r="E290" s="19"/>
      <c r="F290" s="18"/>
      <c r="G290" s="12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2"/>
    </row>
    <row r="291" spans="1:28">
      <c r="A291" s="18"/>
      <c r="B291" s="18"/>
      <c r="C291" s="18"/>
      <c r="D291" s="19"/>
      <c r="E291" s="19"/>
      <c r="F291" s="18"/>
      <c r="G291" s="12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2"/>
    </row>
    <row r="292" spans="1:28">
      <c r="A292" s="18"/>
      <c r="B292" s="18"/>
      <c r="C292" s="18"/>
      <c r="D292" s="19"/>
      <c r="E292" s="19"/>
      <c r="F292" s="18"/>
      <c r="G292" s="12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2"/>
    </row>
    <row r="293" spans="1:28">
      <c r="A293" s="18"/>
      <c r="B293" s="18"/>
      <c r="C293" s="18"/>
      <c r="D293" s="19"/>
      <c r="E293" s="19"/>
      <c r="F293" s="18"/>
      <c r="G293" s="12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2"/>
    </row>
    <row r="294" spans="1:28">
      <c r="A294" s="18"/>
      <c r="B294" s="18"/>
      <c r="C294" s="18"/>
      <c r="D294" s="19"/>
      <c r="E294" s="19"/>
      <c r="F294" s="18"/>
      <c r="G294" s="12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2"/>
    </row>
    <row r="295" spans="1:28">
      <c r="A295" s="18"/>
      <c r="B295" s="18"/>
      <c r="C295" s="18"/>
      <c r="D295" s="19"/>
      <c r="E295" s="19"/>
      <c r="F295" s="18"/>
      <c r="G295" s="12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2"/>
    </row>
    <row r="296" spans="1:28">
      <c r="A296" s="18"/>
      <c r="B296" s="18"/>
      <c r="C296" s="18"/>
      <c r="D296" s="19"/>
      <c r="E296" s="19"/>
      <c r="F296" s="18"/>
      <c r="G296" s="12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2"/>
    </row>
    <row r="297" spans="1:28">
      <c r="A297" s="18"/>
      <c r="B297" s="18"/>
      <c r="C297" s="18"/>
      <c r="D297" s="19"/>
      <c r="E297" s="19"/>
      <c r="F297" s="18"/>
      <c r="G297" s="12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2"/>
    </row>
    <row r="298" spans="1:28">
      <c r="A298" s="18"/>
      <c r="B298" s="18"/>
      <c r="C298" s="18"/>
      <c r="D298" s="19"/>
      <c r="E298" s="19"/>
      <c r="F298" s="18"/>
      <c r="G298" s="12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2"/>
    </row>
    <row r="299" spans="1:28">
      <c r="A299" s="18"/>
      <c r="B299" s="18"/>
      <c r="C299" s="18"/>
      <c r="D299" s="19"/>
      <c r="E299" s="19"/>
      <c r="F299" s="18"/>
      <c r="G299" s="12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2"/>
    </row>
    <row r="300" spans="1:28">
      <c r="A300" s="18"/>
      <c r="B300" s="18"/>
      <c r="C300" s="18"/>
      <c r="D300" s="19"/>
      <c r="E300" s="19"/>
      <c r="F300" s="18"/>
      <c r="G300" s="12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2"/>
    </row>
    <row r="301" spans="1:28">
      <c r="A301" s="18"/>
      <c r="B301" s="18"/>
      <c r="C301" s="18"/>
      <c r="D301" s="19"/>
      <c r="E301" s="19"/>
      <c r="F301" s="18"/>
      <c r="G301" s="12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2"/>
    </row>
    <row r="302" spans="1:28">
      <c r="A302" s="18"/>
      <c r="B302" s="18"/>
      <c r="C302" s="18"/>
      <c r="D302" s="19"/>
      <c r="E302" s="19"/>
      <c r="F302" s="18"/>
      <c r="G302" s="12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2"/>
    </row>
    <row r="303" spans="1:28">
      <c r="A303" s="18"/>
      <c r="B303" s="18"/>
      <c r="C303" s="18"/>
      <c r="D303" s="19"/>
      <c r="E303" s="19"/>
      <c r="F303" s="18"/>
      <c r="G303" s="12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2"/>
    </row>
    <row r="304" spans="1:28">
      <c r="A304" s="18"/>
      <c r="B304" s="18"/>
      <c r="C304" s="18"/>
      <c r="D304" s="19"/>
      <c r="E304" s="19"/>
      <c r="F304" s="18"/>
      <c r="G304" s="12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2"/>
    </row>
    <row r="305" spans="1:28">
      <c r="A305" s="18"/>
      <c r="B305" s="18"/>
      <c r="C305" s="18"/>
      <c r="D305" s="19"/>
      <c r="E305" s="19"/>
      <c r="F305" s="18"/>
      <c r="G305" s="12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2"/>
    </row>
    <row r="306" spans="1:28">
      <c r="A306" s="18"/>
      <c r="B306" s="18"/>
      <c r="C306" s="18"/>
      <c r="D306" s="19"/>
      <c r="E306" s="19"/>
      <c r="F306" s="18"/>
      <c r="G306" s="12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2"/>
    </row>
    <row r="307" spans="1:28">
      <c r="A307" s="18"/>
      <c r="B307" s="18"/>
      <c r="C307" s="18"/>
      <c r="D307" s="19"/>
      <c r="E307" s="19"/>
      <c r="F307" s="18"/>
      <c r="G307" s="12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2"/>
    </row>
    <row r="308" spans="1:28">
      <c r="A308" s="18"/>
      <c r="B308" s="18"/>
      <c r="C308" s="18"/>
      <c r="D308" s="19"/>
      <c r="E308" s="19"/>
      <c r="F308" s="18"/>
      <c r="G308" s="12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2"/>
    </row>
    <row r="309" spans="1:28">
      <c r="A309" s="18"/>
      <c r="B309" s="18"/>
      <c r="C309" s="18"/>
      <c r="D309" s="19"/>
      <c r="E309" s="19"/>
      <c r="F309" s="18"/>
      <c r="G309" s="12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2"/>
    </row>
    <row r="310" spans="1:28">
      <c r="A310" s="18"/>
      <c r="B310" s="18"/>
      <c r="C310" s="18"/>
      <c r="D310" s="19"/>
      <c r="E310" s="19"/>
      <c r="F310" s="18"/>
      <c r="G310" s="12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2"/>
    </row>
    <row r="311" spans="1:28">
      <c r="A311" s="18"/>
      <c r="B311" s="18"/>
      <c r="C311" s="18"/>
      <c r="D311" s="19"/>
      <c r="E311" s="19"/>
      <c r="F311" s="18"/>
      <c r="G311" s="12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2"/>
    </row>
    <row r="312" spans="1:28">
      <c r="A312" s="18"/>
      <c r="B312" s="18"/>
      <c r="C312" s="18"/>
      <c r="D312" s="19"/>
      <c r="E312" s="19"/>
      <c r="F312" s="18"/>
      <c r="G312" s="12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2"/>
    </row>
    <row r="313" spans="1:28">
      <c r="A313" s="18"/>
      <c r="B313" s="18"/>
      <c r="C313" s="18"/>
      <c r="D313" s="19"/>
      <c r="E313" s="19"/>
      <c r="F313" s="18"/>
      <c r="G313" s="12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2"/>
    </row>
    <row r="314" spans="1:28">
      <c r="A314" s="18"/>
      <c r="B314" s="18"/>
      <c r="C314" s="18"/>
      <c r="D314" s="19"/>
      <c r="E314" s="19"/>
      <c r="F314" s="18"/>
      <c r="G314" s="12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2"/>
    </row>
    <row r="315" spans="1:28">
      <c r="A315" s="18"/>
      <c r="B315" s="18"/>
      <c r="C315" s="18"/>
      <c r="D315" s="19"/>
      <c r="E315" s="19"/>
      <c r="F315" s="18"/>
      <c r="G315" s="12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2"/>
    </row>
    <row r="316" spans="1:28">
      <c r="A316" s="18"/>
      <c r="B316" s="18"/>
      <c r="C316" s="18"/>
      <c r="D316" s="19"/>
      <c r="E316" s="19"/>
      <c r="F316" s="18"/>
      <c r="G316" s="12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2"/>
    </row>
    <row r="317" spans="1:28">
      <c r="A317" s="18"/>
      <c r="B317" s="18"/>
      <c r="C317" s="18"/>
      <c r="D317" s="19"/>
      <c r="E317" s="19"/>
      <c r="F317" s="18"/>
      <c r="G317" s="12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2"/>
    </row>
    <row r="318" spans="1:28">
      <c r="A318" s="18"/>
      <c r="B318" s="18"/>
      <c r="C318" s="18"/>
      <c r="D318" s="19"/>
      <c r="E318" s="19"/>
      <c r="F318" s="18"/>
      <c r="G318" s="12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2"/>
    </row>
    <row r="319" spans="1:28">
      <c r="A319" s="18"/>
      <c r="B319" s="18"/>
      <c r="C319" s="18"/>
      <c r="D319" s="19"/>
      <c r="E319" s="19"/>
      <c r="F319" s="18"/>
      <c r="G319" s="12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2"/>
    </row>
    <row r="320" spans="1:28">
      <c r="A320" s="18"/>
      <c r="B320" s="18"/>
      <c r="C320" s="18"/>
      <c r="D320" s="19"/>
      <c r="E320" s="19"/>
      <c r="F320" s="18"/>
      <c r="G320" s="12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2"/>
    </row>
    <row r="321" spans="1:28">
      <c r="A321" s="18"/>
      <c r="B321" s="18"/>
      <c r="C321" s="18"/>
      <c r="D321" s="19"/>
      <c r="E321" s="19"/>
      <c r="F321" s="18"/>
      <c r="G321" s="12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2"/>
    </row>
    <row r="322" spans="1:28">
      <c r="A322" s="18"/>
      <c r="B322" s="18"/>
      <c r="C322" s="18"/>
      <c r="D322" s="19"/>
      <c r="E322" s="19"/>
      <c r="F322" s="18"/>
      <c r="G322" s="12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2"/>
    </row>
    <row r="323" spans="1:28">
      <c r="A323" s="18"/>
      <c r="B323" s="18"/>
      <c r="C323" s="18"/>
      <c r="D323" s="19"/>
      <c r="E323" s="19"/>
      <c r="F323" s="18"/>
      <c r="G323" s="12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2"/>
    </row>
    <row r="324" spans="1:28">
      <c r="A324" s="18"/>
      <c r="B324" s="18"/>
      <c r="C324" s="18"/>
      <c r="D324" s="19"/>
      <c r="E324" s="19"/>
      <c r="F324" s="18"/>
      <c r="G324" s="12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2"/>
    </row>
    <row r="325" spans="1:28">
      <c r="A325" s="18"/>
      <c r="B325" s="18"/>
      <c r="C325" s="18"/>
      <c r="D325" s="19"/>
      <c r="E325" s="19"/>
      <c r="F325" s="18"/>
      <c r="G325" s="12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2"/>
    </row>
    <row r="326" spans="1:28">
      <c r="A326" s="18"/>
      <c r="B326" s="18"/>
      <c r="C326" s="18"/>
      <c r="D326" s="19"/>
      <c r="E326" s="19"/>
      <c r="F326" s="18"/>
      <c r="G326" s="12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2"/>
    </row>
    <row r="327" spans="1:28">
      <c r="A327" s="18"/>
      <c r="B327" s="18"/>
      <c r="C327" s="18"/>
      <c r="D327" s="19"/>
      <c r="E327" s="19"/>
      <c r="F327" s="18"/>
      <c r="G327" s="12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2"/>
    </row>
    <row r="328" spans="1:28">
      <c r="A328" s="18"/>
      <c r="B328" s="18"/>
      <c r="C328" s="18"/>
      <c r="D328" s="19"/>
      <c r="E328" s="19"/>
      <c r="F328" s="18"/>
      <c r="G328" s="12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2"/>
    </row>
    <row r="329" spans="1:28">
      <c r="A329" s="18"/>
      <c r="B329" s="18"/>
      <c r="C329" s="18"/>
      <c r="D329" s="19"/>
      <c r="E329" s="19"/>
      <c r="F329" s="18"/>
      <c r="G329" s="12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2"/>
    </row>
    <row r="330" spans="1:28">
      <c r="A330" s="18"/>
      <c r="B330" s="18"/>
      <c r="C330" s="18"/>
      <c r="D330" s="19"/>
      <c r="E330" s="19"/>
      <c r="F330" s="18"/>
      <c r="G330" s="12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2"/>
    </row>
    <row r="331" spans="1:28">
      <c r="A331" s="18"/>
      <c r="B331" s="18"/>
      <c r="C331" s="18"/>
      <c r="D331" s="19"/>
      <c r="E331" s="19"/>
      <c r="F331" s="18"/>
      <c r="G331" s="12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2"/>
    </row>
    <row r="332" spans="1:28">
      <c r="A332" s="18"/>
      <c r="B332" s="18"/>
      <c r="C332" s="18"/>
      <c r="D332" s="19"/>
      <c r="E332" s="19"/>
      <c r="F332" s="18"/>
      <c r="G332" s="12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2"/>
    </row>
    <row r="333" spans="1:28">
      <c r="A333" s="18"/>
      <c r="B333" s="18"/>
      <c r="C333" s="18"/>
      <c r="D333" s="19"/>
      <c r="E333" s="19"/>
      <c r="F333" s="18"/>
      <c r="G333" s="12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2"/>
    </row>
    <row r="334" spans="1:28">
      <c r="A334" s="18"/>
      <c r="B334" s="18"/>
      <c r="C334" s="18"/>
      <c r="D334" s="19"/>
      <c r="E334" s="19"/>
      <c r="F334" s="18"/>
      <c r="G334" s="12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2"/>
    </row>
    <row r="335" spans="1:28">
      <c r="A335" s="18"/>
      <c r="B335" s="18"/>
      <c r="C335" s="18"/>
      <c r="D335" s="19"/>
      <c r="E335" s="19"/>
      <c r="F335" s="18"/>
      <c r="G335" s="12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2"/>
    </row>
    <row r="336" spans="1:28">
      <c r="A336" s="18"/>
      <c r="B336" s="18"/>
      <c r="C336" s="18"/>
      <c r="D336" s="19"/>
      <c r="E336" s="19"/>
      <c r="F336" s="18"/>
      <c r="G336" s="12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2"/>
    </row>
    <row r="337" spans="1:28">
      <c r="A337" s="18"/>
      <c r="B337" s="18"/>
      <c r="C337" s="18"/>
      <c r="D337" s="19"/>
      <c r="E337" s="19"/>
      <c r="F337" s="18"/>
      <c r="G337" s="12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2"/>
    </row>
    <row r="338" spans="1:28">
      <c r="A338" s="18"/>
      <c r="B338" s="18"/>
      <c r="C338" s="18"/>
      <c r="D338" s="19"/>
      <c r="E338" s="19"/>
      <c r="F338" s="18"/>
      <c r="G338" s="12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2"/>
    </row>
    <row r="339" spans="1:28">
      <c r="A339" s="18"/>
      <c r="B339" s="18"/>
      <c r="C339" s="18"/>
      <c r="D339" s="19"/>
      <c r="E339" s="19"/>
      <c r="F339" s="18"/>
      <c r="G339" s="12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2"/>
    </row>
    <row r="340" spans="1:28">
      <c r="A340" s="18"/>
      <c r="B340" s="18"/>
      <c r="C340" s="18"/>
      <c r="D340" s="19"/>
      <c r="E340" s="19"/>
      <c r="F340" s="18"/>
      <c r="G340" s="12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2"/>
    </row>
    <row r="341" spans="1:28">
      <c r="A341" s="18"/>
      <c r="B341" s="18"/>
      <c r="C341" s="18"/>
      <c r="D341" s="19"/>
      <c r="E341" s="19"/>
      <c r="F341" s="18"/>
      <c r="G341" s="12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2"/>
    </row>
    <row r="342" spans="1:28">
      <c r="A342" s="18"/>
      <c r="B342" s="18"/>
      <c r="C342" s="18"/>
      <c r="D342" s="19"/>
      <c r="E342" s="19"/>
      <c r="F342" s="18"/>
      <c r="G342" s="12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2"/>
    </row>
    <row r="343" spans="1:28">
      <c r="A343" s="18"/>
      <c r="B343" s="18"/>
      <c r="C343" s="18"/>
      <c r="D343" s="19"/>
      <c r="E343" s="19"/>
      <c r="F343" s="18"/>
      <c r="G343" s="12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2"/>
    </row>
    <row r="344" spans="1:28">
      <c r="A344" s="18"/>
      <c r="B344" s="18"/>
      <c r="C344" s="18"/>
      <c r="D344" s="19"/>
      <c r="E344" s="19"/>
      <c r="F344" s="18"/>
      <c r="G344" s="12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2"/>
    </row>
    <row r="345" spans="1:28">
      <c r="A345" s="18"/>
      <c r="B345" s="18"/>
      <c r="C345" s="18"/>
      <c r="D345" s="19"/>
      <c r="E345" s="19"/>
      <c r="F345" s="18"/>
      <c r="G345" s="12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2"/>
    </row>
    <row r="346" spans="1:28">
      <c r="A346" s="18"/>
      <c r="B346" s="18"/>
      <c r="C346" s="18"/>
      <c r="D346" s="19"/>
      <c r="E346" s="19"/>
      <c r="F346" s="18"/>
      <c r="G346" s="12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2"/>
    </row>
    <row r="347" spans="1:28">
      <c r="A347" s="18"/>
      <c r="B347" s="18"/>
      <c r="C347" s="18"/>
      <c r="D347" s="19"/>
      <c r="E347" s="19"/>
      <c r="F347" s="18"/>
      <c r="G347" s="12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2"/>
    </row>
    <row r="348" spans="1:28">
      <c r="A348" s="18"/>
      <c r="B348" s="18"/>
      <c r="C348" s="18"/>
      <c r="D348" s="19"/>
      <c r="E348" s="19"/>
      <c r="F348" s="18"/>
      <c r="G348" s="12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2"/>
    </row>
    <row r="349" spans="1:28">
      <c r="A349" s="18"/>
      <c r="B349" s="18"/>
      <c r="C349" s="18"/>
      <c r="D349" s="19"/>
      <c r="E349" s="19"/>
      <c r="F349" s="18"/>
      <c r="G349" s="12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2"/>
    </row>
    <row r="350" spans="1:28">
      <c r="A350" s="18"/>
      <c r="B350" s="18"/>
      <c r="C350" s="18"/>
      <c r="D350" s="19"/>
      <c r="E350" s="19"/>
      <c r="F350" s="18"/>
      <c r="G350" s="12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2"/>
    </row>
    <row r="351" spans="1:28">
      <c r="A351" s="18"/>
      <c r="B351" s="18"/>
      <c r="C351" s="18"/>
      <c r="D351" s="19"/>
      <c r="E351" s="19"/>
      <c r="F351" s="18"/>
      <c r="G351" s="12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2"/>
    </row>
    <row r="352" spans="1:28">
      <c r="A352" s="18"/>
      <c r="B352" s="18"/>
      <c r="C352" s="18"/>
      <c r="D352" s="19"/>
      <c r="E352" s="19"/>
      <c r="F352" s="18"/>
      <c r="G352" s="12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2"/>
    </row>
    <row r="353" spans="1:28">
      <c r="A353" s="18"/>
      <c r="B353" s="18"/>
      <c r="C353" s="18"/>
      <c r="D353" s="19"/>
      <c r="E353" s="19"/>
      <c r="F353" s="18"/>
      <c r="G353" s="12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2"/>
    </row>
    <row r="354" spans="1:28">
      <c r="A354" s="18"/>
      <c r="B354" s="18"/>
      <c r="C354" s="18"/>
      <c r="D354" s="19"/>
      <c r="E354" s="19"/>
      <c r="F354" s="18"/>
      <c r="G354" s="12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2"/>
    </row>
    <row r="355" spans="1:28">
      <c r="A355" s="18"/>
      <c r="B355" s="18"/>
      <c r="C355" s="18"/>
      <c r="D355" s="19"/>
      <c r="E355" s="19"/>
      <c r="F355" s="18"/>
      <c r="G355" s="12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2"/>
    </row>
    <row r="356" spans="1:28">
      <c r="A356" s="18"/>
      <c r="B356" s="18"/>
      <c r="C356" s="18"/>
      <c r="D356" s="19"/>
      <c r="E356" s="19"/>
      <c r="F356" s="18"/>
      <c r="G356" s="12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2"/>
    </row>
    <row r="357" spans="1:28">
      <c r="A357" s="18"/>
      <c r="B357" s="18"/>
      <c r="C357" s="18"/>
      <c r="D357" s="19"/>
      <c r="E357" s="19"/>
      <c r="F357" s="18"/>
      <c r="G357" s="12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2"/>
    </row>
    <row r="358" spans="1:28">
      <c r="A358" s="18"/>
      <c r="B358" s="18"/>
      <c r="C358" s="18"/>
      <c r="D358" s="19"/>
      <c r="E358" s="19"/>
      <c r="F358" s="18"/>
      <c r="G358" s="12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2"/>
    </row>
    <row r="359" spans="1:28">
      <c r="A359" s="18"/>
      <c r="B359" s="18"/>
      <c r="C359" s="18"/>
      <c r="D359" s="19"/>
      <c r="E359" s="19"/>
      <c r="F359" s="18"/>
      <c r="G359" s="12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2"/>
    </row>
    <row r="360" spans="1:28">
      <c r="A360" s="18"/>
      <c r="B360" s="18"/>
      <c r="C360" s="18"/>
      <c r="D360" s="19"/>
      <c r="E360" s="19"/>
      <c r="F360" s="18"/>
      <c r="G360" s="12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2"/>
    </row>
    <row r="361" spans="1:28">
      <c r="A361" s="18"/>
      <c r="B361" s="18"/>
      <c r="C361" s="18"/>
      <c r="D361" s="19"/>
      <c r="E361" s="19"/>
      <c r="F361" s="18"/>
      <c r="G361" s="12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2"/>
    </row>
    <row r="362" spans="1:28">
      <c r="A362" s="18"/>
      <c r="B362" s="18"/>
      <c r="C362" s="18"/>
      <c r="D362" s="19"/>
      <c r="E362" s="19"/>
      <c r="F362" s="18"/>
      <c r="G362" s="12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2"/>
    </row>
    <row r="363" spans="1:28">
      <c r="A363" s="18"/>
      <c r="B363" s="18"/>
      <c r="C363" s="18"/>
      <c r="D363" s="19"/>
      <c r="E363" s="19"/>
      <c r="F363" s="18"/>
      <c r="G363" s="12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2"/>
    </row>
    <row r="364" spans="1:28">
      <c r="A364" s="18"/>
      <c r="B364" s="18"/>
      <c r="C364" s="18"/>
      <c r="D364" s="19"/>
      <c r="E364" s="19"/>
      <c r="F364" s="18"/>
      <c r="G364" s="12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2"/>
    </row>
    <row r="365" spans="1:28">
      <c r="A365" s="18"/>
      <c r="B365" s="18"/>
      <c r="C365" s="18"/>
      <c r="D365" s="19"/>
      <c r="E365" s="19"/>
      <c r="F365" s="18"/>
      <c r="G365" s="12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2"/>
    </row>
    <row r="366" spans="1:28">
      <c r="A366" s="18"/>
      <c r="B366" s="18"/>
      <c r="C366" s="18"/>
      <c r="D366" s="19"/>
      <c r="E366" s="19"/>
      <c r="F366" s="18"/>
      <c r="G366" s="12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2"/>
    </row>
    <row r="367" spans="1:28">
      <c r="A367" s="18"/>
      <c r="B367" s="18"/>
      <c r="C367" s="18"/>
      <c r="D367" s="19"/>
      <c r="E367" s="19"/>
      <c r="F367" s="18"/>
      <c r="G367" s="12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2"/>
    </row>
    <row r="368" spans="1:28">
      <c r="A368" s="18"/>
      <c r="B368" s="18"/>
      <c r="C368" s="18"/>
      <c r="D368" s="19"/>
      <c r="E368" s="19"/>
      <c r="F368" s="18"/>
      <c r="G368" s="12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2"/>
    </row>
    <row r="369" spans="1:28">
      <c r="A369" s="18"/>
      <c r="B369" s="18"/>
      <c r="C369" s="18"/>
      <c r="D369" s="19"/>
      <c r="E369" s="19"/>
      <c r="F369" s="18"/>
      <c r="G369" s="12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2"/>
    </row>
    <row r="370" spans="1:28">
      <c r="A370" s="18"/>
      <c r="B370" s="18"/>
      <c r="C370" s="18"/>
      <c r="D370" s="19"/>
      <c r="E370" s="19"/>
      <c r="F370" s="18"/>
      <c r="G370" s="12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2"/>
    </row>
    <row r="371" spans="1:28">
      <c r="A371" s="18"/>
      <c r="B371" s="18"/>
      <c r="C371" s="18"/>
      <c r="D371" s="19"/>
      <c r="E371" s="19"/>
      <c r="F371" s="18"/>
      <c r="G371" s="12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2"/>
    </row>
    <row r="372" spans="1:28">
      <c r="A372" s="18"/>
      <c r="B372" s="18"/>
      <c r="C372" s="18"/>
      <c r="D372" s="19"/>
      <c r="E372" s="19"/>
      <c r="F372" s="18"/>
      <c r="G372" s="12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2"/>
    </row>
    <row r="373" spans="1:28">
      <c r="A373" s="18"/>
      <c r="B373" s="18"/>
      <c r="C373" s="18"/>
      <c r="D373" s="19"/>
      <c r="E373" s="19"/>
      <c r="F373" s="18"/>
      <c r="G373" s="12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2"/>
    </row>
    <row r="374" spans="1:28">
      <c r="A374" s="18"/>
      <c r="B374" s="18"/>
      <c r="C374" s="18"/>
      <c r="D374" s="19"/>
      <c r="E374" s="19"/>
      <c r="F374" s="18"/>
      <c r="G374" s="12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2"/>
    </row>
    <row r="375" spans="1:28">
      <c r="A375" s="18"/>
      <c r="B375" s="18"/>
      <c r="C375" s="18"/>
      <c r="D375" s="19"/>
      <c r="E375" s="19"/>
      <c r="F375" s="18"/>
      <c r="G375" s="12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2"/>
    </row>
    <row r="376" spans="1:28">
      <c r="A376" s="18"/>
      <c r="B376" s="18"/>
      <c r="C376" s="18"/>
      <c r="D376" s="19"/>
      <c r="E376" s="19"/>
      <c r="F376" s="18"/>
      <c r="G376" s="12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2"/>
    </row>
    <row r="377" spans="1:28">
      <c r="A377" s="18"/>
      <c r="B377" s="18"/>
      <c r="C377" s="18"/>
      <c r="D377" s="19"/>
      <c r="E377" s="19"/>
      <c r="F377" s="18"/>
      <c r="G377" s="12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2"/>
    </row>
    <row r="378" spans="1:28">
      <c r="A378" s="18"/>
      <c r="B378" s="18"/>
      <c r="C378" s="18"/>
      <c r="D378" s="19"/>
      <c r="E378" s="19"/>
      <c r="F378" s="18"/>
      <c r="G378" s="12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2"/>
    </row>
    <row r="379" spans="1:28">
      <c r="A379" s="18"/>
      <c r="B379" s="18"/>
      <c r="C379" s="18"/>
      <c r="D379" s="19"/>
      <c r="E379" s="19"/>
      <c r="F379" s="18"/>
      <c r="G379" s="12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2"/>
    </row>
    <row r="380" spans="1:28">
      <c r="A380" s="18"/>
      <c r="B380" s="18"/>
      <c r="C380" s="18"/>
      <c r="D380" s="19"/>
      <c r="E380" s="19"/>
      <c r="F380" s="18"/>
      <c r="G380" s="12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2"/>
    </row>
    <row r="381" spans="1:28">
      <c r="A381" s="18"/>
      <c r="B381" s="18"/>
      <c r="C381" s="18"/>
      <c r="D381" s="19"/>
      <c r="E381" s="19"/>
      <c r="F381" s="18"/>
      <c r="G381" s="12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2"/>
    </row>
    <row r="382" spans="1:28">
      <c r="A382" s="18"/>
      <c r="B382" s="18"/>
      <c r="C382" s="18"/>
      <c r="D382" s="19"/>
      <c r="E382" s="19"/>
      <c r="F382" s="18"/>
      <c r="G382" s="12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2"/>
    </row>
    <row r="383" spans="1:28">
      <c r="A383" s="18"/>
      <c r="B383" s="18"/>
      <c r="C383" s="18"/>
      <c r="D383" s="19"/>
      <c r="E383" s="19"/>
      <c r="F383" s="18"/>
      <c r="G383" s="12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2"/>
    </row>
    <row r="384" spans="1:28">
      <c r="A384" s="18"/>
      <c r="B384" s="18"/>
      <c r="C384" s="18"/>
      <c r="D384" s="19"/>
      <c r="E384" s="19"/>
      <c r="F384" s="18"/>
      <c r="G384" s="12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2"/>
    </row>
    <row r="385" spans="1:28">
      <c r="A385" s="18"/>
      <c r="B385" s="18"/>
      <c r="C385" s="18"/>
      <c r="D385" s="19"/>
      <c r="E385" s="19"/>
      <c r="F385" s="18"/>
      <c r="G385" s="12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2"/>
    </row>
    <row r="386" spans="1:28">
      <c r="A386" s="18"/>
      <c r="B386" s="18"/>
      <c r="C386" s="18"/>
      <c r="D386" s="19"/>
      <c r="E386" s="19"/>
      <c r="F386" s="18"/>
      <c r="G386" s="12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2"/>
    </row>
    <row r="387" spans="1:28">
      <c r="A387" s="18"/>
      <c r="B387" s="18"/>
      <c r="C387" s="18"/>
      <c r="D387" s="19"/>
      <c r="E387" s="19"/>
      <c r="F387" s="18"/>
      <c r="G387" s="12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2"/>
    </row>
    <row r="388" spans="1:28">
      <c r="A388" s="18"/>
      <c r="B388" s="18"/>
      <c r="C388" s="18"/>
      <c r="D388" s="19"/>
      <c r="E388" s="19"/>
      <c r="F388" s="18"/>
      <c r="G388" s="12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2"/>
    </row>
    <row r="389" spans="1:28">
      <c r="A389" s="18"/>
      <c r="B389" s="18"/>
      <c r="C389" s="18"/>
      <c r="D389" s="19"/>
      <c r="E389" s="19"/>
      <c r="F389" s="18"/>
      <c r="G389" s="12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2"/>
    </row>
    <row r="390" spans="1:28">
      <c r="A390" s="18"/>
      <c r="B390" s="18"/>
      <c r="C390" s="18"/>
      <c r="D390" s="19"/>
      <c r="E390" s="19"/>
      <c r="F390" s="18"/>
      <c r="G390" s="12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2"/>
    </row>
    <row r="391" spans="1:28">
      <c r="A391" s="18"/>
      <c r="B391" s="18"/>
      <c r="C391" s="18"/>
      <c r="D391" s="19"/>
      <c r="E391" s="19"/>
      <c r="F391" s="18"/>
      <c r="G391" s="12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2"/>
    </row>
    <row r="392" spans="1:28">
      <c r="A392" s="18"/>
      <c r="B392" s="18"/>
      <c r="C392" s="18"/>
      <c r="D392" s="19"/>
      <c r="E392" s="19"/>
      <c r="F392" s="18"/>
      <c r="G392" s="12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2"/>
    </row>
    <row r="393" spans="1:28">
      <c r="A393" s="18"/>
      <c r="B393" s="18"/>
      <c r="C393" s="18"/>
      <c r="D393" s="19"/>
      <c r="E393" s="19"/>
      <c r="F393" s="18"/>
      <c r="G393" s="12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2"/>
    </row>
    <row r="394" spans="1:28">
      <c r="A394" s="18"/>
      <c r="B394" s="18"/>
      <c r="C394" s="18"/>
      <c r="D394" s="19"/>
      <c r="E394" s="19"/>
      <c r="F394" s="18"/>
      <c r="G394" s="12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2"/>
    </row>
    <row r="395" spans="1:28">
      <c r="A395" s="18"/>
      <c r="B395" s="18"/>
      <c r="C395" s="18"/>
      <c r="D395" s="19"/>
      <c r="E395" s="19"/>
      <c r="F395" s="18"/>
      <c r="G395" s="12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2"/>
    </row>
    <row r="396" spans="1:28">
      <c r="A396" s="18"/>
      <c r="B396" s="18"/>
      <c r="C396" s="18"/>
      <c r="D396" s="19"/>
      <c r="E396" s="19"/>
      <c r="F396" s="18"/>
      <c r="G396" s="12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2"/>
    </row>
    <row r="397" spans="1:28">
      <c r="A397" s="18"/>
      <c r="B397" s="18"/>
      <c r="C397" s="18"/>
      <c r="D397" s="19"/>
      <c r="E397" s="19"/>
      <c r="F397" s="18"/>
      <c r="G397" s="12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2"/>
    </row>
    <row r="398" spans="1:28">
      <c r="A398" s="18"/>
      <c r="B398" s="18"/>
      <c r="C398" s="18"/>
      <c r="D398" s="19"/>
      <c r="E398" s="19"/>
      <c r="F398" s="18"/>
      <c r="G398" s="12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2"/>
    </row>
    <row r="399" spans="1:28">
      <c r="A399" s="18"/>
      <c r="B399" s="18"/>
      <c r="C399" s="18"/>
      <c r="D399" s="19"/>
      <c r="E399" s="19"/>
      <c r="F399" s="18"/>
      <c r="G399" s="12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2"/>
    </row>
    <row r="400" spans="1:28">
      <c r="A400" s="18"/>
      <c r="B400" s="18"/>
      <c r="C400" s="18"/>
      <c r="D400" s="19"/>
      <c r="E400" s="19"/>
      <c r="F400" s="18"/>
      <c r="G400" s="12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2"/>
    </row>
    <row r="401" spans="1:28">
      <c r="A401" s="18"/>
      <c r="B401" s="18"/>
      <c r="C401" s="18"/>
      <c r="D401" s="19"/>
      <c r="E401" s="19"/>
      <c r="F401" s="18"/>
      <c r="G401" s="12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2"/>
    </row>
    <row r="402" spans="1:28">
      <c r="A402" s="18"/>
      <c r="B402" s="18"/>
      <c r="C402" s="18"/>
      <c r="D402" s="19"/>
      <c r="E402" s="19"/>
      <c r="F402" s="18"/>
      <c r="G402" s="12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2"/>
    </row>
    <row r="403" spans="1:28">
      <c r="A403" s="18"/>
      <c r="B403" s="18"/>
      <c r="C403" s="18"/>
      <c r="D403" s="19"/>
      <c r="E403" s="19"/>
      <c r="F403" s="18"/>
      <c r="G403" s="12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2"/>
    </row>
    <row r="404" spans="1:28">
      <c r="A404" s="18"/>
      <c r="B404" s="18"/>
      <c r="C404" s="18"/>
      <c r="D404" s="19"/>
      <c r="E404" s="19"/>
      <c r="F404" s="18"/>
      <c r="G404" s="12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2"/>
    </row>
    <row r="405" spans="1:28">
      <c r="A405" s="18"/>
      <c r="B405" s="18"/>
      <c r="C405" s="18"/>
      <c r="D405" s="19"/>
      <c r="E405" s="19"/>
      <c r="F405" s="18"/>
      <c r="G405" s="12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2"/>
    </row>
    <row r="406" spans="1:28">
      <c r="A406" s="18"/>
      <c r="B406" s="18"/>
      <c r="C406" s="18"/>
      <c r="D406" s="19"/>
      <c r="E406" s="19"/>
      <c r="F406" s="18"/>
      <c r="G406" s="12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2"/>
    </row>
    <row r="407" spans="1:28">
      <c r="A407" s="18"/>
      <c r="B407" s="18"/>
      <c r="C407" s="18"/>
      <c r="D407" s="19"/>
      <c r="E407" s="19"/>
      <c r="F407" s="18"/>
      <c r="G407" s="12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2"/>
    </row>
    <row r="408" spans="1:28">
      <c r="A408" s="18"/>
      <c r="B408" s="18"/>
      <c r="C408" s="18"/>
      <c r="D408" s="19"/>
      <c r="E408" s="19"/>
      <c r="F408" s="18"/>
      <c r="G408" s="12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2"/>
    </row>
    <row r="409" spans="1:28">
      <c r="A409" s="18"/>
      <c r="B409" s="18"/>
      <c r="C409" s="18"/>
      <c r="D409" s="19"/>
      <c r="E409" s="19"/>
      <c r="F409" s="18"/>
      <c r="G409" s="12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2"/>
    </row>
    <row r="410" spans="1:28">
      <c r="A410" s="18"/>
      <c r="B410" s="18"/>
      <c r="C410" s="18"/>
      <c r="D410" s="19"/>
      <c r="E410" s="19"/>
      <c r="F410" s="18"/>
      <c r="G410" s="12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2"/>
    </row>
    <row r="411" spans="1:28">
      <c r="A411" s="18"/>
      <c r="B411" s="18"/>
      <c r="C411" s="18"/>
      <c r="D411" s="19"/>
      <c r="E411" s="19"/>
      <c r="F411" s="18"/>
      <c r="G411" s="12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2"/>
    </row>
    <row r="412" spans="1:28">
      <c r="A412" s="18"/>
      <c r="B412" s="18"/>
      <c r="C412" s="18"/>
      <c r="D412" s="19"/>
      <c r="E412" s="19"/>
      <c r="F412" s="18"/>
      <c r="G412" s="12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2"/>
    </row>
    <row r="413" spans="1:28">
      <c r="A413" s="18"/>
      <c r="B413" s="18"/>
      <c r="C413" s="18"/>
      <c r="D413" s="19"/>
      <c r="E413" s="19"/>
      <c r="F413" s="18"/>
      <c r="G413" s="12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2"/>
    </row>
    <row r="414" spans="1:28">
      <c r="A414" s="18"/>
      <c r="B414" s="18"/>
      <c r="C414" s="18"/>
      <c r="D414" s="19"/>
      <c r="E414" s="19"/>
      <c r="F414" s="18"/>
      <c r="G414" s="12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2"/>
    </row>
    <row r="415" spans="1:28">
      <c r="A415" s="18"/>
      <c r="B415" s="18"/>
      <c r="C415" s="18"/>
      <c r="D415" s="19"/>
      <c r="E415" s="19"/>
      <c r="F415" s="18"/>
      <c r="G415" s="12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2"/>
    </row>
    <row r="416" spans="1:28">
      <c r="A416" s="18"/>
      <c r="B416" s="18"/>
      <c r="C416" s="18"/>
      <c r="D416" s="19"/>
      <c r="E416" s="19"/>
      <c r="F416" s="18"/>
      <c r="G416" s="12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2"/>
    </row>
    <row r="417" spans="1:28">
      <c r="A417" s="18"/>
      <c r="B417" s="18"/>
      <c r="C417" s="18"/>
      <c r="D417" s="19"/>
      <c r="E417" s="19"/>
      <c r="F417" s="18"/>
      <c r="G417" s="12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2"/>
    </row>
    <row r="418" spans="1:28">
      <c r="A418" s="18"/>
      <c r="B418" s="18"/>
      <c r="C418" s="18"/>
      <c r="D418" s="19"/>
      <c r="E418" s="19"/>
      <c r="F418" s="18"/>
      <c r="G418" s="12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2"/>
    </row>
    <row r="419" spans="1:28">
      <c r="A419" s="18"/>
      <c r="B419" s="18"/>
      <c r="C419" s="18"/>
      <c r="D419" s="19"/>
      <c r="E419" s="19"/>
      <c r="F419" s="18"/>
      <c r="G419" s="12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2"/>
    </row>
    <row r="420" spans="1:28">
      <c r="A420" s="18"/>
      <c r="B420" s="18"/>
      <c r="C420" s="18"/>
      <c r="D420" s="19"/>
      <c r="E420" s="19"/>
      <c r="F420" s="18"/>
      <c r="G420" s="12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2"/>
    </row>
    <row r="421" spans="1:28">
      <c r="A421" s="18"/>
      <c r="B421" s="18"/>
      <c r="C421" s="18"/>
      <c r="D421" s="19"/>
      <c r="E421" s="19"/>
      <c r="F421" s="18"/>
      <c r="G421" s="12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2"/>
    </row>
    <row r="422" spans="1:28">
      <c r="A422" s="18"/>
      <c r="B422" s="18"/>
      <c r="C422" s="18"/>
      <c r="D422" s="19"/>
      <c r="E422" s="19"/>
      <c r="F422" s="18"/>
      <c r="G422" s="12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2"/>
    </row>
    <row r="423" spans="1:28">
      <c r="A423" s="18"/>
      <c r="B423" s="18"/>
      <c r="C423" s="18"/>
      <c r="D423" s="19"/>
      <c r="E423" s="19"/>
      <c r="F423" s="18"/>
      <c r="G423" s="12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2"/>
    </row>
    <row r="424" spans="1:28">
      <c r="A424" s="18"/>
      <c r="B424" s="18"/>
      <c r="C424" s="18"/>
      <c r="D424" s="19"/>
      <c r="E424" s="19"/>
      <c r="F424" s="18"/>
      <c r="G424" s="12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2"/>
    </row>
    <row r="425" spans="1:28">
      <c r="A425" s="18"/>
      <c r="B425" s="18"/>
      <c r="C425" s="18"/>
      <c r="D425" s="19"/>
      <c r="E425" s="19"/>
      <c r="F425" s="18"/>
      <c r="G425" s="12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2"/>
    </row>
    <row r="426" spans="1:28">
      <c r="A426" s="18"/>
      <c r="B426" s="18"/>
      <c r="C426" s="18"/>
      <c r="D426" s="19"/>
      <c r="E426" s="19"/>
      <c r="F426" s="18"/>
      <c r="G426" s="12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2"/>
    </row>
    <row r="427" spans="1:28">
      <c r="A427" s="18"/>
      <c r="B427" s="18"/>
      <c r="C427" s="18"/>
      <c r="D427" s="19"/>
      <c r="E427" s="19"/>
      <c r="F427" s="18"/>
      <c r="G427" s="12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2"/>
    </row>
    <row r="428" spans="1:28">
      <c r="A428" s="18"/>
      <c r="B428" s="18"/>
      <c r="C428" s="18"/>
      <c r="D428" s="19"/>
      <c r="E428" s="19"/>
      <c r="F428" s="18"/>
      <c r="G428" s="12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2"/>
    </row>
    <row r="429" spans="1:28">
      <c r="A429" s="18"/>
      <c r="B429" s="18"/>
      <c r="C429" s="18"/>
      <c r="D429" s="19"/>
      <c r="E429" s="19"/>
      <c r="F429" s="18"/>
      <c r="G429" s="12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2"/>
    </row>
    <row r="430" spans="1:28">
      <c r="A430" s="18"/>
      <c r="B430" s="18"/>
      <c r="C430" s="18"/>
      <c r="D430" s="19"/>
      <c r="E430" s="19"/>
      <c r="F430" s="18"/>
      <c r="G430" s="12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2"/>
    </row>
    <row r="431" spans="1:28">
      <c r="A431" s="18"/>
      <c r="B431" s="18"/>
      <c r="C431" s="18"/>
      <c r="D431" s="19"/>
      <c r="E431" s="19"/>
      <c r="F431" s="18"/>
      <c r="G431" s="12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2"/>
    </row>
    <row r="432" spans="1:28">
      <c r="A432" s="18"/>
      <c r="B432" s="18"/>
      <c r="C432" s="18"/>
      <c r="D432" s="19"/>
      <c r="E432" s="19"/>
      <c r="F432" s="18"/>
      <c r="G432" s="12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2"/>
    </row>
    <row r="433" spans="1:28">
      <c r="A433" s="18"/>
      <c r="B433" s="18"/>
      <c r="C433" s="18"/>
      <c r="D433" s="19"/>
      <c r="E433" s="19"/>
      <c r="F433" s="18"/>
      <c r="G433" s="12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2"/>
    </row>
    <row r="434" spans="1:28">
      <c r="A434" s="18"/>
      <c r="B434" s="18"/>
      <c r="C434" s="18"/>
      <c r="D434" s="19"/>
      <c r="E434" s="19"/>
      <c r="F434" s="18"/>
      <c r="G434" s="12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2"/>
    </row>
    <row r="435" spans="1:28">
      <c r="A435" s="18"/>
      <c r="B435" s="18"/>
      <c r="C435" s="18"/>
      <c r="D435" s="19"/>
      <c r="E435" s="19"/>
      <c r="F435" s="18"/>
      <c r="G435" s="12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2"/>
    </row>
    <row r="436" spans="1:28">
      <c r="A436" s="18"/>
      <c r="B436" s="18"/>
      <c r="C436" s="18"/>
      <c r="D436" s="19"/>
      <c r="E436" s="19"/>
      <c r="F436" s="18"/>
      <c r="G436" s="12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2"/>
    </row>
    <row r="437" spans="1:28">
      <c r="A437" s="18"/>
      <c r="B437" s="18"/>
      <c r="C437" s="18"/>
      <c r="D437" s="19"/>
      <c r="E437" s="19"/>
      <c r="F437" s="18"/>
      <c r="G437" s="12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2"/>
    </row>
    <row r="438" spans="1:28">
      <c r="A438" s="18"/>
      <c r="B438" s="18"/>
      <c r="C438" s="18"/>
      <c r="D438" s="19"/>
      <c r="E438" s="19"/>
      <c r="F438" s="18"/>
      <c r="G438" s="12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2"/>
    </row>
    <row r="439" spans="1:28">
      <c r="A439" s="18"/>
      <c r="B439" s="18"/>
      <c r="C439" s="18"/>
      <c r="D439" s="19"/>
      <c r="E439" s="19"/>
      <c r="F439" s="18"/>
      <c r="G439" s="12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2"/>
    </row>
    <row r="440" spans="1:28">
      <c r="A440" s="18"/>
      <c r="B440" s="18"/>
      <c r="C440" s="18"/>
      <c r="D440" s="19"/>
      <c r="E440" s="19"/>
      <c r="F440" s="18"/>
      <c r="G440" s="12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2"/>
    </row>
    <row r="441" spans="1:28">
      <c r="A441" s="18"/>
      <c r="B441" s="18"/>
      <c r="C441" s="18"/>
      <c r="D441" s="19"/>
      <c r="E441" s="19"/>
      <c r="F441" s="18"/>
      <c r="G441" s="12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2"/>
    </row>
    <row r="442" spans="1:28">
      <c r="A442" s="18"/>
      <c r="B442" s="18"/>
      <c r="C442" s="18"/>
      <c r="D442" s="19"/>
      <c r="E442" s="19"/>
      <c r="F442" s="18"/>
      <c r="G442" s="12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2"/>
    </row>
    <row r="443" spans="1:28">
      <c r="A443" s="18"/>
      <c r="B443" s="18"/>
      <c r="C443" s="18"/>
      <c r="D443" s="19"/>
      <c r="E443" s="19"/>
      <c r="F443" s="18"/>
      <c r="G443" s="12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2"/>
    </row>
    <row r="444" spans="1:28">
      <c r="A444" s="18"/>
      <c r="B444" s="18"/>
      <c r="C444" s="18"/>
      <c r="D444" s="19"/>
      <c r="E444" s="19"/>
      <c r="F444" s="18"/>
      <c r="G444" s="12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2"/>
    </row>
    <row r="445" spans="1:28">
      <c r="A445" s="18"/>
      <c r="B445" s="18"/>
      <c r="C445" s="18"/>
      <c r="D445" s="19"/>
      <c r="E445" s="19"/>
      <c r="F445" s="18"/>
      <c r="G445" s="12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2"/>
    </row>
    <row r="446" spans="1:28">
      <c r="A446" s="18"/>
      <c r="B446" s="18"/>
      <c r="C446" s="18"/>
      <c r="D446" s="19"/>
      <c r="E446" s="19"/>
      <c r="F446" s="18"/>
      <c r="G446" s="12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2"/>
    </row>
    <row r="447" spans="1:28">
      <c r="A447" s="18"/>
      <c r="B447" s="18"/>
      <c r="C447" s="18"/>
      <c r="D447" s="19"/>
      <c r="E447" s="19"/>
      <c r="F447" s="18"/>
      <c r="G447" s="12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2"/>
    </row>
    <row r="448" spans="1:28">
      <c r="A448" s="18"/>
      <c r="B448" s="18"/>
      <c r="C448" s="18"/>
      <c r="D448" s="19"/>
      <c r="E448" s="19"/>
      <c r="F448" s="18"/>
      <c r="G448" s="12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2"/>
    </row>
    <row r="449" spans="1:28">
      <c r="A449" s="18"/>
      <c r="B449" s="18"/>
      <c r="C449" s="18"/>
      <c r="D449" s="19"/>
      <c r="E449" s="19"/>
      <c r="F449" s="18"/>
      <c r="G449" s="12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2"/>
    </row>
    <row r="450" spans="1:28">
      <c r="A450" s="18"/>
      <c r="B450" s="18"/>
      <c r="C450" s="18"/>
      <c r="D450" s="19"/>
      <c r="E450" s="19"/>
      <c r="F450" s="18"/>
      <c r="G450" s="12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2"/>
    </row>
    <row r="451" spans="1:28">
      <c r="A451" s="18"/>
      <c r="B451" s="18"/>
      <c r="C451" s="18"/>
      <c r="D451" s="19"/>
      <c r="E451" s="19"/>
      <c r="F451" s="18"/>
      <c r="G451" s="12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2"/>
    </row>
    <row r="452" spans="1:28">
      <c r="A452" s="18"/>
      <c r="B452" s="18"/>
      <c r="C452" s="18"/>
      <c r="D452" s="19"/>
      <c r="E452" s="19"/>
      <c r="F452" s="18"/>
      <c r="G452" s="12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2"/>
    </row>
    <row r="453" spans="1:28">
      <c r="A453" s="18"/>
      <c r="B453" s="18"/>
      <c r="C453" s="18"/>
      <c r="D453" s="19"/>
      <c r="E453" s="19"/>
      <c r="F453" s="18"/>
      <c r="G453" s="12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2"/>
    </row>
    <row r="454" spans="1:28">
      <c r="A454" s="18"/>
      <c r="B454" s="18"/>
      <c r="C454" s="18"/>
      <c r="D454" s="19"/>
      <c r="E454" s="19"/>
      <c r="F454" s="18"/>
      <c r="G454" s="12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2"/>
    </row>
    <row r="455" spans="1:28">
      <c r="A455" s="18"/>
      <c r="B455" s="18"/>
      <c r="C455" s="18"/>
      <c r="D455" s="19"/>
      <c r="E455" s="19"/>
      <c r="F455" s="18"/>
      <c r="G455" s="12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2"/>
    </row>
    <row r="456" spans="1:28">
      <c r="A456" s="18"/>
      <c r="B456" s="18"/>
      <c r="C456" s="18"/>
      <c r="D456" s="19"/>
      <c r="E456" s="19"/>
      <c r="F456" s="18"/>
      <c r="G456" s="12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2"/>
    </row>
    <row r="457" spans="1:28">
      <c r="A457" s="18"/>
      <c r="B457" s="18"/>
      <c r="C457" s="18"/>
      <c r="D457" s="19"/>
      <c r="E457" s="19"/>
      <c r="F457" s="18"/>
      <c r="G457" s="12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2"/>
    </row>
    <row r="458" spans="1:28">
      <c r="A458" s="18"/>
      <c r="B458" s="18"/>
      <c r="C458" s="18"/>
      <c r="D458" s="19"/>
      <c r="E458" s="19"/>
      <c r="F458" s="18"/>
      <c r="G458" s="12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2"/>
    </row>
    <row r="459" spans="1:28">
      <c r="A459" s="18"/>
      <c r="B459" s="18"/>
      <c r="C459" s="18"/>
      <c r="D459" s="19"/>
      <c r="E459" s="19"/>
      <c r="F459" s="18"/>
      <c r="G459" s="12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2"/>
    </row>
    <row r="460" spans="1:28">
      <c r="A460" s="18"/>
      <c r="B460" s="18"/>
      <c r="C460" s="18"/>
      <c r="D460" s="19"/>
      <c r="E460" s="19"/>
      <c r="F460" s="18"/>
      <c r="G460" s="12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2"/>
    </row>
    <row r="461" spans="1:28">
      <c r="A461" s="18"/>
      <c r="B461" s="18"/>
      <c r="C461" s="18"/>
      <c r="D461" s="19"/>
      <c r="E461" s="19"/>
      <c r="F461" s="18"/>
      <c r="G461" s="12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2"/>
    </row>
    <row r="462" spans="1:28">
      <c r="A462" s="18"/>
      <c r="B462" s="18"/>
      <c r="C462" s="18"/>
      <c r="D462" s="19"/>
      <c r="E462" s="19"/>
      <c r="F462" s="18"/>
      <c r="G462" s="12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2"/>
    </row>
    <row r="463" spans="1:28">
      <c r="A463" s="18"/>
      <c r="B463" s="18"/>
      <c r="C463" s="18"/>
      <c r="D463" s="19"/>
      <c r="E463" s="19"/>
      <c r="F463" s="18"/>
      <c r="G463" s="12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2"/>
    </row>
    <row r="464" spans="1:28">
      <c r="A464" s="18"/>
      <c r="B464" s="18"/>
      <c r="C464" s="18"/>
      <c r="D464" s="19"/>
      <c r="E464" s="19"/>
      <c r="F464" s="18"/>
      <c r="G464" s="12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2"/>
    </row>
    <row r="465" spans="1:28">
      <c r="A465" s="18"/>
      <c r="B465" s="18"/>
      <c r="C465" s="18"/>
      <c r="D465" s="19"/>
      <c r="E465" s="19"/>
      <c r="F465" s="18"/>
      <c r="G465" s="12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2"/>
    </row>
    <row r="466" spans="1:28">
      <c r="A466" s="18"/>
      <c r="B466" s="18"/>
      <c r="C466" s="18"/>
      <c r="D466" s="19"/>
      <c r="E466" s="19"/>
      <c r="F466" s="18"/>
      <c r="G466" s="12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2"/>
    </row>
    <row r="467" spans="1:28">
      <c r="A467" s="18"/>
      <c r="B467" s="18"/>
      <c r="C467" s="18"/>
      <c r="D467" s="19"/>
      <c r="E467" s="19"/>
      <c r="F467" s="18"/>
      <c r="G467" s="12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2"/>
    </row>
    <row r="468" spans="1:28">
      <c r="A468" s="18"/>
      <c r="B468" s="18"/>
      <c r="C468" s="18"/>
      <c r="D468" s="19"/>
      <c r="E468" s="19"/>
      <c r="F468" s="18"/>
      <c r="G468" s="12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2"/>
    </row>
    <row r="469" spans="1:28">
      <c r="A469" s="18"/>
      <c r="B469" s="18"/>
      <c r="C469" s="18"/>
      <c r="D469" s="19"/>
      <c r="E469" s="19"/>
      <c r="F469" s="18"/>
      <c r="G469" s="12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2"/>
    </row>
    <row r="470" spans="1:28">
      <c r="A470" s="18"/>
      <c r="B470" s="18"/>
      <c r="C470" s="18"/>
      <c r="D470" s="19"/>
      <c r="E470" s="19"/>
      <c r="F470" s="18"/>
      <c r="G470" s="12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2"/>
    </row>
    <row r="471" spans="1:28">
      <c r="A471" s="18"/>
      <c r="B471" s="18"/>
      <c r="C471" s="18"/>
      <c r="D471" s="19"/>
      <c r="E471" s="19"/>
      <c r="F471" s="18"/>
      <c r="G471" s="12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2"/>
    </row>
    <row r="472" spans="1:28">
      <c r="A472" s="18"/>
      <c r="B472" s="18"/>
      <c r="C472" s="18"/>
      <c r="D472" s="19"/>
      <c r="E472" s="19"/>
      <c r="F472" s="18"/>
      <c r="G472" s="12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2"/>
    </row>
    <row r="473" spans="1:28">
      <c r="A473" s="18"/>
      <c r="B473" s="18"/>
      <c r="C473" s="18"/>
      <c r="D473" s="19"/>
      <c r="E473" s="19"/>
      <c r="F473" s="18"/>
      <c r="G473" s="12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2"/>
    </row>
    <row r="474" spans="1:28">
      <c r="A474" s="18"/>
      <c r="B474" s="18"/>
      <c r="C474" s="18"/>
      <c r="D474" s="19"/>
      <c r="E474" s="19"/>
      <c r="F474" s="18"/>
      <c r="G474" s="12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2"/>
    </row>
    <row r="475" spans="1:28">
      <c r="A475" s="18"/>
      <c r="B475" s="18"/>
      <c r="C475" s="18"/>
      <c r="D475" s="19"/>
      <c r="E475" s="19"/>
      <c r="F475" s="18"/>
      <c r="G475" s="12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2"/>
    </row>
    <row r="476" spans="1:28">
      <c r="A476" s="18"/>
      <c r="B476" s="18"/>
      <c r="C476" s="18"/>
      <c r="D476" s="19"/>
      <c r="E476" s="19"/>
      <c r="F476" s="18"/>
      <c r="G476" s="12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2"/>
    </row>
    <row r="477" spans="1:28">
      <c r="A477" s="18"/>
      <c r="B477" s="18"/>
      <c r="C477" s="18"/>
      <c r="D477" s="19"/>
      <c r="E477" s="19"/>
      <c r="F477" s="18"/>
      <c r="G477" s="12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2"/>
    </row>
    <row r="478" spans="1:28">
      <c r="A478" s="18"/>
      <c r="B478" s="18"/>
      <c r="C478" s="18"/>
      <c r="D478" s="19"/>
      <c r="E478" s="19"/>
      <c r="F478" s="18"/>
      <c r="G478" s="12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2"/>
    </row>
    <row r="479" spans="1:28">
      <c r="A479" s="18"/>
      <c r="B479" s="18"/>
      <c r="C479" s="18"/>
      <c r="D479" s="19"/>
      <c r="E479" s="19"/>
      <c r="F479" s="18"/>
      <c r="G479" s="12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2"/>
    </row>
    <row r="480" spans="1:28">
      <c r="A480" s="18"/>
      <c r="B480" s="18"/>
      <c r="C480" s="18"/>
      <c r="D480" s="19"/>
      <c r="E480" s="19"/>
      <c r="F480" s="18"/>
      <c r="G480" s="12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2"/>
    </row>
    <row r="481" spans="1:28">
      <c r="A481" s="18"/>
      <c r="B481" s="18"/>
      <c r="C481" s="18"/>
      <c r="D481" s="19"/>
      <c r="E481" s="19"/>
      <c r="F481" s="18"/>
      <c r="G481" s="12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2"/>
    </row>
    <row r="482" spans="1:28">
      <c r="A482" s="18"/>
      <c r="B482" s="18"/>
      <c r="C482" s="18"/>
      <c r="D482" s="19"/>
      <c r="E482" s="19"/>
      <c r="F482" s="18"/>
      <c r="G482" s="12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2"/>
    </row>
    <row r="483" spans="1:28">
      <c r="A483" s="18"/>
      <c r="B483" s="18"/>
      <c r="C483" s="18"/>
      <c r="D483" s="19"/>
      <c r="E483" s="19"/>
      <c r="F483" s="18"/>
      <c r="G483" s="12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2"/>
    </row>
    <row r="484" spans="1:28">
      <c r="A484" s="18"/>
      <c r="B484" s="18"/>
      <c r="C484" s="18"/>
      <c r="D484" s="19"/>
      <c r="E484" s="19"/>
      <c r="F484" s="18"/>
      <c r="G484" s="12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2"/>
    </row>
    <row r="485" spans="1:28">
      <c r="A485" s="18"/>
      <c r="B485" s="18"/>
      <c r="C485" s="18"/>
      <c r="D485" s="19"/>
      <c r="E485" s="19"/>
      <c r="F485" s="18"/>
      <c r="G485" s="12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2"/>
    </row>
    <row r="486" spans="1:28">
      <c r="A486" s="18"/>
      <c r="B486" s="18"/>
      <c r="C486" s="18"/>
      <c r="D486" s="19"/>
      <c r="E486" s="19"/>
      <c r="F486" s="18"/>
      <c r="G486" s="12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2"/>
    </row>
    <row r="487" spans="1:28">
      <c r="A487" s="18"/>
      <c r="B487" s="18"/>
      <c r="C487" s="18"/>
      <c r="D487" s="19"/>
      <c r="E487" s="19"/>
      <c r="F487" s="18"/>
      <c r="G487" s="12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2"/>
    </row>
    <row r="488" spans="1:28">
      <c r="A488" s="18"/>
      <c r="B488" s="18"/>
      <c r="C488" s="18"/>
      <c r="D488" s="19"/>
      <c r="E488" s="19"/>
      <c r="F488" s="18"/>
      <c r="G488" s="12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2"/>
    </row>
    <row r="489" spans="1:28">
      <c r="A489" s="18"/>
      <c r="B489" s="18"/>
      <c r="C489" s="18"/>
      <c r="D489" s="19"/>
      <c r="E489" s="19"/>
      <c r="F489" s="18"/>
      <c r="G489" s="12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2"/>
    </row>
    <row r="490" spans="1:28">
      <c r="A490" s="18"/>
      <c r="B490" s="18"/>
      <c r="C490" s="18"/>
      <c r="D490" s="19"/>
      <c r="E490" s="19"/>
      <c r="F490" s="18"/>
      <c r="G490" s="12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2"/>
    </row>
    <row r="491" spans="1:28">
      <c r="A491" s="18"/>
      <c r="B491" s="18"/>
      <c r="C491" s="18"/>
      <c r="D491" s="19"/>
      <c r="E491" s="19"/>
      <c r="F491" s="18"/>
      <c r="G491" s="12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2"/>
    </row>
    <row r="492" spans="1:28">
      <c r="A492" s="18"/>
      <c r="B492" s="18"/>
      <c r="C492" s="18"/>
      <c r="D492" s="19"/>
      <c r="E492" s="19"/>
      <c r="F492" s="18"/>
      <c r="G492" s="12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2"/>
    </row>
    <row r="493" spans="1:28">
      <c r="A493" s="18"/>
      <c r="B493" s="18"/>
      <c r="C493" s="18"/>
      <c r="D493" s="19"/>
      <c r="E493" s="19"/>
      <c r="F493" s="18"/>
      <c r="G493" s="12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2"/>
    </row>
    <row r="494" spans="1:28">
      <c r="A494" s="18"/>
      <c r="B494" s="18"/>
      <c r="C494" s="18"/>
      <c r="D494" s="19"/>
      <c r="E494" s="19"/>
      <c r="F494" s="18"/>
      <c r="G494" s="12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2"/>
    </row>
    <row r="495" spans="1:28">
      <c r="A495" s="18"/>
      <c r="B495" s="18"/>
      <c r="C495" s="18"/>
      <c r="D495" s="19"/>
      <c r="E495" s="19"/>
      <c r="F495" s="18"/>
      <c r="G495" s="12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2"/>
    </row>
    <row r="496" spans="1:28">
      <c r="A496" s="18"/>
      <c r="B496" s="18"/>
      <c r="C496" s="18"/>
      <c r="D496" s="19"/>
      <c r="E496" s="19"/>
      <c r="F496" s="18"/>
      <c r="G496" s="12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2"/>
    </row>
    <row r="497" spans="1:28">
      <c r="A497" s="18"/>
      <c r="B497" s="18"/>
      <c r="C497" s="18"/>
      <c r="D497" s="19"/>
      <c r="E497" s="19"/>
      <c r="F497" s="18"/>
      <c r="G497" s="12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2"/>
    </row>
    <row r="498" spans="1:28">
      <c r="A498" s="18"/>
      <c r="B498" s="18"/>
      <c r="C498" s="18"/>
      <c r="D498" s="19"/>
      <c r="E498" s="19"/>
      <c r="F498" s="18"/>
      <c r="G498" s="12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2"/>
    </row>
    <row r="499" spans="1:28">
      <c r="A499" s="18"/>
      <c r="B499" s="18"/>
      <c r="C499" s="18"/>
      <c r="D499" s="19"/>
      <c r="E499" s="19"/>
      <c r="F499" s="18"/>
      <c r="G499" s="12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2"/>
    </row>
    <row r="500" spans="1:28">
      <c r="A500" s="18"/>
      <c r="B500" s="18"/>
      <c r="C500" s="18"/>
      <c r="D500" s="19"/>
      <c r="E500" s="19"/>
      <c r="F500" s="18"/>
      <c r="G500" s="12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2"/>
    </row>
    <row r="501" spans="1:28">
      <c r="A501" s="18"/>
      <c r="B501" s="18"/>
      <c r="C501" s="18"/>
      <c r="D501" s="19"/>
      <c r="E501" s="19"/>
      <c r="F501" s="18"/>
      <c r="G501" s="12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2"/>
    </row>
    <row r="502" spans="1:28">
      <c r="A502" s="18"/>
      <c r="B502" s="18"/>
      <c r="C502" s="18"/>
      <c r="D502" s="19"/>
      <c r="E502" s="19"/>
      <c r="F502" s="18"/>
      <c r="G502" s="12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2"/>
    </row>
    <row r="503" spans="1:28">
      <c r="A503" s="18"/>
      <c r="B503" s="18"/>
      <c r="C503" s="18"/>
      <c r="D503" s="19"/>
      <c r="E503" s="19"/>
      <c r="F503" s="18"/>
      <c r="G503" s="12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2"/>
    </row>
    <row r="504" spans="1:28">
      <c r="A504" s="18"/>
      <c r="B504" s="18"/>
      <c r="C504" s="18"/>
      <c r="D504" s="19"/>
      <c r="E504" s="19"/>
      <c r="F504" s="18"/>
      <c r="G504" s="12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2"/>
    </row>
    <row r="505" spans="1:28">
      <c r="A505" s="18"/>
      <c r="B505" s="18"/>
      <c r="C505" s="18"/>
      <c r="D505" s="19"/>
      <c r="E505" s="19"/>
      <c r="F505" s="18"/>
      <c r="G505" s="12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2"/>
    </row>
    <row r="506" spans="1:28">
      <c r="A506" s="18"/>
      <c r="B506" s="18"/>
      <c r="C506" s="18"/>
      <c r="D506" s="19"/>
      <c r="E506" s="19"/>
      <c r="F506" s="18"/>
      <c r="G506" s="12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2"/>
    </row>
    <row r="507" spans="1:28">
      <c r="A507" s="18"/>
      <c r="B507" s="18"/>
      <c r="C507" s="18"/>
      <c r="D507" s="19"/>
      <c r="E507" s="19"/>
      <c r="F507" s="18"/>
      <c r="G507" s="12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2"/>
    </row>
    <row r="508" spans="1:28">
      <c r="A508" s="18"/>
      <c r="B508" s="18"/>
      <c r="C508" s="18"/>
      <c r="D508" s="19"/>
      <c r="E508" s="19"/>
      <c r="F508" s="18"/>
      <c r="G508" s="12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2"/>
    </row>
    <row r="509" spans="1:28">
      <c r="A509" s="18"/>
      <c r="B509" s="18"/>
      <c r="C509" s="18"/>
      <c r="D509" s="19"/>
      <c r="E509" s="19"/>
      <c r="F509" s="18"/>
      <c r="G509" s="12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2"/>
    </row>
    <row r="510" spans="1:28">
      <c r="A510" s="18"/>
      <c r="B510" s="18"/>
      <c r="C510" s="18"/>
      <c r="D510" s="19"/>
      <c r="E510" s="19"/>
      <c r="F510" s="18"/>
      <c r="G510" s="12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2"/>
    </row>
    <row r="511" spans="1:28">
      <c r="A511" s="18"/>
      <c r="B511" s="18"/>
      <c r="C511" s="18"/>
      <c r="D511" s="19"/>
      <c r="E511" s="19"/>
      <c r="F511" s="18"/>
      <c r="G511" s="12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2"/>
    </row>
    <row r="512" spans="1:28">
      <c r="A512" s="18"/>
      <c r="B512" s="18"/>
      <c r="C512" s="18"/>
      <c r="D512" s="19"/>
      <c r="E512" s="19"/>
      <c r="F512" s="18"/>
      <c r="G512" s="12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2"/>
    </row>
    <row r="513" spans="1:28">
      <c r="A513" s="18"/>
      <c r="B513" s="18"/>
      <c r="C513" s="18"/>
      <c r="D513" s="19"/>
      <c r="E513" s="19"/>
      <c r="F513" s="18"/>
      <c r="G513" s="12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2"/>
    </row>
    <row r="514" spans="1:28">
      <c r="A514" s="18"/>
      <c r="B514" s="18"/>
      <c r="C514" s="18"/>
      <c r="D514" s="19"/>
      <c r="E514" s="19"/>
      <c r="F514" s="18"/>
      <c r="G514" s="12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2"/>
    </row>
    <row r="515" spans="1:28">
      <c r="A515" s="18"/>
      <c r="B515" s="18"/>
      <c r="C515" s="18"/>
      <c r="D515" s="19"/>
      <c r="E515" s="19"/>
      <c r="F515" s="18"/>
      <c r="G515" s="12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2"/>
    </row>
    <row r="516" spans="1:28">
      <c r="A516" s="18"/>
      <c r="B516" s="18"/>
      <c r="C516" s="18"/>
      <c r="D516" s="19"/>
      <c r="E516" s="19"/>
      <c r="F516" s="18"/>
      <c r="G516" s="12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2"/>
    </row>
    <row r="517" spans="1:28">
      <c r="A517" s="18"/>
      <c r="B517" s="18"/>
      <c r="C517" s="18"/>
      <c r="D517" s="19"/>
      <c r="E517" s="19"/>
      <c r="F517" s="18"/>
      <c r="G517" s="12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2"/>
    </row>
    <row r="518" spans="1:28">
      <c r="A518" s="18"/>
      <c r="B518" s="18"/>
      <c r="C518" s="18"/>
      <c r="D518" s="19"/>
      <c r="E518" s="19"/>
      <c r="F518" s="18"/>
      <c r="G518" s="12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2"/>
    </row>
    <row r="519" spans="1:28">
      <c r="A519" s="18"/>
      <c r="B519" s="18"/>
      <c r="C519" s="18"/>
      <c r="D519" s="19"/>
      <c r="E519" s="19"/>
      <c r="F519" s="18"/>
      <c r="G519" s="12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2"/>
    </row>
    <row r="520" spans="1:28">
      <c r="A520" s="18"/>
      <c r="B520" s="18"/>
      <c r="C520" s="18"/>
      <c r="D520" s="19"/>
      <c r="E520" s="19"/>
      <c r="F520" s="18"/>
      <c r="G520" s="12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2"/>
    </row>
    <row r="521" spans="1:28">
      <c r="A521" s="18"/>
      <c r="B521" s="18"/>
      <c r="C521" s="18"/>
      <c r="D521" s="19"/>
      <c r="E521" s="19"/>
      <c r="F521" s="18"/>
      <c r="G521" s="12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2"/>
    </row>
    <row r="522" spans="1:28">
      <c r="A522" s="18"/>
      <c r="B522" s="18"/>
      <c r="C522" s="18"/>
      <c r="D522" s="19"/>
      <c r="E522" s="19"/>
      <c r="F522" s="18"/>
      <c r="G522" s="12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2"/>
    </row>
    <row r="523" spans="1:28">
      <c r="A523" s="18"/>
      <c r="B523" s="18"/>
      <c r="C523" s="18"/>
      <c r="D523" s="19"/>
      <c r="E523" s="19"/>
      <c r="F523" s="18"/>
      <c r="G523" s="12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2"/>
    </row>
    <row r="524" spans="1:28">
      <c r="A524" s="18"/>
      <c r="B524" s="18"/>
      <c r="C524" s="18"/>
      <c r="D524" s="19"/>
      <c r="E524" s="19"/>
      <c r="F524" s="18"/>
      <c r="G524" s="12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2"/>
    </row>
    <row r="525" spans="1:28">
      <c r="A525" s="18"/>
      <c r="B525" s="18"/>
      <c r="C525" s="18"/>
      <c r="D525" s="19"/>
      <c r="E525" s="19"/>
      <c r="F525" s="18"/>
      <c r="G525" s="12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2"/>
    </row>
    <row r="526" spans="1:28">
      <c r="A526" s="18"/>
      <c r="B526" s="18"/>
      <c r="C526" s="18"/>
      <c r="D526" s="19"/>
      <c r="E526" s="19"/>
      <c r="F526" s="18"/>
      <c r="G526" s="12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2"/>
    </row>
    <row r="527" spans="1:28">
      <c r="A527" s="18"/>
      <c r="B527" s="18"/>
      <c r="C527" s="18"/>
      <c r="D527" s="19"/>
      <c r="E527" s="19"/>
      <c r="F527" s="18"/>
      <c r="G527" s="12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2"/>
    </row>
    <row r="528" spans="1:28">
      <c r="A528" s="18"/>
      <c r="B528" s="18"/>
      <c r="C528" s="18"/>
      <c r="D528" s="19"/>
      <c r="E528" s="19"/>
      <c r="F528" s="18"/>
      <c r="G528" s="12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2"/>
    </row>
    <row r="529" spans="1:28">
      <c r="A529" s="18"/>
      <c r="B529" s="18"/>
      <c r="C529" s="18"/>
      <c r="D529" s="19"/>
      <c r="E529" s="19"/>
      <c r="F529" s="18"/>
      <c r="G529" s="12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2"/>
    </row>
    <row r="530" spans="1:28">
      <c r="A530" s="18"/>
      <c r="B530" s="18"/>
      <c r="C530" s="18"/>
      <c r="D530" s="19"/>
      <c r="E530" s="19"/>
      <c r="F530" s="18"/>
      <c r="G530" s="12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2"/>
    </row>
    <row r="531" spans="1:28">
      <c r="A531" s="18"/>
      <c r="B531" s="18"/>
      <c r="C531" s="18"/>
      <c r="D531" s="19"/>
      <c r="E531" s="19"/>
      <c r="F531" s="18"/>
      <c r="G531" s="12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2"/>
    </row>
    <row r="532" spans="1:28">
      <c r="A532" s="18"/>
      <c r="B532" s="18"/>
      <c r="C532" s="18"/>
      <c r="D532" s="19"/>
      <c r="E532" s="19"/>
      <c r="F532" s="18"/>
      <c r="G532" s="12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2"/>
    </row>
    <row r="533" spans="1:28">
      <c r="A533" s="18"/>
      <c r="B533" s="18"/>
      <c r="C533" s="18"/>
      <c r="D533" s="19"/>
      <c r="E533" s="19"/>
      <c r="F533" s="18"/>
      <c r="G533" s="12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2"/>
    </row>
    <row r="534" spans="1:28">
      <c r="A534" s="18"/>
      <c r="B534" s="18"/>
      <c r="C534" s="18"/>
      <c r="D534" s="19"/>
      <c r="E534" s="19"/>
      <c r="F534" s="18"/>
      <c r="G534" s="12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2"/>
    </row>
    <row r="535" spans="1:28">
      <c r="A535" s="18"/>
      <c r="B535" s="18"/>
      <c r="C535" s="18"/>
      <c r="D535" s="19"/>
      <c r="E535" s="19"/>
      <c r="F535" s="18"/>
      <c r="G535" s="12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2"/>
    </row>
    <row r="536" spans="1:28">
      <c r="A536" s="18"/>
      <c r="B536" s="18"/>
      <c r="C536" s="18"/>
      <c r="D536" s="19"/>
      <c r="E536" s="19"/>
      <c r="F536" s="18"/>
      <c r="G536" s="12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2"/>
    </row>
    <row r="537" spans="1:28">
      <c r="A537" s="18"/>
      <c r="B537" s="18"/>
      <c r="C537" s="18"/>
      <c r="D537" s="19"/>
      <c r="E537" s="19"/>
      <c r="F537" s="18"/>
      <c r="G537" s="12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2"/>
    </row>
    <row r="538" spans="1:28">
      <c r="A538" s="18"/>
      <c r="B538" s="18"/>
      <c r="C538" s="18"/>
      <c r="D538" s="19"/>
      <c r="E538" s="19"/>
      <c r="F538" s="18"/>
      <c r="G538" s="12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2"/>
    </row>
    <row r="539" spans="1:28">
      <c r="A539" s="18"/>
      <c r="B539" s="18"/>
      <c r="C539" s="18"/>
      <c r="D539" s="19"/>
      <c r="E539" s="19"/>
      <c r="F539" s="18"/>
      <c r="G539" s="12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2"/>
    </row>
    <row r="540" spans="1:28">
      <c r="A540" s="18"/>
      <c r="B540" s="18"/>
      <c r="C540" s="18"/>
      <c r="D540" s="19"/>
      <c r="E540" s="19"/>
      <c r="F540" s="18"/>
      <c r="G540" s="12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2"/>
    </row>
    <row r="541" spans="1:28">
      <c r="A541" s="18"/>
      <c r="B541" s="18"/>
      <c r="C541" s="18"/>
      <c r="D541" s="19"/>
      <c r="E541" s="19"/>
      <c r="F541" s="18"/>
      <c r="G541" s="12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2"/>
    </row>
    <row r="542" spans="1:28">
      <c r="A542" s="18"/>
      <c r="B542" s="18"/>
      <c r="C542" s="18"/>
      <c r="D542" s="19"/>
      <c r="E542" s="19"/>
      <c r="F542" s="18"/>
      <c r="G542" s="12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2"/>
    </row>
    <row r="543" spans="1:28">
      <c r="A543" s="18"/>
      <c r="B543" s="18"/>
      <c r="C543" s="18"/>
      <c r="D543" s="19"/>
      <c r="E543" s="19"/>
      <c r="F543" s="18"/>
      <c r="G543" s="12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2"/>
    </row>
    <row r="544" spans="1:28">
      <c r="A544" s="18"/>
      <c r="B544" s="18"/>
      <c r="C544" s="18"/>
      <c r="D544" s="19"/>
      <c r="E544" s="19"/>
      <c r="F544" s="18"/>
      <c r="G544" s="12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2"/>
    </row>
    <row r="545" spans="1:28">
      <c r="A545" s="18"/>
      <c r="B545" s="18"/>
      <c r="C545" s="18"/>
      <c r="D545" s="19"/>
      <c r="E545" s="19"/>
      <c r="F545" s="18"/>
      <c r="G545" s="12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2"/>
    </row>
    <row r="546" spans="1:28">
      <c r="A546" s="18"/>
      <c r="B546" s="18"/>
      <c r="C546" s="18"/>
      <c r="D546" s="19"/>
      <c r="E546" s="19"/>
      <c r="F546" s="18"/>
      <c r="G546" s="12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2"/>
    </row>
    <row r="547" spans="1:28">
      <c r="A547" s="18"/>
      <c r="B547" s="18"/>
      <c r="C547" s="18"/>
      <c r="D547" s="19"/>
      <c r="E547" s="19"/>
      <c r="F547" s="18"/>
      <c r="G547" s="12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2"/>
    </row>
    <row r="548" spans="1:28">
      <c r="A548" s="18"/>
      <c r="B548" s="18"/>
      <c r="C548" s="18"/>
      <c r="D548" s="19"/>
      <c r="E548" s="19"/>
      <c r="F548" s="18"/>
      <c r="G548" s="12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2"/>
    </row>
    <row r="549" spans="1:28">
      <c r="A549" s="18"/>
      <c r="B549" s="18"/>
      <c r="C549" s="18"/>
      <c r="D549" s="19"/>
      <c r="E549" s="19"/>
      <c r="F549" s="18"/>
      <c r="G549" s="12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2"/>
    </row>
    <row r="550" spans="1:28">
      <c r="A550" s="18"/>
      <c r="B550" s="18"/>
      <c r="C550" s="18"/>
      <c r="D550" s="19"/>
      <c r="E550" s="19"/>
      <c r="F550" s="18"/>
      <c r="G550" s="12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2"/>
    </row>
    <row r="551" spans="1:28">
      <c r="A551" s="18"/>
      <c r="B551" s="18"/>
      <c r="C551" s="18"/>
      <c r="D551" s="19"/>
      <c r="E551" s="19"/>
      <c r="F551" s="18"/>
      <c r="G551" s="12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2"/>
    </row>
    <row r="552" spans="1:28">
      <c r="A552" s="18"/>
      <c r="B552" s="18"/>
      <c r="C552" s="18"/>
      <c r="D552" s="19"/>
      <c r="E552" s="19"/>
      <c r="F552" s="18"/>
      <c r="G552" s="12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2"/>
    </row>
    <row r="553" spans="1:28">
      <c r="A553" s="18"/>
      <c r="B553" s="18"/>
      <c r="C553" s="18"/>
      <c r="D553" s="19"/>
      <c r="E553" s="19"/>
      <c r="F553" s="18"/>
      <c r="G553" s="12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2"/>
    </row>
    <row r="554" spans="1:28">
      <c r="A554" s="18"/>
      <c r="B554" s="18"/>
      <c r="C554" s="18"/>
      <c r="D554" s="19"/>
      <c r="E554" s="19"/>
      <c r="F554" s="18"/>
      <c r="G554" s="12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2"/>
    </row>
    <row r="555" spans="1:28">
      <c r="A555" s="18"/>
      <c r="B555" s="18"/>
      <c r="C555" s="18"/>
      <c r="D555" s="19"/>
      <c r="E555" s="19"/>
      <c r="F555" s="18"/>
      <c r="G555" s="12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2"/>
    </row>
    <row r="556" spans="1:28">
      <c r="A556" s="18"/>
      <c r="B556" s="18"/>
      <c r="C556" s="18"/>
      <c r="D556" s="19"/>
      <c r="E556" s="19"/>
      <c r="F556" s="18"/>
      <c r="G556" s="12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2"/>
    </row>
    <row r="557" spans="1:28">
      <c r="A557" s="18"/>
      <c r="B557" s="18"/>
      <c r="C557" s="18"/>
      <c r="D557" s="19"/>
      <c r="E557" s="19"/>
      <c r="F557" s="18"/>
      <c r="G557" s="12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2"/>
    </row>
    <row r="558" spans="1:28">
      <c r="A558" s="18"/>
      <c r="B558" s="18"/>
      <c r="C558" s="18"/>
      <c r="D558" s="19"/>
      <c r="E558" s="19"/>
      <c r="F558" s="18"/>
      <c r="G558" s="12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2"/>
    </row>
    <row r="559" spans="1:28">
      <c r="A559" s="18"/>
      <c r="B559" s="18"/>
      <c r="C559" s="18"/>
      <c r="D559" s="19"/>
      <c r="E559" s="19"/>
      <c r="F559" s="18"/>
      <c r="G559" s="12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2"/>
    </row>
    <row r="560" spans="1:28">
      <c r="A560" s="18"/>
      <c r="B560" s="18"/>
      <c r="C560" s="18"/>
      <c r="D560" s="19"/>
      <c r="E560" s="19"/>
      <c r="F560" s="18"/>
      <c r="G560" s="12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2"/>
    </row>
    <row r="561" spans="1:28">
      <c r="A561" s="18"/>
      <c r="B561" s="18"/>
      <c r="C561" s="18"/>
      <c r="D561" s="19"/>
      <c r="E561" s="19"/>
      <c r="F561" s="18"/>
      <c r="G561" s="12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2"/>
    </row>
    <row r="562" spans="1:28">
      <c r="A562" s="18"/>
      <c r="B562" s="18"/>
      <c r="C562" s="18"/>
      <c r="D562" s="19"/>
      <c r="E562" s="19"/>
      <c r="F562" s="18"/>
      <c r="G562" s="12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2"/>
    </row>
    <row r="563" spans="1:28">
      <c r="A563" s="18"/>
      <c r="B563" s="18"/>
      <c r="C563" s="18"/>
      <c r="D563" s="19"/>
      <c r="E563" s="19"/>
      <c r="F563" s="18"/>
      <c r="G563" s="12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2"/>
    </row>
    <row r="564" spans="1:28">
      <c r="A564" s="18"/>
      <c r="B564" s="18"/>
      <c r="C564" s="18"/>
      <c r="D564" s="19"/>
      <c r="E564" s="19"/>
      <c r="F564" s="18"/>
      <c r="G564" s="12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2"/>
    </row>
    <row r="565" spans="1:28">
      <c r="A565" s="18"/>
      <c r="B565" s="18"/>
      <c r="C565" s="18"/>
      <c r="D565" s="19"/>
      <c r="E565" s="19"/>
      <c r="F565" s="18"/>
      <c r="G565" s="12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2"/>
    </row>
    <row r="566" spans="1:28">
      <c r="A566" s="18"/>
      <c r="B566" s="18"/>
      <c r="C566" s="18"/>
      <c r="D566" s="19"/>
      <c r="E566" s="19"/>
      <c r="F566" s="18"/>
      <c r="G566" s="12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2"/>
    </row>
    <row r="567" spans="1:28">
      <c r="A567" s="18"/>
      <c r="B567" s="18"/>
      <c r="C567" s="18"/>
      <c r="D567" s="19"/>
      <c r="E567" s="19"/>
      <c r="F567" s="18"/>
      <c r="G567" s="12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2"/>
    </row>
    <row r="568" spans="1:28">
      <c r="A568" s="18"/>
      <c r="B568" s="18"/>
      <c r="C568" s="18"/>
      <c r="D568" s="19"/>
      <c r="E568" s="19"/>
      <c r="F568" s="18"/>
      <c r="G568" s="12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2"/>
    </row>
    <row r="569" spans="1:28">
      <c r="A569" s="18"/>
      <c r="B569" s="18"/>
      <c r="C569" s="18"/>
      <c r="D569" s="19"/>
      <c r="E569" s="19"/>
      <c r="F569" s="18"/>
      <c r="G569" s="12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2"/>
    </row>
    <row r="570" spans="1:28">
      <c r="A570" s="18"/>
      <c r="B570" s="18"/>
      <c r="C570" s="18"/>
      <c r="D570" s="19"/>
      <c r="E570" s="19"/>
      <c r="F570" s="18"/>
      <c r="G570" s="12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2"/>
    </row>
    <row r="571" spans="1:28">
      <c r="A571" s="18"/>
      <c r="B571" s="18"/>
      <c r="C571" s="18"/>
      <c r="D571" s="19"/>
      <c r="E571" s="19"/>
      <c r="F571" s="18"/>
      <c r="G571" s="12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2"/>
    </row>
    <row r="572" spans="1:28">
      <c r="A572" s="18"/>
      <c r="B572" s="18"/>
      <c r="C572" s="18"/>
      <c r="D572" s="19"/>
      <c r="E572" s="19"/>
      <c r="F572" s="18"/>
      <c r="G572" s="12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2"/>
    </row>
    <row r="573" spans="1:28">
      <c r="A573" s="18"/>
      <c r="B573" s="18"/>
      <c r="C573" s="18"/>
      <c r="D573" s="19"/>
      <c r="E573" s="19"/>
      <c r="F573" s="18"/>
      <c r="G573" s="12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2"/>
    </row>
    <row r="574" spans="1:28">
      <c r="A574" s="18"/>
      <c r="B574" s="18"/>
      <c r="C574" s="18"/>
      <c r="D574" s="19"/>
      <c r="E574" s="19"/>
      <c r="F574" s="18"/>
      <c r="G574" s="12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2"/>
    </row>
    <row r="575" spans="1:28">
      <c r="A575" s="18"/>
      <c r="B575" s="18"/>
      <c r="C575" s="18"/>
      <c r="D575" s="19"/>
      <c r="E575" s="19"/>
      <c r="F575" s="18"/>
      <c r="G575" s="12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2"/>
    </row>
    <row r="576" spans="1:28">
      <c r="A576" s="18"/>
      <c r="B576" s="18"/>
      <c r="C576" s="18"/>
      <c r="D576" s="19"/>
      <c r="E576" s="19"/>
      <c r="F576" s="18"/>
      <c r="G576" s="12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2"/>
    </row>
    <row r="577" spans="1:28">
      <c r="A577" s="18"/>
      <c r="B577" s="18"/>
      <c r="C577" s="18"/>
      <c r="D577" s="19"/>
      <c r="E577" s="19"/>
      <c r="F577" s="18"/>
      <c r="G577" s="12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2"/>
    </row>
    <row r="578" spans="1:28">
      <c r="A578" s="18"/>
      <c r="B578" s="18"/>
      <c r="C578" s="18"/>
      <c r="D578" s="19"/>
      <c r="E578" s="19"/>
      <c r="F578" s="18"/>
      <c r="G578" s="12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2"/>
    </row>
    <row r="579" spans="1:28">
      <c r="A579" s="18"/>
      <c r="B579" s="18"/>
      <c r="C579" s="18"/>
      <c r="D579" s="19"/>
      <c r="E579" s="19"/>
      <c r="F579" s="18"/>
      <c r="G579" s="12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2"/>
    </row>
    <row r="580" spans="1:28">
      <c r="A580" s="18"/>
      <c r="B580" s="18"/>
      <c r="C580" s="18"/>
      <c r="D580" s="19"/>
      <c r="E580" s="19"/>
      <c r="F580" s="18"/>
      <c r="G580" s="12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2"/>
    </row>
    <row r="581" spans="1:28">
      <c r="A581" s="18"/>
      <c r="B581" s="18"/>
      <c r="C581" s="18"/>
      <c r="D581" s="19"/>
      <c r="E581" s="19"/>
      <c r="F581" s="18"/>
      <c r="G581" s="12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2"/>
    </row>
    <row r="582" spans="1:28">
      <c r="A582" s="18"/>
      <c r="B582" s="18"/>
      <c r="C582" s="18"/>
      <c r="D582" s="19"/>
      <c r="E582" s="19"/>
      <c r="F582" s="18"/>
      <c r="G582" s="12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2"/>
    </row>
    <row r="583" spans="1:28">
      <c r="A583" s="18"/>
      <c r="B583" s="18"/>
      <c r="C583" s="18"/>
      <c r="D583" s="19"/>
      <c r="E583" s="19"/>
      <c r="F583" s="18"/>
      <c r="G583" s="12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2"/>
    </row>
    <row r="584" spans="1:28">
      <c r="A584" s="18"/>
      <c r="B584" s="18"/>
      <c r="C584" s="18"/>
      <c r="D584" s="19"/>
      <c r="E584" s="19"/>
      <c r="F584" s="18"/>
      <c r="G584" s="12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2"/>
    </row>
    <row r="585" spans="1:28">
      <c r="A585" s="18"/>
      <c r="B585" s="18"/>
      <c r="C585" s="18"/>
      <c r="D585" s="19"/>
      <c r="E585" s="19"/>
      <c r="F585" s="18"/>
      <c r="G585" s="12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2"/>
    </row>
    <row r="586" spans="1:28">
      <c r="A586" s="18"/>
      <c r="B586" s="18"/>
      <c r="C586" s="18"/>
      <c r="D586" s="19"/>
      <c r="E586" s="19"/>
      <c r="F586" s="18"/>
      <c r="G586" s="12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2"/>
    </row>
    <row r="587" spans="1:28">
      <c r="A587" s="18"/>
      <c r="B587" s="18"/>
      <c r="C587" s="18"/>
      <c r="D587" s="19"/>
      <c r="E587" s="19"/>
      <c r="F587" s="18"/>
      <c r="G587" s="12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2"/>
    </row>
    <row r="588" spans="1:28">
      <c r="A588" s="18"/>
      <c r="B588" s="18"/>
      <c r="C588" s="18"/>
      <c r="D588" s="19"/>
      <c r="E588" s="19"/>
      <c r="F588" s="18"/>
      <c r="G588" s="12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2"/>
    </row>
    <row r="589" spans="1:28">
      <c r="A589" s="18"/>
      <c r="B589" s="18"/>
      <c r="C589" s="18"/>
      <c r="D589" s="19"/>
      <c r="E589" s="19"/>
      <c r="F589" s="18"/>
      <c r="G589" s="12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2"/>
    </row>
    <row r="590" spans="1:28">
      <c r="A590" s="18"/>
      <c r="B590" s="18"/>
      <c r="C590" s="18"/>
      <c r="D590" s="19"/>
      <c r="E590" s="19"/>
      <c r="F590" s="18"/>
      <c r="G590" s="12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2"/>
    </row>
    <row r="591" spans="1:28">
      <c r="A591" s="18"/>
      <c r="B591" s="18"/>
      <c r="C591" s="18"/>
      <c r="D591" s="19"/>
      <c r="E591" s="19"/>
      <c r="F591" s="18"/>
      <c r="G591" s="12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2"/>
    </row>
    <row r="592" spans="1:28">
      <c r="A592" s="18"/>
      <c r="B592" s="18"/>
      <c r="C592" s="18"/>
      <c r="D592" s="19"/>
      <c r="E592" s="19"/>
      <c r="F592" s="18"/>
      <c r="G592" s="12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2"/>
    </row>
    <row r="593" spans="1:28">
      <c r="A593" s="18"/>
      <c r="B593" s="18"/>
      <c r="C593" s="18"/>
      <c r="D593" s="19"/>
      <c r="E593" s="19"/>
      <c r="F593" s="18"/>
      <c r="G593" s="12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2"/>
    </row>
    <row r="594" spans="1:28">
      <c r="A594" s="18"/>
      <c r="B594" s="18"/>
      <c r="C594" s="18"/>
      <c r="D594" s="19"/>
      <c r="E594" s="19"/>
      <c r="F594" s="18"/>
      <c r="G594" s="12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2"/>
    </row>
    <row r="595" spans="1:28">
      <c r="A595" s="18"/>
      <c r="B595" s="18"/>
      <c r="C595" s="18"/>
      <c r="D595" s="19"/>
      <c r="E595" s="19"/>
      <c r="F595" s="18"/>
      <c r="G595" s="12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2"/>
    </row>
    <row r="596" spans="1:28">
      <c r="A596" s="18"/>
      <c r="B596" s="18"/>
      <c r="C596" s="18"/>
      <c r="D596" s="19"/>
      <c r="E596" s="19"/>
      <c r="F596" s="18"/>
      <c r="G596" s="12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2"/>
    </row>
    <row r="597" spans="1:28">
      <c r="A597" s="18"/>
      <c r="B597" s="18"/>
      <c r="C597" s="18"/>
      <c r="D597" s="19"/>
      <c r="E597" s="19"/>
      <c r="F597" s="18"/>
      <c r="G597" s="12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2"/>
    </row>
    <row r="598" spans="1:28">
      <c r="A598" s="18"/>
      <c r="B598" s="18"/>
      <c r="C598" s="18"/>
      <c r="D598" s="19"/>
      <c r="E598" s="19"/>
      <c r="F598" s="18"/>
      <c r="G598" s="12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2"/>
    </row>
    <row r="599" spans="1:28">
      <c r="A599" s="18"/>
      <c r="B599" s="18"/>
      <c r="C599" s="18"/>
      <c r="D599" s="19"/>
      <c r="E599" s="19"/>
      <c r="F599" s="18"/>
      <c r="G599" s="12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2"/>
    </row>
    <row r="600" spans="1:28">
      <c r="A600" s="18"/>
      <c r="B600" s="18"/>
      <c r="C600" s="18"/>
      <c r="D600" s="19"/>
      <c r="E600" s="19"/>
      <c r="F600" s="18"/>
      <c r="G600" s="12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2"/>
    </row>
    <row r="601" spans="1:28">
      <c r="A601" s="18"/>
      <c r="B601" s="18"/>
      <c r="C601" s="18"/>
      <c r="D601" s="19"/>
      <c r="E601" s="19"/>
      <c r="F601" s="18"/>
      <c r="G601" s="12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2"/>
    </row>
    <row r="602" spans="1:28">
      <c r="A602" s="18"/>
      <c r="B602" s="18"/>
      <c r="C602" s="18"/>
      <c r="D602" s="19"/>
      <c r="E602" s="19"/>
      <c r="F602" s="18"/>
      <c r="G602" s="12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2"/>
    </row>
    <row r="603" spans="1:28">
      <c r="A603" s="18"/>
      <c r="B603" s="18"/>
      <c r="C603" s="18"/>
      <c r="D603" s="19"/>
      <c r="E603" s="19"/>
      <c r="F603" s="18"/>
      <c r="G603" s="12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2"/>
    </row>
    <row r="604" spans="1:28">
      <c r="A604" s="18"/>
      <c r="B604" s="18"/>
      <c r="C604" s="18"/>
      <c r="D604" s="19"/>
      <c r="E604" s="19"/>
      <c r="F604" s="18"/>
      <c r="G604" s="12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2"/>
    </row>
    <row r="605" spans="1:28">
      <c r="A605" s="18"/>
      <c r="B605" s="18"/>
      <c r="C605" s="18"/>
      <c r="D605" s="19"/>
      <c r="E605" s="19"/>
      <c r="F605" s="18"/>
      <c r="G605" s="12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2"/>
    </row>
    <row r="606" spans="1:28">
      <c r="A606" s="18"/>
      <c r="B606" s="18"/>
      <c r="C606" s="18"/>
      <c r="D606" s="19"/>
      <c r="E606" s="19"/>
      <c r="F606" s="18"/>
      <c r="G606" s="12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2"/>
    </row>
    <row r="607" spans="1:28">
      <c r="A607" s="18"/>
      <c r="B607" s="18"/>
      <c r="C607" s="18"/>
      <c r="D607" s="19"/>
      <c r="E607" s="19"/>
      <c r="F607" s="18"/>
      <c r="G607" s="12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2"/>
    </row>
    <row r="608" spans="1:28">
      <c r="A608" s="18"/>
      <c r="B608" s="18"/>
      <c r="C608" s="18"/>
      <c r="D608" s="19"/>
      <c r="E608" s="19"/>
      <c r="F608" s="18"/>
      <c r="G608" s="12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2"/>
    </row>
    <row r="609" spans="1:28">
      <c r="A609" s="18"/>
      <c r="B609" s="18"/>
      <c r="C609" s="18"/>
      <c r="D609" s="19"/>
      <c r="E609" s="19"/>
      <c r="F609" s="18"/>
      <c r="G609" s="12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2"/>
    </row>
    <row r="610" spans="1:28">
      <c r="A610" s="18"/>
      <c r="B610" s="18"/>
      <c r="C610" s="18"/>
      <c r="D610" s="19"/>
      <c r="E610" s="19"/>
      <c r="F610" s="18"/>
      <c r="G610" s="12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2"/>
    </row>
    <row r="611" spans="1:28">
      <c r="A611" s="18"/>
      <c r="B611" s="18"/>
      <c r="C611" s="18"/>
      <c r="D611" s="19"/>
      <c r="E611" s="19"/>
      <c r="F611" s="18"/>
      <c r="G611" s="12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2"/>
    </row>
    <row r="612" spans="1:28">
      <c r="A612" s="18"/>
      <c r="B612" s="18"/>
      <c r="C612" s="18"/>
      <c r="D612" s="19"/>
      <c r="E612" s="19"/>
      <c r="F612" s="18"/>
      <c r="G612" s="12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2"/>
    </row>
    <row r="613" spans="1:28">
      <c r="A613" s="18"/>
      <c r="B613" s="18"/>
      <c r="C613" s="18"/>
      <c r="D613" s="19"/>
      <c r="E613" s="19"/>
      <c r="F613" s="18"/>
      <c r="G613" s="12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2"/>
    </row>
    <row r="614" spans="1:28">
      <c r="A614" s="18"/>
      <c r="B614" s="18"/>
      <c r="C614" s="18"/>
      <c r="D614" s="19"/>
      <c r="E614" s="19"/>
      <c r="F614" s="18"/>
      <c r="G614" s="12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2"/>
    </row>
    <row r="615" spans="1:28">
      <c r="A615" s="18"/>
      <c r="B615" s="18"/>
      <c r="C615" s="18"/>
      <c r="D615" s="19"/>
      <c r="E615" s="19"/>
      <c r="F615" s="18"/>
      <c r="G615" s="12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2"/>
    </row>
    <row r="616" spans="1:28">
      <c r="A616" s="18"/>
      <c r="B616" s="18"/>
      <c r="C616" s="18"/>
      <c r="D616" s="19"/>
      <c r="E616" s="19"/>
      <c r="F616" s="18"/>
      <c r="G616" s="12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2"/>
    </row>
    <row r="617" spans="1:28">
      <c r="A617" s="18"/>
      <c r="B617" s="18"/>
      <c r="C617" s="18"/>
      <c r="D617" s="19"/>
      <c r="E617" s="19"/>
      <c r="F617" s="18"/>
      <c r="G617" s="12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2"/>
    </row>
    <row r="618" spans="1:28">
      <c r="A618" s="18"/>
      <c r="B618" s="18"/>
      <c r="C618" s="18"/>
      <c r="D618" s="19"/>
      <c r="E618" s="19"/>
      <c r="F618" s="18"/>
      <c r="G618" s="12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2"/>
    </row>
    <row r="619" spans="1:28">
      <c r="A619" s="18"/>
      <c r="B619" s="18"/>
      <c r="C619" s="18"/>
      <c r="D619" s="19"/>
      <c r="E619" s="19"/>
      <c r="F619" s="18"/>
      <c r="G619" s="12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2"/>
    </row>
    <row r="620" spans="1:28">
      <c r="A620" s="18"/>
      <c r="B620" s="18"/>
      <c r="C620" s="18"/>
      <c r="D620" s="19"/>
      <c r="E620" s="19"/>
      <c r="F620" s="18"/>
      <c r="G620" s="12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2"/>
    </row>
    <row r="621" spans="1:28">
      <c r="A621" s="18"/>
      <c r="B621" s="18"/>
      <c r="C621" s="18"/>
      <c r="D621" s="19"/>
      <c r="E621" s="19"/>
      <c r="F621" s="18"/>
      <c r="G621" s="12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2"/>
    </row>
    <row r="622" spans="1:28">
      <c r="A622" s="18"/>
      <c r="B622" s="18"/>
      <c r="C622" s="18"/>
      <c r="D622" s="19"/>
      <c r="E622" s="19"/>
      <c r="F622" s="18"/>
      <c r="G622" s="12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2"/>
    </row>
    <row r="623" spans="1:28">
      <c r="A623" s="18"/>
      <c r="B623" s="18"/>
      <c r="C623" s="18"/>
      <c r="D623" s="19"/>
      <c r="E623" s="19"/>
      <c r="F623" s="18"/>
      <c r="G623" s="12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2"/>
    </row>
    <row r="624" spans="1:28">
      <c r="A624" s="18"/>
      <c r="B624" s="18"/>
      <c r="C624" s="18"/>
      <c r="D624" s="19"/>
      <c r="E624" s="19"/>
      <c r="F624" s="18"/>
      <c r="G624" s="12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2"/>
    </row>
    <row r="625" spans="1:28">
      <c r="A625" s="18"/>
      <c r="B625" s="18"/>
      <c r="C625" s="18"/>
      <c r="D625" s="19"/>
      <c r="E625" s="19"/>
      <c r="F625" s="18"/>
      <c r="G625" s="12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2"/>
    </row>
    <row r="626" spans="1:28">
      <c r="A626" s="18"/>
      <c r="B626" s="18"/>
      <c r="C626" s="18"/>
      <c r="D626" s="19"/>
      <c r="E626" s="19"/>
      <c r="F626" s="18"/>
      <c r="G626" s="12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2"/>
    </row>
    <row r="627" spans="1:28">
      <c r="A627" s="18"/>
      <c r="B627" s="18"/>
      <c r="C627" s="18"/>
      <c r="D627" s="19"/>
      <c r="E627" s="19"/>
      <c r="F627" s="18"/>
      <c r="G627" s="12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2"/>
    </row>
    <row r="628" spans="1:28">
      <c r="A628" s="18"/>
      <c r="B628" s="18"/>
      <c r="C628" s="18"/>
      <c r="D628" s="19"/>
      <c r="E628" s="19"/>
      <c r="F628" s="18"/>
      <c r="G628" s="12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2"/>
    </row>
    <row r="629" spans="1:28">
      <c r="A629" s="18"/>
      <c r="B629" s="18"/>
      <c r="C629" s="18"/>
      <c r="D629" s="19"/>
      <c r="E629" s="19"/>
      <c r="F629" s="18"/>
      <c r="G629" s="12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2"/>
    </row>
    <row r="630" spans="1:28">
      <c r="A630" s="18"/>
      <c r="B630" s="18"/>
      <c r="C630" s="18"/>
      <c r="D630" s="19"/>
      <c r="E630" s="19"/>
      <c r="F630" s="18"/>
      <c r="G630" s="12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2"/>
    </row>
    <row r="631" spans="1:28">
      <c r="A631" s="18"/>
      <c r="B631" s="18"/>
      <c r="C631" s="18"/>
      <c r="D631" s="19"/>
      <c r="E631" s="19"/>
      <c r="F631" s="18"/>
      <c r="G631" s="12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2"/>
    </row>
    <row r="632" spans="1:28">
      <c r="A632" s="18"/>
      <c r="B632" s="18"/>
      <c r="C632" s="18"/>
      <c r="D632" s="19"/>
      <c r="E632" s="19"/>
      <c r="F632" s="18"/>
      <c r="G632" s="12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2"/>
    </row>
    <row r="633" spans="1:28">
      <c r="A633" s="18"/>
      <c r="B633" s="18"/>
      <c r="C633" s="18"/>
      <c r="D633" s="19"/>
      <c r="E633" s="19"/>
      <c r="F633" s="18"/>
      <c r="G633" s="12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2"/>
    </row>
    <row r="634" spans="1:28">
      <c r="A634" s="18"/>
      <c r="B634" s="18"/>
      <c r="C634" s="18"/>
      <c r="D634" s="19"/>
      <c r="E634" s="19"/>
      <c r="F634" s="18"/>
      <c r="G634" s="12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2"/>
    </row>
    <row r="635" spans="1:28">
      <c r="A635" s="18"/>
      <c r="B635" s="18"/>
      <c r="C635" s="18"/>
      <c r="D635" s="19"/>
      <c r="E635" s="19"/>
      <c r="F635" s="18"/>
      <c r="G635" s="12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2"/>
    </row>
    <row r="636" spans="1:28">
      <c r="A636" s="18"/>
      <c r="B636" s="18"/>
      <c r="C636" s="18"/>
      <c r="D636" s="19"/>
      <c r="E636" s="19"/>
      <c r="F636" s="18"/>
      <c r="G636" s="12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2"/>
    </row>
    <row r="637" spans="1:28">
      <c r="A637" s="18"/>
      <c r="B637" s="18"/>
      <c r="C637" s="18"/>
      <c r="D637" s="19"/>
      <c r="E637" s="19"/>
      <c r="F637" s="18"/>
      <c r="G637" s="12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2"/>
    </row>
    <row r="638" spans="1:28">
      <c r="A638" s="18"/>
      <c r="B638" s="18"/>
      <c r="C638" s="18"/>
      <c r="D638" s="19"/>
      <c r="E638" s="19"/>
      <c r="F638" s="18"/>
      <c r="G638" s="12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2"/>
    </row>
    <row r="639" spans="1:28">
      <c r="A639" s="18"/>
      <c r="B639" s="18"/>
      <c r="C639" s="18"/>
      <c r="D639" s="19"/>
      <c r="E639" s="19"/>
      <c r="F639" s="18"/>
      <c r="G639" s="12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2"/>
    </row>
    <row r="640" spans="1:28">
      <c r="A640" s="18"/>
      <c r="B640" s="18"/>
      <c r="C640" s="18"/>
      <c r="D640" s="19"/>
      <c r="E640" s="19"/>
      <c r="F640" s="18"/>
      <c r="G640" s="12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2"/>
    </row>
    <row r="641" spans="1:28">
      <c r="A641" s="18"/>
      <c r="B641" s="18"/>
      <c r="C641" s="18"/>
      <c r="D641" s="19"/>
      <c r="E641" s="19"/>
      <c r="F641" s="18"/>
      <c r="G641" s="12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2"/>
    </row>
    <row r="642" spans="1:28">
      <c r="A642" s="18"/>
      <c r="B642" s="18"/>
      <c r="C642" s="18"/>
      <c r="D642" s="19"/>
      <c r="E642" s="19"/>
      <c r="F642" s="18"/>
      <c r="G642" s="12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2"/>
    </row>
    <row r="643" spans="1:28">
      <c r="A643" s="18"/>
      <c r="B643" s="18"/>
      <c r="C643" s="18"/>
      <c r="D643" s="19"/>
      <c r="E643" s="19"/>
      <c r="F643" s="18"/>
      <c r="G643" s="12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2"/>
    </row>
    <row r="644" spans="1:28">
      <c r="A644" s="18"/>
      <c r="B644" s="18"/>
      <c r="C644" s="18"/>
      <c r="D644" s="19"/>
      <c r="E644" s="19"/>
      <c r="F644" s="18"/>
      <c r="G644" s="12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2"/>
    </row>
    <row r="645" spans="1:28">
      <c r="A645" s="18"/>
      <c r="B645" s="18"/>
      <c r="C645" s="18"/>
      <c r="D645" s="19"/>
      <c r="E645" s="19"/>
      <c r="F645" s="18"/>
      <c r="G645" s="12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2"/>
    </row>
    <row r="646" spans="1:28">
      <c r="A646" s="18"/>
      <c r="B646" s="18"/>
      <c r="C646" s="18"/>
      <c r="D646" s="19"/>
      <c r="E646" s="19"/>
      <c r="F646" s="18"/>
      <c r="G646" s="12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2"/>
    </row>
    <row r="647" spans="1:28">
      <c r="A647" s="18"/>
      <c r="B647" s="18"/>
      <c r="C647" s="18"/>
      <c r="D647" s="19"/>
      <c r="E647" s="19"/>
      <c r="F647" s="18"/>
      <c r="G647" s="12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2"/>
    </row>
    <row r="648" spans="1:28">
      <c r="A648" s="18"/>
      <c r="B648" s="18"/>
      <c r="C648" s="18"/>
      <c r="D648" s="19"/>
      <c r="E648" s="19"/>
      <c r="F648" s="18"/>
      <c r="G648" s="12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2"/>
    </row>
    <row r="649" spans="1:28">
      <c r="A649" s="18"/>
      <c r="B649" s="18"/>
      <c r="C649" s="18"/>
      <c r="D649" s="19"/>
      <c r="E649" s="19"/>
      <c r="F649" s="18"/>
      <c r="G649" s="12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2"/>
    </row>
    <row r="650" spans="1:28">
      <c r="A650" s="18"/>
      <c r="B650" s="18"/>
      <c r="C650" s="18"/>
      <c r="D650" s="19"/>
      <c r="E650" s="19"/>
      <c r="F650" s="18"/>
      <c r="G650" s="12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2"/>
    </row>
    <row r="651" spans="1:28">
      <c r="A651" s="18"/>
      <c r="B651" s="18"/>
      <c r="C651" s="18"/>
      <c r="D651" s="19"/>
      <c r="E651" s="19"/>
      <c r="F651" s="18"/>
      <c r="G651" s="12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2"/>
    </row>
    <row r="652" spans="1:28">
      <c r="A652" s="18"/>
      <c r="B652" s="18"/>
      <c r="C652" s="18"/>
      <c r="D652" s="19"/>
      <c r="E652" s="19"/>
      <c r="F652" s="18"/>
      <c r="G652" s="12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2"/>
    </row>
    <row r="653" spans="1:28">
      <c r="A653" s="18"/>
      <c r="B653" s="18"/>
      <c r="C653" s="18"/>
      <c r="D653" s="19"/>
      <c r="E653" s="19"/>
      <c r="F653" s="18"/>
      <c r="G653" s="12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2"/>
    </row>
    <row r="654" spans="1:28">
      <c r="A654" s="18"/>
      <c r="B654" s="18"/>
      <c r="C654" s="18"/>
      <c r="D654" s="19"/>
      <c r="E654" s="19"/>
      <c r="F654" s="18"/>
      <c r="G654" s="12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2"/>
    </row>
    <row r="655" spans="1:28">
      <c r="A655" s="18"/>
      <c r="B655" s="18"/>
      <c r="C655" s="18"/>
      <c r="D655" s="19"/>
      <c r="E655" s="19"/>
      <c r="F655" s="18"/>
      <c r="G655" s="12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2"/>
    </row>
    <row r="656" spans="1:28">
      <c r="A656" s="18"/>
      <c r="B656" s="18"/>
      <c r="C656" s="18"/>
      <c r="D656" s="19"/>
      <c r="E656" s="19"/>
      <c r="F656" s="18"/>
      <c r="G656" s="12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2"/>
    </row>
    <row r="657" spans="1:28">
      <c r="A657" s="18"/>
      <c r="B657" s="18"/>
      <c r="C657" s="18"/>
      <c r="D657" s="19"/>
      <c r="E657" s="19"/>
      <c r="F657" s="18"/>
      <c r="G657" s="12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2"/>
    </row>
    <row r="658" spans="1:28">
      <c r="A658" s="18"/>
      <c r="B658" s="18"/>
      <c r="C658" s="18"/>
      <c r="D658" s="19"/>
      <c r="E658" s="19"/>
      <c r="F658" s="18"/>
      <c r="G658" s="12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2"/>
    </row>
    <row r="659" spans="1:28">
      <c r="A659" s="18"/>
      <c r="B659" s="18"/>
      <c r="C659" s="18"/>
      <c r="D659" s="19"/>
      <c r="E659" s="19"/>
      <c r="F659" s="18"/>
      <c r="G659" s="12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2"/>
    </row>
    <row r="660" spans="1:28">
      <c r="A660" s="18"/>
      <c r="B660" s="18"/>
      <c r="C660" s="18"/>
      <c r="D660" s="19"/>
      <c r="E660" s="19"/>
      <c r="F660" s="18"/>
      <c r="G660" s="12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2"/>
    </row>
    <row r="661" spans="1:28">
      <c r="A661" s="18"/>
      <c r="B661" s="18"/>
      <c r="C661" s="18"/>
      <c r="D661" s="19"/>
      <c r="E661" s="19"/>
      <c r="F661" s="18"/>
      <c r="G661" s="12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2"/>
    </row>
    <row r="662" spans="1:28">
      <c r="A662" s="18"/>
      <c r="B662" s="18"/>
      <c r="C662" s="18"/>
      <c r="D662" s="19"/>
      <c r="E662" s="19"/>
      <c r="F662" s="18"/>
      <c r="G662" s="12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2"/>
    </row>
    <row r="663" spans="1:28">
      <c r="A663" s="18"/>
      <c r="B663" s="18"/>
      <c r="C663" s="18"/>
      <c r="D663" s="19"/>
      <c r="E663" s="19"/>
      <c r="F663" s="18"/>
      <c r="G663" s="12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2"/>
    </row>
    <row r="664" spans="1:28">
      <c r="A664" s="18"/>
      <c r="B664" s="18"/>
      <c r="C664" s="18"/>
      <c r="D664" s="19"/>
      <c r="E664" s="19"/>
      <c r="F664" s="18"/>
      <c r="G664" s="12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2"/>
    </row>
    <row r="665" spans="1:28">
      <c r="A665" s="18"/>
      <c r="B665" s="18"/>
      <c r="C665" s="18"/>
      <c r="D665" s="19"/>
      <c r="E665" s="19"/>
      <c r="F665" s="18"/>
      <c r="G665" s="12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2"/>
    </row>
    <row r="666" spans="1:28">
      <c r="A666" s="18"/>
      <c r="B666" s="18"/>
      <c r="C666" s="18"/>
      <c r="D666" s="19"/>
      <c r="E666" s="19"/>
      <c r="F666" s="18"/>
      <c r="G666" s="12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2"/>
    </row>
    <row r="667" spans="1:28">
      <c r="A667" s="18"/>
      <c r="B667" s="18"/>
      <c r="C667" s="18"/>
      <c r="D667" s="19"/>
      <c r="E667" s="19"/>
      <c r="F667" s="18"/>
      <c r="G667" s="12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2"/>
    </row>
    <row r="668" spans="1:28">
      <c r="A668" s="18"/>
      <c r="B668" s="18"/>
      <c r="C668" s="18"/>
      <c r="D668" s="19"/>
      <c r="E668" s="19"/>
      <c r="F668" s="18"/>
      <c r="G668" s="12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2"/>
    </row>
    <row r="669" spans="1:28">
      <c r="A669" s="18"/>
      <c r="B669" s="18"/>
      <c r="C669" s="18"/>
      <c r="D669" s="19"/>
      <c r="E669" s="19"/>
      <c r="F669" s="18"/>
      <c r="G669" s="12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2"/>
    </row>
    <row r="670" spans="1:28">
      <c r="A670" s="18"/>
      <c r="B670" s="18"/>
      <c r="C670" s="18"/>
      <c r="D670" s="19"/>
      <c r="E670" s="19"/>
      <c r="F670" s="18"/>
      <c r="G670" s="12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2"/>
    </row>
    <row r="671" spans="1:28">
      <c r="A671" s="18"/>
      <c r="B671" s="18"/>
      <c r="C671" s="18"/>
      <c r="D671" s="19"/>
      <c r="E671" s="19"/>
      <c r="F671" s="18"/>
      <c r="G671" s="12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2"/>
    </row>
    <row r="672" spans="1:28">
      <c r="A672" s="18"/>
      <c r="B672" s="18"/>
      <c r="C672" s="18"/>
      <c r="D672" s="19"/>
      <c r="E672" s="19"/>
      <c r="F672" s="18"/>
      <c r="G672" s="12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2"/>
    </row>
    <row r="673" spans="1:28">
      <c r="A673" s="18"/>
      <c r="B673" s="18"/>
      <c r="C673" s="18"/>
      <c r="D673" s="19"/>
      <c r="E673" s="19"/>
      <c r="F673" s="18"/>
      <c r="G673" s="12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2"/>
    </row>
    <row r="674" spans="1:28">
      <c r="A674" s="18"/>
      <c r="B674" s="18"/>
      <c r="C674" s="18"/>
      <c r="D674" s="19"/>
      <c r="E674" s="19"/>
      <c r="F674" s="18"/>
      <c r="G674" s="12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2"/>
    </row>
    <row r="675" spans="1:28">
      <c r="A675" s="18"/>
      <c r="B675" s="18"/>
      <c r="C675" s="18"/>
      <c r="D675" s="19"/>
      <c r="E675" s="19"/>
      <c r="F675" s="18"/>
      <c r="G675" s="12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2"/>
    </row>
    <row r="676" spans="1:28">
      <c r="A676" s="18"/>
      <c r="B676" s="18"/>
      <c r="C676" s="18"/>
      <c r="D676" s="19"/>
      <c r="E676" s="19"/>
      <c r="F676" s="18"/>
      <c r="G676" s="12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2"/>
    </row>
    <row r="677" spans="1:28">
      <c r="A677" s="18"/>
      <c r="B677" s="18"/>
      <c r="C677" s="18"/>
      <c r="D677" s="19"/>
      <c r="E677" s="19"/>
      <c r="F677" s="18"/>
      <c r="G677" s="12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2"/>
    </row>
    <row r="678" spans="1:28">
      <c r="A678" s="18"/>
      <c r="B678" s="18"/>
      <c r="C678" s="18"/>
      <c r="D678" s="19"/>
      <c r="E678" s="19"/>
      <c r="F678" s="18"/>
      <c r="G678" s="12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2"/>
    </row>
    <row r="679" spans="1:28">
      <c r="A679" s="18"/>
      <c r="B679" s="18"/>
      <c r="C679" s="18"/>
      <c r="D679" s="19"/>
      <c r="E679" s="19"/>
      <c r="F679" s="18"/>
      <c r="G679" s="12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2"/>
    </row>
    <row r="680" spans="1:28">
      <c r="A680" s="18"/>
      <c r="B680" s="18"/>
      <c r="C680" s="18"/>
      <c r="D680" s="19"/>
      <c r="E680" s="19"/>
      <c r="F680" s="18"/>
      <c r="G680" s="12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2"/>
    </row>
    <row r="681" spans="1:28">
      <c r="A681" s="18"/>
      <c r="B681" s="18"/>
      <c r="C681" s="18"/>
      <c r="D681" s="19"/>
      <c r="E681" s="19"/>
      <c r="F681" s="18"/>
      <c r="G681" s="12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2"/>
    </row>
    <row r="682" spans="1:28">
      <c r="A682" s="18"/>
      <c r="B682" s="18"/>
      <c r="C682" s="18"/>
      <c r="D682" s="19"/>
      <c r="E682" s="19"/>
      <c r="F682" s="18"/>
      <c r="G682" s="12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2"/>
    </row>
    <row r="683" spans="1:28">
      <c r="A683" s="18"/>
      <c r="B683" s="18"/>
      <c r="C683" s="18"/>
      <c r="D683" s="19"/>
      <c r="E683" s="19"/>
      <c r="F683" s="18"/>
      <c r="G683" s="12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2"/>
    </row>
    <row r="684" spans="1:28">
      <c r="A684" s="18"/>
      <c r="B684" s="18"/>
      <c r="C684" s="18"/>
      <c r="D684" s="19"/>
      <c r="E684" s="19"/>
      <c r="F684" s="18"/>
      <c r="G684" s="12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2"/>
    </row>
    <row r="685" spans="1:28">
      <c r="A685" s="18"/>
      <c r="B685" s="18"/>
      <c r="C685" s="18"/>
      <c r="D685" s="19"/>
      <c r="E685" s="19"/>
      <c r="F685" s="18"/>
      <c r="G685" s="12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2"/>
    </row>
    <row r="686" spans="1:28">
      <c r="A686" s="18"/>
      <c r="B686" s="18"/>
      <c r="C686" s="18"/>
      <c r="D686" s="19"/>
      <c r="E686" s="19"/>
      <c r="F686" s="18"/>
      <c r="G686" s="12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2"/>
    </row>
    <row r="687" spans="1:28">
      <c r="A687" s="18"/>
      <c r="B687" s="18"/>
      <c r="C687" s="18"/>
      <c r="D687" s="19"/>
      <c r="E687" s="19"/>
      <c r="F687" s="18"/>
      <c r="G687" s="12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2"/>
    </row>
    <row r="688" spans="1:28">
      <c r="A688" s="18"/>
      <c r="B688" s="18"/>
      <c r="C688" s="18"/>
      <c r="D688" s="19"/>
      <c r="E688" s="19"/>
      <c r="F688" s="18"/>
      <c r="G688" s="12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2"/>
    </row>
    <row r="689" spans="1:28">
      <c r="A689" s="18"/>
      <c r="B689" s="18"/>
      <c r="C689" s="18"/>
      <c r="D689" s="19"/>
      <c r="E689" s="19"/>
      <c r="F689" s="18"/>
      <c r="G689" s="12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2"/>
    </row>
    <row r="690" spans="1:28">
      <c r="A690" s="18"/>
      <c r="B690" s="18"/>
      <c r="C690" s="18"/>
      <c r="D690" s="19"/>
      <c r="E690" s="19"/>
      <c r="F690" s="18"/>
      <c r="G690" s="12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2"/>
    </row>
    <row r="691" spans="1:28">
      <c r="A691" s="18"/>
      <c r="B691" s="18"/>
      <c r="C691" s="18"/>
      <c r="D691" s="19"/>
      <c r="E691" s="19"/>
      <c r="F691" s="18"/>
      <c r="G691" s="12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2"/>
    </row>
    <row r="692" spans="1:28">
      <c r="A692" s="18"/>
      <c r="B692" s="18"/>
      <c r="C692" s="18"/>
      <c r="D692" s="19"/>
      <c r="E692" s="19"/>
      <c r="F692" s="18"/>
      <c r="G692" s="12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2"/>
    </row>
    <row r="693" spans="1:28">
      <c r="A693" s="18"/>
      <c r="B693" s="18"/>
      <c r="C693" s="18"/>
      <c r="D693" s="19"/>
      <c r="E693" s="19"/>
      <c r="F693" s="18"/>
      <c r="G693" s="12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2"/>
    </row>
    <row r="694" spans="1:28">
      <c r="A694" s="18"/>
      <c r="B694" s="18"/>
      <c r="C694" s="18"/>
      <c r="D694" s="19"/>
      <c r="E694" s="19"/>
      <c r="F694" s="18"/>
      <c r="G694" s="12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2"/>
    </row>
    <row r="695" spans="1:28">
      <c r="A695" s="18"/>
      <c r="B695" s="18"/>
      <c r="C695" s="18"/>
      <c r="D695" s="19"/>
      <c r="E695" s="19"/>
      <c r="F695" s="18"/>
      <c r="G695" s="12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2"/>
    </row>
    <row r="696" spans="1:28">
      <c r="A696" s="18"/>
      <c r="B696" s="18"/>
      <c r="C696" s="18"/>
      <c r="D696" s="19"/>
      <c r="E696" s="19"/>
      <c r="F696" s="18"/>
      <c r="G696" s="12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2"/>
    </row>
    <row r="697" spans="1:28">
      <c r="A697" s="18"/>
      <c r="B697" s="18"/>
      <c r="C697" s="18"/>
      <c r="D697" s="19"/>
      <c r="E697" s="19"/>
      <c r="F697" s="18"/>
      <c r="G697" s="12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2"/>
    </row>
    <row r="698" spans="1:28">
      <c r="A698" s="18"/>
      <c r="B698" s="18"/>
      <c r="C698" s="18"/>
      <c r="D698" s="19"/>
      <c r="E698" s="19"/>
      <c r="F698" s="18"/>
      <c r="G698" s="12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2"/>
    </row>
    <row r="699" spans="1:28">
      <c r="A699" s="18"/>
      <c r="B699" s="18"/>
      <c r="C699" s="18"/>
      <c r="D699" s="19"/>
      <c r="E699" s="19"/>
      <c r="F699" s="18"/>
      <c r="G699" s="12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2"/>
    </row>
    <row r="700" spans="1:28">
      <c r="A700" s="18"/>
      <c r="B700" s="18"/>
      <c r="C700" s="18"/>
      <c r="D700" s="19"/>
      <c r="E700" s="19"/>
      <c r="F700" s="18"/>
      <c r="G700" s="12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2"/>
    </row>
    <row r="701" spans="1:28">
      <c r="A701" s="18"/>
      <c r="B701" s="18"/>
      <c r="C701" s="18"/>
      <c r="D701" s="19"/>
      <c r="E701" s="19"/>
      <c r="F701" s="18"/>
      <c r="G701" s="12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2"/>
    </row>
    <row r="702" spans="1:28">
      <c r="A702" s="18"/>
      <c r="B702" s="18"/>
      <c r="C702" s="18"/>
      <c r="D702" s="19"/>
      <c r="E702" s="19"/>
      <c r="F702" s="18"/>
      <c r="G702" s="12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2"/>
    </row>
    <row r="703" spans="1:28">
      <c r="A703" s="18"/>
      <c r="B703" s="18"/>
      <c r="C703" s="18"/>
      <c r="D703" s="19"/>
      <c r="E703" s="19"/>
      <c r="F703" s="18"/>
      <c r="G703" s="12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2"/>
    </row>
    <row r="704" spans="1:28">
      <c r="A704" s="18"/>
      <c r="B704" s="18"/>
      <c r="C704" s="18"/>
      <c r="D704" s="19"/>
      <c r="E704" s="19"/>
      <c r="F704" s="18"/>
      <c r="G704" s="12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2"/>
    </row>
    <row r="705" spans="1:28">
      <c r="A705" s="18"/>
      <c r="B705" s="18"/>
      <c r="C705" s="18"/>
      <c r="D705" s="19"/>
      <c r="E705" s="19"/>
      <c r="F705" s="18"/>
      <c r="G705" s="12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2"/>
    </row>
    <row r="706" spans="1:28">
      <c r="A706" s="18"/>
      <c r="B706" s="18"/>
      <c r="C706" s="18"/>
      <c r="D706" s="19"/>
      <c r="E706" s="19"/>
      <c r="F706" s="18"/>
      <c r="G706" s="12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2"/>
    </row>
    <row r="707" spans="1:28">
      <c r="A707" s="18"/>
      <c r="B707" s="18"/>
      <c r="C707" s="18"/>
      <c r="D707" s="19"/>
      <c r="E707" s="19"/>
      <c r="F707" s="18"/>
      <c r="G707" s="12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2"/>
    </row>
    <row r="708" spans="1:28">
      <c r="A708" s="18"/>
      <c r="B708" s="18"/>
      <c r="C708" s="18"/>
      <c r="D708" s="19"/>
      <c r="E708" s="19"/>
      <c r="F708" s="18"/>
      <c r="G708" s="12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2"/>
    </row>
    <row r="709" spans="1:28">
      <c r="A709" s="18"/>
      <c r="B709" s="18"/>
      <c r="C709" s="18"/>
      <c r="D709" s="19"/>
      <c r="E709" s="19"/>
      <c r="F709" s="18"/>
      <c r="G709" s="12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2"/>
    </row>
    <row r="710" spans="1:28">
      <c r="A710" s="18"/>
      <c r="B710" s="18"/>
      <c r="C710" s="18"/>
      <c r="D710" s="19"/>
      <c r="E710" s="19"/>
      <c r="F710" s="18"/>
      <c r="G710" s="12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2"/>
    </row>
    <row r="711" spans="1:28">
      <c r="A711" s="18"/>
      <c r="B711" s="18"/>
      <c r="C711" s="18"/>
      <c r="D711" s="19"/>
      <c r="E711" s="19"/>
      <c r="F711" s="18"/>
      <c r="G711" s="12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2"/>
    </row>
    <row r="712" spans="1:28">
      <c r="A712" s="18"/>
      <c r="B712" s="18"/>
      <c r="C712" s="18"/>
      <c r="D712" s="19"/>
      <c r="E712" s="19"/>
      <c r="F712" s="18"/>
      <c r="G712" s="12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2"/>
    </row>
    <row r="713" spans="1:28">
      <c r="A713" s="18"/>
      <c r="B713" s="18"/>
      <c r="C713" s="18"/>
      <c r="D713" s="19"/>
      <c r="E713" s="19"/>
      <c r="F713" s="18"/>
      <c r="G713" s="12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2"/>
    </row>
    <row r="714" spans="1:28">
      <c r="A714" s="18"/>
      <c r="B714" s="18"/>
      <c r="C714" s="18"/>
      <c r="D714" s="19"/>
      <c r="E714" s="19"/>
      <c r="F714" s="18"/>
      <c r="G714" s="12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2"/>
    </row>
    <row r="715" spans="1:28">
      <c r="A715" s="18"/>
      <c r="B715" s="18"/>
      <c r="C715" s="18"/>
      <c r="D715" s="19"/>
      <c r="E715" s="19"/>
      <c r="F715" s="18"/>
      <c r="G715" s="12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2"/>
    </row>
    <row r="716" spans="1:28">
      <c r="A716" s="18"/>
      <c r="B716" s="18"/>
      <c r="C716" s="18"/>
      <c r="D716" s="19"/>
      <c r="E716" s="19"/>
      <c r="F716" s="18"/>
      <c r="G716" s="12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2"/>
    </row>
    <row r="717" spans="1:28">
      <c r="A717" s="18"/>
      <c r="B717" s="18"/>
      <c r="C717" s="18"/>
      <c r="D717" s="19"/>
      <c r="E717" s="19"/>
      <c r="F717" s="18"/>
      <c r="G717" s="12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2"/>
    </row>
    <row r="718" spans="1:28">
      <c r="A718" s="18"/>
      <c r="B718" s="18"/>
      <c r="C718" s="18"/>
      <c r="D718" s="19"/>
      <c r="E718" s="19"/>
      <c r="F718" s="18"/>
      <c r="G718" s="12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2"/>
    </row>
    <row r="719" spans="1:28">
      <c r="A719" s="18"/>
      <c r="B719" s="18"/>
      <c r="C719" s="18"/>
      <c r="D719" s="19"/>
      <c r="E719" s="19"/>
      <c r="F719" s="18"/>
      <c r="G719" s="12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2"/>
    </row>
    <row r="720" spans="1:28">
      <c r="A720" s="18"/>
      <c r="B720" s="18"/>
      <c r="C720" s="18"/>
      <c r="D720" s="19"/>
      <c r="E720" s="19"/>
      <c r="F720" s="18"/>
      <c r="G720" s="12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2"/>
    </row>
    <row r="721" spans="1:28">
      <c r="A721" s="18"/>
      <c r="B721" s="18"/>
      <c r="C721" s="18"/>
      <c r="D721" s="19"/>
      <c r="E721" s="19"/>
      <c r="F721" s="18"/>
      <c r="G721" s="12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2"/>
    </row>
    <row r="722" spans="1:28">
      <c r="A722" s="18"/>
      <c r="B722" s="18"/>
      <c r="C722" s="18"/>
      <c r="D722" s="19"/>
      <c r="E722" s="19"/>
      <c r="F722" s="18"/>
      <c r="G722" s="12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2"/>
    </row>
    <row r="723" spans="1:28">
      <c r="A723" s="18"/>
      <c r="B723" s="18"/>
      <c r="C723" s="18"/>
      <c r="D723" s="19"/>
      <c r="E723" s="19"/>
      <c r="F723" s="18"/>
      <c r="G723" s="12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2"/>
    </row>
    <row r="724" spans="1:28">
      <c r="A724" s="18"/>
      <c r="B724" s="18"/>
      <c r="C724" s="18"/>
      <c r="D724" s="19"/>
      <c r="E724" s="19"/>
      <c r="F724" s="18"/>
      <c r="G724" s="12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2"/>
    </row>
    <row r="725" spans="1:28">
      <c r="A725" s="18"/>
      <c r="B725" s="18"/>
      <c r="C725" s="18"/>
      <c r="D725" s="19"/>
      <c r="E725" s="19"/>
      <c r="F725" s="18"/>
      <c r="G725" s="12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2"/>
    </row>
    <row r="726" spans="1:28">
      <c r="A726" s="18"/>
      <c r="B726" s="18"/>
      <c r="C726" s="18"/>
      <c r="D726" s="19"/>
      <c r="E726" s="19"/>
      <c r="F726" s="18"/>
      <c r="G726" s="12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2"/>
    </row>
    <row r="727" spans="1:28">
      <c r="A727" s="18"/>
      <c r="B727" s="18"/>
      <c r="C727" s="18"/>
      <c r="D727" s="19"/>
      <c r="E727" s="19"/>
      <c r="F727" s="18"/>
      <c r="G727" s="12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2"/>
    </row>
    <row r="728" spans="1:28">
      <c r="A728" s="18"/>
      <c r="B728" s="18"/>
      <c r="C728" s="18"/>
      <c r="D728" s="19"/>
      <c r="E728" s="19"/>
      <c r="F728" s="18"/>
      <c r="G728" s="12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2"/>
    </row>
    <row r="729" spans="1:28">
      <c r="A729" s="18"/>
      <c r="B729" s="18"/>
      <c r="C729" s="18"/>
      <c r="D729" s="19"/>
      <c r="E729" s="19"/>
      <c r="F729" s="18"/>
      <c r="G729" s="12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2"/>
    </row>
    <row r="730" spans="1:28">
      <c r="A730" s="18"/>
      <c r="B730" s="18"/>
      <c r="C730" s="18"/>
      <c r="D730" s="19"/>
      <c r="E730" s="19"/>
      <c r="F730" s="18"/>
      <c r="G730" s="12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2"/>
    </row>
    <row r="731" spans="1:28">
      <c r="A731" s="18"/>
      <c r="B731" s="18"/>
      <c r="C731" s="18"/>
      <c r="D731" s="19"/>
      <c r="E731" s="19"/>
      <c r="F731" s="18"/>
      <c r="G731" s="12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2"/>
    </row>
    <row r="732" spans="1:28">
      <c r="A732" s="18"/>
      <c r="B732" s="18"/>
      <c r="C732" s="18"/>
      <c r="D732" s="19"/>
      <c r="E732" s="19"/>
      <c r="F732" s="18"/>
      <c r="G732" s="12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2"/>
    </row>
    <row r="733" spans="1:28">
      <c r="A733" s="18"/>
      <c r="B733" s="18"/>
      <c r="C733" s="18"/>
      <c r="D733" s="19"/>
      <c r="E733" s="19"/>
      <c r="F733" s="18"/>
      <c r="G733" s="12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2"/>
    </row>
    <row r="734" spans="1:28">
      <c r="A734" s="18"/>
      <c r="B734" s="18"/>
      <c r="C734" s="18"/>
      <c r="D734" s="19"/>
      <c r="E734" s="19"/>
      <c r="F734" s="18"/>
      <c r="G734" s="12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2"/>
    </row>
    <row r="735" spans="1:28">
      <c r="A735" s="18"/>
      <c r="B735" s="18"/>
      <c r="C735" s="18"/>
      <c r="D735" s="19"/>
      <c r="E735" s="19"/>
      <c r="F735" s="18"/>
      <c r="G735" s="12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2"/>
    </row>
    <row r="736" spans="1:28">
      <c r="A736" s="18"/>
      <c r="B736" s="18"/>
      <c r="C736" s="18"/>
      <c r="D736" s="19"/>
      <c r="E736" s="19"/>
      <c r="F736" s="18"/>
      <c r="G736" s="12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2"/>
    </row>
    <row r="737" spans="1:28">
      <c r="A737" s="18"/>
      <c r="B737" s="18"/>
      <c r="C737" s="18"/>
      <c r="D737" s="19"/>
      <c r="E737" s="19"/>
      <c r="F737" s="18"/>
      <c r="G737" s="12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2"/>
    </row>
    <row r="738" spans="1:28">
      <c r="A738" s="18"/>
      <c r="B738" s="18"/>
      <c r="C738" s="18"/>
      <c r="D738" s="19"/>
      <c r="E738" s="19"/>
      <c r="F738" s="18"/>
      <c r="G738" s="12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2"/>
    </row>
    <row r="739" spans="1:28">
      <c r="A739" s="18"/>
      <c r="B739" s="18"/>
      <c r="C739" s="18"/>
      <c r="D739" s="19"/>
      <c r="E739" s="19"/>
      <c r="F739" s="18"/>
      <c r="G739" s="12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2"/>
    </row>
    <row r="740" spans="1:28">
      <c r="A740" s="18"/>
      <c r="B740" s="18"/>
      <c r="C740" s="18"/>
      <c r="D740" s="19"/>
      <c r="E740" s="19"/>
      <c r="F740" s="18"/>
      <c r="G740" s="12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2"/>
    </row>
    <row r="741" spans="1:28">
      <c r="A741" s="18"/>
      <c r="B741" s="18"/>
      <c r="C741" s="18"/>
      <c r="D741" s="19"/>
      <c r="E741" s="19"/>
      <c r="F741" s="18"/>
      <c r="G741" s="12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2"/>
    </row>
    <row r="742" spans="1:28">
      <c r="A742" s="18"/>
      <c r="B742" s="18"/>
      <c r="C742" s="18"/>
      <c r="D742" s="19"/>
      <c r="E742" s="19"/>
      <c r="F742" s="18"/>
      <c r="G742" s="12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2"/>
    </row>
    <row r="743" spans="1:28">
      <c r="A743" s="18"/>
      <c r="B743" s="18"/>
      <c r="C743" s="18"/>
      <c r="D743" s="19"/>
      <c r="E743" s="19"/>
      <c r="F743" s="18"/>
      <c r="G743" s="12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2"/>
    </row>
    <row r="744" spans="1:28">
      <c r="A744" s="18"/>
      <c r="B744" s="18"/>
      <c r="C744" s="18"/>
      <c r="D744" s="19"/>
      <c r="E744" s="19"/>
      <c r="F744" s="18"/>
      <c r="G744" s="12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2"/>
    </row>
    <row r="745" spans="1:28">
      <c r="A745" s="18"/>
      <c r="B745" s="18"/>
      <c r="C745" s="18"/>
      <c r="D745" s="19"/>
      <c r="E745" s="19"/>
      <c r="F745" s="18"/>
      <c r="G745" s="12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2"/>
    </row>
    <row r="746" spans="1:28">
      <c r="A746" s="18"/>
      <c r="B746" s="18"/>
      <c r="C746" s="18"/>
      <c r="D746" s="19"/>
      <c r="E746" s="19"/>
      <c r="F746" s="18"/>
      <c r="G746" s="12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2"/>
    </row>
    <row r="747" spans="1:28">
      <c r="A747" s="18"/>
      <c r="B747" s="18"/>
      <c r="C747" s="18"/>
      <c r="D747" s="19"/>
      <c r="E747" s="19"/>
      <c r="F747" s="18"/>
      <c r="G747" s="12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2"/>
    </row>
    <row r="748" spans="1:28">
      <c r="A748" s="18"/>
      <c r="B748" s="18"/>
      <c r="C748" s="18"/>
      <c r="D748" s="19"/>
      <c r="E748" s="19"/>
      <c r="F748" s="18"/>
      <c r="G748" s="12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2"/>
    </row>
    <row r="749" spans="1:28">
      <c r="A749" s="18"/>
      <c r="B749" s="18"/>
      <c r="C749" s="18"/>
      <c r="D749" s="19"/>
      <c r="E749" s="19"/>
      <c r="F749" s="18"/>
      <c r="G749" s="12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2"/>
    </row>
    <row r="750" spans="1:28">
      <c r="A750" s="18"/>
      <c r="B750" s="18"/>
      <c r="C750" s="18"/>
      <c r="D750" s="19"/>
      <c r="E750" s="19"/>
      <c r="F750" s="18"/>
      <c r="G750" s="12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2"/>
    </row>
    <row r="751" spans="1:28">
      <c r="A751" s="18"/>
      <c r="B751" s="18"/>
      <c r="C751" s="18"/>
      <c r="D751" s="19"/>
      <c r="E751" s="19"/>
      <c r="F751" s="18"/>
      <c r="G751" s="12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2"/>
    </row>
    <row r="752" spans="1:28">
      <c r="A752" s="18"/>
      <c r="B752" s="18"/>
      <c r="C752" s="18"/>
      <c r="D752" s="19"/>
      <c r="E752" s="19"/>
      <c r="F752" s="18"/>
      <c r="G752" s="12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2"/>
    </row>
    <row r="753" spans="1:28">
      <c r="A753" s="18"/>
      <c r="B753" s="18"/>
      <c r="C753" s="18"/>
      <c r="D753" s="19"/>
      <c r="E753" s="19"/>
      <c r="F753" s="18"/>
      <c r="G753" s="12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2"/>
    </row>
    <row r="754" spans="1:28">
      <c r="A754" s="18"/>
      <c r="B754" s="18"/>
      <c r="C754" s="18"/>
      <c r="D754" s="19"/>
      <c r="E754" s="19"/>
      <c r="F754" s="18"/>
      <c r="G754" s="12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2"/>
    </row>
    <row r="755" spans="1:28">
      <c r="A755" s="18"/>
      <c r="B755" s="18"/>
      <c r="C755" s="18"/>
      <c r="D755" s="19"/>
      <c r="E755" s="19"/>
      <c r="F755" s="18"/>
      <c r="G755" s="12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2"/>
    </row>
    <row r="756" spans="1:28">
      <c r="A756" s="18"/>
      <c r="B756" s="18"/>
      <c r="C756" s="18"/>
      <c r="D756" s="19"/>
      <c r="E756" s="19"/>
      <c r="F756" s="18"/>
      <c r="G756" s="12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2"/>
    </row>
    <row r="757" spans="1:28">
      <c r="A757" s="18"/>
      <c r="B757" s="18"/>
      <c r="C757" s="18"/>
      <c r="D757" s="19"/>
      <c r="E757" s="19"/>
      <c r="F757" s="18"/>
      <c r="G757" s="12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2"/>
    </row>
    <row r="758" spans="1:28">
      <c r="A758" s="18"/>
      <c r="B758" s="18"/>
      <c r="C758" s="18"/>
      <c r="D758" s="19"/>
      <c r="E758" s="19"/>
      <c r="F758" s="18"/>
      <c r="G758" s="12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2"/>
    </row>
    <row r="759" spans="1:28">
      <c r="A759" s="18"/>
      <c r="B759" s="18"/>
      <c r="C759" s="18"/>
      <c r="D759" s="19"/>
      <c r="E759" s="19"/>
      <c r="F759" s="18"/>
      <c r="G759" s="12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2"/>
    </row>
    <row r="760" spans="1:28">
      <c r="A760" s="18"/>
      <c r="B760" s="18"/>
      <c r="C760" s="18"/>
      <c r="D760" s="19"/>
      <c r="E760" s="19"/>
      <c r="F760" s="18"/>
      <c r="G760" s="12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2"/>
    </row>
    <row r="761" spans="1:28">
      <c r="A761" s="18"/>
      <c r="B761" s="18"/>
      <c r="C761" s="18"/>
      <c r="D761" s="19"/>
      <c r="E761" s="19"/>
      <c r="F761" s="18"/>
      <c r="G761" s="12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2"/>
    </row>
    <row r="762" spans="1:28">
      <c r="A762" s="18"/>
      <c r="B762" s="18"/>
      <c r="C762" s="18"/>
      <c r="D762" s="19"/>
      <c r="E762" s="19"/>
      <c r="F762" s="18"/>
      <c r="G762" s="12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2"/>
    </row>
    <row r="763" spans="1:28">
      <c r="A763" s="18"/>
      <c r="B763" s="18"/>
      <c r="C763" s="18"/>
      <c r="D763" s="19"/>
      <c r="E763" s="19"/>
      <c r="F763" s="18"/>
      <c r="G763" s="12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2"/>
    </row>
    <row r="764" spans="1:28">
      <c r="A764" s="18"/>
      <c r="B764" s="18"/>
      <c r="C764" s="18"/>
      <c r="D764" s="19"/>
      <c r="E764" s="19"/>
      <c r="F764" s="18"/>
      <c r="G764" s="12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2"/>
    </row>
    <row r="765" spans="1:28">
      <c r="A765" s="18"/>
      <c r="B765" s="18"/>
      <c r="C765" s="18"/>
      <c r="D765" s="19"/>
      <c r="E765" s="19"/>
      <c r="F765" s="18"/>
      <c r="G765" s="12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2"/>
    </row>
    <row r="766" spans="1:28">
      <c r="A766" s="18"/>
      <c r="B766" s="18"/>
      <c r="C766" s="18"/>
      <c r="D766" s="19"/>
      <c r="E766" s="19"/>
      <c r="F766" s="18"/>
      <c r="G766" s="12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2"/>
    </row>
    <row r="767" spans="1:28">
      <c r="A767" s="18"/>
      <c r="B767" s="18"/>
      <c r="C767" s="18"/>
      <c r="D767" s="19"/>
      <c r="E767" s="19"/>
      <c r="F767" s="18"/>
      <c r="G767" s="12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2"/>
    </row>
    <row r="768" spans="1:28">
      <c r="A768" s="18"/>
      <c r="B768" s="18"/>
      <c r="C768" s="18"/>
      <c r="D768" s="19"/>
      <c r="E768" s="19"/>
      <c r="F768" s="18"/>
      <c r="G768" s="12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2"/>
    </row>
    <row r="769" spans="1:28">
      <c r="A769" s="18"/>
      <c r="B769" s="18"/>
      <c r="C769" s="18"/>
      <c r="D769" s="19"/>
      <c r="E769" s="19"/>
      <c r="F769" s="18"/>
      <c r="G769" s="12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2"/>
    </row>
    <row r="770" spans="1:28">
      <c r="A770" s="18"/>
      <c r="B770" s="18"/>
      <c r="C770" s="18"/>
      <c r="D770" s="19"/>
      <c r="E770" s="19"/>
      <c r="F770" s="18"/>
      <c r="G770" s="12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2"/>
    </row>
    <row r="771" spans="1:28">
      <c r="A771" s="18"/>
      <c r="B771" s="18"/>
      <c r="C771" s="18"/>
      <c r="D771" s="19"/>
      <c r="E771" s="19"/>
      <c r="F771" s="18"/>
      <c r="G771" s="12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2"/>
    </row>
    <row r="772" spans="1:28">
      <c r="A772" s="18"/>
      <c r="B772" s="18"/>
      <c r="C772" s="18"/>
      <c r="D772" s="19"/>
      <c r="E772" s="19"/>
      <c r="F772" s="18"/>
      <c r="G772" s="12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2"/>
    </row>
    <row r="773" spans="1:28">
      <c r="A773" s="18"/>
      <c r="B773" s="18"/>
      <c r="C773" s="18"/>
      <c r="D773" s="19"/>
      <c r="E773" s="19"/>
      <c r="F773" s="18"/>
      <c r="G773" s="12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2"/>
    </row>
    <row r="774" spans="1:28">
      <c r="A774" s="18"/>
      <c r="B774" s="18"/>
      <c r="C774" s="18"/>
      <c r="D774" s="19"/>
      <c r="E774" s="19"/>
      <c r="F774" s="18"/>
      <c r="G774" s="12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2"/>
    </row>
    <row r="775" spans="1:28">
      <c r="A775" s="18"/>
      <c r="B775" s="18"/>
      <c r="C775" s="18"/>
      <c r="D775" s="19"/>
      <c r="E775" s="19"/>
      <c r="F775" s="18"/>
      <c r="G775" s="12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2"/>
    </row>
    <row r="776" spans="1:28">
      <c r="A776" s="18"/>
      <c r="B776" s="18"/>
      <c r="C776" s="18"/>
      <c r="D776" s="19"/>
      <c r="E776" s="19"/>
      <c r="F776" s="18"/>
      <c r="G776" s="12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2"/>
    </row>
    <row r="777" spans="1:28">
      <c r="A777" s="18"/>
      <c r="B777" s="18"/>
      <c r="C777" s="18"/>
      <c r="D777" s="19"/>
      <c r="E777" s="19"/>
      <c r="F777" s="18"/>
      <c r="G777" s="12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2"/>
    </row>
    <row r="778" spans="1:28">
      <c r="A778" s="18"/>
      <c r="B778" s="18"/>
      <c r="C778" s="18"/>
      <c r="D778" s="19"/>
      <c r="E778" s="19"/>
      <c r="F778" s="18"/>
      <c r="G778" s="12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2"/>
    </row>
    <row r="779" spans="1:28">
      <c r="A779" s="18"/>
      <c r="B779" s="18"/>
      <c r="C779" s="18"/>
      <c r="D779" s="19"/>
      <c r="E779" s="19"/>
      <c r="F779" s="18"/>
      <c r="G779" s="12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2"/>
    </row>
    <row r="780" spans="1:28">
      <c r="A780" s="18"/>
      <c r="B780" s="18"/>
      <c r="C780" s="18"/>
      <c r="D780" s="19"/>
      <c r="E780" s="19"/>
      <c r="F780" s="18"/>
      <c r="G780" s="12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2"/>
    </row>
    <row r="781" spans="1:28">
      <c r="A781" s="18"/>
      <c r="B781" s="18"/>
      <c r="C781" s="18"/>
      <c r="D781" s="19"/>
      <c r="E781" s="19"/>
      <c r="F781" s="18"/>
      <c r="G781" s="12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2"/>
    </row>
    <row r="782" spans="1:28">
      <c r="A782" s="18"/>
      <c r="B782" s="18"/>
      <c r="C782" s="18"/>
      <c r="D782" s="19"/>
      <c r="E782" s="19"/>
      <c r="F782" s="18"/>
      <c r="G782" s="12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2"/>
    </row>
    <row r="783" spans="1:28">
      <c r="A783" s="18"/>
      <c r="B783" s="18"/>
      <c r="C783" s="18"/>
      <c r="D783" s="19"/>
      <c r="E783" s="19"/>
      <c r="F783" s="18"/>
      <c r="G783" s="12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2"/>
    </row>
    <row r="784" spans="1:28">
      <c r="A784" s="18"/>
      <c r="B784" s="18"/>
      <c r="C784" s="18"/>
      <c r="D784" s="19"/>
      <c r="E784" s="19"/>
      <c r="F784" s="18"/>
      <c r="G784" s="12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2"/>
    </row>
    <row r="785" spans="1:28">
      <c r="A785" s="18"/>
      <c r="B785" s="18"/>
      <c r="C785" s="18"/>
      <c r="D785" s="19"/>
      <c r="E785" s="19"/>
      <c r="F785" s="18"/>
      <c r="G785" s="12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2"/>
    </row>
    <row r="786" spans="1:28">
      <c r="A786" s="18"/>
      <c r="B786" s="18"/>
      <c r="C786" s="18"/>
      <c r="D786" s="19"/>
      <c r="E786" s="19"/>
      <c r="F786" s="18"/>
      <c r="G786" s="12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2"/>
    </row>
    <row r="787" spans="1:28">
      <c r="A787" s="18"/>
      <c r="B787" s="18"/>
      <c r="C787" s="18"/>
      <c r="D787" s="19"/>
      <c r="E787" s="19"/>
      <c r="F787" s="18"/>
      <c r="G787" s="12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2"/>
    </row>
    <row r="788" spans="1:28">
      <c r="A788" s="18"/>
      <c r="B788" s="18"/>
      <c r="C788" s="18"/>
      <c r="D788" s="19"/>
      <c r="E788" s="19"/>
      <c r="F788" s="18"/>
      <c r="G788" s="12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2"/>
    </row>
    <row r="789" spans="1:28">
      <c r="A789" s="18"/>
      <c r="B789" s="18"/>
      <c r="C789" s="18"/>
      <c r="D789" s="19"/>
      <c r="E789" s="19"/>
      <c r="F789" s="18"/>
      <c r="G789" s="12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2"/>
    </row>
    <row r="790" spans="1:28">
      <c r="A790" s="18"/>
      <c r="B790" s="18"/>
      <c r="C790" s="18"/>
      <c r="D790" s="19"/>
      <c r="E790" s="19"/>
      <c r="F790" s="18"/>
      <c r="G790" s="12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2"/>
    </row>
    <row r="791" spans="1:28">
      <c r="A791" s="18"/>
      <c r="B791" s="18"/>
      <c r="C791" s="18"/>
      <c r="D791" s="19"/>
      <c r="E791" s="19"/>
      <c r="F791" s="18"/>
      <c r="G791" s="12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2"/>
    </row>
    <row r="792" spans="1:28">
      <c r="A792" s="18"/>
      <c r="B792" s="18"/>
      <c r="C792" s="18"/>
      <c r="D792" s="19"/>
      <c r="E792" s="19"/>
      <c r="F792" s="18"/>
      <c r="G792" s="12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2"/>
    </row>
    <row r="793" spans="1:28">
      <c r="A793" s="18"/>
      <c r="B793" s="18"/>
      <c r="C793" s="18"/>
      <c r="D793" s="19"/>
      <c r="E793" s="19"/>
      <c r="F793" s="18"/>
      <c r="G793" s="12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2"/>
    </row>
    <row r="794" spans="1:28">
      <c r="A794" s="18"/>
      <c r="B794" s="18"/>
      <c r="C794" s="18"/>
      <c r="D794" s="19"/>
      <c r="E794" s="19"/>
      <c r="F794" s="18"/>
      <c r="G794" s="12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2"/>
    </row>
    <row r="795" spans="1:28">
      <c r="A795" s="18"/>
      <c r="B795" s="18"/>
      <c r="C795" s="18"/>
      <c r="D795" s="19"/>
      <c r="E795" s="19"/>
      <c r="F795" s="18"/>
      <c r="G795" s="12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2"/>
    </row>
    <row r="796" spans="1:28">
      <c r="A796" s="18"/>
      <c r="B796" s="18"/>
      <c r="C796" s="18"/>
      <c r="D796" s="19"/>
      <c r="E796" s="19"/>
      <c r="F796" s="18"/>
      <c r="G796" s="12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2"/>
    </row>
    <row r="797" spans="1:28">
      <c r="A797" s="18"/>
      <c r="B797" s="18"/>
      <c r="C797" s="18"/>
      <c r="D797" s="19"/>
      <c r="E797" s="19"/>
      <c r="F797" s="18"/>
      <c r="G797" s="12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2"/>
    </row>
    <row r="798" spans="1:28">
      <c r="A798" s="18"/>
      <c r="B798" s="18"/>
      <c r="C798" s="18"/>
      <c r="D798" s="19"/>
      <c r="E798" s="19"/>
      <c r="F798" s="18"/>
      <c r="G798" s="12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2"/>
    </row>
    <row r="799" spans="1:28">
      <c r="A799" s="18"/>
      <c r="B799" s="18"/>
      <c r="C799" s="18"/>
      <c r="D799" s="19"/>
      <c r="E799" s="19"/>
      <c r="F799" s="18"/>
      <c r="G799" s="12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2"/>
    </row>
    <row r="800" spans="1:28">
      <c r="A800" s="18"/>
      <c r="B800" s="18"/>
      <c r="C800" s="18"/>
      <c r="D800" s="19"/>
      <c r="E800" s="19"/>
      <c r="F800" s="18"/>
      <c r="G800" s="12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2"/>
    </row>
    <row r="801" spans="1:28">
      <c r="A801" s="18"/>
      <c r="B801" s="18"/>
      <c r="C801" s="18"/>
      <c r="D801" s="19"/>
      <c r="E801" s="19"/>
      <c r="F801" s="18"/>
      <c r="G801" s="12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2"/>
    </row>
    <row r="802" spans="1:28">
      <c r="A802" s="18"/>
      <c r="B802" s="18"/>
      <c r="C802" s="18"/>
      <c r="D802" s="19"/>
      <c r="E802" s="19"/>
      <c r="F802" s="18"/>
      <c r="G802" s="12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2"/>
    </row>
    <row r="803" spans="1:28">
      <c r="A803" s="18"/>
      <c r="B803" s="18"/>
      <c r="C803" s="18"/>
      <c r="D803" s="19"/>
      <c r="E803" s="19"/>
      <c r="F803" s="18"/>
      <c r="G803" s="12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2"/>
    </row>
    <row r="804" spans="1:28">
      <c r="A804" s="18"/>
      <c r="B804" s="18"/>
      <c r="C804" s="18"/>
      <c r="D804" s="19"/>
      <c r="E804" s="19"/>
      <c r="F804" s="18"/>
      <c r="G804" s="12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2"/>
    </row>
    <row r="805" spans="1:28">
      <c r="A805" s="18"/>
      <c r="B805" s="18"/>
      <c r="C805" s="18"/>
      <c r="D805" s="19"/>
      <c r="E805" s="19"/>
      <c r="F805" s="18"/>
      <c r="G805" s="12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2"/>
    </row>
    <row r="806" spans="1:28">
      <c r="A806" s="18"/>
      <c r="B806" s="18"/>
      <c r="C806" s="18"/>
      <c r="D806" s="19"/>
      <c r="E806" s="19"/>
      <c r="F806" s="18"/>
      <c r="G806" s="12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2"/>
    </row>
    <row r="807" spans="1:28">
      <c r="A807" s="18"/>
      <c r="B807" s="18"/>
      <c r="C807" s="18"/>
      <c r="D807" s="19"/>
      <c r="E807" s="19"/>
      <c r="F807" s="18"/>
      <c r="G807" s="12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2"/>
    </row>
    <row r="808" spans="1:28">
      <c r="A808" s="18"/>
      <c r="B808" s="18"/>
      <c r="C808" s="18"/>
      <c r="D808" s="19"/>
      <c r="E808" s="19"/>
      <c r="F808" s="18"/>
      <c r="G808" s="12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2"/>
    </row>
    <row r="809" spans="1:28">
      <c r="A809" s="18"/>
      <c r="B809" s="18"/>
      <c r="C809" s="18"/>
      <c r="D809" s="19"/>
      <c r="E809" s="19"/>
      <c r="F809" s="18"/>
      <c r="G809" s="12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2"/>
    </row>
    <row r="810" spans="1:28">
      <c r="A810" s="18"/>
      <c r="B810" s="18"/>
      <c r="C810" s="18"/>
      <c r="D810" s="19"/>
      <c r="E810" s="19"/>
      <c r="F810" s="18"/>
      <c r="G810" s="12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2"/>
    </row>
    <row r="811" spans="1:28">
      <c r="A811" s="18"/>
      <c r="B811" s="18"/>
      <c r="C811" s="18"/>
      <c r="D811" s="19"/>
      <c r="E811" s="19"/>
      <c r="F811" s="18"/>
      <c r="G811" s="12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2"/>
    </row>
    <row r="812" spans="1:28">
      <c r="A812" s="18"/>
      <c r="B812" s="18"/>
      <c r="C812" s="18"/>
      <c r="D812" s="19"/>
      <c r="E812" s="19"/>
      <c r="F812" s="18"/>
      <c r="G812" s="12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2"/>
    </row>
    <row r="813" spans="1:28">
      <c r="A813" s="18"/>
      <c r="B813" s="18"/>
      <c r="C813" s="18"/>
      <c r="D813" s="19"/>
      <c r="E813" s="19"/>
      <c r="F813" s="18"/>
      <c r="G813" s="12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2"/>
    </row>
    <row r="814" spans="1:28">
      <c r="A814" s="18"/>
      <c r="B814" s="18"/>
      <c r="C814" s="18"/>
      <c r="D814" s="19"/>
      <c r="E814" s="19"/>
      <c r="F814" s="18"/>
      <c r="G814" s="12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2"/>
    </row>
    <row r="815" spans="1:28">
      <c r="A815" s="18"/>
      <c r="B815" s="18"/>
      <c r="C815" s="18"/>
      <c r="D815" s="19"/>
      <c r="E815" s="19"/>
      <c r="F815" s="18"/>
      <c r="G815" s="12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2"/>
    </row>
    <row r="816" spans="1:28">
      <c r="A816" s="18"/>
      <c r="B816" s="18"/>
      <c r="C816" s="18"/>
      <c r="D816" s="19"/>
      <c r="E816" s="19"/>
      <c r="F816" s="18"/>
      <c r="G816" s="12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2"/>
    </row>
    <row r="817" spans="1:28">
      <c r="A817" s="18"/>
      <c r="B817" s="18"/>
      <c r="C817" s="18"/>
      <c r="D817" s="19"/>
      <c r="E817" s="19"/>
      <c r="F817" s="18"/>
      <c r="G817" s="12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2"/>
    </row>
    <row r="818" spans="1:28">
      <c r="A818" s="18"/>
      <c r="B818" s="18"/>
      <c r="C818" s="18"/>
      <c r="D818" s="19"/>
      <c r="E818" s="19"/>
      <c r="F818" s="18"/>
      <c r="G818" s="12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2"/>
    </row>
    <row r="819" spans="1:28">
      <c r="A819" s="18"/>
      <c r="B819" s="18"/>
      <c r="C819" s="18"/>
      <c r="D819" s="19"/>
      <c r="E819" s="19"/>
      <c r="F819" s="18"/>
      <c r="G819" s="12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2"/>
    </row>
    <row r="820" spans="1:28">
      <c r="A820" s="18"/>
      <c r="B820" s="18"/>
      <c r="C820" s="18"/>
      <c r="D820" s="19"/>
      <c r="E820" s="19"/>
      <c r="F820" s="18"/>
      <c r="G820" s="12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2"/>
    </row>
    <row r="821" spans="1:28">
      <c r="A821" s="18"/>
      <c r="B821" s="18"/>
      <c r="C821" s="18"/>
      <c r="D821" s="19"/>
      <c r="E821" s="19"/>
      <c r="F821" s="18"/>
      <c r="G821" s="12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2"/>
    </row>
    <row r="822" spans="1:28">
      <c r="A822" s="18"/>
      <c r="B822" s="18"/>
      <c r="C822" s="18"/>
      <c r="D822" s="19"/>
      <c r="E822" s="19"/>
      <c r="F822" s="18"/>
      <c r="G822" s="12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2"/>
    </row>
    <row r="823" spans="1:28">
      <c r="A823" s="18"/>
      <c r="B823" s="18"/>
      <c r="C823" s="18"/>
      <c r="D823" s="19"/>
      <c r="E823" s="19"/>
      <c r="F823" s="18"/>
      <c r="G823" s="12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2"/>
    </row>
    <row r="824" spans="1:28">
      <c r="A824" s="18"/>
      <c r="B824" s="18"/>
      <c r="C824" s="18"/>
      <c r="D824" s="19"/>
      <c r="E824" s="19"/>
      <c r="F824" s="18"/>
      <c r="G824" s="12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2"/>
    </row>
    <row r="825" spans="1:28">
      <c r="A825" s="18"/>
      <c r="B825" s="18"/>
      <c r="C825" s="18"/>
      <c r="D825" s="19"/>
      <c r="E825" s="19"/>
      <c r="F825" s="18"/>
      <c r="G825" s="12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2"/>
    </row>
    <row r="826" spans="1:28">
      <c r="A826" s="18"/>
      <c r="B826" s="18"/>
      <c r="C826" s="18"/>
      <c r="D826" s="19"/>
      <c r="E826" s="19"/>
      <c r="F826" s="18"/>
      <c r="G826" s="12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2"/>
    </row>
    <row r="827" spans="1:28">
      <c r="A827" s="18"/>
      <c r="B827" s="18"/>
      <c r="C827" s="18"/>
      <c r="D827" s="19"/>
      <c r="E827" s="19"/>
      <c r="F827" s="18"/>
      <c r="G827" s="12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2"/>
    </row>
    <row r="828" spans="1:28">
      <c r="A828" s="18"/>
      <c r="B828" s="18"/>
      <c r="C828" s="18"/>
      <c r="D828" s="19"/>
      <c r="E828" s="19"/>
      <c r="F828" s="18"/>
      <c r="G828" s="12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2"/>
    </row>
    <row r="829" spans="1:28">
      <c r="A829" s="18"/>
      <c r="B829" s="18"/>
      <c r="C829" s="18"/>
      <c r="D829" s="19"/>
      <c r="E829" s="19"/>
      <c r="F829" s="18"/>
      <c r="G829" s="12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2"/>
    </row>
    <row r="830" spans="1:28">
      <c r="A830" s="18"/>
      <c r="B830" s="18"/>
      <c r="C830" s="18"/>
      <c r="D830" s="19"/>
      <c r="E830" s="19"/>
      <c r="F830" s="18"/>
      <c r="G830" s="12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2"/>
    </row>
    <row r="831" spans="1:28">
      <c r="A831" s="18"/>
      <c r="B831" s="18"/>
      <c r="C831" s="18"/>
      <c r="D831" s="19"/>
      <c r="E831" s="19"/>
      <c r="F831" s="18"/>
      <c r="G831" s="12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2"/>
    </row>
    <row r="832" spans="1:28">
      <c r="A832" s="18"/>
      <c r="B832" s="18"/>
      <c r="C832" s="18"/>
      <c r="D832" s="19"/>
      <c r="E832" s="19"/>
      <c r="F832" s="18"/>
      <c r="G832" s="12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2"/>
    </row>
    <row r="833" spans="1:28">
      <c r="A833" s="18"/>
      <c r="B833" s="18"/>
      <c r="C833" s="18"/>
      <c r="D833" s="19"/>
      <c r="E833" s="19"/>
      <c r="F833" s="18"/>
      <c r="G833" s="12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2"/>
    </row>
    <row r="834" spans="1:28">
      <c r="A834" s="18"/>
      <c r="B834" s="18"/>
      <c r="C834" s="18"/>
      <c r="D834" s="19"/>
      <c r="E834" s="19"/>
      <c r="F834" s="18"/>
      <c r="G834" s="12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2"/>
    </row>
    <row r="835" spans="1:28">
      <c r="A835" s="18"/>
      <c r="B835" s="18"/>
      <c r="C835" s="18"/>
      <c r="D835" s="19"/>
      <c r="E835" s="19"/>
      <c r="F835" s="18"/>
      <c r="G835" s="12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2"/>
    </row>
    <row r="836" spans="1:28">
      <c r="A836" s="18"/>
      <c r="B836" s="18"/>
      <c r="C836" s="18"/>
      <c r="D836" s="19"/>
      <c r="E836" s="19"/>
      <c r="F836" s="18"/>
      <c r="G836" s="12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2"/>
    </row>
    <row r="837" spans="1:28">
      <c r="A837" s="18"/>
      <c r="B837" s="18"/>
      <c r="C837" s="18"/>
      <c r="D837" s="19"/>
      <c r="E837" s="19"/>
      <c r="F837" s="18"/>
      <c r="G837" s="12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2"/>
    </row>
    <row r="838" spans="1:28">
      <c r="A838" s="18"/>
      <c r="B838" s="18"/>
      <c r="C838" s="18"/>
      <c r="D838" s="19"/>
      <c r="E838" s="19"/>
      <c r="F838" s="18"/>
      <c r="G838" s="12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2"/>
    </row>
    <row r="839" spans="1:28">
      <c r="A839" s="18"/>
      <c r="B839" s="18"/>
      <c r="C839" s="18"/>
      <c r="D839" s="19"/>
      <c r="E839" s="19"/>
      <c r="F839" s="18"/>
      <c r="G839" s="12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2"/>
    </row>
    <row r="840" spans="1:28">
      <c r="A840" s="18"/>
      <c r="B840" s="18"/>
      <c r="C840" s="18"/>
      <c r="D840" s="19"/>
      <c r="E840" s="19"/>
      <c r="F840" s="18"/>
      <c r="G840" s="12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2"/>
    </row>
    <row r="841" spans="1:28">
      <c r="A841" s="18"/>
      <c r="B841" s="18"/>
      <c r="C841" s="18"/>
      <c r="D841" s="19"/>
      <c r="E841" s="19"/>
      <c r="F841" s="18"/>
      <c r="G841" s="12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2"/>
    </row>
    <row r="842" spans="1:28">
      <c r="A842" s="18"/>
      <c r="B842" s="18"/>
      <c r="C842" s="18"/>
      <c r="D842" s="19"/>
      <c r="E842" s="19"/>
      <c r="F842" s="18"/>
      <c r="G842" s="12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2"/>
    </row>
    <row r="843" spans="1:28">
      <c r="A843" s="18"/>
      <c r="B843" s="18"/>
      <c r="C843" s="18"/>
      <c r="D843" s="19"/>
      <c r="E843" s="19"/>
      <c r="F843" s="18"/>
      <c r="G843" s="12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2"/>
    </row>
    <row r="844" spans="1:28">
      <c r="A844" s="18"/>
      <c r="B844" s="18"/>
      <c r="C844" s="18"/>
      <c r="D844" s="19"/>
      <c r="E844" s="19"/>
      <c r="F844" s="18"/>
      <c r="G844" s="12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2"/>
    </row>
    <row r="845" spans="1:28">
      <c r="A845" s="18"/>
      <c r="B845" s="18"/>
      <c r="C845" s="18"/>
      <c r="D845" s="19"/>
      <c r="E845" s="19"/>
      <c r="F845" s="18"/>
      <c r="G845" s="12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2"/>
    </row>
    <row r="846" spans="1:28">
      <c r="A846" s="18"/>
      <c r="B846" s="18"/>
      <c r="C846" s="18"/>
      <c r="D846" s="19"/>
      <c r="E846" s="19"/>
      <c r="F846" s="18"/>
      <c r="G846" s="12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2"/>
    </row>
    <row r="847" spans="1:28">
      <c r="A847" s="18"/>
      <c r="B847" s="18"/>
      <c r="C847" s="18"/>
      <c r="D847" s="19"/>
      <c r="E847" s="19"/>
      <c r="F847" s="18"/>
      <c r="G847" s="12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2"/>
    </row>
    <row r="848" spans="1:28">
      <c r="A848" s="18"/>
      <c r="B848" s="18"/>
      <c r="C848" s="18"/>
      <c r="D848" s="19"/>
      <c r="E848" s="19"/>
      <c r="F848" s="18"/>
      <c r="G848" s="12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2"/>
    </row>
    <row r="849" spans="1:28">
      <c r="A849" s="18"/>
      <c r="B849" s="18"/>
      <c r="C849" s="18"/>
      <c r="D849" s="19"/>
      <c r="E849" s="19"/>
      <c r="F849" s="18"/>
      <c r="G849" s="12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2"/>
    </row>
    <row r="850" spans="1:28">
      <c r="A850" s="18"/>
      <c r="B850" s="18"/>
      <c r="C850" s="18"/>
      <c r="D850" s="19"/>
      <c r="E850" s="19"/>
      <c r="F850" s="18"/>
      <c r="G850" s="12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2"/>
    </row>
    <row r="851" spans="1:28">
      <c r="A851" s="18"/>
      <c r="B851" s="18"/>
      <c r="C851" s="18"/>
      <c r="D851" s="19"/>
      <c r="E851" s="19"/>
      <c r="F851" s="18"/>
      <c r="G851" s="12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2"/>
    </row>
    <row r="852" spans="1:28">
      <c r="A852" s="18"/>
      <c r="B852" s="18"/>
      <c r="C852" s="18"/>
      <c r="D852" s="19"/>
      <c r="E852" s="19"/>
      <c r="F852" s="18"/>
      <c r="G852" s="12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2"/>
    </row>
    <row r="853" spans="1:28">
      <c r="A853" s="18"/>
      <c r="B853" s="18"/>
      <c r="C853" s="18"/>
      <c r="D853" s="19"/>
      <c r="E853" s="19"/>
      <c r="F853" s="18"/>
      <c r="G853" s="12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2"/>
    </row>
    <row r="854" spans="1:28">
      <c r="A854" s="18"/>
      <c r="B854" s="18"/>
      <c r="C854" s="18"/>
      <c r="D854" s="19"/>
      <c r="E854" s="19"/>
      <c r="F854" s="18"/>
      <c r="G854" s="12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2"/>
    </row>
    <row r="855" spans="1:28">
      <c r="A855" s="18"/>
      <c r="B855" s="18"/>
      <c r="C855" s="18"/>
      <c r="D855" s="19"/>
      <c r="E855" s="19"/>
      <c r="F855" s="18"/>
      <c r="G855" s="12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2"/>
    </row>
    <row r="856" spans="1:28">
      <c r="A856" s="18"/>
      <c r="B856" s="18"/>
      <c r="C856" s="18"/>
      <c r="D856" s="19"/>
      <c r="E856" s="19"/>
      <c r="F856" s="18"/>
      <c r="G856" s="12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2"/>
    </row>
    <row r="857" spans="1:28">
      <c r="A857" s="18"/>
      <c r="B857" s="18"/>
      <c r="C857" s="18"/>
      <c r="D857" s="19"/>
      <c r="E857" s="19"/>
      <c r="F857" s="18"/>
      <c r="G857" s="12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2"/>
    </row>
    <row r="858" spans="1:28">
      <c r="A858" s="18"/>
      <c r="B858" s="18"/>
      <c r="C858" s="18"/>
      <c r="D858" s="19"/>
      <c r="E858" s="19"/>
      <c r="F858" s="18"/>
      <c r="G858" s="12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2"/>
    </row>
    <row r="859" spans="1:28">
      <c r="A859" s="18"/>
      <c r="B859" s="18"/>
      <c r="C859" s="18"/>
      <c r="D859" s="19"/>
      <c r="E859" s="19"/>
      <c r="F859" s="18"/>
      <c r="G859" s="12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2"/>
    </row>
    <row r="860" spans="1:28">
      <c r="A860" s="18"/>
      <c r="B860" s="18"/>
      <c r="C860" s="18"/>
      <c r="D860" s="19"/>
      <c r="E860" s="19"/>
      <c r="F860" s="18"/>
      <c r="G860" s="12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2"/>
    </row>
    <row r="861" spans="1:28">
      <c r="A861" s="18"/>
      <c r="B861" s="18"/>
      <c r="C861" s="18"/>
      <c r="D861" s="19"/>
      <c r="E861" s="19"/>
      <c r="F861" s="18"/>
      <c r="G861" s="12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2"/>
    </row>
    <row r="862" spans="1:28">
      <c r="A862" s="18"/>
      <c r="B862" s="18"/>
      <c r="C862" s="18"/>
      <c r="D862" s="19"/>
      <c r="E862" s="19"/>
      <c r="F862" s="18"/>
      <c r="G862" s="12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2"/>
    </row>
    <row r="863" spans="1:28">
      <c r="A863" s="18"/>
      <c r="B863" s="18"/>
      <c r="C863" s="18"/>
      <c r="D863" s="19"/>
      <c r="E863" s="19"/>
      <c r="F863" s="18"/>
      <c r="G863" s="12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2"/>
    </row>
    <row r="864" spans="1:28">
      <c r="A864" s="18"/>
      <c r="B864" s="18"/>
      <c r="C864" s="18"/>
      <c r="D864" s="19"/>
      <c r="E864" s="19"/>
      <c r="F864" s="18"/>
      <c r="G864" s="12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2"/>
    </row>
    <row r="865" spans="1:28">
      <c r="A865" s="18"/>
      <c r="B865" s="18"/>
      <c r="C865" s="18"/>
      <c r="D865" s="19"/>
      <c r="E865" s="19"/>
      <c r="F865" s="18"/>
      <c r="G865" s="12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2"/>
    </row>
    <row r="866" spans="1:28">
      <c r="A866" s="18"/>
      <c r="B866" s="18"/>
      <c r="C866" s="18"/>
      <c r="D866" s="19"/>
      <c r="E866" s="19"/>
      <c r="F866" s="18"/>
      <c r="G866" s="12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2"/>
    </row>
    <row r="867" spans="1:28">
      <c r="A867" s="18"/>
      <c r="B867" s="18"/>
      <c r="C867" s="18"/>
      <c r="D867" s="19"/>
      <c r="E867" s="19"/>
      <c r="F867" s="18"/>
      <c r="G867" s="12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2"/>
    </row>
    <row r="868" spans="1:28">
      <c r="A868" s="18"/>
      <c r="B868" s="18"/>
      <c r="C868" s="18"/>
      <c r="D868" s="19"/>
      <c r="E868" s="19"/>
      <c r="F868" s="18"/>
      <c r="G868" s="12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2"/>
    </row>
    <row r="869" spans="1:28">
      <c r="A869" s="18"/>
      <c r="B869" s="18"/>
      <c r="C869" s="18"/>
      <c r="D869" s="19"/>
      <c r="E869" s="19"/>
      <c r="F869" s="18"/>
      <c r="G869" s="12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2"/>
    </row>
    <row r="870" spans="1:28">
      <c r="A870" s="18"/>
      <c r="B870" s="18"/>
      <c r="C870" s="18"/>
      <c r="D870" s="19"/>
      <c r="E870" s="19"/>
      <c r="F870" s="18"/>
      <c r="G870" s="12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2"/>
    </row>
    <row r="871" spans="1:28">
      <c r="A871" s="18"/>
      <c r="B871" s="18"/>
      <c r="C871" s="18"/>
      <c r="D871" s="19"/>
      <c r="E871" s="19"/>
      <c r="F871" s="18"/>
      <c r="G871" s="12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2"/>
    </row>
    <row r="872" spans="1:28">
      <c r="A872" s="18"/>
      <c r="B872" s="18"/>
      <c r="C872" s="18"/>
      <c r="D872" s="19"/>
      <c r="E872" s="19"/>
      <c r="F872" s="18"/>
      <c r="G872" s="12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2"/>
    </row>
    <row r="873" spans="1:28">
      <c r="A873" s="18"/>
      <c r="B873" s="18"/>
      <c r="C873" s="18"/>
      <c r="D873" s="19"/>
      <c r="E873" s="19"/>
      <c r="F873" s="18"/>
      <c r="G873" s="12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2"/>
    </row>
    <row r="874" spans="1:28">
      <c r="A874" s="18"/>
      <c r="B874" s="18"/>
      <c r="C874" s="18"/>
      <c r="D874" s="19"/>
      <c r="E874" s="19"/>
      <c r="F874" s="18"/>
      <c r="G874" s="12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2"/>
    </row>
    <row r="875" spans="1:28">
      <c r="A875" s="18"/>
      <c r="B875" s="18"/>
      <c r="C875" s="18"/>
      <c r="D875" s="19"/>
      <c r="E875" s="19"/>
      <c r="F875" s="18"/>
      <c r="G875" s="12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2"/>
    </row>
    <row r="876" spans="1:28">
      <c r="A876" s="18"/>
      <c r="B876" s="18"/>
      <c r="C876" s="18"/>
      <c r="D876" s="19"/>
      <c r="E876" s="19"/>
      <c r="F876" s="18"/>
      <c r="G876" s="12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2"/>
    </row>
    <row r="877" spans="1:28">
      <c r="A877" s="18"/>
      <c r="B877" s="18"/>
      <c r="C877" s="18"/>
      <c r="D877" s="19"/>
      <c r="E877" s="19"/>
      <c r="F877" s="18"/>
      <c r="G877" s="12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2"/>
    </row>
    <row r="878" spans="1:28">
      <c r="A878" s="18"/>
      <c r="B878" s="18"/>
      <c r="C878" s="18"/>
      <c r="D878" s="19"/>
      <c r="E878" s="19"/>
      <c r="F878" s="18"/>
      <c r="G878" s="12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2"/>
    </row>
    <row r="879" spans="1:28">
      <c r="A879" s="18"/>
      <c r="B879" s="18"/>
      <c r="C879" s="18"/>
      <c r="D879" s="19"/>
      <c r="E879" s="19"/>
      <c r="F879" s="18"/>
      <c r="G879" s="12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2"/>
    </row>
    <row r="880" spans="1:28">
      <c r="A880" s="18"/>
      <c r="B880" s="18"/>
      <c r="C880" s="18"/>
      <c r="D880" s="19"/>
      <c r="E880" s="19"/>
      <c r="F880" s="18"/>
      <c r="G880" s="12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2"/>
    </row>
    <row r="881" spans="1:28">
      <c r="A881" s="18"/>
      <c r="B881" s="18"/>
      <c r="C881" s="18"/>
      <c r="D881" s="19"/>
      <c r="E881" s="19"/>
      <c r="F881" s="18"/>
      <c r="G881" s="12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2"/>
    </row>
    <row r="882" spans="1:28">
      <c r="A882" s="18"/>
      <c r="B882" s="18"/>
      <c r="C882" s="18"/>
      <c r="D882" s="19"/>
      <c r="E882" s="19"/>
      <c r="F882" s="18"/>
      <c r="G882" s="12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2"/>
    </row>
    <row r="883" spans="1:28">
      <c r="A883" s="18"/>
      <c r="B883" s="18"/>
      <c r="C883" s="18"/>
      <c r="D883" s="19"/>
      <c r="E883" s="19"/>
      <c r="F883" s="18"/>
      <c r="G883" s="12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2"/>
    </row>
    <row r="884" spans="1:28">
      <c r="A884" s="18"/>
      <c r="B884" s="18"/>
      <c r="C884" s="18"/>
      <c r="D884" s="19"/>
      <c r="E884" s="19"/>
      <c r="F884" s="18"/>
      <c r="G884" s="12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2"/>
    </row>
    <row r="885" spans="1:28">
      <c r="A885" s="18"/>
      <c r="B885" s="18"/>
      <c r="C885" s="18"/>
      <c r="D885" s="19"/>
      <c r="E885" s="19"/>
      <c r="F885" s="18"/>
      <c r="G885" s="12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2"/>
    </row>
    <row r="886" spans="1:28">
      <c r="A886" s="18"/>
      <c r="B886" s="18"/>
      <c r="C886" s="18"/>
      <c r="D886" s="19"/>
      <c r="E886" s="19"/>
      <c r="F886" s="18"/>
      <c r="G886" s="12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2"/>
    </row>
    <row r="887" spans="1:28">
      <c r="A887" s="18"/>
      <c r="B887" s="18"/>
      <c r="C887" s="18"/>
      <c r="D887" s="19"/>
      <c r="E887" s="19"/>
      <c r="F887" s="18"/>
      <c r="G887" s="12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2"/>
    </row>
    <row r="888" spans="1:28">
      <c r="A888" s="18"/>
      <c r="B888" s="18"/>
      <c r="C888" s="18"/>
      <c r="D888" s="19"/>
      <c r="E888" s="19"/>
      <c r="F888" s="18"/>
      <c r="G888" s="12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2"/>
    </row>
    <row r="889" spans="1:28">
      <c r="A889" s="18"/>
      <c r="B889" s="18"/>
      <c r="C889" s="18"/>
      <c r="D889" s="19"/>
      <c r="E889" s="19"/>
      <c r="F889" s="18"/>
      <c r="G889" s="12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2"/>
    </row>
    <row r="890" spans="1:28">
      <c r="A890" s="18"/>
      <c r="B890" s="18"/>
      <c r="C890" s="18"/>
      <c r="D890" s="19"/>
      <c r="E890" s="19"/>
      <c r="F890" s="18"/>
      <c r="G890" s="12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2"/>
    </row>
    <row r="891" spans="1:28">
      <c r="A891" s="18"/>
      <c r="B891" s="18"/>
      <c r="C891" s="18"/>
      <c r="D891" s="19"/>
      <c r="E891" s="19"/>
      <c r="F891" s="18"/>
      <c r="G891" s="12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2"/>
    </row>
    <row r="892" spans="1:28">
      <c r="A892" s="18"/>
      <c r="B892" s="18"/>
      <c r="C892" s="18"/>
      <c r="D892" s="19"/>
      <c r="E892" s="19"/>
      <c r="F892" s="18"/>
      <c r="G892" s="12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2"/>
    </row>
    <row r="893" spans="1:28">
      <c r="A893" s="18"/>
      <c r="B893" s="18"/>
      <c r="C893" s="18"/>
      <c r="D893" s="19"/>
      <c r="E893" s="19"/>
      <c r="F893" s="18"/>
      <c r="G893" s="12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2"/>
    </row>
    <row r="894" spans="1:28">
      <c r="A894" s="18"/>
      <c r="B894" s="18"/>
      <c r="C894" s="18"/>
      <c r="D894" s="19"/>
      <c r="E894" s="19"/>
      <c r="F894" s="18"/>
      <c r="G894" s="12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2"/>
    </row>
    <row r="895" spans="1:28">
      <c r="A895" s="18"/>
      <c r="B895" s="18"/>
      <c r="C895" s="18"/>
      <c r="D895" s="19"/>
      <c r="E895" s="19"/>
      <c r="F895" s="18"/>
      <c r="G895" s="12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2"/>
    </row>
    <row r="896" spans="1:28">
      <c r="A896" s="18"/>
      <c r="B896" s="18"/>
      <c r="C896" s="18"/>
      <c r="D896" s="19"/>
      <c r="E896" s="19"/>
      <c r="F896" s="18"/>
      <c r="G896" s="12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2"/>
    </row>
    <row r="897" spans="1:28">
      <c r="A897" s="18"/>
      <c r="B897" s="18"/>
      <c r="C897" s="18"/>
      <c r="D897" s="19"/>
      <c r="E897" s="19"/>
      <c r="F897" s="18"/>
      <c r="G897" s="12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2"/>
    </row>
    <row r="898" spans="1:28">
      <c r="A898" s="18"/>
      <c r="B898" s="18"/>
      <c r="C898" s="18"/>
      <c r="D898" s="19"/>
      <c r="E898" s="19"/>
      <c r="F898" s="18"/>
      <c r="G898" s="12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2"/>
    </row>
    <row r="899" spans="1:28">
      <c r="A899" s="18"/>
      <c r="B899" s="18"/>
      <c r="C899" s="18"/>
      <c r="D899" s="19"/>
      <c r="E899" s="19"/>
      <c r="F899" s="18"/>
      <c r="G899" s="12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2"/>
    </row>
    <row r="900" spans="1:28">
      <c r="A900" s="18"/>
      <c r="B900" s="18"/>
      <c r="C900" s="18"/>
      <c r="D900" s="19"/>
      <c r="E900" s="19"/>
      <c r="F900" s="18"/>
      <c r="G900" s="12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2"/>
    </row>
    <row r="901" spans="1:28">
      <c r="A901" s="18"/>
      <c r="B901" s="18"/>
      <c r="C901" s="18"/>
      <c r="D901" s="19"/>
      <c r="E901" s="19"/>
      <c r="F901" s="18"/>
      <c r="G901" s="12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2"/>
    </row>
    <row r="902" spans="1:28">
      <c r="A902" s="18"/>
      <c r="B902" s="18"/>
      <c r="C902" s="18"/>
      <c r="D902" s="19"/>
      <c r="E902" s="19"/>
      <c r="F902" s="18"/>
      <c r="G902" s="12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2"/>
    </row>
    <row r="903" spans="1:28">
      <c r="A903" s="18"/>
      <c r="B903" s="18"/>
      <c r="C903" s="18"/>
      <c r="D903" s="19"/>
      <c r="E903" s="19"/>
      <c r="F903" s="18"/>
      <c r="G903" s="12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2"/>
    </row>
    <row r="904" spans="1:28">
      <c r="A904" s="18"/>
      <c r="B904" s="18"/>
      <c r="C904" s="18"/>
      <c r="D904" s="19"/>
      <c r="E904" s="19"/>
      <c r="F904" s="18"/>
      <c r="G904" s="12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2"/>
    </row>
    <row r="905" spans="1:28">
      <c r="A905" s="18"/>
      <c r="B905" s="18"/>
      <c r="C905" s="18"/>
      <c r="D905" s="19"/>
      <c r="E905" s="19"/>
      <c r="F905" s="18"/>
      <c r="G905" s="12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2"/>
    </row>
    <row r="906" spans="1:28">
      <c r="A906" s="18"/>
      <c r="B906" s="18"/>
      <c r="C906" s="18"/>
      <c r="D906" s="19"/>
      <c r="E906" s="19"/>
      <c r="F906" s="18"/>
      <c r="G906" s="12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2"/>
    </row>
    <row r="907" spans="1:28">
      <c r="A907" s="18"/>
      <c r="B907" s="18"/>
      <c r="C907" s="18"/>
      <c r="D907" s="19"/>
      <c r="E907" s="19"/>
      <c r="F907" s="18"/>
      <c r="G907" s="12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2"/>
    </row>
    <row r="908" spans="1:28">
      <c r="A908" s="18"/>
      <c r="B908" s="18"/>
      <c r="C908" s="18"/>
      <c r="D908" s="19"/>
      <c r="E908" s="19"/>
      <c r="F908" s="18"/>
      <c r="G908" s="12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2"/>
    </row>
    <row r="909" spans="1:28">
      <c r="A909" s="18"/>
      <c r="B909" s="18"/>
      <c r="C909" s="18"/>
      <c r="D909" s="19"/>
      <c r="E909" s="19"/>
      <c r="F909" s="18"/>
      <c r="G909" s="12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2"/>
    </row>
    <row r="910" spans="1:28">
      <c r="A910" s="18"/>
      <c r="B910" s="18"/>
      <c r="C910" s="18"/>
      <c r="D910" s="19"/>
      <c r="E910" s="19"/>
      <c r="F910" s="18"/>
      <c r="G910" s="12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2"/>
    </row>
    <row r="911" spans="1:28">
      <c r="A911" s="18"/>
      <c r="B911" s="18"/>
      <c r="C911" s="18"/>
      <c r="D911" s="19"/>
      <c r="E911" s="19"/>
      <c r="F911" s="18"/>
      <c r="G911" s="12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2"/>
    </row>
    <row r="912" spans="1:28">
      <c r="A912" s="18"/>
      <c r="B912" s="18"/>
      <c r="C912" s="18"/>
      <c r="D912" s="19"/>
      <c r="E912" s="19"/>
      <c r="F912" s="18"/>
      <c r="G912" s="12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2"/>
    </row>
    <row r="913" spans="1:28">
      <c r="A913" s="18"/>
      <c r="B913" s="18"/>
      <c r="C913" s="18"/>
      <c r="D913" s="19"/>
      <c r="E913" s="19"/>
      <c r="F913" s="18"/>
      <c r="G913" s="12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2"/>
    </row>
    <row r="914" spans="1:28">
      <c r="A914" s="18"/>
      <c r="B914" s="18"/>
      <c r="C914" s="18"/>
      <c r="D914" s="19"/>
      <c r="E914" s="19"/>
      <c r="F914" s="18"/>
      <c r="G914" s="12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2"/>
    </row>
    <row r="915" spans="1:28">
      <c r="A915" s="18"/>
      <c r="B915" s="18"/>
      <c r="C915" s="18"/>
      <c r="D915" s="19"/>
      <c r="E915" s="19"/>
      <c r="F915" s="18"/>
      <c r="G915" s="12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2"/>
    </row>
    <row r="916" spans="1:28">
      <c r="A916" s="18"/>
      <c r="B916" s="18"/>
      <c r="C916" s="18"/>
      <c r="D916" s="19"/>
      <c r="E916" s="19"/>
      <c r="F916" s="18"/>
      <c r="G916" s="12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2"/>
    </row>
    <row r="917" spans="1:28">
      <c r="A917" s="18"/>
      <c r="B917" s="18"/>
      <c r="C917" s="18"/>
      <c r="D917" s="19"/>
      <c r="E917" s="19"/>
      <c r="F917" s="18"/>
      <c r="G917" s="12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2"/>
    </row>
    <row r="918" spans="1:28">
      <c r="A918" s="18"/>
      <c r="B918" s="18"/>
      <c r="C918" s="18"/>
      <c r="D918" s="19"/>
      <c r="E918" s="19"/>
      <c r="F918" s="18"/>
      <c r="G918" s="12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2"/>
    </row>
    <row r="919" spans="1:28">
      <c r="A919" s="18"/>
      <c r="B919" s="18"/>
      <c r="C919" s="18"/>
      <c r="D919" s="19"/>
      <c r="E919" s="19"/>
      <c r="F919" s="18"/>
      <c r="G919" s="12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2"/>
    </row>
    <row r="920" spans="1:28">
      <c r="A920" s="18"/>
      <c r="B920" s="18"/>
      <c r="C920" s="18"/>
      <c r="D920" s="19"/>
      <c r="E920" s="19"/>
      <c r="F920" s="18"/>
      <c r="G920" s="12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2"/>
    </row>
    <row r="921" spans="1:28">
      <c r="A921" s="18"/>
      <c r="B921" s="18"/>
      <c r="C921" s="18"/>
      <c r="D921" s="19"/>
      <c r="E921" s="19"/>
      <c r="F921" s="18"/>
      <c r="G921" s="12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2"/>
    </row>
    <row r="922" spans="1:28">
      <c r="A922" s="18"/>
      <c r="B922" s="18"/>
      <c r="C922" s="18"/>
      <c r="D922" s="19"/>
      <c r="E922" s="19"/>
      <c r="F922" s="18"/>
      <c r="G922" s="12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2"/>
    </row>
    <row r="923" spans="1:28">
      <c r="A923" s="18"/>
      <c r="B923" s="18"/>
      <c r="C923" s="18"/>
      <c r="D923" s="19"/>
      <c r="E923" s="19"/>
      <c r="F923" s="18"/>
      <c r="G923" s="12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2"/>
    </row>
    <row r="924" spans="1:28">
      <c r="A924" s="18"/>
      <c r="B924" s="18"/>
      <c r="C924" s="18"/>
      <c r="D924" s="19"/>
      <c r="E924" s="19"/>
      <c r="F924" s="18"/>
      <c r="G924" s="12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2"/>
    </row>
    <row r="925" spans="1:28">
      <c r="A925" s="18"/>
      <c r="B925" s="18"/>
      <c r="C925" s="18"/>
      <c r="D925" s="19"/>
      <c r="E925" s="19"/>
      <c r="F925" s="18"/>
      <c r="G925" s="12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2"/>
    </row>
    <row r="926" spans="1:28">
      <c r="A926" s="18"/>
      <c r="B926" s="18"/>
      <c r="C926" s="18"/>
      <c r="D926" s="19"/>
      <c r="E926" s="19"/>
      <c r="F926" s="18"/>
      <c r="G926" s="12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2"/>
    </row>
    <row r="927" spans="1:28">
      <c r="A927" s="18"/>
      <c r="B927" s="18"/>
      <c r="C927" s="18"/>
      <c r="D927" s="19"/>
      <c r="E927" s="19"/>
      <c r="F927" s="18"/>
      <c r="G927" s="12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2"/>
    </row>
    <row r="928" spans="1:28">
      <c r="A928" s="18"/>
      <c r="B928" s="18"/>
      <c r="C928" s="18"/>
      <c r="D928" s="19"/>
      <c r="E928" s="19"/>
      <c r="F928" s="18"/>
      <c r="G928" s="12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2"/>
    </row>
    <row r="929" spans="1:28">
      <c r="A929" s="18"/>
      <c r="B929" s="18"/>
      <c r="C929" s="18"/>
      <c r="D929" s="19"/>
      <c r="E929" s="19"/>
      <c r="F929" s="18"/>
      <c r="G929" s="12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2"/>
    </row>
    <row r="930" spans="1:28">
      <c r="A930" s="18"/>
      <c r="B930" s="18"/>
      <c r="C930" s="18"/>
      <c r="D930" s="19"/>
      <c r="E930" s="19"/>
      <c r="F930" s="18"/>
      <c r="G930" s="12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2"/>
    </row>
    <row r="931" spans="1:28">
      <c r="A931" s="18"/>
      <c r="B931" s="18"/>
      <c r="C931" s="18"/>
      <c r="D931" s="19"/>
      <c r="E931" s="19"/>
      <c r="F931" s="18"/>
      <c r="G931" s="12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2"/>
    </row>
    <row r="932" spans="1:28">
      <c r="A932" s="18"/>
      <c r="B932" s="18"/>
      <c r="C932" s="18"/>
      <c r="D932" s="19"/>
      <c r="E932" s="19"/>
      <c r="F932" s="18"/>
      <c r="G932" s="12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2"/>
    </row>
    <row r="933" spans="1:28">
      <c r="A933" s="18"/>
      <c r="B933" s="18"/>
      <c r="C933" s="18"/>
      <c r="D933" s="19"/>
      <c r="E933" s="19"/>
      <c r="F933" s="18"/>
      <c r="G933" s="12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2"/>
    </row>
    <row r="934" spans="1:28">
      <c r="A934" s="18"/>
      <c r="B934" s="18"/>
      <c r="C934" s="18"/>
      <c r="D934" s="19"/>
      <c r="E934" s="19"/>
      <c r="F934" s="18"/>
      <c r="G934" s="12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2"/>
    </row>
    <row r="935" spans="1:28">
      <c r="A935" s="18"/>
      <c r="B935" s="18"/>
      <c r="C935" s="18"/>
      <c r="D935" s="19"/>
      <c r="E935" s="19"/>
      <c r="F935" s="18"/>
      <c r="G935" s="12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2"/>
    </row>
    <row r="936" spans="1:28">
      <c r="A936" s="18"/>
      <c r="B936" s="18"/>
      <c r="C936" s="18"/>
      <c r="D936" s="19"/>
      <c r="E936" s="19"/>
      <c r="F936" s="18"/>
      <c r="G936" s="12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2"/>
    </row>
    <row r="937" spans="1:28">
      <c r="A937" s="18"/>
      <c r="B937" s="18"/>
      <c r="C937" s="18"/>
      <c r="D937" s="19"/>
      <c r="E937" s="19"/>
      <c r="F937" s="18"/>
      <c r="G937" s="12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2"/>
    </row>
    <row r="938" spans="1:28">
      <c r="A938" s="18"/>
      <c r="B938" s="18"/>
      <c r="C938" s="18"/>
      <c r="D938" s="19"/>
      <c r="E938" s="19"/>
      <c r="F938" s="18"/>
      <c r="G938" s="12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2"/>
    </row>
    <row r="939" spans="1:28">
      <c r="A939" s="18"/>
      <c r="B939" s="18"/>
      <c r="C939" s="18"/>
      <c r="D939" s="19"/>
      <c r="E939" s="19"/>
      <c r="F939" s="18"/>
      <c r="G939" s="12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2"/>
    </row>
    <row r="940" spans="1:28">
      <c r="A940" s="18"/>
      <c r="B940" s="18"/>
      <c r="C940" s="18"/>
      <c r="D940" s="19"/>
      <c r="E940" s="19"/>
      <c r="F940" s="18"/>
      <c r="G940" s="12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2"/>
    </row>
    <row r="941" spans="1:28">
      <c r="A941" s="18"/>
      <c r="B941" s="18"/>
      <c r="C941" s="18"/>
      <c r="D941" s="19"/>
      <c r="E941" s="19"/>
      <c r="F941" s="18"/>
      <c r="G941" s="12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2"/>
    </row>
    <row r="942" spans="1:28">
      <c r="A942" s="18"/>
      <c r="B942" s="18"/>
      <c r="C942" s="18"/>
      <c r="D942" s="19"/>
      <c r="E942" s="19"/>
      <c r="F942" s="18"/>
      <c r="G942" s="12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2"/>
    </row>
    <row r="943" spans="1:28">
      <c r="A943" s="18"/>
      <c r="B943" s="18"/>
      <c r="C943" s="18"/>
      <c r="D943" s="19"/>
      <c r="E943" s="19"/>
      <c r="F943" s="18"/>
      <c r="G943" s="12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2"/>
    </row>
    <row r="944" spans="1:28">
      <c r="A944" s="18"/>
      <c r="B944" s="18"/>
      <c r="C944" s="18"/>
      <c r="D944" s="19"/>
      <c r="E944" s="19"/>
      <c r="F944" s="18"/>
      <c r="G944" s="12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2"/>
    </row>
    <row r="945" spans="1:28">
      <c r="A945" s="18"/>
      <c r="B945" s="18"/>
      <c r="C945" s="18"/>
      <c r="D945" s="19"/>
      <c r="E945" s="19"/>
      <c r="F945" s="18"/>
      <c r="G945" s="12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2"/>
    </row>
    <row r="946" spans="1:28">
      <c r="A946" s="18"/>
      <c r="B946" s="18"/>
      <c r="C946" s="18"/>
      <c r="D946" s="19"/>
      <c r="E946" s="19"/>
      <c r="F946" s="18"/>
      <c r="G946" s="12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2"/>
    </row>
    <row r="947" spans="1:28">
      <c r="A947" s="18"/>
      <c r="B947" s="18"/>
      <c r="C947" s="18"/>
      <c r="D947" s="19"/>
      <c r="E947" s="19"/>
      <c r="F947" s="18"/>
      <c r="G947" s="12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2"/>
    </row>
    <row r="948" spans="1:28">
      <c r="A948" s="18"/>
      <c r="B948" s="18"/>
      <c r="C948" s="18"/>
      <c r="D948" s="19"/>
      <c r="E948" s="19"/>
      <c r="F948" s="18"/>
      <c r="G948" s="12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2"/>
    </row>
    <row r="949" spans="1:28">
      <c r="A949" s="18"/>
      <c r="B949" s="18"/>
      <c r="C949" s="18"/>
      <c r="D949" s="19"/>
      <c r="E949" s="19"/>
      <c r="F949" s="18"/>
      <c r="G949" s="12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2"/>
    </row>
    <row r="950" spans="1:28">
      <c r="A950" s="18"/>
      <c r="B950" s="18"/>
      <c r="C950" s="18"/>
      <c r="D950" s="19"/>
      <c r="E950" s="19"/>
      <c r="F950" s="18"/>
      <c r="G950" s="12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2"/>
    </row>
    <row r="951" spans="1:28">
      <c r="A951" s="18"/>
      <c r="B951" s="18"/>
      <c r="C951" s="18"/>
      <c r="D951" s="19"/>
      <c r="E951" s="19"/>
      <c r="F951" s="18"/>
      <c r="G951" s="12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2"/>
    </row>
    <row r="952" spans="1:28">
      <c r="A952" s="18"/>
      <c r="B952" s="18"/>
      <c r="C952" s="18"/>
      <c r="D952" s="19"/>
      <c r="E952" s="19"/>
      <c r="F952" s="18"/>
      <c r="G952" s="12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2"/>
    </row>
    <row r="953" spans="1:28">
      <c r="A953" s="18"/>
      <c r="B953" s="18"/>
      <c r="C953" s="18"/>
      <c r="D953" s="19"/>
      <c r="E953" s="19"/>
      <c r="F953" s="18"/>
      <c r="G953" s="12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2"/>
    </row>
    <row r="954" spans="1:28">
      <c r="A954" s="18"/>
      <c r="B954" s="18"/>
      <c r="C954" s="18"/>
      <c r="D954" s="19"/>
      <c r="E954" s="19"/>
      <c r="F954" s="18"/>
      <c r="G954" s="12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2"/>
    </row>
    <row r="955" spans="1:28">
      <c r="A955" s="18"/>
      <c r="B955" s="18"/>
      <c r="C955" s="18"/>
      <c r="D955" s="19"/>
      <c r="E955" s="19"/>
      <c r="F955" s="18"/>
      <c r="G955" s="12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2"/>
    </row>
    <row r="956" spans="1:28">
      <c r="A956" s="18"/>
      <c r="B956" s="18"/>
      <c r="C956" s="18"/>
      <c r="D956" s="19"/>
      <c r="E956" s="19"/>
      <c r="F956" s="18"/>
      <c r="G956" s="12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2"/>
    </row>
    <row r="957" spans="1:28">
      <c r="A957" s="18"/>
      <c r="B957" s="18"/>
      <c r="C957" s="18"/>
      <c r="D957" s="19"/>
      <c r="E957" s="19"/>
      <c r="F957" s="18"/>
      <c r="G957" s="12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2"/>
    </row>
    <row r="958" spans="1:28">
      <c r="A958" s="18"/>
      <c r="B958" s="18"/>
      <c r="C958" s="18"/>
      <c r="D958" s="19"/>
      <c r="E958" s="19"/>
      <c r="F958" s="18"/>
      <c r="G958" s="12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2"/>
    </row>
    <row r="959" spans="1:28">
      <c r="A959" s="18"/>
      <c r="B959" s="18"/>
      <c r="C959" s="18"/>
      <c r="D959" s="19"/>
      <c r="E959" s="19"/>
      <c r="F959" s="18"/>
      <c r="G959" s="12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2"/>
    </row>
    <row r="960" spans="1:28">
      <c r="A960" s="18"/>
      <c r="B960" s="18"/>
      <c r="C960" s="18"/>
      <c r="D960" s="19"/>
      <c r="E960" s="19"/>
      <c r="F960" s="18"/>
      <c r="G960" s="12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2"/>
    </row>
    <row r="961" spans="1:28">
      <c r="A961" s="18"/>
      <c r="B961" s="18"/>
      <c r="C961" s="18"/>
      <c r="D961" s="19"/>
      <c r="E961" s="19"/>
      <c r="F961" s="18"/>
      <c r="G961" s="12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2"/>
    </row>
    <row r="962" spans="1:28">
      <c r="A962" s="18"/>
      <c r="B962" s="18"/>
      <c r="C962" s="18"/>
      <c r="D962" s="19"/>
      <c r="E962" s="19"/>
      <c r="F962" s="18"/>
      <c r="G962" s="12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2"/>
    </row>
    <row r="963" spans="1:28">
      <c r="A963" s="18"/>
      <c r="B963" s="18"/>
      <c r="C963" s="18"/>
      <c r="D963" s="19"/>
      <c r="E963" s="19"/>
      <c r="F963" s="18"/>
      <c r="G963" s="12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2"/>
    </row>
    <row r="964" spans="1:28">
      <c r="A964" s="18"/>
      <c r="B964" s="18"/>
      <c r="C964" s="18"/>
      <c r="D964" s="19"/>
      <c r="E964" s="19"/>
      <c r="F964" s="18"/>
      <c r="G964" s="12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2"/>
    </row>
    <row r="965" spans="1:28">
      <c r="A965" s="18"/>
      <c r="B965" s="18"/>
      <c r="C965" s="18"/>
      <c r="D965" s="19"/>
      <c r="E965" s="19"/>
      <c r="F965" s="18"/>
      <c r="G965" s="12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2"/>
    </row>
    <row r="966" spans="1:28">
      <c r="A966" s="18"/>
      <c r="B966" s="18"/>
      <c r="C966" s="18"/>
      <c r="D966" s="19"/>
      <c r="E966" s="19"/>
      <c r="F966" s="18"/>
      <c r="G966" s="12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2"/>
    </row>
    <row r="967" spans="1:28">
      <c r="A967" s="18"/>
      <c r="B967" s="18"/>
      <c r="C967" s="18"/>
      <c r="D967" s="19"/>
      <c r="E967" s="19"/>
      <c r="F967" s="18"/>
      <c r="G967" s="12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2"/>
    </row>
    <row r="968" spans="1:28">
      <c r="A968" s="18"/>
      <c r="B968" s="18"/>
      <c r="C968" s="18"/>
      <c r="D968" s="19"/>
      <c r="E968" s="19"/>
      <c r="F968" s="18"/>
      <c r="G968" s="12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2"/>
    </row>
    <row r="969" spans="1:28">
      <c r="A969" s="18"/>
      <c r="B969" s="18"/>
      <c r="C969" s="18"/>
      <c r="D969" s="19"/>
      <c r="E969" s="19"/>
      <c r="F969" s="18"/>
      <c r="G969" s="12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2"/>
    </row>
    <row r="970" spans="1:28">
      <c r="A970" s="18"/>
      <c r="B970" s="18"/>
      <c r="C970" s="18"/>
      <c r="D970" s="19"/>
      <c r="E970" s="19"/>
      <c r="F970" s="18"/>
      <c r="G970" s="12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2"/>
    </row>
    <row r="971" spans="1:28">
      <c r="A971" s="18"/>
      <c r="B971" s="18"/>
      <c r="C971" s="18"/>
      <c r="D971" s="19"/>
      <c r="E971" s="19"/>
      <c r="F971" s="18"/>
      <c r="G971" s="12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2"/>
    </row>
    <row r="972" spans="1:28">
      <c r="A972" s="18"/>
      <c r="B972" s="18"/>
      <c r="C972" s="18"/>
      <c r="D972" s="19"/>
      <c r="E972" s="19"/>
      <c r="F972" s="18"/>
      <c r="G972" s="12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2"/>
    </row>
    <row r="973" spans="1:28">
      <c r="A973" s="18"/>
      <c r="B973" s="18"/>
      <c r="C973" s="18"/>
      <c r="D973" s="19"/>
      <c r="E973" s="19"/>
      <c r="F973" s="18"/>
      <c r="G973" s="12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2"/>
    </row>
    <row r="974" spans="1:28">
      <c r="A974" s="18"/>
      <c r="B974" s="18"/>
      <c r="C974" s="18"/>
      <c r="D974" s="19"/>
      <c r="E974" s="19"/>
      <c r="F974" s="18"/>
      <c r="G974" s="12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2"/>
    </row>
    <row r="975" spans="1:28">
      <c r="A975" s="18"/>
      <c r="B975" s="18"/>
      <c r="C975" s="18"/>
      <c r="D975" s="19"/>
      <c r="E975" s="19"/>
      <c r="F975" s="18"/>
      <c r="G975" s="12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2"/>
    </row>
    <row r="976" spans="1:28">
      <c r="A976" s="18"/>
      <c r="B976" s="18"/>
      <c r="C976" s="18"/>
      <c r="D976" s="19"/>
      <c r="E976" s="19"/>
      <c r="F976" s="18"/>
      <c r="G976" s="12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2"/>
    </row>
    <row r="977" spans="1:28">
      <c r="A977" s="18"/>
      <c r="B977" s="18"/>
      <c r="C977" s="18"/>
      <c r="D977" s="19"/>
      <c r="E977" s="19"/>
      <c r="F977" s="18"/>
      <c r="G977" s="12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2"/>
    </row>
    <row r="978" spans="1:28">
      <c r="A978" s="18"/>
      <c r="B978" s="18"/>
      <c r="C978" s="18"/>
      <c r="D978" s="19"/>
      <c r="E978" s="19"/>
      <c r="F978" s="18"/>
      <c r="G978" s="12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2"/>
    </row>
    <row r="979" spans="1:28">
      <c r="A979" s="18"/>
      <c r="B979" s="18"/>
      <c r="C979" s="18"/>
      <c r="D979" s="19"/>
      <c r="E979" s="19"/>
      <c r="F979" s="18"/>
      <c r="G979" s="12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2"/>
    </row>
    <row r="980" spans="1:28">
      <c r="A980" s="18"/>
      <c r="B980" s="18"/>
      <c r="C980" s="18"/>
      <c r="D980" s="19"/>
      <c r="E980" s="19"/>
      <c r="F980" s="18"/>
      <c r="G980" s="12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2"/>
    </row>
    <row r="981" spans="1:28">
      <c r="A981" s="18"/>
      <c r="B981" s="18"/>
      <c r="C981" s="18"/>
      <c r="D981" s="19"/>
      <c r="E981" s="19"/>
      <c r="F981" s="18"/>
      <c r="G981" s="12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2"/>
    </row>
    <row r="982" spans="1:28">
      <c r="A982" s="18"/>
      <c r="B982" s="18"/>
      <c r="C982" s="18"/>
      <c r="D982" s="19"/>
      <c r="E982" s="19"/>
      <c r="F982" s="18"/>
      <c r="G982" s="12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2"/>
    </row>
    <row r="983" spans="1:28">
      <c r="A983" s="18"/>
      <c r="B983" s="18"/>
      <c r="C983" s="18"/>
      <c r="D983" s="19"/>
      <c r="E983" s="19"/>
      <c r="F983" s="18"/>
      <c r="G983" s="12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2"/>
    </row>
    <row r="984" spans="1:28">
      <c r="A984" s="18"/>
      <c r="B984" s="18"/>
      <c r="C984" s="18"/>
      <c r="D984" s="19"/>
      <c r="E984" s="19"/>
      <c r="F984" s="18"/>
      <c r="G984" s="12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2"/>
    </row>
    <row r="985" spans="1:28">
      <c r="A985" s="18"/>
      <c r="B985" s="18"/>
      <c r="C985" s="18"/>
      <c r="D985" s="19"/>
      <c r="E985" s="19"/>
      <c r="F985" s="18"/>
      <c r="G985" s="12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2"/>
    </row>
    <row r="986" spans="1:28">
      <c r="A986" s="18"/>
      <c r="B986" s="18"/>
      <c r="C986" s="18"/>
      <c r="D986" s="19"/>
      <c r="E986" s="19"/>
      <c r="F986" s="18"/>
      <c r="G986" s="12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2"/>
    </row>
    <row r="987" spans="1:28">
      <c r="A987" s="18"/>
      <c r="B987" s="18"/>
      <c r="C987" s="18"/>
      <c r="D987" s="19"/>
      <c r="E987" s="19"/>
      <c r="F987" s="18"/>
      <c r="G987" s="12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2"/>
    </row>
    <row r="988" spans="1:28">
      <c r="A988" s="18"/>
      <c r="B988" s="18"/>
      <c r="C988" s="18"/>
      <c r="D988" s="19"/>
      <c r="E988" s="19"/>
      <c r="F988" s="18"/>
      <c r="G988" s="12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2"/>
    </row>
    <row r="989" spans="1:28">
      <c r="A989" s="18"/>
      <c r="B989" s="18"/>
      <c r="C989" s="18"/>
      <c r="D989" s="19"/>
      <c r="E989" s="19"/>
      <c r="F989" s="18"/>
      <c r="G989" s="12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2"/>
    </row>
    <row r="990" spans="1:28">
      <c r="A990" s="18"/>
      <c r="B990" s="18"/>
      <c r="C990" s="18"/>
      <c r="D990" s="19"/>
      <c r="E990" s="19"/>
      <c r="F990" s="18"/>
      <c r="G990" s="12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2"/>
    </row>
    <row r="991" spans="1:28">
      <c r="A991" s="18"/>
      <c r="B991" s="18"/>
      <c r="C991" s="18"/>
      <c r="D991" s="19"/>
      <c r="E991" s="19"/>
      <c r="F991" s="18"/>
      <c r="G991" s="12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2"/>
    </row>
    <row r="992" spans="1:28">
      <c r="A992" s="18"/>
      <c r="B992" s="18"/>
      <c r="C992" s="18"/>
      <c r="D992" s="19"/>
      <c r="E992" s="19"/>
      <c r="F992" s="18"/>
      <c r="G992" s="12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2"/>
    </row>
    <row r="993" spans="1:28">
      <c r="A993" s="18"/>
      <c r="B993" s="18"/>
      <c r="C993" s="18"/>
      <c r="D993" s="19"/>
      <c r="E993" s="19"/>
      <c r="F993" s="18"/>
      <c r="G993" s="12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2"/>
    </row>
    <row r="994" spans="1:28">
      <c r="A994" s="18"/>
      <c r="B994" s="18"/>
      <c r="C994" s="18"/>
      <c r="D994" s="19"/>
      <c r="E994" s="19"/>
      <c r="F994" s="18"/>
      <c r="G994" s="12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2"/>
    </row>
    <row r="995" spans="1:28">
      <c r="A995" s="18"/>
      <c r="B995" s="18"/>
      <c r="C995" s="18"/>
      <c r="D995" s="19"/>
      <c r="E995" s="19"/>
      <c r="F995" s="18"/>
      <c r="G995" s="12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2"/>
    </row>
    <row r="996" spans="1:28">
      <c r="A996" s="18"/>
      <c r="B996" s="18"/>
      <c r="C996" s="18"/>
      <c r="D996" s="19"/>
      <c r="E996" s="19"/>
      <c r="F996" s="18"/>
      <c r="G996" s="12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2"/>
    </row>
    <row r="997" spans="1:28">
      <c r="A997" s="18"/>
      <c r="B997" s="18"/>
      <c r="C997" s="18"/>
      <c r="D997" s="19"/>
      <c r="E997" s="19"/>
      <c r="F997" s="18"/>
      <c r="G997" s="12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2"/>
    </row>
    <row r="998" spans="1:28">
      <c r="A998" s="18"/>
      <c r="B998" s="18"/>
      <c r="C998" s="18"/>
      <c r="D998" s="19"/>
      <c r="E998" s="19"/>
      <c r="F998" s="18"/>
      <c r="G998" s="12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2"/>
    </row>
    <row r="999" spans="1:28">
      <c r="A999" s="18"/>
      <c r="B999" s="18"/>
      <c r="C999" s="18"/>
      <c r="D999" s="19"/>
      <c r="E999" s="19"/>
      <c r="F999" s="18"/>
      <c r="G999" s="12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2"/>
    </row>
    <row r="1000" spans="1:28">
      <c r="A1000" s="18"/>
      <c r="B1000" s="18"/>
      <c r="C1000" s="18"/>
      <c r="D1000" s="19"/>
      <c r="E1000" s="19"/>
      <c r="F1000" s="18"/>
      <c r="G1000" s="12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2"/>
    </row>
    <row r="1001" spans="1:28">
      <c r="A1001" s="18"/>
      <c r="B1001" s="18"/>
      <c r="C1001" s="18"/>
      <c r="D1001" s="19"/>
      <c r="E1001" s="19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 spans="1:28">
      <c r="A1002" s="18"/>
      <c r="B1002" s="18"/>
      <c r="C1002" s="18"/>
      <c r="D1002" s="19"/>
      <c r="E1002" s="19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 spans="1:28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88B5-7FAC-490E-970E-45B26AAF9FE9}">
  <dimension ref="A1:AB1005"/>
  <sheetViews>
    <sheetView showGridLines="0" topLeftCell="L1" zoomScale="70" zoomScaleNormal="70" workbookViewId="0">
      <selection activeCell="R3" sqref="R3"/>
    </sheetView>
  </sheetViews>
  <sheetFormatPr baseColWidth="10" defaultColWidth="8.83203125" defaultRowHeight="15"/>
  <cols>
    <col min="1" max="1" width="10.1640625" bestFit="1" customWidth="1"/>
    <col min="2" max="2" width="17.6640625" bestFit="1" customWidth="1"/>
    <col min="3" max="3" width="15.83203125" bestFit="1" customWidth="1"/>
    <col min="4" max="4" width="11.83203125" bestFit="1" customWidth="1"/>
    <col min="5" max="5" width="12.1640625" bestFit="1" customWidth="1"/>
    <col min="6" max="6" width="13.83203125" bestFit="1" customWidth="1"/>
    <col min="7" max="7" width="14.1640625" bestFit="1" customWidth="1"/>
    <col min="8" max="8" width="22.6640625" bestFit="1" customWidth="1"/>
    <col min="9" max="9" width="11.6640625" bestFit="1" customWidth="1"/>
    <col min="10" max="10" width="11.83203125" bestFit="1" customWidth="1"/>
    <col min="11" max="11" width="16.83203125" bestFit="1" customWidth="1"/>
    <col min="12" max="12" width="14.83203125" bestFit="1" customWidth="1"/>
    <col min="13" max="13" width="13.1640625" bestFit="1" customWidth="1"/>
    <col min="14" max="14" width="17.1640625" bestFit="1" customWidth="1"/>
    <col min="15" max="15" width="13.33203125" bestFit="1" customWidth="1"/>
    <col min="16" max="16" width="12.6640625" bestFit="1" customWidth="1"/>
    <col min="17" max="17" width="28.1640625" style="6" bestFit="1" customWidth="1"/>
    <col min="18" max="18" width="17.33203125" style="6" bestFit="1" customWidth="1"/>
    <col min="19" max="19" width="13.33203125" bestFit="1" customWidth="1"/>
    <col min="20" max="20" width="18.1640625" bestFit="1" customWidth="1"/>
    <col min="21" max="21" width="24.33203125" style="6" bestFit="1" customWidth="1"/>
    <col min="22" max="22" width="20.1640625" style="6" customWidth="1"/>
    <col min="23" max="23" width="11.6640625" bestFit="1" customWidth="1"/>
    <col min="24" max="24" width="18.33203125" bestFit="1" customWidth="1"/>
    <col min="25" max="25" width="15.33203125" bestFit="1" customWidth="1"/>
    <col min="26" max="26" width="12.1640625" bestFit="1" customWidth="1"/>
    <col min="27" max="27" width="20.1640625" style="6" bestFit="1" customWidth="1"/>
    <col min="28" max="28" width="16.1640625" bestFit="1" customWidth="1"/>
  </cols>
  <sheetData>
    <row r="1" spans="1:28">
      <c r="A1" t="s">
        <v>27</v>
      </c>
      <c r="B1" t="s">
        <v>32</v>
      </c>
      <c r="C1" t="s">
        <v>37</v>
      </c>
      <c r="D1" t="s">
        <v>137</v>
      </c>
      <c r="E1" t="s">
        <v>138</v>
      </c>
      <c r="F1" t="s">
        <v>139</v>
      </c>
      <c r="G1" t="s">
        <v>140</v>
      </c>
      <c r="H1" t="s">
        <v>56</v>
      </c>
      <c r="I1" t="s">
        <v>61</v>
      </c>
      <c r="J1" t="s">
        <v>65</v>
      </c>
      <c r="K1" t="s">
        <v>69</v>
      </c>
      <c r="L1" t="s">
        <v>74</v>
      </c>
      <c r="M1" t="s">
        <v>78</v>
      </c>
      <c r="N1" t="s">
        <v>82</v>
      </c>
      <c r="O1" t="s">
        <v>86</v>
      </c>
      <c r="P1" t="s">
        <v>91</v>
      </c>
      <c r="Q1" s="6" t="s">
        <v>94</v>
      </c>
      <c r="R1" s="6" t="s">
        <v>97</v>
      </c>
      <c r="S1" t="s">
        <v>101</v>
      </c>
      <c r="T1" t="s">
        <v>105</v>
      </c>
      <c r="U1" s="6" t="s">
        <v>109</v>
      </c>
      <c r="V1" s="6" t="s">
        <v>112</v>
      </c>
      <c r="W1" t="s">
        <v>115</v>
      </c>
      <c r="X1" t="s">
        <v>118</v>
      </c>
      <c r="Y1" t="s">
        <v>122</v>
      </c>
      <c r="Z1" t="s">
        <v>126</v>
      </c>
      <c r="AA1" s="6" t="s">
        <v>130</v>
      </c>
      <c r="AB1" t="s">
        <v>133</v>
      </c>
    </row>
    <row r="2" spans="1:28">
      <c r="A2" t="s">
        <v>141</v>
      </c>
      <c r="B2" t="s">
        <v>142</v>
      </c>
      <c r="C2" t="s">
        <v>40</v>
      </c>
      <c r="D2" s="1">
        <v>45296</v>
      </c>
      <c r="E2" s="5">
        <v>0.77083333333333337</v>
      </c>
      <c r="F2" s="1">
        <v>45296</v>
      </c>
      <c r="G2" s="5">
        <v>0.78125</v>
      </c>
      <c r="H2">
        <v>15</v>
      </c>
      <c r="I2" t="s">
        <v>143</v>
      </c>
      <c r="J2" t="s">
        <v>144</v>
      </c>
      <c r="K2">
        <v>3</v>
      </c>
      <c r="L2">
        <v>2.5</v>
      </c>
      <c r="M2" t="s">
        <v>143</v>
      </c>
      <c r="N2" t="s">
        <v>145</v>
      </c>
      <c r="O2" t="b">
        <v>1</v>
      </c>
      <c r="P2" t="b">
        <v>0</v>
      </c>
      <c r="Q2" s="6">
        <v>6</v>
      </c>
      <c r="R2" s="6">
        <v>1.2</v>
      </c>
      <c r="S2" t="s">
        <v>146</v>
      </c>
      <c r="T2" t="s">
        <v>147</v>
      </c>
      <c r="U2" s="6">
        <v>6</v>
      </c>
      <c r="V2" s="6">
        <v>9</v>
      </c>
      <c r="W2" t="b">
        <v>0</v>
      </c>
      <c r="X2">
        <v>6</v>
      </c>
      <c r="Y2">
        <v>2</v>
      </c>
      <c r="Z2">
        <v>18</v>
      </c>
      <c r="AA2" s="6">
        <v>30.259433962264151</v>
      </c>
      <c r="AB2">
        <f>--PizzaDelivery[[#This Row],[Is Delayed]]</f>
        <v>0</v>
      </c>
    </row>
    <row r="3" spans="1:28">
      <c r="A3" t="s">
        <v>148</v>
      </c>
      <c r="B3" t="s">
        <v>149</v>
      </c>
      <c r="C3" t="s">
        <v>150</v>
      </c>
      <c r="D3" s="1">
        <v>45336</v>
      </c>
      <c r="E3" s="5">
        <v>0.83333333333333337</v>
      </c>
      <c r="F3" s="1">
        <v>45336</v>
      </c>
      <c r="G3" s="5">
        <v>0.85069444444444442</v>
      </c>
      <c r="H3">
        <v>25</v>
      </c>
      <c r="I3" t="s">
        <v>151</v>
      </c>
      <c r="J3" t="s">
        <v>152</v>
      </c>
      <c r="K3">
        <v>4</v>
      </c>
      <c r="L3">
        <v>5</v>
      </c>
      <c r="M3" t="s">
        <v>153</v>
      </c>
      <c r="N3" t="s">
        <v>154</v>
      </c>
      <c r="O3" t="b">
        <v>1</v>
      </c>
      <c r="P3" t="b">
        <v>0</v>
      </c>
      <c r="Q3" s="6">
        <v>5</v>
      </c>
      <c r="R3" s="6">
        <v>0.8</v>
      </c>
      <c r="S3" t="s">
        <v>155</v>
      </c>
      <c r="T3" t="s">
        <v>147</v>
      </c>
      <c r="U3" s="6">
        <v>12</v>
      </c>
      <c r="V3" s="6">
        <v>13</v>
      </c>
      <c r="W3" t="b">
        <v>0</v>
      </c>
      <c r="X3">
        <v>12</v>
      </c>
      <c r="Y3">
        <v>3</v>
      </c>
      <c r="Z3">
        <v>20</v>
      </c>
      <c r="AA3" s="6">
        <v>28.186274509803919</v>
      </c>
      <c r="AB3">
        <f>--PizzaDelivery[[#This Row],[Is Delayed]]</f>
        <v>0</v>
      </c>
    </row>
    <row r="4" spans="1:28">
      <c r="A4" t="s">
        <v>156</v>
      </c>
      <c r="B4" t="s">
        <v>157</v>
      </c>
      <c r="C4" t="s">
        <v>158</v>
      </c>
      <c r="D4" s="1">
        <v>45372</v>
      </c>
      <c r="E4" s="5">
        <v>0.51041666666666663</v>
      </c>
      <c r="F4" s="1">
        <v>45372</v>
      </c>
      <c r="G4" s="5">
        <v>0.52430555555555558</v>
      </c>
      <c r="H4">
        <v>20</v>
      </c>
      <c r="I4" t="s">
        <v>159</v>
      </c>
      <c r="J4" t="s">
        <v>160</v>
      </c>
      <c r="K4">
        <v>2</v>
      </c>
      <c r="L4">
        <v>3</v>
      </c>
      <c r="M4" t="s">
        <v>161</v>
      </c>
      <c r="N4" t="s">
        <v>162</v>
      </c>
      <c r="O4" t="b">
        <v>0</v>
      </c>
      <c r="P4" t="b">
        <v>0</v>
      </c>
      <c r="Q4" s="6">
        <v>6.666666666666667</v>
      </c>
      <c r="R4" s="6">
        <v>0.66666666666666663</v>
      </c>
      <c r="S4" t="s">
        <v>163</v>
      </c>
      <c r="T4" t="s">
        <v>147</v>
      </c>
      <c r="U4" s="6">
        <v>7.1999999999999993</v>
      </c>
      <c r="V4" s="6">
        <v>12.8</v>
      </c>
      <c r="W4" t="b">
        <v>0</v>
      </c>
      <c r="X4">
        <v>2</v>
      </c>
      <c r="Y4">
        <v>1</v>
      </c>
      <c r="Z4">
        <v>12</v>
      </c>
      <c r="AA4" s="6">
        <v>28.844221105527641</v>
      </c>
      <c r="AB4">
        <f>--PizzaDelivery[[#This Row],[Is Delayed]]</f>
        <v>0</v>
      </c>
    </row>
    <row r="5" spans="1:28">
      <c r="A5" t="s">
        <v>164</v>
      </c>
      <c r="B5" t="s">
        <v>165</v>
      </c>
      <c r="C5" t="s">
        <v>166</v>
      </c>
      <c r="D5" s="1">
        <v>45392</v>
      </c>
      <c r="E5" s="5">
        <v>0.82291666666666663</v>
      </c>
      <c r="F5" s="1">
        <v>45392</v>
      </c>
      <c r="G5" s="5">
        <v>0.84027777777777779</v>
      </c>
      <c r="H5">
        <v>25</v>
      </c>
      <c r="I5" t="s">
        <v>167</v>
      </c>
      <c r="J5" t="s">
        <v>168</v>
      </c>
      <c r="K5">
        <v>5</v>
      </c>
      <c r="L5">
        <v>4.5</v>
      </c>
      <c r="M5" t="s">
        <v>143</v>
      </c>
      <c r="N5" t="s">
        <v>169</v>
      </c>
      <c r="O5" t="b">
        <v>1</v>
      </c>
      <c r="P5" t="b">
        <v>0</v>
      </c>
      <c r="Q5" s="6">
        <v>5.5555555555555554</v>
      </c>
      <c r="R5" s="6">
        <v>1.1111111111111109</v>
      </c>
      <c r="S5" t="s">
        <v>170</v>
      </c>
      <c r="T5" t="s">
        <v>171</v>
      </c>
      <c r="U5" s="6">
        <v>10.8</v>
      </c>
      <c r="V5" s="6">
        <v>14.2</v>
      </c>
      <c r="W5" t="b">
        <v>0</v>
      </c>
      <c r="X5">
        <v>20</v>
      </c>
      <c r="Y5">
        <v>2</v>
      </c>
      <c r="Z5">
        <v>19</v>
      </c>
      <c r="AA5" s="6">
        <v>29.948453608247419</v>
      </c>
      <c r="AB5">
        <f>--PizzaDelivery[[#This Row],[Is Delayed]]</f>
        <v>0</v>
      </c>
    </row>
    <row r="6" spans="1:28">
      <c r="A6" t="s">
        <v>172</v>
      </c>
      <c r="B6" t="s">
        <v>173</v>
      </c>
      <c r="C6" t="s">
        <v>174</v>
      </c>
      <c r="D6" s="1">
        <v>45417</v>
      </c>
      <c r="E6" s="5">
        <v>0.54166666666666663</v>
      </c>
      <c r="F6" s="1">
        <v>45417</v>
      </c>
      <c r="G6" s="5">
        <v>0.55555555555555558</v>
      </c>
      <c r="H6">
        <v>20</v>
      </c>
      <c r="I6" t="s">
        <v>143</v>
      </c>
      <c r="J6" t="s">
        <v>152</v>
      </c>
      <c r="K6">
        <v>3</v>
      </c>
      <c r="L6">
        <v>2</v>
      </c>
      <c r="M6" t="s">
        <v>153</v>
      </c>
      <c r="N6" t="s">
        <v>145</v>
      </c>
      <c r="O6" t="b">
        <v>0</v>
      </c>
      <c r="P6" t="b">
        <v>1</v>
      </c>
      <c r="Q6" s="6">
        <v>10</v>
      </c>
      <c r="R6" s="6">
        <v>1.5</v>
      </c>
      <c r="S6" t="s">
        <v>175</v>
      </c>
      <c r="T6" t="s">
        <v>147</v>
      </c>
      <c r="U6" s="6">
        <v>4.8</v>
      </c>
      <c r="V6" s="6">
        <v>15.2</v>
      </c>
      <c r="W6" t="b">
        <v>0</v>
      </c>
      <c r="X6">
        <v>6</v>
      </c>
      <c r="Y6">
        <v>3</v>
      </c>
      <c r="Z6">
        <v>13</v>
      </c>
      <c r="AA6" s="6">
        <v>30.286458333333329</v>
      </c>
      <c r="AB6">
        <f>--PizzaDelivery[[#This Row],[Is Delayed]]</f>
        <v>0</v>
      </c>
    </row>
    <row r="7" spans="1:28">
      <c r="A7" t="s">
        <v>176</v>
      </c>
      <c r="B7" t="s">
        <v>142</v>
      </c>
      <c r="C7" t="s">
        <v>40</v>
      </c>
      <c r="D7" s="1">
        <v>45297</v>
      </c>
      <c r="E7" s="5">
        <v>0.79166666666666663</v>
      </c>
      <c r="F7" s="1">
        <v>45297</v>
      </c>
      <c r="G7" s="5">
        <v>0.80555555555555558</v>
      </c>
      <c r="H7">
        <v>20</v>
      </c>
      <c r="I7" t="s">
        <v>143</v>
      </c>
      <c r="J7" t="s">
        <v>152</v>
      </c>
      <c r="K7">
        <v>3</v>
      </c>
      <c r="L7">
        <v>3</v>
      </c>
      <c r="M7" t="s">
        <v>153</v>
      </c>
      <c r="N7" t="s">
        <v>145</v>
      </c>
      <c r="O7" t="b">
        <v>1</v>
      </c>
      <c r="P7" t="b">
        <v>1</v>
      </c>
      <c r="Q7" s="6">
        <v>6.666666666666667</v>
      </c>
      <c r="R7" s="6">
        <v>1</v>
      </c>
      <c r="S7" t="s">
        <v>146</v>
      </c>
      <c r="T7" t="s">
        <v>147</v>
      </c>
      <c r="U7" s="6">
        <v>7.1999999999999993</v>
      </c>
      <c r="V7" s="6">
        <v>12.8</v>
      </c>
      <c r="W7" t="b">
        <v>0</v>
      </c>
      <c r="X7">
        <v>6</v>
      </c>
      <c r="Y7">
        <v>3</v>
      </c>
      <c r="Z7">
        <v>19</v>
      </c>
      <c r="AA7" s="6">
        <v>30.259433962264151</v>
      </c>
      <c r="AB7">
        <f>--PizzaDelivery[[#This Row],[Is Delayed]]</f>
        <v>0</v>
      </c>
    </row>
    <row r="8" spans="1:28">
      <c r="A8" t="s">
        <v>177</v>
      </c>
      <c r="B8" t="s">
        <v>149</v>
      </c>
      <c r="C8" t="s">
        <v>150</v>
      </c>
      <c r="D8" s="1">
        <v>45298</v>
      </c>
      <c r="E8" s="5">
        <v>0.84375</v>
      </c>
      <c r="F8" s="1">
        <v>45298</v>
      </c>
      <c r="G8" s="5">
        <v>0.86111111111111116</v>
      </c>
      <c r="H8">
        <v>25</v>
      </c>
      <c r="I8" t="s">
        <v>151</v>
      </c>
      <c r="J8" t="s">
        <v>144</v>
      </c>
      <c r="K8">
        <v>4</v>
      </c>
      <c r="L8">
        <v>4.5</v>
      </c>
      <c r="M8" t="s">
        <v>143</v>
      </c>
      <c r="N8" t="s">
        <v>162</v>
      </c>
      <c r="O8" t="b">
        <v>1</v>
      </c>
      <c r="P8" t="b">
        <v>1</v>
      </c>
      <c r="Q8" s="6">
        <v>5.5555555555555554</v>
      </c>
      <c r="R8" s="6">
        <v>0.88888888888888884</v>
      </c>
      <c r="S8" t="s">
        <v>146</v>
      </c>
      <c r="T8" t="s">
        <v>147</v>
      </c>
      <c r="U8" s="6">
        <v>10.8</v>
      </c>
      <c r="V8" s="6">
        <v>14.2</v>
      </c>
      <c r="W8" t="b">
        <v>0</v>
      </c>
      <c r="X8">
        <v>12</v>
      </c>
      <c r="Y8">
        <v>2</v>
      </c>
      <c r="Z8">
        <v>20</v>
      </c>
      <c r="AA8" s="6">
        <v>28.186274509803919</v>
      </c>
      <c r="AB8">
        <f>--PizzaDelivery[[#This Row],[Is Delayed]]</f>
        <v>0</v>
      </c>
    </row>
    <row r="9" spans="1:28">
      <c r="A9" t="s">
        <v>178</v>
      </c>
      <c r="B9" t="s">
        <v>157</v>
      </c>
      <c r="C9" t="s">
        <v>158</v>
      </c>
      <c r="D9" s="1">
        <v>45299</v>
      </c>
      <c r="E9" s="5">
        <v>0.77083333333333337</v>
      </c>
      <c r="F9" s="1">
        <v>45299</v>
      </c>
      <c r="G9" s="5">
        <v>0.78472222222222221</v>
      </c>
      <c r="H9">
        <v>20</v>
      </c>
      <c r="I9" t="s">
        <v>159</v>
      </c>
      <c r="J9" t="s">
        <v>160</v>
      </c>
      <c r="K9">
        <v>2</v>
      </c>
      <c r="L9">
        <v>2</v>
      </c>
      <c r="M9" t="s">
        <v>161</v>
      </c>
      <c r="N9" t="s">
        <v>169</v>
      </c>
      <c r="O9" t="b">
        <v>1</v>
      </c>
      <c r="P9" t="b">
        <v>0</v>
      </c>
      <c r="Q9" s="6">
        <v>10</v>
      </c>
      <c r="R9" s="6">
        <v>1</v>
      </c>
      <c r="S9" t="s">
        <v>146</v>
      </c>
      <c r="T9" t="s">
        <v>171</v>
      </c>
      <c r="U9" s="6">
        <v>4.8</v>
      </c>
      <c r="V9" s="6">
        <v>15.2</v>
      </c>
      <c r="W9" t="b">
        <v>0</v>
      </c>
      <c r="X9">
        <v>2</v>
      </c>
      <c r="Y9">
        <v>1</v>
      </c>
      <c r="Z9">
        <v>18</v>
      </c>
      <c r="AA9" s="6">
        <v>28.844221105527641</v>
      </c>
      <c r="AB9">
        <f>--PizzaDelivery[[#This Row],[Is Delayed]]</f>
        <v>0</v>
      </c>
    </row>
    <row r="10" spans="1:28">
      <c r="A10" t="s">
        <v>179</v>
      </c>
      <c r="B10" t="s">
        <v>165</v>
      </c>
      <c r="C10" t="s">
        <v>166</v>
      </c>
      <c r="D10" s="1">
        <v>45300</v>
      </c>
      <c r="E10" s="5">
        <v>0.82291666666666663</v>
      </c>
      <c r="F10" s="1">
        <v>45300</v>
      </c>
      <c r="G10" s="5">
        <v>0.84027777777777779</v>
      </c>
      <c r="H10">
        <v>25</v>
      </c>
      <c r="I10" t="s">
        <v>167</v>
      </c>
      <c r="J10" t="s">
        <v>168</v>
      </c>
      <c r="K10">
        <v>5</v>
      </c>
      <c r="L10">
        <v>5</v>
      </c>
      <c r="M10" t="s">
        <v>153</v>
      </c>
      <c r="N10" t="s">
        <v>154</v>
      </c>
      <c r="O10" t="b">
        <v>1</v>
      </c>
      <c r="P10" t="b">
        <v>0</v>
      </c>
      <c r="Q10" s="6">
        <v>5</v>
      </c>
      <c r="R10" s="6">
        <v>1</v>
      </c>
      <c r="S10" t="s">
        <v>146</v>
      </c>
      <c r="T10" t="s">
        <v>147</v>
      </c>
      <c r="U10" s="6">
        <v>12</v>
      </c>
      <c r="V10" s="6">
        <v>13</v>
      </c>
      <c r="W10" t="b">
        <v>0</v>
      </c>
      <c r="X10">
        <v>20</v>
      </c>
      <c r="Y10">
        <v>3</v>
      </c>
      <c r="Z10">
        <v>19</v>
      </c>
      <c r="AA10" s="6">
        <v>29.948453608247419</v>
      </c>
      <c r="AB10">
        <f>--PizzaDelivery[[#This Row],[Is Delayed]]</f>
        <v>0</v>
      </c>
    </row>
    <row r="11" spans="1:28">
      <c r="A11" t="s">
        <v>180</v>
      </c>
      <c r="B11" t="s">
        <v>173</v>
      </c>
      <c r="C11" t="s">
        <v>174</v>
      </c>
      <c r="D11" s="1">
        <v>45301</v>
      </c>
      <c r="E11" s="5">
        <v>0.54166666666666663</v>
      </c>
      <c r="F11" s="1">
        <v>45301</v>
      </c>
      <c r="G11" s="5">
        <v>0.55555555555555558</v>
      </c>
      <c r="H11">
        <v>20</v>
      </c>
      <c r="I11" t="s">
        <v>143</v>
      </c>
      <c r="J11" t="s">
        <v>152</v>
      </c>
      <c r="K11">
        <v>3</v>
      </c>
      <c r="L11">
        <v>3.5</v>
      </c>
      <c r="M11" t="s">
        <v>143</v>
      </c>
      <c r="N11" t="s">
        <v>145</v>
      </c>
      <c r="O11" t="b">
        <v>0</v>
      </c>
      <c r="P11" t="b">
        <v>0</v>
      </c>
      <c r="Q11" s="6">
        <v>5.7142857142857144</v>
      </c>
      <c r="R11" s="6">
        <v>0.8571428571428571</v>
      </c>
      <c r="S11" t="s">
        <v>146</v>
      </c>
      <c r="T11" t="s">
        <v>147</v>
      </c>
      <c r="U11" s="6">
        <v>8.4</v>
      </c>
      <c r="V11" s="6">
        <v>11.6</v>
      </c>
      <c r="W11" t="b">
        <v>0</v>
      </c>
      <c r="X11">
        <v>6</v>
      </c>
      <c r="Y11">
        <v>2</v>
      </c>
      <c r="Z11">
        <v>13</v>
      </c>
      <c r="AA11" s="6">
        <v>30.286458333333329</v>
      </c>
      <c r="AB11">
        <f>--PizzaDelivery[[#This Row],[Is Delayed]]</f>
        <v>0</v>
      </c>
    </row>
    <row r="12" spans="1:28">
      <c r="A12" t="s">
        <v>181</v>
      </c>
      <c r="B12" t="s">
        <v>142</v>
      </c>
      <c r="C12" t="s">
        <v>182</v>
      </c>
      <c r="D12" s="1">
        <v>45302</v>
      </c>
      <c r="E12" s="5">
        <v>0.72916666666666663</v>
      </c>
      <c r="F12" s="1">
        <v>45302</v>
      </c>
      <c r="G12" s="5">
        <v>0.74305555555555558</v>
      </c>
      <c r="H12">
        <v>20</v>
      </c>
      <c r="I12" t="s">
        <v>151</v>
      </c>
      <c r="J12" t="s">
        <v>144</v>
      </c>
      <c r="K12">
        <v>4</v>
      </c>
      <c r="L12">
        <v>4</v>
      </c>
      <c r="M12" t="s">
        <v>161</v>
      </c>
      <c r="N12" t="s">
        <v>162</v>
      </c>
      <c r="O12" t="b">
        <v>0</v>
      </c>
      <c r="P12" t="b">
        <v>0</v>
      </c>
      <c r="Q12" s="6">
        <v>5</v>
      </c>
      <c r="R12" s="6">
        <v>1</v>
      </c>
      <c r="S12" t="s">
        <v>146</v>
      </c>
      <c r="T12" t="s">
        <v>147</v>
      </c>
      <c r="U12" s="6">
        <v>9.6</v>
      </c>
      <c r="V12" s="6">
        <v>10.4</v>
      </c>
      <c r="W12" t="b">
        <v>0</v>
      </c>
      <c r="X12">
        <v>12</v>
      </c>
      <c r="Y12">
        <v>1</v>
      </c>
      <c r="Z12">
        <v>17</v>
      </c>
      <c r="AA12" s="6">
        <v>30.259433962264151</v>
      </c>
      <c r="AB12">
        <f>--PizzaDelivery[[#This Row],[Is Delayed]]</f>
        <v>0</v>
      </c>
    </row>
    <row r="13" spans="1:28">
      <c r="A13" t="s">
        <v>183</v>
      </c>
      <c r="B13" t="s">
        <v>149</v>
      </c>
      <c r="C13" t="s">
        <v>184</v>
      </c>
      <c r="D13" s="1">
        <v>45303</v>
      </c>
      <c r="E13" s="5">
        <v>0.79166666666666663</v>
      </c>
      <c r="F13" s="1">
        <v>45303</v>
      </c>
      <c r="G13" s="5">
        <v>0.80902777777777779</v>
      </c>
      <c r="H13">
        <v>25</v>
      </c>
      <c r="I13" t="s">
        <v>143</v>
      </c>
      <c r="J13" t="s">
        <v>152</v>
      </c>
      <c r="K13">
        <v>3</v>
      </c>
      <c r="L13">
        <v>3</v>
      </c>
      <c r="M13" t="s">
        <v>143</v>
      </c>
      <c r="N13" t="s">
        <v>169</v>
      </c>
      <c r="O13" t="b">
        <v>1</v>
      </c>
      <c r="P13" t="b">
        <v>0</v>
      </c>
      <c r="Q13" s="6">
        <v>8.3333333333333339</v>
      </c>
      <c r="R13" s="6">
        <v>1</v>
      </c>
      <c r="S13" t="s">
        <v>146</v>
      </c>
      <c r="T13" t="s">
        <v>171</v>
      </c>
      <c r="U13" s="6">
        <v>7.1999999999999993</v>
      </c>
      <c r="V13" s="6">
        <v>17.8</v>
      </c>
      <c r="W13" t="b">
        <v>0</v>
      </c>
      <c r="X13">
        <v>6</v>
      </c>
      <c r="Y13">
        <v>2</v>
      </c>
      <c r="Z13">
        <v>19</v>
      </c>
      <c r="AA13" s="6">
        <v>28.186274509803919</v>
      </c>
      <c r="AB13">
        <f>--PizzaDelivery[[#This Row],[Is Delayed]]</f>
        <v>0</v>
      </c>
    </row>
    <row r="14" spans="1:28">
      <c r="A14" t="s">
        <v>185</v>
      </c>
      <c r="B14" t="s">
        <v>157</v>
      </c>
      <c r="C14" t="s">
        <v>186</v>
      </c>
      <c r="D14" s="1">
        <v>45304</v>
      </c>
      <c r="E14" s="5">
        <v>0.76041666666666663</v>
      </c>
      <c r="F14" s="1">
        <v>45304</v>
      </c>
      <c r="G14" s="5">
        <v>0.77430555555555558</v>
      </c>
      <c r="H14">
        <v>20</v>
      </c>
      <c r="I14" t="s">
        <v>159</v>
      </c>
      <c r="J14" t="s">
        <v>160</v>
      </c>
      <c r="K14">
        <v>2</v>
      </c>
      <c r="L14">
        <v>2.5</v>
      </c>
      <c r="M14" t="s">
        <v>153</v>
      </c>
      <c r="N14" t="s">
        <v>154</v>
      </c>
      <c r="O14" t="b">
        <v>1</v>
      </c>
      <c r="P14" t="b">
        <v>1</v>
      </c>
      <c r="Q14" s="6">
        <v>8</v>
      </c>
      <c r="R14" s="6">
        <v>0.8</v>
      </c>
      <c r="S14" t="s">
        <v>146</v>
      </c>
      <c r="T14" t="s">
        <v>147</v>
      </c>
      <c r="U14" s="6">
        <v>6</v>
      </c>
      <c r="V14" s="6">
        <v>14</v>
      </c>
      <c r="W14" t="b">
        <v>0</v>
      </c>
      <c r="X14">
        <v>2</v>
      </c>
      <c r="Y14">
        <v>3</v>
      </c>
      <c r="Z14">
        <v>18</v>
      </c>
      <c r="AA14" s="6">
        <v>28.844221105527641</v>
      </c>
      <c r="AB14">
        <f>--PizzaDelivery[[#This Row],[Is Delayed]]</f>
        <v>0</v>
      </c>
    </row>
    <row r="15" spans="1:28">
      <c r="A15" t="s">
        <v>187</v>
      </c>
      <c r="B15" t="s">
        <v>165</v>
      </c>
      <c r="C15" t="s">
        <v>188</v>
      </c>
      <c r="D15" s="1">
        <v>45305</v>
      </c>
      <c r="E15" s="5">
        <v>0.85416666666666663</v>
      </c>
      <c r="F15" s="1">
        <v>45305</v>
      </c>
      <c r="G15" s="5">
        <v>0.87152777777777779</v>
      </c>
      <c r="H15">
        <v>25</v>
      </c>
      <c r="I15" t="s">
        <v>167</v>
      </c>
      <c r="J15" t="s">
        <v>168</v>
      </c>
      <c r="K15">
        <v>5</v>
      </c>
      <c r="L15">
        <v>4</v>
      </c>
      <c r="M15" t="s">
        <v>161</v>
      </c>
      <c r="N15" t="s">
        <v>145</v>
      </c>
      <c r="O15" t="b">
        <v>1</v>
      </c>
      <c r="P15" t="b">
        <v>1</v>
      </c>
      <c r="Q15" s="6">
        <v>6.25</v>
      </c>
      <c r="R15" s="6">
        <v>1.25</v>
      </c>
      <c r="S15" t="s">
        <v>146</v>
      </c>
      <c r="T15" t="s">
        <v>147</v>
      </c>
      <c r="U15" s="6">
        <v>9.6</v>
      </c>
      <c r="V15" s="6">
        <v>15.4</v>
      </c>
      <c r="W15" t="b">
        <v>0</v>
      </c>
      <c r="X15">
        <v>20</v>
      </c>
      <c r="Y15">
        <v>1</v>
      </c>
      <c r="Z15">
        <v>20</v>
      </c>
      <c r="AA15" s="6">
        <v>29.948453608247419</v>
      </c>
      <c r="AB15">
        <f>--PizzaDelivery[[#This Row],[Is Delayed]]</f>
        <v>0</v>
      </c>
    </row>
    <row r="16" spans="1:28">
      <c r="A16" t="s">
        <v>189</v>
      </c>
      <c r="B16" t="s">
        <v>173</v>
      </c>
      <c r="C16" t="s">
        <v>190</v>
      </c>
      <c r="D16" s="1">
        <v>45306</v>
      </c>
      <c r="E16" s="5">
        <v>0.58333333333333337</v>
      </c>
      <c r="F16" s="1">
        <v>45306</v>
      </c>
      <c r="G16" s="5">
        <v>0.59722222222222221</v>
      </c>
      <c r="H16">
        <v>20</v>
      </c>
      <c r="I16" t="s">
        <v>143</v>
      </c>
      <c r="J16" t="s">
        <v>152</v>
      </c>
      <c r="K16">
        <v>3</v>
      </c>
      <c r="L16">
        <v>3</v>
      </c>
      <c r="M16" t="s">
        <v>143</v>
      </c>
      <c r="N16" t="s">
        <v>162</v>
      </c>
      <c r="O16" t="b">
        <v>0</v>
      </c>
      <c r="P16" t="b">
        <v>0</v>
      </c>
      <c r="Q16" s="6">
        <v>6.666666666666667</v>
      </c>
      <c r="R16" s="6">
        <v>1</v>
      </c>
      <c r="S16" t="s">
        <v>146</v>
      </c>
      <c r="T16" t="s">
        <v>147</v>
      </c>
      <c r="U16" s="6">
        <v>7.1999999999999993</v>
      </c>
      <c r="V16" s="6">
        <v>12.8</v>
      </c>
      <c r="W16" t="b">
        <v>0</v>
      </c>
      <c r="X16">
        <v>6</v>
      </c>
      <c r="Y16">
        <v>2</v>
      </c>
      <c r="Z16">
        <v>14</v>
      </c>
      <c r="AA16" s="6">
        <v>30.286458333333329</v>
      </c>
      <c r="AB16">
        <f>--PizzaDelivery[[#This Row],[Is Delayed]]</f>
        <v>0</v>
      </c>
    </row>
    <row r="17" spans="1:28">
      <c r="A17" t="s">
        <v>191</v>
      </c>
      <c r="B17" t="s">
        <v>142</v>
      </c>
      <c r="C17" t="s">
        <v>192</v>
      </c>
      <c r="D17" s="1">
        <v>45307</v>
      </c>
      <c r="E17" s="5">
        <v>0.82291666666666663</v>
      </c>
      <c r="F17" s="1">
        <v>45307</v>
      </c>
      <c r="G17" s="5">
        <v>0.84027777777777779</v>
      </c>
      <c r="H17">
        <v>25</v>
      </c>
      <c r="I17" t="s">
        <v>151</v>
      </c>
      <c r="J17" t="s">
        <v>144</v>
      </c>
      <c r="K17">
        <v>4</v>
      </c>
      <c r="L17">
        <v>4.5</v>
      </c>
      <c r="M17" t="s">
        <v>153</v>
      </c>
      <c r="N17" t="s">
        <v>169</v>
      </c>
      <c r="O17" t="b">
        <v>1</v>
      </c>
      <c r="P17" t="b">
        <v>0</v>
      </c>
      <c r="Q17" s="6">
        <v>5.5555555555555554</v>
      </c>
      <c r="R17" s="6">
        <v>0.88888888888888884</v>
      </c>
      <c r="S17" t="s">
        <v>146</v>
      </c>
      <c r="T17" t="s">
        <v>171</v>
      </c>
      <c r="U17" s="6">
        <v>10.8</v>
      </c>
      <c r="V17" s="6">
        <v>14.2</v>
      </c>
      <c r="W17" t="b">
        <v>0</v>
      </c>
      <c r="X17">
        <v>12</v>
      </c>
      <c r="Y17">
        <v>3</v>
      </c>
      <c r="Z17">
        <v>19</v>
      </c>
      <c r="AA17" s="6">
        <v>30.259433962264151</v>
      </c>
      <c r="AB17">
        <f>--PizzaDelivery[[#This Row],[Is Delayed]]</f>
        <v>0</v>
      </c>
    </row>
    <row r="18" spans="1:28">
      <c r="A18" t="s">
        <v>193</v>
      </c>
      <c r="B18" t="s">
        <v>149</v>
      </c>
      <c r="C18" t="s">
        <v>194</v>
      </c>
      <c r="D18" s="1">
        <v>45308</v>
      </c>
      <c r="E18" s="5">
        <v>0.77083333333333337</v>
      </c>
      <c r="F18" s="1">
        <v>45308</v>
      </c>
      <c r="G18" s="5">
        <v>0.78819444444444442</v>
      </c>
      <c r="H18">
        <v>25</v>
      </c>
      <c r="I18" t="s">
        <v>159</v>
      </c>
      <c r="J18" t="s">
        <v>160</v>
      </c>
      <c r="K18">
        <v>2</v>
      </c>
      <c r="L18">
        <v>2</v>
      </c>
      <c r="M18" t="s">
        <v>161</v>
      </c>
      <c r="N18" t="s">
        <v>154</v>
      </c>
      <c r="O18" t="b">
        <v>1</v>
      </c>
      <c r="P18" t="b">
        <v>0</v>
      </c>
      <c r="Q18" s="6">
        <v>12.5</v>
      </c>
      <c r="R18" s="6">
        <v>1</v>
      </c>
      <c r="S18" t="s">
        <v>146</v>
      </c>
      <c r="T18" t="s">
        <v>147</v>
      </c>
      <c r="U18" s="6">
        <v>4.8</v>
      </c>
      <c r="V18" s="6">
        <v>20.2</v>
      </c>
      <c r="W18" t="b">
        <v>0</v>
      </c>
      <c r="X18">
        <v>2</v>
      </c>
      <c r="Y18">
        <v>1</v>
      </c>
      <c r="Z18">
        <v>18</v>
      </c>
      <c r="AA18" s="6">
        <v>28.186274509803919</v>
      </c>
      <c r="AB18">
        <f>--PizzaDelivery[[#This Row],[Is Delayed]]</f>
        <v>0</v>
      </c>
    </row>
    <row r="19" spans="1:28">
      <c r="A19" t="s">
        <v>195</v>
      </c>
      <c r="B19" t="s">
        <v>157</v>
      </c>
      <c r="C19" t="s">
        <v>174</v>
      </c>
      <c r="D19" s="1">
        <v>45309</v>
      </c>
      <c r="E19" s="5">
        <v>0.83333333333333337</v>
      </c>
      <c r="F19" s="1">
        <v>45309</v>
      </c>
      <c r="G19" s="5">
        <v>0.84722222222222221</v>
      </c>
      <c r="H19">
        <v>20</v>
      </c>
      <c r="I19" t="s">
        <v>143</v>
      </c>
      <c r="J19" t="s">
        <v>152</v>
      </c>
      <c r="K19">
        <v>3</v>
      </c>
      <c r="L19">
        <v>3.5</v>
      </c>
      <c r="M19" t="s">
        <v>143</v>
      </c>
      <c r="N19" t="s">
        <v>145</v>
      </c>
      <c r="O19" t="b">
        <v>1</v>
      </c>
      <c r="P19" t="b">
        <v>0</v>
      </c>
      <c r="Q19" s="6">
        <v>5.7142857142857144</v>
      </c>
      <c r="R19" s="6">
        <v>0.8571428571428571</v>
      </c>
      <c r="S19" t="s">
        <v>146</v>
      </c>
      <c r="T19" t="s">
        <v>147</v>
      </c>
      <c r="U19" s="6">
        <v>8.4</v>
      </c>
      <c r="V19" s="6">
        <v>11.6</v>
      </c>
      <c r="W19" t="b">
        <v>0</v>
      </c>
      <c r="X19">
        <v>6</v>
      </c>
      <c r="Y19">
        <v>2</v>
      </c>
      <c r="Z19">
        <v>20</v>
      </c>
      <c r="AA19" s="6">
        <v>28.844221105527641</v>
      </c>
      <c r="AB19">
        <f>--PizzaDelivery[[#This Row],[Is Delayed]]</f>
        <v>0</v>
      </c>
    </row>
    <row r="20" spans="1:28">
      <c r="A20" t="s">
        <v>196</v>
      </c>
      <c r="B20" t="s">
        <v>165</v>
      </c>
      <c r="C20" t="s">
        <v>150</v>
      </c>
      <c r="D20" s="1">
        <v>45310</v>
      </c>
      <c r="E20" s="5">
        <v>0.80208333333333337</v>
      </c>
      <c r="F20" s="1">
        <v>45310</v>
      </c>
      <c r="G20" s="5">
        <v>0.81944444444444442</v>
      </c>
      <c r="H20">
        <v>25</v>
      </c>
      <c r="I20" t="s">
        <v>167</v>
      </c>
      <c r="J20" t="s">
        <v>168</v>
      </c>
      <c r="K20">
        <v>5</v>
      </c>
      <c r="L20">
        <v>4</v>
      </c>
      <c r="M20" t="s">
        <v>153</v>
      </c>
      <c r="N20" t="s">
        <v>162</v>
      </c>
      <c r="O20" t="b">
        <v>1</v>
      </c>
      <c r="P20" t="b">
        <v>0</v>
      </c>
      <c r="Q20" s="6">
        <v>6.25</v>
      </c>
      <c r="R20" s="6">
        <v>1.25</v>
      </c>
      <c r="S20" t="s">
        <v>146</v>
      </c>
      <c r="T20" t="s">
        <v>147</v>
      </c>
      <c r="U20" s="6">
        <v>9.6</v>
      </c>
      <c r="V20" s="6">
        <v>15.4</v>
      </c>
      <c r="W20" t="b">
        <v>0</v>
      </c>
      <c r="X20">
        <v>20</v>
      </c>
      <c r="Y20">
        <v>3</v>
      </c>
      <c r="Z20">
        <v>19</v>
      </c>
      <c r="AA20" s="6">
        <v>29.948453608247419</v>
      </c>
      <c r="AB20">
        <f>--PizzaDelivery[[#This Row],[Is Delayed]]</f>
        <v>0</v>
      </c>
    </row>
    <row r="21" spans="1:28">
      <c r="A21" t="s">
        <v>197</v>
      </c>
      <c r="B21" t="s">
        <v>173</v>
      </c>
      <c r="C21" t="s">
        <v>158</v>
      </c>
      <c r="D21" s="1">
        <v>45311</v>
      </c>
      <c r="E21" s="5">
        <v>0.5625</v>
      </c>
      <c r="F21" s="1">
        <v>45311</v>
      </c>
      <c r="G21" s="5">
        <v>0.57638888888888884</v>
      </c>
      <c r="H21">
        <v>20</v>
      </c>
      <c r="I21" t="s">
        <v>143</v>
      </c>
      <c r="J21" t="s">
        <v>152</v>
      </c>
      <c r="K21">
        <v>3</v>
      </c>
      <c r="L21">
        <v>3</v>
      </c>
      <c r="M21" t="s">
        <v>161</v>
      </c>
      <c r="N21" t="s">
        <v>169</v>
      </c>
      <c r="O21" t="b">
        <v>0</v>
      </c>
      <c r="P21" t="b">
        <v>1</v>
      </c>
      <c r="Q21" s="6">
        <v>6.666666666666667</v>
      </c>
      <c r="R21" s="6">
        <v>1</v>
      </c>
      <c r="S21" t="s">
        <v>146</v>
      </c>
      <c r="T21" t="s">
        <v>171</v>
      </c>
      <c r="U21" s="6">
        <v>7.1999999999999993</v>
      </c>
      <c r="V21" s="6">
        <v>12.8</v>
      </c>
      <c r="W21" t="b">
        <v>0</v>
      </c>
      <c r="X21">
        <v>6</v>
      </c>
      <c r="Y21">
        <v>1</v>
      </c>
      <c r="Z21">
        <v>13</v>
      </c>
      <c r="AA21" s="6">
        <v>30.286458333333329</v>
      </c>
      <c r="AB21">
        <f>--PizzaDelivery[[#This Row],[Is Delayed]]</f>
        <v>0</v>
      </c>
    </row>
    <row r="22" spans="1:28">
      <c r="A22" t="s">
        <v>198</v>
      </c>
      <c r="B22" t="s">
        <v>142</v>
      </c>
      <c r="C22" t="s">
        <v>166</v>
      </c>
      <c r="D22" s="1">
        <v>45312</v>
      </c>
      <c r="E22" s="5">
        <v>0.78125</v>
      </c>
      <c r="F22" s="1">
        <v>45312</v>
      </c>
      <c r="G22" s="5">
        <v>0.79861111111111116</v>
      </c>
      <c r="H22">
        <v>25</v>
      </c>
      <c r="I22" t="s">
        <v>151</v>
      </c>
      <c r="J22" t="s">
        <v>144</v>
      </c>
      <c r="K22">
        <v>4</v>
      </c>
      <c r="L22">
        <v>4.5</v>
      </c>
      <c r="M22" t="s">
        <v>143</v>
      </c>
      <c r="N22" t="s">
        <v>154</v>
      </c>
      <c r="O22" t="b">
        <v>1</v>
      </c>
      <c r="P22" t="b">
        <v>1</v>
      </c>
      <c r="Q22" s="6">
        <v>5.5555555555555554</v>
      </c>
      <c r="R22" s="6">
        <v>0.88888888888888884</v>
      </c>
      <c r="S22" t="s">
        <v>146</v>
      </c>
      <c r="T22" t="s">
        <v>147</v>
      </c>
      <c r="U22" s="6">
        <v>10.8</v>
      </c>
      <c r="V22" s="6">
        <v>14.2</v>
      </c>
      <c r="W22" t="b">
        <v>0</v>
      </c>
      <c r="X22">
        <v>12</v>
      </c>
      <c r="Y22">
        <v>2</v>
      </c>
      <c r="Z22">
        <v>18</v>
      </c>
      <c r="AA22" s="6">
        <v>30.259433962264151</v>
      </c>
      <c r="AB22">
        <f>--PizzaDelivery[[#This Row],[Is Delayed]]</f>
        <v>0</v>
      </c>
    </row>
    <row r="23" spans="1:28">
      <c r="A23" t="s">
        <v>199</v>
      </c>
      <c r="B23" t="s">
        <v>149</v>
      </c>
      <c r="C23" t="s">
        <v>174</v>
      </c>
      <c r="D23" s="1">
        <v>45313</v>
      </c>
      <c r="E23" s="5">
        <v>0.83333333333333337</v>
      </c>
      <c r="F23" s="1">
        <v>45313</v>
      </c>
      <c r="G23" s="5">
        <v>0.85069444444444442</v>
      </c>
      <c r="H23">
        <v>25</v>
      </c>
      <c r="I23" t="s">
        <v>159</v>
      </c>
      <c r="J23" t="s">
        <v>160</v>
      </c>
      <c r="K23">
        <v>2</v>
      </c>
      <c r="L23">
        <v>2</v>
      </c>
      <c r="M23" t="s">
        <v>153</v>
      </c>
      <c r="N23" t="s">
        <v>145</v>
      </c>
      <c r="O23" t="b">
        <v>1</v>
      </c>
      <c r="P23" t="b">
        <v>0</v>
      </c>
      <c r="Q23" s="6">
        <v>12.5</v>
      </c>
      <c r="R23" s="6">
        <v>1</v>
      </c>
      <c r="S23" t="s">
        <v>146</v>
      </c>
      <c r="T23" t="s">
        <v>147</v>
      </c>
      <c r="U23" s="6">
        <v>4.8</v>
      </c>
      <c r="V23" s="6">
        <v>20.2</v>
      </c>
      <c r="W23" t="b">
        <v>0</v>
      </c>
      <c r="X23">
        <v>2</v>
      </c>
      <c r="Y23">
        <v>3</v>
      </c>
      <c r="Z23">
        <v>20</v>
      </c>
      <c r="AA23" s="6">
        <v>28.186274509803919</v>
      </c>
      <c r="AB23">
        <f>--PizzaDelivery[[#This Row],[Is Delayed]]</f>
        <v>0</v>
      </c>
    </row>
    <row r="24" spans="1:28">
      <c r="A24" t="s">
        <v>200</v>
      </c>
      <c r="B24" t="s">
        <v>157</v>
      </c>
      <c r="C24" t="s">
        <v>184</v>
      </c>
      <c r="D24" s="1">
        <v>45314</v>
      </c>
      <c r="E24" s="5">
        <v>0.8125</v>
      </c>
      <c r="F24" s="1">
        <v>45314</v>
      </c>
      <c r="G24" s="5">
        <v>0.82638888888888884</v>
      </c>
      <c r="H24">
        <v>20</v>
      </c>
      <c r="I24" t="s">
        <v>143</v>
      </c>
      <c r="J24" t="s">
        <v>152</v>
      </c>
      <c r="K24">
        <v>3</v>
      </c>
      <c r="L24">
        <v>3.5</v>
      </c>
      <c r="M24" t="s">
        <v>161</v>
      </c>
      <c r="N24" t="s">
        <v>162</v>
      </c>
      <c r="O24" t="b">
        <v>1</v>
      </c>
      <c r="P24" t="b">
        <v>0</v>
      </c>
      <c r="Q24" s="6">
        <v>5.7142857142857144</v>
      </c>
      <c r="R24" s="6">
        <v>0.8571428571428571</v>
      </c>
      <c r="S24" t="s">
        <v>146</v>
      </c>
      <c r="T24" t="s">
        <v>147</v>
      </c>
      <c r="U24" s="6">
        <v>8.4</v>
      </c>
      <c r="V24" s="6">
        <v>11.6</v>
      </c>
      <c r="W24" t="b">
        <v>0</v>
      </c>
      <c r="X24">
        <v>6</v>
      </c>
      <c r="Y24">
        <v>1</v>
      </c>
      <c r="Z24">
        <v>19</v>
      </c>
      <c r="AA24" s="6">
        <v>28.844221105527641</v>
      </c>
      <c r="AB24">
        <f>--PizzaDelivery[[#This Row],[Is Delayed]]</f>
        <v>0</v>
      </c>
    </row>
    <row r="25" spans="1:28">
      <c r="A25" t="s">
        <v>201</v>
      </c>
      <c r="B25" t="s">
        <v>165</v>
      </c>
      <c r="C25" t="s">
        <v>186</v>
      </c>
      <c r="D25" s="1">
        <v>45315</v>
      </c>
      <c r="E25" s="5">
        <v>0.76041666666666663</v>
      </c>
      <c r="F25" s="1">
        <v>45315</v>
      </c>
      <c r="G25" s="5">
        <v>0.77777777777777779</v>
      </c>
      <c r="H25">
        <v>25</v>
      </c>
      <c r="I25" t="s">
        <v>167</v>
      </c>
      <c r="J25" t="s">
        <v>168</v>
      </c>
      <c r="K25">
        <v>5</v>
      </c>
      <c r="L25">
        <v>4</v>
      </c>
      <c r="M25" t="s">
        <v>143</v>
      </c>
      <c r="N25" t="s">
        <v>169</v>
      </c>
      <c r="O25" t="b">
        <v>1</v>
      </c>
      <c r="P25" t="b">
        <v>0</v>
      </c>
      <c r="Q25" s="6">
        <v>6.25</v>
      </c>
      <c r="R25" s="6">
        <v>1.25</v>
      </c>
      <c r="S25" t="s">
        <v>146</v>
      </c>
      <c r="T25" t="s">
        <v>171</v>
      </c>
      <c r="U25" s="6">
        <v>9.6</v>
      </c>
      <c r="V25" s="6">
        <v>15.4</v>
      </c>
      <c r="W25" t="b">
        <v>0</v>
      </c>
      <c r="X25">
        <v>20</v>
      </c>
      <c r="Y25">
        <v>2</v>
      </c>
      <c r="Z25">
        <v>18</v>
      </c>
      <c r="AA25" s="6">
        <v>29.948453608247419</v>
      </c>
      <c r="AB25">
        <f>--PizzaDelivery[[#This Row],[Is Delayed]]</f>
        <v>0</v>
      </c>
    </row>
    <row r="26" spans="1:28">
      <c r="A26" t="s">
        <v>202</v>
      </c>
      <c r="B26" t="s">
        <v>173</v>
      </c>
      <c r="C26" t="s">
        <v>188</v>
      </c>
      <c r="D26" s="1">
        <v>45316</v>
      </c>
      <c r="E26" s="5">
        <v>0.60416666666666663</v>
      </c>
      <c r="F26" s="1">
        <v>45316</v>
      </c>
      <c r="G26" s="5">
        <v>0.61805555555555558</v>
      </c>
      <c r="H26">
        <v>20</v>
      </c>
      <c r="I26" t="s">
        <v>143</v>
      </c>
      <c r="J26" t="s">
        <v>152</v>
      </c>
      <c r="K26">
        <v>3</v>
      </c>
      <c r="L26">
        <v>3</v>
      </c>
      <c r="M26" t="s">
        <v>153</v>
      </c>
      <c r="N26" t="s">
        <v>154</v>
      </c>
      <c r="O26" t="b">
        <v>0</v>
      </c>
      <c r="P26" t="b">
        <v>0</v>
      </c>
      <c r="Q26" s="6">
        <v>6.666666666666667</v>
      </c>
      <c r="R26" s="6">
        <v>1</v>
      </c>
      <c r="S26" t="s">
        <v>146</v>
      </c>
      <c r="T26" t="s">
        <v>147</v>
      </c>
      <c r="U26" s="6">
        <v>7.1999999999999993</v>
      </c>
      <c r="V26" s="6">
        <v>12.8</v>
      </c>
      <c r="W26" t="b">
        <v>0</v>
      </c>
      <c r="X26">
        <v>6</v>
      </c>
      <c r="Y26">
        <v>3</v>
      </c>
      <c r="Z26">
        <v>14</v>
      </c>
      <c r="AA26" s="6">
        <v>30.286458333333329</v>
      </c>
      <c r="AB26">
        <f>--PizzaDelivery[[#This Row],[Is Delayed]]</f>
        <v>0</v>
      </c>
    </row>
    <row r="27" spans="1:28">
      <c r="A27" t="s">
        <v>203</v>
      </c>
      <c r="B27" t="s">
        <v>142</v>
      </c>
      <c r="C27" t="s">
        <v>190</v>
      </c>
      <c r="D27" s="1">
        <v>45317</v>
      </c>
      <c r="E27" s="5">
        <v>0.83333333333333337</v>
      </c>
      <c r="F27" s="1">
        <v>45317</v>
      </c>
      <c r="G27" s="5">
        <v>0.85069444444444442</v>
      </c>
      <c r="H27">
        <v>25</v>
      </c>
      <c r="I27" t="s">
        <v>151</v>
      </c>
      <c r="J27" t="s">
        <v>144</v>
      </c>
      <c r="K27">
        <v>4</v>
      </c>
      <c r="L27">
        <v>4.5</v>
      </c>
      <c r="M27" t="s">
        <v>161</v>
      </c>
      <c r="N27" t="s">
        <v>145</v>
      </c>
      <c r="O27" t="b">
        <v>1</v>
      </c>
      <c r="P27" t="b">
        <v>0</v>
      </c>
      <c r="Q27" s="6">
        <v>5.5555555555555554</v>
      </c>
      <c r="R27" s="6">
        <v>0.88888888888888884</v>
      </c>
      <c r="S27" t="s">
        <v>146</v>
      </c>
      <c r="T27" t="s">
        <v>147</v>
      </c>
      <c r="U27" s="6">
        <v>10.8</v>
      </c>
      <c r="V27" s="6">
        <v>14.2</v>
      </c>
      <c r="W27" t="b">
        <v>0</v>
      </c>
      <c r="X27">
        <v>12</v>
      </c>
      <c r="Y27">
        <v>1</v>
      </c>
      <c r="Z27">
        <v>20</v>
      </c>
      <c r="AA27" s="6">
        <v>30.259433962264151</v>
      </c>
      <c r="AB27">
        <f>--PizzaDelivery[[#This Row],[Is Delayed]]</f>
        <v>0</v>
      </c>
    </row>
    <row r="28" spans="1:28">
      <c r="A28" t="s">
        <v>204</v>
      </c>
      <c r="B28" t="s">
        <v>149</v>
      </c>
      <c r="C28" t="s">
        <v>192</v>
      </c>
      <c r="D28" s="1">
        <v>45318</v>
      </c>
      <c r="E28" s="5">
        <v>0.80208333333333337</v>
      </c>
      <c r="F28" s="1">
        <v>45318</v>
      </c>
      <c r="G28" s="5">
        <v>0.81944444444444442</v>
      </c>
      <c r="H28">
        <v>25</v>
      </c>
      <c r="I28" t="s">
        <v>159</v>
      </c>
      <c r="J28" t="s">
        <v>160</v>
      </c>
      <c r="K28">
        <v>2</v>
      </c>
      <c r="L28">
        <v>2</v>
      </c>
      <c r="M28" t="s">
        <v>143</v>
      </c>
      <c r="N28" t="s">
        <v>162</v>
      </c>
      <c r="O28" t="b">
        <v>1</v>
      </c>
      <c r="P28" t="b">
        <v>1</v>
      </c>
      <c r="Q28" s="6">
        <v>12.5</v>
      </c>
      <c r="R28" s="6">
        <v>1</v>
      </c>
      <c r="S28" t="s">
        <v>146</v>
      </c>
      <c r="T28" t="s">
        <v>147</v>
      </c>
      <c r="U28" s="6">
        <v>4.8</v>
      </c>
      <c r="V28" s="6">
        <v>20.2</v>
      </c>
      <c r="W28" t="b">
        <v>0</v>
      </c>
      <c r="X28">
        <v>2</v>
      </c>
      <c r="Y28">
        <v>2</v>
      </c>
      <c r="Z28">
        <v>19</v>
      </c>
      <c r="AA28" s="6">
        <v>28.186274509803919</v>
      </c>
      <c r="AB28">
        <f>--PizzaDelivery[[#This Row],[Is Delayed]]</f>
        <v>0</v>
      </c>
    </row>
    <row r="29" spans="1:28">
      <c r="A29" t="s">
        <v>205</v>
      </c>
      <c r="B29" t="s">
        <v>157</v>
      </c>
      <c r="C29" t="s">
        <v>194</v>
      </c>
      <c r="D29" s="1">
        <v>45319</v>
      </c>
      <c r="E29" s="5">
        <v>0.77083333333333337</v>
      </c>
      <c r="F29" s="1">
        <v>45319</v>
      </c>
      <c r="G29" s="5">
        <v>0.78472222222222221</v>
      </c>
      <c r="H29">
        <v>20</v>
      </c>
      <c r="I29" t="s">
        <v>143</v>
      </c>
      <c r="J29" t="s">
        <v>152</v>
      </c>
      <c r="K29">
        <v>3</v>
      </c>
      <c r="L29">
        <v>3.5</v>
      </c>
      <c r="M29" t="s">
        <v>153</v>
      </c>
      <c r="N29" t="s">
        <v>169</v>
      </c>
      <c r="O29" t="b">
        <v>1</v>
      </c>
      <c r="P29" t="b">
        <v>1</v>
      </c>
      <c r="Q29" s="6">
        <v>5.7142857142857144</v>
      </c>
      <c r="R29" s="6">
        <v>0.8571428571428571</v>
      </c>
      <c r="S29" t="s">
        <v>146</v>
      </c>
      <c r="T29" t="s">
        <v>171</v>
      </c>
      <c r="U29" s="6">
        <v>8.4</v>
      </c>
      <c r="V29" s="6">
        <v>11.6</v>
      </c>
      <c r="W29" t="b">
        <v>0</v>
      </c>
      <c r="X29">
        <v>6</v>
      </c>
      <c r="Y29">
        <v>3</v>
      </c>
      <c r="Z29">
        <v>18</v>
      </c>
      <c r="AA29" s="6">
        <v>28.844221105527641</v>
      </c>
      <c r="AB29">
        <f>--PizzaDelivery[[#This Row],[Is Delayed]]</f>
        <v>0</v>
      </c>
    </row>
    <row r="30" spans="1:28">
      <c r="A30" t="s">
        <v>206</v>
      </c>
      <c r="B30" t="s">
        <v>165</v>
      </c>
      <c r="C30" t="s">
        <v>158</v>
      </c>
      <c r="D30" s="1">
        <v>45320</v>
      </c>
      <c r="E30" s="5">
        <v>0.83333333333333337</v>
      </c>
      <c r="F30" s="1">
        <v>45320</v>
      </c>
      <c r="G30" s="5">
        <v>0.85069444444444442</v>
      </c>
      <c r="H30">
        <v>25</v>
      </c>
      <c r="I30" t="s">
        <v>167</v>
      </c>
      <c r="J30" t="s">
        <v>168</v>
      </c>
      <c r="K30">
        <v>5</v>
      </c>
      <c r="L30">
        <v>4</v>
      </c>
      <c r="M30" t="s">
        <v>161</v>
      </c>
      <c r="N30" t="s">
        <v>154</v>
      </c>
      <c r="O30" t="b">
        <v>1</v>
      </c>
      <c r="P30" t="b">
        <v>0</v>
      </c>
      <c r="Q30" s="6">
        <v>6.25</v>
      </c>
      <c r="R30" s="6">
        <v>1.25</v>
      </c>
      <c r="S30" t="s">
        <v>146</v>
      </c>
      <c r="T30" t="s">
        <v>147</v>
      </c>
      <c r="U30" s="6">
        <v>9.6</v>
      </c>
      <c r="V30" s="6">
        <v>15.4</v>
      </c>
      <c r="W30" t="b">
        <v>0</v>
      </c>
      <c r="X30">
        <v>20</v>
      </c>
      <c r="Y30">
        <v>1</v>
      </c>
      <c r="Z30">
        <v>20</v>
      </c>
      <c r="AA30" s="6">
        <v>29.948453608247419</v>
      </c>
      <c r="AB30">
        <f>--PizzaDelivery[[#This Row],[Is Delayed]]</f>
        <v>0</v>
      </c>
    </row>
    <row r="31" spans="1:28">
      <c r="A31" t="s">
        <v>207</v>
      </c>
      <c r="B31" t="s">
        <v>173</v>
      </c>
      <c r="C31" t="s">
        <v>166</v>
      </c>
      <c r="D31" s="1">
        <v>45321</v>
      </c>
      <c r="E31" s="5">
        <v>0.55208333333333337</v>
      </c>
      <c r="F31" s="1">
        <v>45321</v>
      </c>
      <c r="G31" s="5">
        <v>0.56597222222222221</v>
      </c>
      <c r="H31">
        <v>20</v>
      </c>
      <c r="I31" t="s">
        <v>143</v>
      </c>
      <c r="J31" t="s">
        <v>152</v>
      </c>
      <c r="K31">
        <v>3</v>
      </c>
      <c r="L31">
        <v>3</v>
      </c>
      <c r="M31" t="s">
        <v>143</v>
      </c>
      <c r="N31" t="s">
        <v>145</v>
      </c>
      <c r="O31" t="b">
        <v>0</v>
      </c>
      <c r="P31" t="b">
        <v>0</v>
      </c>
      <c r="Q31" s="6">
        <v>6.666666666666667</v>
      </c>
      <c r="R31" s="6">
        <v>1</v>
      </c>
      <c r="S31" t="s">
        <v>146</v>
      </c>
      <c r="T31" t="s">
        <v>147</v>
      </c>
      <c r="U31" s="6">
        <v>7.1999999999999993</v>
      </c>
      <c r="V31" s="6">
        <v>12.8</v>
      </c>
      <c r="W31" t="b">
        <v>0</v>
      </c>
      <c r="X31">
        <v>6</v>
      </c>
      <c r="Y31">
        <v>2</v>
      </c>
      <c r="Z31">
        <v>13</v>
      </c>
      <c r="AA31" s="6">
        <v>30.286458333333329</v>
      </c>
      <c r="AB31">
        <f>--PizzaDelivery[[#This Row],[Is Delayed]]</f>
        <v>0</v>
      </c>
    </row>
    <row r="32" spans="1:28">
      <c r="A32" t="s">
        <v>208</v>
      </c>
      <c r="B32" t="s">
        <v>142</v>
      </c>
      <c r="C32" t="s">
        <v>150</v>
      </c>
      <c r="D32" s="1">
        <v>45323</v>
      </c>
      <c r="E32" s="5">
        <v>0.82291666666666663</v>
      </c>
      <c r="F32" s="1">
        <v>45323</v>
      </c>
      <c r="G32" s="5">
        <v>0.84027777777777779</v>
      </c>
      <c r="H32">
        <v>25</v>
      </c>
      <c r="I32" t="s">
        <v>151</v>
      </c>
      <c r="J32" t="s">
        <v>144</v>
      </c>
      <c r="K32">
        <v>4</v>
      </c>
      <c r="L32">
        <v>4.5</v>
      </c>
      <c r="M32" t="s">
        <v>153</v>
      </c>
      <c r="N32" t="s">
        <v>162</v>
      </c>
      <c r="O32" t="b">
        <v>1</v>
      </c>
      <c r="P32" t="b">
        <v>0</v>
      </c>
      <c r="Q32" s="6">
        <v>5.5555555555555554</v>
      </c>
      <c r="R32" s="6">
        <v>0.88888888888888884</v>
      </c>
      <c r="S32" t="s">
        <v>155</v>
      </c>
      <c r="T32" t="s">
        <v>147</v>
      </c>
      <c r="U32" s="6">
        <v>10.8</v>
      </c>
      <c r="V32" s="6">
        <v>14.2</v>
      </c>
      <c r="W32" t="b">
        <v>0</v>
      </c>
      <c r="X32">
        <v>12</v>
      </c>
      <c r="Y32">
        <v>3</v>
      </c>
      <c r="Z32">
        <v>19</v>
      </c>
      <c r="AA32" s="6">
        <v>30.259433962264151</v>
      </c>
      <c r="AB32">
        <f>--PizzaDelivery[[#This Row],[Is Delayed]]</f>
        <v>0</v>
      </c>
    </row>
    <row r="33" spans="1:28">
      <c r="A33" t="s">
        <v>209</v>
      </c>
      <c r="B33" t="s">
        <v>149</v>
      </c>
      <c r="C33" t="s">
        <v>186</v>
      </c>
      <c r="D33" s="1">
        <v>45324</v>
      </c>
      <c r="E33" s="5">
        <v>0.75</v>
      </c>
      <c r="F33" s="1">
        <v>45324</v>
      </c>
      <c r="G33" s="5">
        <v>0.76736111111111116</v>
      </c>
      <c r="H33">
        <v>25</v>
      </c>
      <c r="I33" t="s">
        <v>159</v>
      </c>
      <c r="J33" t="s">
        <v>160</v>
      </c>
      <c r="K33">
        <v>2</v>
      </c>
      <c r="L33">
        <v>2</v>
      </c>
      <c r="M33" t="s">
        <v>161</v>
      </c>
      <c r="N33" t="s">
        <v>169</v>
      </c>
      <c r="O33" t="b">
        <v>1</v>
      </c>
      <c r="P33" t="b">
        <v>0</v>
      </c>
      <c r="Q33" s="6">
        <v>12.5</v>
      </c>
      <c r="R33" s="6">
        <v>1</v>
      </c>
      <c r="S33" t="s">
        <v>155</v>
      </c>
      <c r="T33" t="s">
        <v>171</v>
      </c>
      <c r="U33" s="6">
        <v>4.8</v>
      </c>
      <c r="V33" s="6">
        <v>20.2</v>
      </c>
      <c r="W33" t="b">
        <v>0</v>
      </c>
      <c r="X33">
        <v>2</v>
      </c>
      <c r="Y33">
        <v>1</v>
      </c>
      <c r="Z33">
        <v>18</v>
      </c>
      <c r="AA33" s="6">
        <v>28.186274509803919</v>
      </c>
      <c r="AB33">
        <f>--PizzaDelivery[[#This Row],[Is Delayed]]</f>
        <v>0</v>
      </c>
    </row>
    <row r="34" spans="1:28">
      <c r="A34" t="s">
        <v>210</v>
      </c>
      <c r="B34" t="s">
        <v>157</v>
      </c>
      <c r="C34" t="s">
        <v>188</v>
      </c>
      <c r="D34" s="1">
        <v>45325</v>
      </c>
      <c r="E34" s="5">
        <v>0.85416666666666663</v>
      </c>
      <c r="F34" s="1">
        <v>45325</v>
      </c>
      <c r="G34" s="5">
        <v>0.87152777777777779</v>
      </c>
      <c r="H34">
        <v>25</v>
      </c>
      <c r="I34" t="s">
        <v>143</v>
      </c>
      <c r="J34" t="s">
        <v>152</v>
      </c>
      <c r="K34">
        <v>3</v>
      </c>
      <c r="L34">
        <v>3.5</v>
      </c>
      <c r="M34" t="s">
        <v>143</v>
      </c>
      <c r="N34" t="s">
        <v>154</v>
      </c>
      <c r="O34" t="b">
        <v>1</v>
      </c>
      <c r="P34" t="b">
        <v>1</v>
      </c>
      <c r="Q34" s="6">
        <v>7.1428571428571432</v>
      </c>
      <c r="R34" s="6">
        <v>0.8571428571428571</v>
      </c>
      <c r="S34" t="s">
        <v>155</v>
      </c>
      <c r="T34" t="s">
        <v>147</v>
      </c>
      <c r="U34" s="6">
        <v>8.4</v>
      </c>
      <c r="V34" s="6">
        <v>16.600000000000001</v>
      </c>
      <c r="W34" t="b">
        <v>0</v>
      </c>
      <c r="X34">
        <v>6</v>
      </c>
      <c r="Y34">
        <v>2</v>
      </c>
      <c r="Z34">
        <v>20</v>
      </c>
      <c r="AA34" s="6">
        <v>28.844221105527641</v>
      </c>
      <c r="AB34">
        <f>--PizzaDelivery[[#This Row],[Is Delayed]]</f>
        <v>0</v>
      </c>
    </row>
    <row r="35" spans="1:28">
      <c r="A35" t="s">
        <v>211</v>
      </c>
      <c r="B35" t="s">
        <v>165</v>
      </c>
      <c r="C35" t="s">
        <v>174</v>
      </c>
      <c r="D35" s="1">
        <v>45326</v>
      </c>
      <c r="E35" s="5">
        <v>0.59375</v>
      </c>
      <c r="F35" s="1">
        <v>45326</v>
      </c>
      <c r="G35" s="5">
        <v>0.60763888888888884</v>
      </c>
      <c r="H35">
        <v>20</v>
      </c>
      <c r="I35" t="s">
        <v>167</v>
      </c>
      <c r="J35" t="s">
        <v>168</v>
      </c>
      <c r="K35">
        <v>5</v>
      </c>
      <c r="L35">
        <v>4</v>
      </c>
      <c r="M35" t="s">
        <v>153</v>
      </c>
      <c r="N35" t="s">
        <v>145</v>
      </c>
      <c r="O35" t="b">
        <v>0</v>
      </c>
      <c r="P35" t="b">
        <v>1</v>
      </c>
      <c r="Q35" s="6">
        <v>5</v>
      </c>
      <c r="R35" s="6">
        <v>1.25</v>
      </c>
      <c r="S35" t="s">
        <v>155</v>
      </c>
      <c r="T35" t="s">
        <v>147</v>
      </c>
      <c r="U35" s="6">
        <v>9.6</v>
      </c>
      <c r="V35" s="6">
        <v>10.4</v>
      </c>
      <c r="W35" t="b">
        <v>0</v>
      </c>
      <c r="X35">
        <v>20</v>
      </c>
      <c r="Y35">
        <v>3</v>
      </c>
      <c r="Z35">
        <v>14</v>
      </c>
      <c r="AA35" s="6">
        <v>29.948453608247419</v>
      </c>
      <c r="AB35">
        <f>--PizzaDelivery[[#This Row],[Is Delayed]]</f>
        <v>0</v>
      </c>
    </row>
    <row r="36" spans="1:28">
      <c r="A36" t="s">
        <v>212</v>
      </c>
      <c r="B36" t="s">
        <v>173</v>
      </c>
      <c r="C36" t="s">
        <v>190</v>
      </c>
      <c r="D36" s="1">
        <v>45327</v>
      </c>
      <c r="E36" s="5">
        <v>0.79166666666666663</v>
      </c>
      <c r="F36" s="1">
        <v>45327</v>
      </c>
      <c r="G36" s="5">
        <v>0.80902777777777779</v>
      </c>
      <c r="H36">
        <v>25</v>
      </c>
      <c r="I36" t="s">
        <v>143</v>
      </c>
      <c r="J36" t="s">
        <v>152</v>
      </c>
      <c r="K36">
        <v>3</v>
      </c>
      <c r="L36">
        <v>3</v>
      </c>
      <c r="M36" t="s">
        <v>161</v>
      </c>
      <c r="N36" t="s">
        <v>162</v>
      </c>
      <c r="O36" t="b">
        <v>1</v>
      </c>
      <c r="P36" t="b">
        <v>0</v>
      </c>
      <c r="Q36" s="6">
        <v>8.3333333333333339</v>
      </c>
      <c r="R36" s="6">
        <v>1</v>
      </c>
      <c r="S36" t="s">
        <v>155</v>
      </c>
      <c r="T36" t="s">
        <v>147</v>
      </c>
      <c r="U36" s="6">
        <v>7.1999999999999993</v>
      </c>
      <c r="V36" s="6">
        <v>17.8</v>
      </c>
      <c r="W36" t="b">
        <v>0</v>
      </c>
      <c r="X36">
        <v>6</v>
      </c>
      <c r="Y36">
        <v>1</v>
      </c>
      <c r="Z36">
        <v>19</v>
      </c>
      <c r="AA36" s="6">
        <v>30.286458333333329</v>
      </c>
      <c r="AB36">
        <f>--PizzaDelivery[[#This Row],[Is Delayed]]</f>
        <v>0</v>
      </c>
    </row>
    <row r="37" spans="1:28">
      <c r="A37" t="s">
        <v>213</v>
      </c>
      <c r="B37" t="s">
        <v>142</v>
      </c>
      <c r="C37" t="s">
        <v>184</v>
      </c>
      <c r="D37" s="1">
        <v>45328</v>
      </c>
      <c r="E37" s="5">
        <v>0.78125</v>
      </c>
      <c r="F37" s="1">
        <v>45328</v>
      </c>
      <c r="G37" s="5">
        <v>0.79861111111111116</v>
      </c>
      <c r="H37">
        <v>25</v>
      </c>
      <c r="I37" t="s">
        <v>151</v>
      </c>
      <c r="J37" t="s">
        <v>144</v>
      </c>
      <c r="K37">
        <v>4</v>
      </c>
      <c r="L37">
        <v>4.5</v>
      </c>
      <c r="M37" t="s">
        <v>143</v>
      </c>
      <c r="N37" t="s">
        <v>145</v>
      </c>
      <c r="O37" t="b">
        <v>1</v>
      </c>
      <c r="P37" t="b">
        <v>0</v>
      </c>
      <c r="Q37" s="6">
        <v>5.5555555555555554</v>
      </c>
      <c r="R37" s="6">
        <v>0.88888888888888884</v>
      </c>
      <c r="S37" t="s">
        <v>155</v>
      </c>
      <c r="T37" t="s">
        <v>147</v>
      </c>
      <c r="U37" s="6">
        <v>10.8</v>
      </c>
      <c r="V37" s="6">
        <v>14.2</v>
      </c>
      <c r="W37" t="b">
        <v>0</v>
      </c>
      <c r="X37">
        <v>12</v>
      </c>
      <c r="Y37">
        <v>2</v>
      </c>
      <c r="Z37">
        <v>18</v>
      </c>
      <c r="AA37" s="6">
        <v>30.259433962264151</v>
      </c>
      <c r="AB37">
        <f>--PizzaDelivery[[#This Row],[Is Delayed]]</f>
        <v>0</v>
      </c>
    </row>
    <row r="38" spans="1:28">
      <c r="A38" t="s">
        <v>214</v>
      </c>
      <c r="B38" t="s">
        <v>149</v>
      </c>
      <c r="C38" t="s">
        <v>186</v>
      </c>
      <c r="D38" s="1">
        <v>45329</v>
      </c>
      <c r="E38" s="5">
        <v>0.83333333333333337</v>
      </c>
      <c r="F38" s="1">
        <v>45329</v>
      </c>
      <c r="G38" s="5">
        <v>0.85069444444444442</v>
      </c>
      <c r="H38">
        <v>25</v>
      </c>
      <c r="I38" t="s">
        <v>143</v>
      </c>
      <c r="J38" t="s">
        <v>152</v>
      </c>
      <c r="K38">
        <v>3</v>
      </c>
      <c r="L38">
        <v>3</v>
      </c>
      <c r="M38" t="s">
        <v>153</v>
      </c>
      <c r="N38" t="s">
        <v>162</v>
      </c>
      <c r="O38" t="b">
        <v>1</v>
      </c>
      <c r="P38" t="b">
        <v>0</v>
      </c>
      <c r="Q38" s="6">
        <v>8.3333333333333339</v>
      </c>
      <c r="R38" s="6">
        <v>1</v>
      </c>
      <c r="S38" t="s">
        <v>155</v>
      </c>
      <c r="T38" t="s">
        <v>147</v>
      </c>
      <c r="U38" s="6">
        <v>7.1999999999999993</v>
      </c>
      <c r="V38" s="6">
        <v>17.8</v>
      </c>
      <c r="W38" t="b">
        <v>0</v>
      </c>
      <c r="X38">
        <v>6</v>
      </c>
      <c r="Y38">
        <v>3</v>
      </c>
      <c r="Z38">
        <v>20</v>
      </c>
      <c r="AA38" s="6">
        <v>28.186274509803919</v>
      </c>
      <c r="AB38">
        <f>--PizzaDelivery[[#This Row],[Is Delayed]]</f>
        <v>0</v>
      </c>
    </row>
    <row r="39" spans="1:28">
      <c r="A39" t="s">
        <v>215</v>
      </c>
      <c r="B39" t="s">
        <v>157</v>
      </c>
      <c r="C39" t="s">
        <v>188</v>
      </c>
      <c r="D39" s="1">
        <v>45330</v>
      </c>
      <c r="E39" s="5">
        <v>0.8125</v>
      </c>
      <c r="F39" s="1">
        <v>45330</v>
      </c>
      <c r="G39" s="5">
        <v>0.82638888888888884</v>
      </c>
      <c r="H39">
        <v>20</v>
      </c>
      <c r="I39" t="s">
        <v>159</v>
      </c>
      <c r="J39" t="s">
        <v>160</v>
      </c>
      <c r="K39">
        <v>2</v>
      </c>
      <c r="L39">
        <v>2.5</v>
      </c>
      <c r="M39" t="s">
        <v>161</v>
      </c>
      <c r="N39" t="s">
        <v>169</v>
      </c>
      <c r="O39" t="b">
        <v>1</v>
      </c>
      <c r="P39" t="b">
        <v>0</v>
      </c>
      <c r="Q39" s="6">
        <v>8</v>
      </c>
      <c r="R39" s="6">
        <v>0.8</v>
      </c>
      <c r="S39" t="s">
        <v>155</v>
      </c>
      <c r="T39" t="s">
        <v>171</v>
      </c>
      <c r="U39" s="6">
        <v>6</v>
      </c>
      <c r="V39" s="6">
        <v>14</v>
      </c>
      <c r="W39" t="b">
        <v>0</v>
      </c>
      <c r="X39">
        <v>2</v>
      </c>
      <c r="Y39">
        <v>1</v>
      </c>
      <c r="Z39">
        <v>19</v>
      </c>
      <c r="AA39" s="6">
        <v>28.844221105527641</v>
      </c>
      <c r="AB39">
        <f>--PizzaDelivery[[#This Row],[Is Delayed]]</f>
        <v>0</v>
      </c>
    </row>
    <row r="40" spans="1:28">
      <c r="A40" t="s">
        <v>216</v>
      </c>
      <c r="B40" t="s">
        <v>165</v>
      </c>
      <c r="C40" t="s">
        <v>174</v>
      </c>
      <c r="D40" s="1">
        <v>45331</v>
      </c>
      <c r="E40" s="5">
        <v>0.76041666666666663</v>
      </c>
      <c r="F40" s="1">
        <v>45331</v>
      </c>
      <c r="G40" s="5">
        <v>0.77777777777777779</v>
      </c>
      <c r="H40">
        <v>25</v>
      </c>
      <c r="I40" t="s">
        <v>167</v>
      </c>
      <c r="J40" t="s">
        <v>168</v>
      </c>
      <c r="K40">
        <v>5</v>
      </c>
      <c r="L40">
        <v>4</v>
      </c>
      <c r="M40" t="s">
        <v>143</v>
      </c>
      <c r="N40" t="s">
        <v>154</v>
      </c>
      <c r="O40" t="b">
        <v>1</v>
      </c>
      <c r="P40" t="b">
        <v>0</v>
      </c>
      <c r="Q40" s="6">
        <v>6.25</v>
      </c>
      <c r="R40" s="6">
        <v>1.25</v>
      </c>
      <c r="S40" t="s">
        <v>155</v>
      </c>
      <c r="T40" t="s">
        <v>147</v>
      </c>
      <c r="U40" s="6">
        <v>9.6</v>
      </c>
      <c r="V40" s="6">
        <v>15.4</v>
      </c>
      <c r="W40" t="b">
        <v>0</v>
      </c>
      <c r="X40">
        <v>20</v>
      </c>
      <c r="Y40">
        <v>2</v>
      </c>
      <c r="Z40">
        <v>18</v>
      </c>
      <c r="AA40" s="6">
        <v>29.948453608247419</v>
      </c>
      <c r="AB40">
        <f>--PizzaDelivery[[#This Row],[Is Delayed]]</f>
        <v>0</v>
      </c>
    </row>
    <row r="41" spans="1:28">
      <c r="A41" t="s">
        <v>217</v>
      </c>
      <c r="B41" t="s">
        <v>173</v>
      </c>
      <c r="C41" t="s">
        <v>190</v>
      </c>
      <c r="D41" s="1">
        <v>45332</v>
      </c>
      <c r="E41" s="5">
        <v>0.60416666666666663</v>
      </c>
      <c r="F41" s="1">
        <v>45332</v>
      </c>
      <c r="G41" s="5">
        <v>0.61805555555555558</v>
      </c>
      <c r="H41">
        <v>20</v>
      </c>
      <c r="I41" t="s">
        <v>143</v>
      </c>
      <c r="J41" t="s">
        <v>152</v>
      </c>
      <c r="K41">
        <v>3</v>
      </c>
      <c r="L41">
        <v>3.5</v>
      </c>
      <c r="M41" t="s">
        <v>153</v>
      </c>
      <c r="N41" t="s">
        <v>145</v>
      </c>
      <c r="O41" t="b">
        <v>0</v>
      </c>
      <c r="P41" t="b">
        <v>1</v>
      </c>
      <c r="Q41" s="6">
        <v>5.7142857142857144</v>
      </c>
      <c r="R41" s="6">
        <v>0.8571428571428571</v>
      </c>
      <c r="S41" t="s">
        <v>155</v>
      </c>
      <c r="T41" t="s">
        <v>147</v>
      </c>
      <c r="U41" s="6">
        <v>8.4</v>
      </c>
      <c r="V41" s="6">
        <v>11.6</v>
      </c>
      <c r="W41" t="b">
        <v>0</v>
      </c>
      <c r="X41">
        <v>6</v>
      </c>
      <c r="Y41">
        <v>3</v>
      </c>
      <c r="Z41">
        <v>14</v>
      </c>
      <c r="AA41" s="6">
        <v>30.286458333333329</v>
      </c>
      <c r="AB41">
        <f>--PizzaDelivery[[#This Row],[Is Delayed]]</f>
        <v>0</v>
      </c>
    </row>
    <row r="42" spans="1:28">
      <c r="A42" t="s">
        <v>218</v>
      </c>
      <c r="B42" t="s">
        <v>142</v>
      </c>
      <c r="C42" t="s">
        <v>192</v>
      </c>
      <c r="D42" s="1">
        <v>45333</v>
      </c>
      <c r="E42" s="5">
        <v>0.79166666666666663</v>
      </c>
      <c r="F42" s="1">
        <v>45333</v>
      </c>
      <c r="G42" s="5">
        <v>0.80555555555555558</v>
      </c>
      <c r="H42">
        <v>20</v>
      </c>
      <c r="I42" t="s">
        <v>151</v>
      </c>
      <c r="J42" t="s">
        <v>144</v>
      </c>
      <c r="K42">
        <v>4</v>
      </c>
      <c r="L42">
        <v>4</v>
      </c>
      <c r="M42" t="s">
        <v>161</v>
      </c>
      <c r="N42" t="s">
        <v>162</v>
      </c>
      <c r="O42" t="b">
        <v>1</v>
      </c>
      <c r="P42" t="b">
        <v>1</v>
      </c>
      <c r="Q42" s="6">
        <v>5</v>
      </c>
      <c r="R42" s="6">
        <v>1</v>
      </c>
      <c r="S42" t="s">
        <v>155</v>
      </c>
      <c r="T42" t="s">
        <v>147</v>
      </c>
      <c r="U42" s="6">
        <v>9.6</v>
      </c>
      <c r="V42" s="6">
        <v>10.4</v>
      </c>
      <c r="W42" t="b">
        <v>0</v>
      </c>
      <c r="X42">
        <v>12</v>
      </c>
      <c r="Y42">
        <v>1</v>
      </c>
      <c r="Z42">
        <v>19</v>
      </c>
      <c r="AA42" s="6">
        <v>30.259433962264151</v>
      </c>
      <c r="AB42">
        <f>--PizzaDelivery[[#This Row],[Is Delayed]]</f>
        <v>0</v>
      </c>
    </row>
    <row r="43" spans="1:28">
      <c r="A43" t="s">
        <v>219</v>
      </c>
      <c r="B43" t="s">
        <v>149</v>
      </c>
      <c r="C43" t="s">
        <v>194</v>
      </c>
      <c r="D43" s="1">
        <v>45334</v>
      </c>
      <c r="E43" s="5">
        <v>0.84375</v>
      </c>
      <c r="F43" s="1">
        <v>45334</v>
      </c>
      <c r="G43" s="5">
        <v>0.86111111111111116</v>
      </c>
      <c r="H43">
        <v>25</v>
      </c>
      <c r="I43" t="s">
        <v>159</v>
      </c>
      <c r="J43" t="s">
        <v>160</v>
      </c>
      <c r="K43">
        <v>2</v>
      </c>
      <c r="L43">
        <v>2</v>
      </c>
      <c r="M43" t="s">
        <v>143</v>
      </c>
      <c r="N43" t="s">
        <v>169</v>
      </c>
      <c r="O43" t="b">
        <v>1</v>
      </c>
      <c r="P43" t="b">
        <v>0</v>
      </c>
      <c r="Q43" s="6">
        <v>12.5</v>
      </c>
      <c r="R43" s="6">
        <v>1</v>
      </c>
      <c r="S43" t="s">
        <v>155</v>
      </c>
      <c r="T43" t="s">
        <v>171</v>
      </c>
      <c r="U43" s="6">
        <v>4.8</v>
      </c>
      <c r="V43" s="6">
        <v>20.2</v>
      </c>
      <c r="W43" t="b">
        <v>0</v>
      </c>
      <c r="X43">
        <v>2</v>
      </c>
      <c r="Y43">
        <v>2</v>
      </c>
      <c r="Z43">
        <v>20</v>
      </c>
      <c r="AA43" s="6">
        <v>28.186274509803919</v>
      </c>
      <c r="AB43">
        <f>--PizzaDelivery[[#This Row],[Is Delayed]]</f>
        <v>0</v>
      </c>
    </row>
    <row r="44" spans="1:28">
      <c r="A44" t="s">
        <v>220</v>
      </c>
      <c r="B44" t="s">
        <v>157</v>
      </c>
      <c r="C44" t="s">
        <v>174</v>
      </c>
      <c r="D44" s="1">
        <v>45335</v>
      </c>
      <c r="E44" s="5">
        <v>0.77083333333333337</v>
      </c>
      <c r="F44" s="1">
        <v>45335</v>
      </c>
      <c r="G44" s="5">
        <v>0.78472222222222221</v>
      </c>
      <c r="H44">
        <v>20</v>
      </c>
      <c r="I44" t="s">
        <v>143</v>
      </c>
      <c r="J44" t="s">
        <v>152</v>
      </c>
      <c r="K44">
        <v>3</v>
      </c>
      <c r="L44">
        <v>3</v>
      </c>
      <c r="M44" t="s">
        <v>153</v>
      </c>
      <c r="N44" t="s">
        <v>154</v>
      </c>
      <c r="O44" t="b">
        <v>1</v>
      </c>
      <c r="P44" t="b">
        <v>0</v>
      </c>
      <c r="Q44" s="6">
        <v>6.666666666666667</v>
      </c>
      <c r="R44" s="6">
        <v>1</v>
      </c>
      <c r="S44" t="s">
        <v>155</v>
      </c>
      <c r="T44" t="s">
        <v>147</v>
      </c>
      <c r="U44" s="6">
        <v>7.1999999999999993</v>
      </c>
      <c r="V44" s="6">
        <v>12.8</v>
      </c>
      <c r="W44" t="b">
        <v>0</v>
      </c>
      <c r="X44">
        <v>6</v>
      </c>
      <c r="Y44">
        <v>3</v>
      </c>
      <c r="Z44">
        <v>18</v>
      </c>
      <c r="AA44" s="6">
        <v>28.844221105527641</v>
      </c>
      <c r="AB44">
        <f>--PizzaDelivery[[#This Row],[Is Delayed]]</f>
        <v>0</v>
      </c>
    </row>
    <row r="45" spans="1:28">
      <c r="A45" t="s">
        <v>221</v>
      </c>
      <c r="B45" t="s">
        <v>165</v>
      </c>
      <c r="C45" t="s">
        <v>150</v>
      </c>
      <c r="D45" s="1">
        <v>45336</v>
      </c>
      <c r="E45" s="5">
        <v>0.82291666666666663</v>
      </c>
      <c r="F45" s="1">
        <v>45336</v>
      </c>
      <c r="G45" s="5">
        <v>0.84027777777777779</v>
      </c>
      <c r="H45">
        <v>25</v>
      </c>
      <c r="I45" t="s">
        <v>167</v>
      </c>
      <c r="J45" t="s">
        <v>168</v>
      </c>
      <c r="K45">
        <v>5</v>
      </c>
      <c r="L45">
        <v>5</v>
      </c>
      <c r="M45" t="s">
        <v>161</v>
      </c>
      <c r="N45" t="s">
        <v>145</v>
      </c>
      <c r="O45" t="b">
        <v>1</v>
      </c>
      <c r="P45" t="b">
        <v>0</v>
      </c>
      <c r="Q45" s="6">
        <v>5</v>
      </c>
      <c r="R45" s="6">
        <v>1</v>
      </c>
      <c r="S45" t="s">
        <v>155</v>
      </c>
      <c r="T45" t="s">
        <v>147</v>
      </c>
      <c r="U45" s="6">
        <v>12</v>
      </c>
      <c r="V45" s="6">
        <v>13</v>
      </c>
      <c r="W45" t="b">
        <v>0</v>
      </c>
      <c r="X45">
        <v>20</v>
      </c>
      <c r="Y45">
        <v>1</v>
      </c>
      <c r="Z45">
        <v>19</v>
      </c>
      <c r="AA45" s="6">
        <v>29.948453608247419</v>
      </c>
      <c r="AB45">
        <f>--PizzaDelivery[[#This Row],[Is Delayed]]</f>
        <v>0</v>
      </c>
    </row>
    <row r="46" spans="1:28">
      <c r="A46" t="s">
        <v>222</v>
      </c>
      <c r="B46" t="s">
        <v>173</v>
      </c>
      <c r="C46" t="s">
        <v>158</v>
      </c>
      <c r="D46" s="1">
        <v>45337</v>
      </c>
      <c r="E46" s="5">
        <v>0.54166666666666663</v>
      </c>
      <c r="F46" s="1">
        <v>45337</v>
      </c>
      <c r="G46" s="5">
        <v>0.55555555555555558</v>
      </c>
      <c r="H46">
        <v>20</v>
      </c>
      <c r="I46" t="s">
        <v>143</v>
      </c>
      <c r="J46" t="s">
        <v>152</v>
      </c>
      <c r="K46">
        <v>3</v>
      </c>
      <c r="L46">
        <v>3.5</v>
      </c>
      <c r="M46" t="s">
        <v>143</v>
      </c>
      <c r="N46" t="s">
        <v>162</v>
      </c>
      <c r="O46" t="b">
        <v>0</v>
      </c>
      <c r="P46" t="b">
        <v>0</v>
      </c>
      <c r="Q46" s="6">
        <v>5.7142857142857144</v>
      </c>
      <c r="R46" s="6">
        <v>0.8571428571428571</v>
      </c>
      <c r="S46" t="s">
        <v>155</v>
      </c>
      <c r="T46" t="s">
        <v>147</v>
      </c>
      <c r="U46" s="6">
        <v>8.4</v>
      </c>
      <c r="V46" s="6">
        <v>11.6</v>
      </c>
      <c r="W46" t="b">
        <v>0</v>
      </c>
      <c r="X46">
        <v>6</v>
      </c>
      <c r="Y46">
        <v>2</v>
      </c>
      <c r="Z46">
        <v>13</v>
      </c>
      <c r="AA46" s="6">
        <v>30.286458333333329</v>
      </c>
      <c r="AB46">
        <f>--PizzaDelivery[[#This Row],[Is Delayed]]</f>
        <v>0</v>
      </c>
    </row>
    <row r="47" spans="1:28">
      <c r="A47" t="s">
        <v>223</v>
      </c>
      <c r="B47" t="s">
        <v>142</v>
      </c>
      <c r="C47" t="s">
        <v>166</v>
      </c>
      <c r="D47" s="1">
        <v>45338</v>
      </c>
      <c r="E47" s="5">
        <v>0.77083333333333337</v>
      </c>
      <c r="F47" s="1">
        <v>45338</v>
      </c>
      <c r="G47" s="5">
        <v>0.78472222222222221</v>
      </c>
      <c r="H47">
        <v>20</v>
      </c>
      <c r="I47" t="s">
        <v>151</v>
      </c>
      <c r="J47" t="s">
        <v>144</v>
      </c>
      <c r="K47">
        <v>4</v>
      </c>
      <c r="L47">
        <v>4</v>
      </c>
      <c r="M47" t="s">
        <v>153</v>
      </c>
      <c r="N47" t="s">
        <v>169</v>
      </c>
      <c r="O47" t="b">
        <v>1</v>
      </c>
      <c r="P47" t="b">
        <v>0</v>
      </c>
      <c r="Q47" s="6">
        <v>5</v>
      </c>
      <c r="R47" s="6">
        <v>1</v>
      </c>
      <c r="S47" t="s">
        <v>155</v>
      </c>
      <c r="T47" t="s">
        <v>171</v>
      </c>
      <c r="U47" s="6">
        <v>9.6</v>
      </c>
      <c r="V47" s="6">
        <v>10.4</v>
      </c>
      <c r="W47" t="b">
        <v>0</v>
      </c>
      <c r="X47">
        <v>12</v>
      </c>
      <c r="Y47">
        <v>3</v>
      </c>
      <c r="Z47">
        <v>18</v>
      </c>
      <c r="AA47" s="6">
        <v>30.259433962264151</v>
      </c>
      <c r="AB47">
        <f>--PizzaDelivery[[#This Row],[Is Delayed]]</f>
        <v>0</v>
      </c>
    </row>
    <row r="48" spans="1:28">
      <c r="A48" t="s">
        <v>224</v>
      </c>
      <c r="B48" t="s">
        <v>149</v>
      </c>
      <c r="C48" t="s">
        <v>174</v>
      </c>
      <c r="D48" s="1">
        <v>45339</v>
      </c>
      <c r="E48" s="5">
        <v>0.83333333333333337</v>
      </c>
      <c r="F48" s="1">
        <v>45339</v>
      </c>
      <c r="G48" s="5">
        <v>0.85069444444444442</v>
      </c>
      <c r="H48">
        <v>25</v>
      </c>
      <c r="I48" t="s">
        <v>143</v>
      </c>
      <c r="J48" t="s">
        <v>152</v>
      </c>
      <c r="K48">
        <v>3</v>
      </c>
      <c r="L48">
        <v>3</v>
      </c>
      <c r="M48" t="s">
        <v>161</v>
      </c>
      <c r="N48" t="s">
        <v>154</v>
      </c>
      <c r="O48" t="b">
        <v>1</v>
      </c>
      <c r="P48" t="b">
        <v>1</v>
      </c>
      <c r="Q48" s="6">
        <v>8.3333333333333339</v>
      </c>
      <c r="R48" s="6">
        <v>1</v>
      </c>
      <c r="S48" t="s">
        <v>155</v>
      </c>
      <c r="T48" t="s">
        <v>147</v>
      </c>
      <c r="U48" s="6">
        <v>7.1999999999999993</v>
      </c>
      <c r="V48" s="6">
        <v>17.8</v>
      </c>
      <c r="W48" t="b">
        <v>0</v>
      </c>
      <c r="X48">
        <v>6</v>
      </c>
      <c r="Y48">
        <v>1</v>
      </c>
      <c r="Z48">
        <v>20</v>
      </c>
      <c r="AA48" s="6">
        <v>28.186274509803919</v>
      </c>
      <c r="AB48">
        <f>--PizzaDelivery[[#This Row],[Is Delayed]]</f>
        <v>0</v>
      </c>
    </row>
    <row r="49" spans="1:28">
      <c r="A49" t="s">
        <v>225</v>
      </c>
      <c r="B49" t="s">
        <v>157</v>
      </c>
      <c r="C49" t="s">
        <v>184</v>
      </c>
      <c r="D49" s="1">
        <v>45340</v>
      </c>
      <c r="E49" s="5">
        <v>0.80208333333333337</v>
      </c>
      <c r="F49" s="1">
        <v>45340</v>
      </c>
      <c r="G49" s="5">
        <v>0.81597222222222221</v>
      </c>
      <c r="H49">
        <v>20</v>
      </c>
      <c r="I49" t="s">
        <v>159</v>
      </c>
      <c r="J49" t="s">
        <v>160</v>
      </c>
      <c r="K49">
        <v>2</v>
      </c>
      <c r="L49">
        <v>2.5</v>
      </c>
      <c r="M49" t="s">
        <v>143</v>
      </c>
      <c r="N49" t="s">
        <v>145</v>
      </c>
      <c r="O49" t="b">
        <v>1</v>
      </c>
      <c r="P49" t="b">
        <v>1</v>
      </c>
      <c r="Q49" s="6">
        <v>8</v>
      </c>
      <c r="R49" s="6">
        <v>0.8</v>
      </c>
      <c r="S49" t="s">
        <v>155</v>
      </c>
      <c r="T49" t="s">
        <v>147</v>
      </c>
      <c r="U49" s="6">
        <v>6</v>
      </c>
      <c r="V49" s="6">
        <v>14</v>
      </c>
      <c r="W49" t="b">
        <v>0</v>
      </c>
      <c r="X49">
        <v>2</v>
      </c>
      <c r="Y49">
        <v>2</v>
      </c>
      <c r="Z49">
        <v>19</v>
      </c>
      <c r="AA49" s="6">
        <v>28.844221105527641</v>
      </c>
      <c r="AB49">
        <f>--PizzaDelivery[[#This Row],[Is Delayed]]</f>
        <v>0</v>
      </c>
    </row>
    <row r="50" spans="1:28">
      <c r="A50" t="s">
        <v>226</v>
      </c>
      <c r="B50" t="s">
        <v>165</v>
      </c>
      <c r="C50" t="s">
        <v>186</v>
      </c>
      <c r="D50" s="1">
        <v>45341</v>
      </c>
      <c r="E50" s="5">
        <v>0.85416666666666663</v>
      </c>
      <c r="F50" s="1">
        <v>45341</v>
      </c>
      <c r="G50" s="5">
        <v>0.87152777777777779</v>
      </c>
      <c r="H50">
        <v>25</v>
      </c>
      <c r="I50" t="s">
        <v>167</v>
      </c>
      <c r="J50" t="s">
        <v>168</v>
      </c>
      <c r="K50">
        <v>5</v>
      </c>
      <c r="L50">
        <v>4.5</v>
      </c>
      <c r="M50" t="s">
        <v>153</v>
      </c>
      <c r="N50" t="s">
        <v>162</v>
      </c>
      <c r="O50" t="b">
        <v>1</v>
      </c>
      <c r="P50" t="b">
        <v>0</v>
      </c>
      <c r="Q50" s="6">
        <v>5.5555555555555554</v>
      </c>
      <c r="R50" s="6">
        <v>1.1111111111111109</v>
      </c>
      <c r="S50" t="s">
        <v>155</v>
      </c>
      <c r="T50" t="s">
        <v>147</v>
      </c>
      <c r="U50" s="6">
        <v>10.8</v>
      </c>
      <c r="V50" s="6">
        <v>14.2</v>
      </c>
      <c r="W50" t="b">
        <v>0</v>
      </c>
      <c r="X50">
        <v>20</v>
      </c>
      <c r="Y50">
        <v>3</v>
      </c>
      <c r="Z50">
        <v>20</v>
      </c>
      <c r="AA50" s="6">
        <v>29.948453608247419</v>
      </c>
      <c r="AB50">
        <f>--PizzaDelivery[[#This Row],[Is Delayed]]</f>
        <v>0</v>
      </c>
    </row>
    <row r="51" spans="1:28">
      <c r="A51" t="s">
        <v>227</v>
      </c>
      <c r="B51" t="s">
        <v>173</v>
      </c>
      <c r="C51" t="s">
        <v>188</v>
      </c>
      <c r="D51" s="1">
        <v>45342</v>
      </c>
      <c r="E51" s="5">
        <v>0.61458333333333337</v>
      </c>
      <c r="F51" s="1">
        <v>45342</v>
      </c>
      <c r="G51" s="5">
        <v>0.62847222222222221</v>
      </c>
      <c r="H51">
        <v>20</v>
      </c>
      <c r="I51" t="s">
        <v>143</v>
      </c>
      <c r="J51" t="s">
        <v>152</v>
      </c>
      <c r="K51">
        <v>3</v>
      </c>
      <c r="L51">
        <v>3</v>
      </c>
      <c r="M51" t="s">
        <v>161</v>
      </c>
      <c r="N51" t="s">
        <v>169</v>
      </c>
      <c r="O51" t="b">
        <v>0</v>
      </c>
      <c r="P51" t="b">
        <v>0</v>
      </c>
      <c r="Q51" s="6">
        <v>6.666666666666667</v>
      </c>
      <c r="R51" s="6">
        <v>1</v>
      </c>
      <c r="S51" t="s">
        <v>155</v>
      </c>
      <c r="T51" t="s">
        <v>171</v>
      </c>
      <c r="U51" s="6">
        <v>7.1999999999999993</v>
      </c>
      <c r="V51" s="6">
        <v>12.8</v>
      </c>
      <c r="W51" t="b">
        <v>0</v>
      </c>
      <c r="X51">
        <v>6</v>
      </c>
      <c r="Y51">
        <v>1</v>
      </c>
      <c r="Z51">
        <v>14</v>
      </c>
      <c r="AA51" s="6">
        <v>30.286458333333329</v>
      </c>
      <c r="AB51">
        <f>--PizzaDelivery[[#This Row],[Is Delayed]]</f>
        <v>0</v>
      </c>
    </row>
    <row r="52" spans="1:28">
      <c r="A52" t="s">
        <v>228</v>
      </c>
      <c r="B52" t="s">
        <v>142</v>
      </c>
      <c r="C52" t="s">
        <v>190</v>
      </c>
      <c r="D52" s="1">
        <v>45343</v>
      </c>
      <c r="E52" s="5">
        <v>0.79166666666666663</v>
      </c>
      <c r="F52" s="1">
        <v>45343</v>
      </c>
      <c r="G52" s="5">
        <v>0.80555555555555558</v>
      </c>
      <c r="H52">
        <v>20</v>
      </c>
      <c r="I52" t="s">
        <v>151</v>
      </c>
      <c r="J52" t="s">
        <v>144</v>
      </c>
      <c r="K52">
        <v>4</v>
      </c>
      <c r="L52">
        <v>4</v>
      </c>
      <c r="M52" t="s">
        <v>143</v>
      </c>
      <c r="N52" t="s">
        <v>154</v>
      </c>
      <c r="O52" t="b">
        <v>1</v>
      </c>
      <c r="P52" t="b">
        <v>0</v>
      </c>
      <c r="Q52" s="6">
        <v>5</v>
      </c>
      <c r="R52" s="6">
        <v>1</v>
      </c>
      <c r="S52" t="s">
        <v>155</v>
      </c>
      <c r="T52" t="s">
        <v>147</v>
      </c>
      <c r="U52" s="6">
        <v>9.6</v>
      </c>
      <c r="V52" s="6">
        <v>10.4</v>
      </c>
      <c r="W52" t="b">
        <v>0</v>
      </c>
      <c r="X52">
        <v>12</v>
      </c>
      <c r="Y52">
        <v>2</v>
      </c>
      <c r="Z52">
        <v>19</v>
      </c>
      <c r="AA52" s="6">
        <v>30.259433962264151</v>
      </c>
      <c r="AB52">
        <f>--PizzaDelivery[[#This Row],[Is Delayed]]</f>
        <v>0</v>
      </c>
    </row>
    <row r="53" spans="1:28">
      <c r="A53" t="s">
        <v>229</v>
      </c>
      <c r="B53" t="s">
        <v>149</v>
      </c>
      <c r="C53" t="s">
        <v>192</v>
      </c>
      <c r="D53" s="1">
        <v>45344</v>
      </c>
      <c r="E53" s="5">
        <v>0.84375</v>
      </c>
      <c r="F53" s="1">
        <v>45344</v>
      </c>
      <c r="G53" s="5">
        <v>0.86111111111111116</v>
      </c>
      <c r="H53">
        <v>25</v>
      </c>
      <c r="I53" t="s">
        <v>159</v>
      </c>
      <c r="J53" t="s">
        <v>160</v>
      </c>
      <c r="K53">
        <v>2</v>
      </c>
      <c r="L53">
        <v>2</v>
      </c>
      <c r="M53" t="s">
        <v>153</v>
      </c>
      <c r="N53" t="s">
        <v>145</v>
      </c>
      <c r="O53" t="b">
        <v>1</v>
      </c>
      <c r="P53" t="b">
        <v>0</v>
      </c>
      <c r="Q53" s="6">
        <v>12.5</v>
      </c>
      <c r="R53" s="6">
        <v>1</v>
      </c>
      <c r="S53" t="s">
        <v>155</v>
      </c>
      <c r="T53" t="s">
        <v>147</v>
      </c>
      <c r="U53" s="6">
        <v>4.8</v>
      </c>
      <c r="V53" s="6">
        <v>20.2</v>
      </c>
      <c r="W53" t="b">
        <v>0</v>
      </c>
      <c r="X53">
        <v>2</v>
      </c>
      <c r="Y53">
        <v>3</v>
      </c>
      <c r="Z53">
        <v>20</v>
      </c>
      <c r="AA53" s="6">
        <v>28.186274509803919</v>
      </c>
      <c r="AB53">
        <f>--PizzaDelivery[[#This Row],[Is Delayed]]</f>
        <v>0</v>
      </c>
    </row>
    <row r="54" spans="1:28">
      <c r="A54" t="s">
        <v>230</v>
      </c>
      <c r="B54" t="s">
        <v>157</v>
      </c>
      <c r="C54" t="s">
        <v>194</v>
      </c>
      <c r="D54" s="1">
        <v>45345</v>
      </c>
      <c r="E54" s="5">
        <v>0.77083333333333337</v>
      </c>
      <c r="F54" s="1">
        <v>45345</v>
      </c>
      <c r="G54" s="5">
        <v>0.78472222222222221</v>
      </c>
      <c r="H54">
        <v>20</v>
      </c>
      <c r="I54" t="s">
        <v>143</v>
      </c>
      <c r="J54" t="s">
        <v>152</v>
      </c>
      <c r="K54">
        <v>3</v>
      </c>
      <c r="L54">
        <v>3.5</v>
      </c>
      <c r="M54" t="s">
        <v>161</v>
      </c>
      <c r="N54" t="s">
        <v>162</v>
      </c>
      <c r="O54" t="b">
        <v>1</v>
      </c>
      <c r="P54" t="b">
        <v>0</v>
      </c>
      <c r="Q54" s="6">
        <v>5.7142857142857144</v>
      </c>
      <c r="R54" s="6">
        <v>0.8571428571428571</v>
      </c>
      <c r="S54" t="s">
        <v>155</v>
      </c>
      <c r="T54" t="s">
        <v>147</v>
      </c>
      <c r="U54" s="6">
        <v>8.4</v>
      </c>
      <c r="V54" s="6">
        <v>11.6</v>
      </c>
      <c r="W54" t="b">
        <v>0</v>
      </c>
      <c r="X54">
        <v>6</v>
      </c>
      <c r="Y54">
        <v>1</v>
      </c>
      <c r="Z54">
        <v>18</v>
      </c>
      <c r="AA54" s="6">
        <v>28.844221105527641</v>
      </c>
      <c r="AB54">
        <f>--PizzaDelivery[[#This Row],[Is Delayed]]</f>
        <v>0</v>
      </c>
    </row>
    <row r="55" spans="1:28">
      <c r="A55" t="s">
        <v>231</v>
      </c>
      <c r="B55" t="s">
        <v>165</v>
      </c>
      <c r="C55" t="s">
        <v>158</v>
      </c>
      <c r="D55" s="1">
        <v>45346</v>
      </c>
      <c r="E55" s="5">
        <v>0.82291666666666663</v>
      </c>
      <c r="F55" s="1">
        <v>45346</v>
      </c>
      <c r="G55" s="5">
        <v>0.84027777777777779</v>
      </c>
      <c r="H55">
        <v>25</v>
      </c>
      <c r="I55" t="s">
        <v>167</v>
      </c>
      <c r="J55" t="s">
        <v>168</v>
      </c>
      <c r="K55">
        <v>5</v>
      </c>
      <c r="L55">
        <v>4</v>
      </c>
      <c r="M55" t="s">
        <v>143</v>
      </c>
      <c r="N55" t="s">
        <v>169</v>
      </c>
      <c r="O55" t="b">
        <v>1</v>
      </c>
      <c r="P55" t="b">
        <v>1</v>
      </c>
      <c r="Q55" s="6">
        <v>6.25</v>
      </c>
      <c r="R55" s="6">
        <v>1.25</v>
      </c>
      <c r="S55" t="s">
        <v>155</v>
      </c>
      <c r="T55" t="s">
        <v>171</v>
      </c>
      <c r="U55" s="6">
        <v>9.6</v>
      </c>
      <c r="V55" s="6">
        <v>15.4</v>
      </c>
      <c r="W55" t="b">
        <v>0</v>
      </c>
      <c r="X55">
        <v>20</v>
      </c>
      <c r="Y55">
        <v>2</v>
      </c>
      <c r="Z55">
        <v>19</v>
      </c>
      <c r="AA55" s="6">
        <v>29.948453608247419</v>
      </c>
      <c r="AB55">
        <f>--PizzaDelivery[[#This Row],[Is Delayed]]</f>
        <v>0</v>
      </c>
    </row>
    <row r="56" spans="1:28">
      <c r="A56" t="s">
        <v>232</v>
      </c>
      <c r="B56" t="s">
        <v>173</v>
      </c>
      <c r="C56" t="s">
        <v>166</v>
      </c>
      <c r="D56" s="1">
        <v>45347</v>
      </c>
      <c r="E56" s="5">
        <v>0.54166666666666663</v>
      </c>
      <c r="F56" s="1">
        <v>45347</v>
      </c>
      <c r="G56" s="5">
        <v>0.55555555555555558</v>
      </c>
      <c r="H56">
        <v>20</v>
      </c>
      <c r="I56" t="s">
        <v>143</v>
      </c>
      <c r="J56" t="s">
        <v>152</v>
      </c>
      <c r="K56">
        <v>3</v>
      </c>
      <c r="L56">
        <v>3</v>
      </c>
      <c r="M56" t="s">
        <v>153</v>
      </c>
      <c r="N56" t="s">
        <v>154</v>
      </c>
      <c r="O56" t="b">
        <v>0</v>
      </c>
      <c r="P56" t="b">
        <v>1</v>
      </c>
      <c r="Q56" s="6">
        <v>6.666666666666667</v>
      </c>
      <c r="R56" s="6">
        <v>1</v>
      </c>
      <c r="S56" t="s">
        <v>155</v>
      </c>
      <c r="T56" t="s">
        <v>147</v>
      </c>
      <c r="U56" s="6">
        <v>7.1999999999999993</v>
      </c>
      <c r="V56" s="6">
        <v>12.8</v>
      </c>
      <c r="W56" t="b">
        <v>0</v>
      </c>
      <c r="X56">
        <v>6</v>
      </c>
      <c r="Y56">
        <v>3</v>
      </c>
      <c r="Z56">
        <v>13</v>
      </c>
      <c r="AA56" s="6">
        <v>30.286458333333329</v>
      </c>
      <c r="AB56">
        <f>--PizzaDelivery[[#This Row],[Is Delayed]]</f>
        <v>0</v>
      </c>
    </row>
    <row r="57" spans="1:28">
      <c r="A57" t="s">
        <v>233</v>
      </c>
      <c r="B57" t="s">
        <v>142</v>
      </c>
      <c r="C57" t="s">
        <v>150</v>
      </c>
      <c r="D57" s="1">
        <v>45348</v>
      </c>
      <c r="E57" s="5">
        <v>0.77083333333333337</v>
      </c>
      <c r="F57" s="1">
        <v>45348</v>
      </c>
      <c r="G57" s="5">
        <v>0.78472222222222221</v>
      </c>
      <c r="H57">
        <v>20</v>
      </c>
      <c r="I57" t="s">
        <v>151</v>
      </c>
      <c r="J57" t="s">
        <v>144</v>
      </c>
      <c r="K57">
        <v>4</v>
      </c>
      <c r="L57">
        <v>4.5</v>
      </c>
      <c r="M57" t="s">
        <v>161</v>
      </c>
      <c r="N57" t="s">
        <v>145</v>
      </c>
      <c r="O57" t="b">
        <v>1</v>
      </c>
      <c r="P57" t="b">
        <v>0</v>
      </c>
      <c r="Q57" s="6">
        <v>4.4444444444444446</v>
      </c>
      <c r="R57" s="6">
        <v>0.88888888888888884</v>
      </c>
      <c r="S57" t="s">
        <v>155</v>
      </c>
      <c r="T57" t="s">
        <v>147</v>
      </c>
      <c r="U57" s="6">
        <v>10.8</v>
      </c>
      <c r="V57" s="6">
        <v>9.2000000000000011</v>
      </c>
      <c r="W57" t="b">
        <v>0</v>
      </c>
      <c r="X57">
        <v>12</v>
      </c>
      <c r="Y57">
        <v>1</v>
      </c>
      <c r="Z57">
        <v>18</v>
      </c>
      <c r="AA57" s="6">
        <v>30.259433962264151</v>
      </c>
      <c r="AB57">
        <f>--PizzaDelivery[[#This Row],[Is Delayed]]</f>
        <v>0</v>
      </c>
    </row>
    <row r="58" spans="1:28">
      <c r="A58" t="s">
        <v>234</v>
      </c>
      <c r="B58" t="s">
        <v>149</v>
      </c>
      <c r="C58" t="s">
        <v>186</v>
      </c>
      <c r="D58" s="1">
        <v>45349</v>
      </c>
      <c r="E58" s="5">
        <v>0.83333333333333337</v>
      </c>
      <c r="F58" s="1">
        <v>45349</v>
      </c>
      <c r="G58" s="5">
        <v>0.85069444444444442</v>
      </c>
      <c r="H58">
        <v>25</v>
      </c>
      <c r="I58" t="s">
        <v>143</v>
      </c>
      <c r="J58" t="s">
        <v>152</v>
      </c>
      <c r="K58">
        <v>3</v>
      </c>
      <c r="L58">
        <v>3</v>
      </c>
      <c r="M58" t="s">
        <v>153</v>
      </c>
      <c r="N58" t="s">
        <v>162</v>
      </c>
      <c r="O58" t="b">
        <v>1</v>
      </c>
      <c r="P58" t="b">
        <v>0</v>
      </c>
      <c r="Q58" s="6">
        <v>8.3333333333333339</v>
      </c>
      <c r="R58" s="6">
        <v>1</v>
      </c>
      <c r="S58" t="s">
        <v>155</v>
      </c>
      <c r="T58" t="s">
        <v>147</v>
      </c>
      <c r="U58" s="6">
        <v>7.1999999999999993</v>
      </c>
      <c r="V58" s="6">
        <v>17.8</v>
      </c>
      <c r="W58" t="b">
        <v>0</v>
      </c>
      <c r="X58">
        <v>6</v>
      </c>
      <c r="Y58">
        <v>3</v>
      </c>
      <c r="Z58">
        <v>20</v>
      </c>
      <c r="AA58" s="6">
        <v>28.186274509803919</v>
      </c>
      <c r="AB58">
        <f>--PizzaDelivery[[#This Row],[Is Delayed]]</f>
        <v>0</v>
      </c>
    </row>
    <row r="59" spans="1:28">
      <c r="A59" t="s">
        <v>235</v>
      </c>
      <c r="B59" t="s">
        <v>157</v>
      </c>
      <c r="C59" t="s">
        <v>188</v>
      </c>
      <c r="D59" s="1">
        <v>45350</v>
      </c>
      <c r="E59" s="5">
        <v>0.80208333333333337</v>
      </c>
      <c r="F59" s="1">
        <v>45350</v>
      </c>
      <c r="G59" s="5">
        <v>0.81597222222222221</v>
      </c>
      <c r="H59">
        <v>20</v>
      </c>
      <c r="I59" t="s">
        <v>159</v>
      </c>
      <c r="J59" t="s">
        <v>160</v>
      </c>
      <c r="K59">
        <v>2</v>
      </c>
      <c r="L59">
        <v>2.5</v>
      </c>
      <c r="M59" t="s">
        <v>161</v>
      </c>
      <c r="N59" t="s">
        <v>169</v>
      </c>
      <c r="O59" t="b">
        <v>1</v>
      </c>
      <c r="P59" t="b">
        <v>0</v>
      </c>
      <c r="Q59" s="6">
        <v>8</v>
      </c>
      <c r="R59" s="6">
        <v>0.8</v>
      </c>
      <c r="S59" t="s">
        <v>155</v>
      </c>
      <c r="T59" t="s">
        <v>171</v>
      </c>
      <c r="U59" s="6">
        <v>6</v>
      </c>
      <c r="V59" s="6">
        <v>14</v>
      </c>
      <c r="W59" t="b">
        <v>0</v>
      </c>
      <c r="X59">
        <v>2</v>
      </c>
      <c r="Y59">
        <v>1</v>
      </c>
      <c r="Z59">
        <v>19</v>
      </c>
      <c r="AA59" s="6">
        <v>28.844221105527641</v>
      </c>
      <c r="AB59">
        <f>--PizzaDelivery[[#This Row],[Is Delayed]]</f>
        <v>0</v>
      </c>
    </row>
    <row r="60" spans="1:28">
      <c r="A60" t="s">
        <v>236</v>
      </c>
      <c r="B60" t="s">
        <v>165</v>
      </c>
      <c r="C60" t="s">
        <v>174</v>
      </c>
      <c r="D60" s="1">
        <v>45351</v>
      </c>
      <c r="E60" s="5">
        <v>0.85416666666666663</v>
      </c>
      <c r="F60" s="1">
        <v>45351</v>
      </c>
      <c r="G60" s="5">
        <v>0.87152777777777779</v>
      </c>
      <c r="H60">
        <v>25</v>
      </c>
      <c r="I60" t="s">
        <v>167</v>
      </c>
      <c r="J60" t="s">
        <v>168</v>
      </c>
      <c r="K60">
        <v>5</v>
      </c>
      <c r="L60">
        <v>4</v>
      </c>
      <c r="M60" t="s">
        <v>143</v>
      </c>
      <c r="N60" t="s">
        <v>154</v>
      </c>
      <c r="O60" t="b">
        <v>1</v>
      </c>
      <c r="P60" t="b">
        <v>0</v>
      </c>
      <c r="Q60" s="6">
        <v>6.25</v>
      </c>
      <c r="R60" s="6">
        <v>1.25</v>
      </c>
      <c r="S60" t="s">
        <v>155</v>
      </c>
      <c r="T60" t="s">
        <v>147</v>
      </c>
      <c r="U60" s="6">
        <v>9.6</v>
      </c>
      <c r="V60" s="6">
        <v>15.4</v>
      </c>
      <c r="W60" t="b">
        <v>0</v>
      </c>
      <c r="X60">
        <v>20</v>
      </c>
      <c r="Y60">
        <v>2</v>
      </c>
      <c r="Z60">
        <v>20</v>
      </c>
      <c r="AA60" s="6">
        <v>29.948453608247419</v>
      </c>
      <c r="AB60">
        <f>--PizzaDelivery[[#This Row],[Is Delayed]]</f>
        <v>0</v>
      </c>
    </row>
    <row r="61" spans="1:28">
      <c r="A61" t="s">
        <v>237</v>
      </c>
      <c r="B61" t="s">
        <v>173</v>
      </c>
      <c r="C61" t="s">
        <v>190</v>
      </c>
      <c r="D61" s="1">
        <v>45352</v>
      </c>
      <c r="E61" s="5">
        <v>0.61458333333333337</v>
      </c>
      <c r="F61" s="1">
        <v>45352</v>
      </c>
      <c r="G61" s="5">
        <v>0.62847222222222221</v>
      </c>
      <c r="H61">
        <v>20</v>
      </c>
      <c r="I61" t="s">
        <v>143</v>
      </c>
      <c r="J61" t="s">
        <v>152</v>
      </c>
      <c r="K61">
        <v>3</v>
      </c>
      <c r="L61">
        <v>3.5</v>
      </c>
      <c r="M61" t="s">
        <v>153</v>
      </c>
      <c r="N61" t="s">
        <v>145</v>
      </c>
      <c r="O61" t="b">
        <v>0</v>
      </c>
      <c r="P61" t="b">
        <v>0</v>
      </c>
      <c r="Q61" s="6">
        <v>5.7142857142857144</v>
      </c>
      <c r="R61" s="6">
        <v>0.8571428571428571</v>
      </c>
      <c r="S61" t="s">
        <v>163</v>
      </c>
      <c r="T61" t="s">
        <v>147</v>
      </c>
      <c r="U61" s="6">
        <v>8.4</v>
      </c>
      <c r="V61" s="6">
        <v>11.6</v>
      </c>
      <c r="W61" t="b">
        <v>0</v>
      </c>
      <c r="X61">
        <v>6</v>
      </c>
      <c r="Y61">
        <v>3</v>
      </c>
      <c r="Z61">
        <v>14</v>
      </c>
      <c r="AA61" s="6">
        <v>30.286458333333329</v>
      </c>
      <c r="AB61">
        <f>--PizzaDelivery[[#This Row],[Is Delayed]]</f>
        <v>0</v>
      </c>
    </row>
    <row r="62" spans="1:28">
      <c r="A62" t="s">
        <v>238</v>
      </c>
      <c r="B62" t="s">
        <v>142</v>
      </c>
      <c r="C62" t="s">
        <v>192</v>
      </c>
      <c r="D62" s="1">
        <v>45353</v>
      </c>
      <c r="E62" s="5">
        <v>0.79166666666666663</v>
      </c>
      <c r="F62" s="1">
        <v>45353</v>
      </c>
      <c r="G62" s="5">
        <v>0.80555555555555558</v>
      </c>
      <c r="H62">
        <v>20</v>
      </c>
      <c r="I62" t="s">
        <v>151</v>
      </c>
      <c r="J62" t="s">
        <v>144</v>
      </c>
      <c r="K62">
        <v>4</v>
      </c>
      <c r="L62">
        <v>4</v>
      </c>
      <c r="M62" t="s">
        <v>161</v>
      </c>
      <c r="N62" t="s">
        <v>162</v>
      </c>
      <c r="O62" t="b">
        <v>1</v>
      </c>
      <c r="P62" t="b">
        <v>1</v>
      </c>
      <c r="Q62" s="6">
        <v>5</v>
      </c>
      <c r="R62" s="6">
        <v>1</v>
      </c>
      <c r="S62" t="s">
        <v>163</v>
      </c>
      <c r="T62" t="s">
        <v>147</v>
      </c>
      <c r="U62" s="6">
        <v>9.6</v>
      </c>
      <c r="V62" s="6">
        <v>10.4</v>
      </c>
      <c r="W62" t="b">
        <v>0</v>
      </c>
      <c r="X62">
        <v>12</v>
      </c>
      <c r="Y62">
        <v>1</v>
      </c>
      <c r="Z62">
        <v>19</v>
      </c>
      <c r="AA62" s="6">
        <v>30.259433962264151</v>
      </c>
      <c r="AB62">
        <f>--PizzaDelivery[[#This Row],[Is Delayed]]</f>
        <v>0</v>
      </c>
    </row>
    <row r="63" spans="1:28">
      <c r="A63" t="s">
        <v>239</v>
      </c>
      <c r="B63" t="s">
        <v>149</v>
      </c>
      <c r="C63" t="s">
        <v>194</v>
      </c>
      <c r="D63" s="1">
        <v>45354</v>
      </c>
      <c r="E63" s="5">
        <v>0.84375</v>
      </c>
      <c r="F63" s="1">
        <v>45354</v>
      </c>
      <c r="G63" s="5">
        <v>0.86111111111111116</v>
      </c>
      <c r="H63">
        <v>25</v>
      </c>
      <c r="I63" t="s">
        <v>159</v>
      </c>
      <c r="J63" t="s">
        <v>160</v>
      </c>
      <c r="K63">
        <v>2</v>
      </c>
      <c r="L63">
        <v>2</v>
      </c>
      <c r="M63" t="s">
        <v>143</v>
      </c>
      <c r="N63" t="s">
        <v>169</v>
      </c>
      <c r="O63" t="b">
        <v>1</v>
      </c>
      <c r="P63" t="b">
        <v>1</v>
      </c>
      <c r="Q63" s="6">
        <v>12.5</v>
      </c>
      <c r="R63" s="6">
        <v>1</v>
      </c>
      <c r="S63" t="s">
        <v>163</v>
      </c>
      <c r="T63" t="s">
        <v>171</v>
      </c>
      <c r="U63" s="6">
        <v>4.8</v>
      </c>
      <c r="V63" s="6">
        <v>20.2</v>
      </c>
      <c r="W63" t="b">
        <v>0</v>
      </c>
      <c r="X63">
        <v>2</v>
      </c>
      <c r="Y63">
        <v>2</v>
      </c>
      <c r="Z63">
        <v>20</v>
      </c>
      <c r="AA63" s="6">
        <v>28.186274509803919</v>
      </c>
      <c r="AB63">
        <f>--PizzaDelivery[[#This Row],[Is Delayed]]</f>
        <v>0</v>
      </c>
    </row>
    <row r="64" spans="1:28">
      <c r="A64" t="s">
        <v>240</v>
      </c>
      <c r="B64" t="s">
        <v>157</v>
      </c>
      <c r="C64" t="s">
        <v>174</v>
      </c>
      <c r="D64" s="1">
        <v>45355</v>
      </c>
      <c r="E64" s="5">
        <v>0.77083333333333337</v>
      </c>
      <c r="F64" s="1">
        <v>45355</v>
      </c>
      <c r="G64" s="5">
        <v>0.78472222222222221</v>
      </c>
      <c r="H64">
        <v>20</v>
      </c>
      <c r="I64" t="s">
        <v>143</v>
      </c>
      <c r="J64" t="s">
        <v>152</v>
      </c>
      <c r="K64">
        <v>3</v>
      </c>
      <c r="L64">
        <v>3</v>
      </c>
      <c r="M64" t="s">
        <v>153</v>
      </c>
      <c r="N64" t="s">
        <v>154</v>
      </c>
      <c r="O64" t="b">
        <v>1</v>
      </c>
      <c r="P64" t="b">
        <v>0</v>
      </c>
      <c r="Q64" s="6">
        <v>6.666666666666667</v>
      </c>
      <c r="R64" s="6">
        <v>1</v>
      </c>
      <c r="S64" t="s">
        <v>163</v>
      </c>
      <c r="T64" t="s">
        <v>147</v>
      </c>
      <c r="U64" s="6">
        <v>7.1999999999999993</v>
      </c>
      <c r="V64" s="6">
        <v>12.8</v>
      </c>
      <c r="W64" t="b">
        <v>0</v>
      </c>
      <c r="X64">
        <v>6</v>
      </c>
      <c r="Y64">
        <v>3</v>
      </c>
      <c r="Z64">
        <v>18</v>
      </c>
      <c r="AA64" s="6">
        <v>28.844221105527641</v>
      </c>
      <c r="AB64">
        <f>--PizzaDelivery[[#This Row],[Is Delayed]]</f>
        <v>0</v>
      </c>
    </row>
    <row r="65" spans="1:28">
      <c r="A65" t="s">
        <v>241</v>
      </c>
      <c r="B65" t="s">
        <v>165</v>
      </c>
      <c r="C65" t="s">
        <v>150</v>
      </c>
      <c r="D65" s="1">
        <v>45356</v>
      </c>
      <c r="E65" s="5">
        <v>0.82291666666666663</v>
      </c>
      <c r="F65" s="1">
        <v>45356</v>
      </c>
      <c r="G65" s="5">
        <v>0.84027777777777779</v>
      </c>
      <c r="H65">
        <v>25</v>
      </c>
      <c r="I65" t="s">
        <v>167</v>
      </c>
      <c r="J65" t="s">
        <v>168</v>
      </c>
      <c r="K65">
        <v>5</v>
      </c>
      <c r="L65">
        <v>4.5</v>
      </c>
      <c r="M65" t="s">
        <v>161</v>
      </c>
      <c r="N65" t="s">
        <v>145</v>
      </c>
      <c r="O65" t="b">
        <v>1</v>
      </c>
      <c r="P65" t="b">
        <v>0</v>
      </c>
      <c r="Q65" s="6">
        <v>5.5555555555555554</v>
      </c>
      <c r="R65" s="6">
        <v>1.1111111111111109</v>
      </c>
      <c r="S65" t="s">
        <v>163</v>
      </c>
      <c r="T65" t="s">
        <v>147</v>
      </c>
      <c r="U65" s="6">
        <v>10.8</v>
      </c>
      <c r="V65" s="6">
        <v>14.2</v>
      </c>
      <c r="W65" t="b">
        <v>0</v>
      </c>
      <c r="X65">
        <v>20</v>
      </c>
      <c r="Y65">
        <v>1</v>
      </c>
      <c r="Z65">
        <v>19</v>
      </c>
      <c r="AA65" s="6">
        <v>29.948453608247419</v>
      </c>
      <c r="AB65">
        <f>--PizzaDelivery[[#This Row],[Is Delayed]]</f>
        <v>0</v>
      </c>
    </row>
    <row r="66" spans="1:28">
      <c r="A66" t="s">
        <v>242</v>
      </c>
      <c r="B66" t="s">
        <v>173</v>
      </c>
      <c r="C66" t="s">
        <v>158</v>
      </c>
      <c r="D66" s="1">
        <v>45357</v>
      </c>
      <c r="E66" s="5">
        <v>0.54166666666666663</v>
      </c>
      <c r="F66" s="1">
        <v>45357</v>
      </c>
      <c r="G66" s="5">
        <v>0.55555555555555558</v>
      </c>
      <c r="H66">
        <v>20</v>
      </c>
      <c r="I66" t="s">
        <v>143</v>
      </c>
      <c r="J66" t="s">
        <v>152</v>
      </c>
      <c r="K66">
        <v>3</v>
      </c>
      <c r="L66">
        <v>3.5</v>
      </c>
      <c r="M66" t="s">
        <v>161</v>
      </c>
      <c r="N66" t="s">
        <v>145</v>
      </c>
      <c r="O66" t="b">
        <v>0</v>
      </c>
      <c r="P66" t="b">
        <v>0</v>
      </c>
      <c r="Q66" s="6">
        <v>5.7142857142857144</v>
      </c>
      <c r="R66" s="6">
        <v>0.8571428571428571</v>
      </c>
      <c r="S66" t="s">
        <v>163</v>
      </c>
      <c r="T66" t="s">
        <v>147</v>
      </c>
      <c r="U66" s="6">
        <v>8.4</v>
      </c>
      <c r="V66" s="6">
        <v>11.6</v>
      </c>
      <c r="W66" t="b">
        <v>0</v>
      </c>
      <c r="X66">
        <v>6</v>
      </c>
      <c r="Y66">
        <v>1</v>
      </c>
      <c r="Z66">
        <v>13</v>
      </c>
      <c r="AA66" s="6">
        <v>30.286458333333329</v>
      </c>
      <c r="AB66">
        <f>--PizzaDelivery[[#This Row],[Is Delayed]]</f>
        <v>0</v>
      </c>
    </row>
    <row r="67" spans="1:28">
      <c r="A67" t="s">
        <v>243</v>
      </c>
      <c r="B67" t="s">
        <v>142</v>
      </c>
      <c r="C67" t="s">
        <v>166</v>
      </c>
      <c r="D67" s="1">
        <v>45358</v>
      </c>
      <c r="E67" s="5">
        <v>0.77083333333333337</v>
      </c>
      <c r="F67" s="1">
        <v>45358</v>
      </c>
      <c r="G67" s="5">
        <v>0.78472222222222221</v>
      </c>
      <c r="H67">
        <v>20</v>
      </c>
      <c r="I67" t="s">
        <v>151</v>
      </c>
      <c r="J67" t="s">
        <v>144</v>
      </c>
      <c r="K67">
        <v>4</v>
      </c>
      <c r="L67">
        <v>4</v>
      </c>
      <c r="M67" t="s">
        <v>153</v>
      </c>
      <c r="N67" t="s">
        <v>145</v>
      </c>
      <c r="O67" t="b">
        <v>1</v>
      </c>
      <c r="P67" t="b">
        <v>0</v>
      </c>
      <c r="Q67" s="6">
        <v>5</v>
      </c>
      <c r="R67" s="6">
        <v>1</v>
      </c>
      <c r="S67" t="s">
        <v>163</v>
      </c>
      <c r="T67" t="s">
        <v>147</v>
      </c>
      <c r="U67" s="6">
        <v>9.6</v>
      </c>
      <c r="V67" s="6">
        <v>10.4</v>
      </c>
      <c r="W67" t="b">
        <v>0</v>
      </c>
      <c r="X67">
        <v>12</v>
      </c>
      <c r="Y67">
        <v>3</v>
      </c>
      <c r="Z67">
        <v>18</v>
      </c>
      <c r="AA67" s="6">
        <v>30.259433962264151</v>
      </c>
      <c r="AB67">
        <f>--PizzaDelivery[[#This Row],[Is Delayed]]</f>
        <v>0</v>
      </c>
    </row>
    <row r="68" spans="1:28">
      <c r="A68" t="s">
        <v>244</v>
      </c>
      <c r="B68" t="s">
        <v>149</v>
      </c>
      <c r="C68" t="s">
        <v>174</v>
      </c>
      <c r="D68" s="1">
        <v>45359</v>
      </c>
      <c r="E68" s="5">
        <v>0.83333333333333337</v>
      </c>
      <c r="F68" s="1">
        <v>45359</v>
      </c>
      <c r="G68" s="5">
        <v>0.85069444444444442</v>
      </c>
      <c r="H68">
        <v>25</v>
      </c>
      <c r="I68" t="s">
        <v>143</v>
      </c>
      <c r="J68" t="s">
        <v>152</v>
      </c>
      <c r="K68">
        <v>3</v>
      </c>
      <c r="L68">
        <v>3.5</v>
      </c>
      <c r="M68" t="s">
        <v>143</v>
      </c>
      <c r="N68" t="s">
        <v>162</v>
      </c>
      <c r="O68" t="b">
        <v>1</v>
      </c>
      <c r="P68" t="b">
        <v>0</v>
      </c>
      <c r="Q68" s="6">
        <v>7.1428571428571432</v>
      </c>
      <c r="R68" s="6">
        <v>0.8571428571428571</v>
      </c>
      <c r="S68" t="s">
        <v>163</v>
      </c>
      <c r="T68" t="s">
        <v>147</v>
      </c>
      <c r="U68" s="6">
        <v>8.4</v>
      </c>
      <c r="V68" s="6">
        <v>16.600000000000001</v>
      </c>
      <c r="W68" t="b">
        <v>0</v>
      </c>
      <c r="X68">
        <v>6</v>
      </c>
      <c r="Y68">
        <v>2</v>
      </c>
      <c r="Z68">
        <v>20</v>
      </c>
      <c r="AA68" s="6">
        <v>28.186274509803919</v>
      </c>
      <c r="AB68">
        <f>--PizzaDelivery[[#This Row],[Is Delayed]]</f>
        <v>0</v>
      </c>
    </row>
    <row r="69" spans="1:28">
      <c r="A69" t="s">
        <v>245</v>
      </c>
      <c r="B69" t="s">
        <v>157</v>
      </c>
      <c r="C69" t="s">
        <v>158</v>
      </c>
      <c r="D69" s="1">
        <v>45360</v>
      </c>
      <c r="E69" s="5">
        <v>0.80208333333333337</v>
      </c>
      <c r="F69" s="1">
        <v>45360</v>
      </c>
      <c r="G69" s="5">
        <v>0.81597222222222221</v>
      </c>
      <c r="H69">
        <v>20</v>
      </c>
      <c r="I69" t="s">
        <v>159</v>
      </c>
      <c r="J69" t="s">
        <v>160</v>
      </c>
      <c r="K69">
        <v>2</v>
      </c>
      <c r="L69">
        <v>2.5</v>
      </c>
      <c r="M69" t="s">
        <v>161</v>
      </c>
      <c r="N69" t="s">
        <v>169</v>
      </c>
      <c r="O69" t="b">
        <v>1</v>
      </c>
      <c r="P69" t="b">
        <v>1</v>
      </c>
      <c r="Q69" s="6">
        <v>8</v>
      </c>
      <c r="R69" s="6">
        <v>0.8</v>
      </c>
      <c r="S69" t="s">
        <v>163</v>
      </c>
      <c r="T69" t="s">
        <v>171</v>
      </c>
      <c r="U69" s="6">
        <v>6</v>
      </c>
      <c r="V69" s="6">
        <v>14</v>
      </c>
      <c r="W69" t="b">
        <v>0</v>
      </c>
      <c r="X69">
        <v>2</v>
      </c>
      <c r="Y69">
        <v>1</v>
      </c>
      <c r="Z69">
        <v>19</v>
      </c>
      <c r="AA69" s="6">
        <v>28.844221105527641</v>
      </c>
      <c r="AB69">
        <f>--PizzaDelivery[[#This Row],[Is Delayed]]</f>
        <v>0</v>
      </c>
    </row>
    <row r="70" spans="1:28">
      <c r="A70" t="s">
        <v>246</v>
      </c>
      <c r="B70" t="s">
        <v>165</v>
      </c>
      <c r="C70" t="s">
        <v>186</v>
      </c>
      <c r="D70" s="1">
        <v>45361</v>
      </c>
      <c r="E70" s="5">
        <v>0.82291666666666663</v>
      </c>
      <c r="F70" s="1">
        <v>45361</v>
      </c>
      <c r="G70" s="5">
        <v>0.84027777777777779</v>
      </c>
      <c r="H70">
        <v>25</v>
      </c>
      <c r="I70" t="s">
        <v>167</v>
      </c>
      <c r="J70" t="s">
        <v>168</v>
      </c>
      <c r="K70">
        <v>5</v>
      </c>
      <c r="L70">
        <v>4.5</v>
      </c>
      <c r="M70" t="s">
        <v>153</v>
      </c>
      <c r="N70" t="s">
        <v>154</v>
      </c>
      <c r="O70" t="b">
        <v>1</v>
      </c>
      <c r="P70" t="b">
        <v>1</v>
      </c>
      <c r="Q70" s="6">
        <v>5.5555555555555554</v>
      </c>
      <c r="R70" s="6">
        <v>1.1111111111111109</v>
      </c>
      <c r="S70" t="s">
        <v>163</v>
      </c>
      <c r="T70" t="s">
        <v>147</v>
      </c>
      <c r="U70" s="6">
        <v>10.8</v>
      </c>
      <c r="V70" s="6">
        <v>14.2</v>
      </c>
      <c r="W70" t="b">
        <v>0</v>
      </c>
      <c r="X70">
        <v>20</v>
      </c>
      <c r="Y70">
        <v>3</v>
      </c>
      <c r="Z70">
        <v>19</v>
      </c>
      <c r="AA70" s="6">
        <v>29.948453608247419</v>
      </c>
      <c r="AB70">
        <f>--PizzaDelivery[[#This Row],[Is Delayed]]</f>
        <v>0</v>
      </c>
    </row>
    <row r="71" spans="1:28">
      <c r="A71" t="s">
        <v>247</v>
      </c>
      <c r="B71" t="s">
        <v>173</v>
      </c>
      <c r="C71" t="s">
        <v>188</v>
      </c>
      <c r="D71" s="1">
        <v>45362</v>
      </c>
      <c r="E71" s="5">
        <v>0.54166666666666663</v>
      </c>
      <c r="F71" s="1">
        <v>45362</v>
      </c>
      <c r="G71" s="5">
        <v>0.55555555555555558</v>
      </c>
      <c r="H71">
        <v>20</v>
      </c>
      <c r="I71" t="s">
        <v>143</v>
      </c>
      <c r="J71" t="s">
        <v>152</v>
      </c>
      <c r="K71">
        <v>3</v>
      </c>
      <c r="L71">
        <v>3</v>
      </c>
      <c r="M71" t="s">
        <v>161</v>
      </c>
      <c r="N71" t="s">
        <v>145</v>
      </c>
      <c r="O71" t="b">
        <v>0</v>
      </c>
      <c r="P71" t="b">
        <v>0</v>
      </c>
      <c r="Q71" s="6">
        <v>6.666666666666667</v>
      </c>
      <c r="R71" s="6">
        <v>1</v>
      </c>
      <c r="S71" t="s">
        <v>163</v>
      </c>
      <c r="T71" t="s">
        <v>147</v>
      </c>
      <c r="U71" s="6">
        <v>7.1999999999999993</v>
      </c>
      <c r="V71" s="6">
        <v>12.8</v>
      </c>
      <c r="W71" t="b">
        <v>0</v>
      </c>
      <c r="X71">
        <v>6</v>
      </c>
      <c r="Y71">
        <v>1</v>
      </c>
      <c r="Z71">
        <v>13</v>
      </c>
      <c r="AA71" s="6">
        <v>30.286458333333329</v>
      </c>
      <c r="AB71">
        <f>--PizzaDelivery[[#This Row],[Is Delayed]]</f>
        <v>0</v>
      </c>
    </row>
    <row r="72" spans="1:28">
      <c r="A72" t="s">
        <v>248</v>
      </c>
      <c r="B72" t="s">
        <v>142</v>
      </c>
      <c r="C72" t="s">
        <v>190</v>
      </c>
      <c r="D72" s="1">
        <v>45363</v>
      </c>
      <c r="E72" s="5">
        <v>0.77083333333333337</v>
      </c>
      <c r="F72" s="1">
        <v>45363</v>
      </c>
      <c r="G72" s="5">
        <v>0.78472222222222221</v>
      </c>
      <c r="H72">
        <v>20</v>
      </c>
      <c r="I72" t="s">
        <v>151</v>
      </c>
      <c r="J72" t="s">
        <v>144</v>
      </c>
      <c r="K72">
        <v>4</v>
      </c>
      <c r="L72">
        <v>4</v>
      </c>
      <c r="M72" t="s">
        <v>143</v>
      </c>
      <c r="N72" t="s">
        <v>162</v>
      </c>
      <c r="O72" t="b">
        <v>1</v>
      </c>
      <c r="P72" t="b">
        <v>0</v>
      </c>
      <c r="Q72" s="6">
        <v>5</v>
      </c>
      <c r="R72" s="6">
        <v>1</v>
      </c>
      <c r="S72" t="s">
        <v>163</v>
      </c>
      <c r="T72" t="s">
        <v>147</v>
      </c>
      <c r="U72" s="6">
        <v>9.6</v>
      </c>
      <c r="V72" s="6">
        <v>10.4</v>
      </c>
      <c r="W72" t="b">
        <v>0</v>
      </c>
      <c r="X72">
        <v>12</v>
      </c>
      <c r="Y72">
        <v>2</v>
      </c>
      <c r="Z72">
        <v>18</v>
      </c>
      <c r="AA72" s="6">
        <v>30.259433962264151</v>
      </c>
      <c r="AB72">
        <f>--PizzaDelivery[[#This Row],[Is Delayed]]</f>
        <v>0</v>
      </c>
    </row>
    <row r="73" spans="1:28">
      <c r="A73" t="s">
        <v>249</v>
      </c>
      <c r="B73" t="s">
        <v>149</v>
      </c>
      <c r="C73" t="s">
        <v>192</v>
      </c>
      <c r="D73" s="1">
        <v>45364</v>
      </c>
      <c r="E73" s="5">
        <v>0.84375</v>
      </c>
      <c r="F73" s="1">
        <v>45364</v>
      </c>
      <c r="G73" s="5">
        <v>0.86111111111111116</v>
      </c>
      <c r="H73">
        <v>25</v>
      </c>
      <c r="I73" t="s">
        <v>159</v>
      </c>
      <c r="J73" t="s">
        <v>160</v>
      </c>
      <c r="K73">
        <v>2</v>
      </c>
      <c r="L73">
        <v>2</v>
      </c>
      <c r="M73" t="s">
        <v>153</v>
      </c>
      <c r="N73" t="s">
        <v>169</v>
      </c>
      <c r="O73" t="b">
        <v>1</v>
      </c>
      <c r="P73" t="b">
        <v>0</v>
      </c>
      <c r="Q73" s="6">
        <v>12.5</v>
      </c>
      <c r="R73" s="6">
        <v>1</v>
      </c>
      <c r="S73" t="s">
        <v>163</v>
      </c>
      <c r="T73" t="s">
        <v>171</v>
      </c>
      <c r="U73" s="6">
        <v>4.8</v>
      </c>
      <c r="V73" s="6">
        <v>20.2</v>
      </c>
      <c r="W73" t="b">
        <v>0</v>
      </c>
      <c r="X73">
        <v>2</v>
      </c>
      <c r="Y73">
        <v>3</v>
      </c>
      <c r="Z73">
        <v>20</v>
      </c>
      <c r="AA73" s="6">
        <v>28.186274509803919</v>
      </c>
      <c r="AB73">
        <f>--PizzaDelivery[[#This Row],[Is Delayed]]</f>
        <v>0</v>
      </c>
    </row>
    <row r="74" spans="1:28">
      <c r="A74" t="s">
        <v>250</v>
      </c>
      <c r="B74" t="s">
        <v>157</v>
      </c>
      <c r="C74" t="s">
        <v>194</v>
      </c>
      <c r="D74" s="1">
        <v>45365</v>
      </c>
      <c r="E74" s="5">
        <v>0.77083333333333337</v>
      </c>
      <c r="F74" s="1">
        <v>45365</v>
      </c>
      <c r="G74" s="5">
        <v>0.78472222222222221</v>
      </c>
      <c r="H74">
        <v>20</v>
      </c>
      <c r="I74" t="s">
        <v>143</v>
      </c>
      <c r="J74" t="s">
        <v>152</v>
      </c>
      <c r="K74">
        <v>3</v>
      </c>
      <c r="L74">
        <v>3.5</v>
      </c>
      <c r="M74" t="s">
        <v>161</v>
      </c>
      <c r="N74" t="s">
        <v>154</v>
      </c>
      <c r="O74" t="b">
        <v>1</v>
      </c>
      <c r="P74" t="b">
        <v>0</v>
      </c>
      <c r="Q74" s="6">
        <v>5.7142857142857144</v>
      </c>
      <c r="R74" s="6">
        <v>0.8571428571428571</v>
      </c>
      <c r="S74" t="s">
        <v>163</v>
      </c>
      <c r="T74" t="s">
        <v>147</v>
      </c>
      <c r="U74" s="6">
        <v>8.4</v>
      </c>
      <c r="V74" s="6">
        <v>11.6</v>
      </c>
      <c r="W74" t="b">
        <v>0</v>
      </c>
      <c r="X74">
        <v>6</v>
      </c>
      <c r="Y74">
        <v>1</v>
      </c>
      <c r="Z74">
        <v>18</v>
      </c>
      <c r="AA74" s="6">
        <v>28.844221105527641</v>
      </c>
      <c r="AB74">
        <f>--PizzaDelivery[[#This Row],[Is Delayed]]</f>
        <v>0</v>
      </c>
    </row>
    <row r="75" spans="1:28">
      <c r="A75" t="s">
        <v>251</v>
      </c>
      <c r="B75" t="s">
        <v>165</v>
      </c>
      <c r="C75" t="s">
        <v>158</v>
      </c>
      <c r="D75" s="1">
        <v>45366</v>
      </c>
      <c r="E75" s="5">
        <v>0.82291666666666663</v>
      </c>
      <c r="F75" s="1">
        <v>45366</v>
      </c>
      <c r="G75" s="5">
        <v>0.84027777777777779</v>
      </c>
      <c r="H75">
        <v>25</v>
      </c>
      <c r="I75" t="s">
        <v>167</v>
      </c>
      <c r="J75" t="s">
        <v>168</v>
      </c>
      <c r="K75">
        <v>5</v>
      </c>
      <c r="L75">
        <v>4</v>
      </c>
      <c r="M75" t="s">
        <v>143</v>
      </c>
      <c r="N75" t="s">
        <v>145</v>
      </c>
      <c r="O75" t="b">
        <v>1</v>
      </c>
      <c r="P75" t="b">
        <v>0</v>
      </c>
      <c r="Q75" s="6">
        <v>6.25</v>
      </c>
      <c r="R75" s="6">
        <v>1.25</v>
      </c>
      <c r="S75" t="s">
        <v>163</v>
      </c>
      <c r="T75" t="s">
        <v>147</v>
      </c>
      <c r="U75" s="6">
        <v>9.6</v>
      </c>
      <c r="V75" s="6">
        <v>15.4</v>
      </c>
      <c r="W75" t="b">
        <v>0</v>
      </c>
      <c r="X75">
        <v>20</v>
      </c>
      <c r="Y75">
        <v>2</v>
      </c>
      <c r="Z75">
        <v>19</v>
      </c>
      <c r="AA75" s="6">
        <v>29.948453608247419</v>
      </c>
      <c r="AB75">
        <f>--PizzaDelivery[[#This Row],[Is Delayed]]</f>
        <v>0</v>
      </c>
    </row>
    <row r="76" spans="1:28">
      <c r="A76" t="s">
        <v>252</v>
      </c>
      <c r="B76" t="s">
        <v>173</v>
      </c>
      <c r="C76" t="s">
        <v>166</v>
      </c>
      <c r="D76" s="1">
        <v>45367</v>
      </c>
      <c r="E76" s="5">
        <v>0.54166666666666663</v>
      </c>
      <c r="F76" s="1">
        <v>45367</v>
      </c>
      <c r="G76" s="5">
        <v>0.55555555555555558</v>
      </c>
      <c r="H76">
        <v>20</v>
      </c>
      <c r="I76" t="s">
        <v>143</v>
      </c>
      <c r="J76" t="s">
        <v>152</v>
      </c>
      <c r="K76">
        <v>3</v>
      </c>
      <c r="L76">
        <v>3</v>
      </c>
      <c r="M76" t="s">
        <v>153</v>
      </c>
      <c r="N76" t="s">
        <v>162</v>
      </c>
      <c r="O76" t="b">
        <v>0</v>
      </c>
      <c r="P76" t="b">
        <v>1</v>
      </c>
      <c r="Q76" s="6">
        <v>6.666666666666667</v>
      </c>
      <c r="R76" s="6">
        <v>1</v>
      </c>
      <c r="S76" t="s">
        <v>163</v>
      </c>
      <c r="T76" t="s">
        <v>147</v>
      </c>
      <c r="U76" s="6">
        <v>7.1999999999999993</v>
      </c>
      <c r="V76" s="6">
        <v>12.8</v>
      </c>
      <c r="W76" t="b">
        <v>0</v>
      </c>
      <c r="X76">
        <v>6</v>
      </c>
      <c r="Y76">
        <v>3</v>
      </c>
      <c r="Z76">
        <v>13</v>
      </c>
      <c r="AA76" s="6">
        <v>30.286458333333329</v>
      </c>
      <c r="AB76">
        <f>--PizzaDelivery[[#This Row],[Is Delayed]]</f>
        <v>0</v>
      </c>
    </row>
    <row r="77" spans="1:28">
      <c r="A77" t="s">
        <v>253</v>
      </c>
      <c r="B77" t="s">
        <v>142</v>
      </c>
      <c r="C77" t="s">
        <v>150</v>
      </c>
      <c r="D77" s="1">
        <v>45368</v>
      </c>
      <c r="E77" s="5">
        <v>0.77083333333333337</v>
      </c>
      <c r="F77" s="1">
        <v>45368</v>
      </c>
      <c r="G77" s="5">
        <v>0.78472222222222221</v>
      </c>
      <c r="H77">
        <v>20</v>
      </c>
      <c r="I77" t="s">
        <v>151</v>
      </c>
      <c r="J77" t="s">
        <v>144</v>
      </c>
      <c r="K77">
        <v>4</v>
      </c>
      <c r="L77">
        <v>4.5</v>
      </c>
      <c r="M77" t="s">
        <v>161</v>
      </c>
      <c r="N77" t="s">
        <v>169</v>
      </c>
      <c r="O77" t="b">
        <v>1</v>
      </c>
      <c r="P77" t="b">
        <v>1</v>
      </c>
      <c r="Q77" s="6">
        <v>4.4444444444444446</v>
      </c>
      <c r="R77" s="6">
        <v>0.88888888888888884</v>
      </c>
      <c r="S77" t="s">
        <v>163</v>
      </c>
      <c r="T77" t="s">
        <v>171</v>
      </c>
      <c r="U77" s="6">
        <v>10.8</v>
      </c>
      <c r="V77" s="6">
        <v>9.2000000000000011</v>
      </c>
      <c r="W77" t="b">
        <v>0</v>
      </c>
      <c r="X77">
        <v>12</v>
      </c>
      <c r="Y77">
        <v>1</v>
      </c>
      <c r="Z77">
        <v>18</v>
      </c>
      <c r="AA77" s="6">
        <v>30.259433962264151</v>
      </c>
      <c r="AB77">
        <f>--PizzaDelivery[[#This Row],[Is Delayed]]</f>
        <v>0</v>
      </c>
    </row>
    <row r="78" spans="1:28">
      <c r="A78" t="s">
        <v>254</v>
      </c>
      <c r="B78" t="s">
        <v>149</v>
      </c>
      <c r="C78" t="s">
        <v>186</v>
      </c>
      <c r="D78" s="1">
        <v>45369</v>
      </c>
      <c r="E78" s="5">
        <v>0.83333333333333337</v>
      </c>
      <c r="F78" s="1">
        <v>45369</v>
      </c>
      <c r="G78" s="5">
        <v>0.85069444444444442</v>
      </c>
      <c r="H78">
        <v>25</v>
      </c>
      <c r="I78" t="s">
        <v>143</v>
      </c>
      <c r="J78" t="s">
        <v>152</v>
      </c>
      <c r="K78">
        <v>3</v>
      </c>
      <c r="L78">
        <v>3</v>
      </c>
      <c r="M78" t="s">
        <v>153</v>
      </c>
      <c r="N78" t="s">
        <v>154</v>
      </c>
      <c r="O78" t="b">
        <v>1</v>
      </c>
      <c r="P78" t="b">
        <v>0</v>
      </c>
      <c r="Q78" s="6">
        <v>8.3333333333333339</v>
      </c>
      <c r="R78" s="6">
        <v>1</v>
      </c>
      <c r="S78" t="s">
        <v>163</v>
      </c>
      <c r="T78" t="s">
        <v>147</v>
      </c>
      <c r="U78" s="6">
        <v>7.1999999999999993</v>
      </c>
      <c r="V78" s="6">
        <v>17.8</v>
      </c>
      <c r="W78" t="b">
        <v>0</v>
      </c>
      <c r="X78">
        <v>6</v>
      </c>
      <c r="Y78">
        <v>3</v>
      </c>
      <c r="Z78">
        <v>20</v>
      </c>
      <c r="AA78" s="6">
        <v>28.186274509803919</v>
      </c>
      <c r="AB78">
        <f>--PizzaDelivery[[#This Row],[Is Delayed]]</f>
        <v>0</v>
      </c>
    </row>
    <row r="79" spans="1:28">
      <c r="A79" t="s">
        <v>255</v>
      </c>
      <c r="B79" t="s">
        <v>157</v>
      </c>
      <c r="C79" t="s">
        <v>188</v>
      </c>
      <c r="D79" s="1">
        <v>45370</v>
      </c>
      <c r="E79" s="5">
        <v>0.80208333333333337</v>
      </c>
      <c r="F79" s="1">
        <v>45370</v>
      </c>
      <c r="G79" s="5">
        <v>0.81597222222222221</v>
      </c>
      <c r="H79">
        <v>20</v>
      </c>
      <c r="I79" t="s">
        <v>159</v>
      </c>
      <c r="J79" t="s">
        <v>160</v>
      </c>
      <c r="K79">
        <v>2</v>
      </c>
      <c r="L79">
        <v>2.5</v>
      </c>
      <c r="M79" t="s">
        <v>161</v>
      </c>
      <c r="N79" t="s">
        <v>145</v>
      </c>
      <c r="O79" t="b">
        <v>1</v>
      </c>
      <c r="P79" t="b">
        <v>0</v>
      </c>
      <c r="Q79" s="6">
        <v>8</v>
      </c>
      <c r="R79" s="6">
        <v>0.8</v>
      </c>
      <c r="S79" t="s">
        <v>163</v>
      </c>
      <c r="T79" t="s">
        <v>147</v>
      </c>
      <c r="U79" s="6">
        <v>6</v>
      </c>
      <c r="V79" s="6">
        <v>14</v>
      </c>
      <c r="W79" t="b">
        <v>0</v>
      </c>
      <c r="X79">
        <v>2</v>
      </c>
      <c r="Y79">
        <v>1</v>
      </c>
      <c r="Z79">
        <v>19</v>
      </c>
      <c r="AA79" s="6">
        <v>28.844221105527641</v>
      </c>
      <c r="AB79">
        <f>--PizzaDelivery[[#This Row],[Is Delayed]]</f>
        <v>0</v>
      </c>
    </row>
    <row r="80" spans="1:28">
      <c r="A80" t="s">
        <v>256</v>
      </c>
      <c r="B80" t="s">
        <v>165</v>
      </c>
      <c r="C80" t="s">
        <v>174</v>
      </c>
      <c r="D80" s="1">
        <v>45371</v>
      </c>
      <c r="E80" s="5">
        <v>0.82291666666666663</v>
      </c>
      <c r="F80" s="1">
        <v>45371</v>
      </c>
      <c r="G80" s="5">
        <v>0.84027777777777779</v>
      </c>
      <c r="H80">
        <v>25</v>
      </c>
      <c r="I80" t="s">
        <v>167</v>
      </c>
      <c r="J80" t="s">
        <v>168</v>
      </c>
      <c r="K80">
        <v>5</v>
      </c>
      <c r="L80">
        <v>4</v>
      </c>
      <c r="M80" t="s">
        <v>143</v>
      </c>
      <c r="N80" t="s">
        <v>162</v>
      </c>
      <c r="O80" t="b">
        <v>1</v>
      </c>
      <c r="P80" t="b">
        <v>0</v>
      </c>
      <c r="Q80" s="6">
        <v>6.25</v>
      </c>
      <c r="R80" s="6">
        <v>1.25</v>
      </c>
      <c r="S80" t="s">
        <v>163</v>
      </c>
      <c r="T80" t="s">
        <v>147</v>
      </c>
      <c r="U80" s="6">
        <v>9.6</v>
      </c>
      <c r="V80" s="6">
        <v>15.4</v>
      </c>
      <c r="W80" t="b">
        <v>0</v>
      </c>
      <c r="X80">
        <v>20</v>
      </c>
      <c r="Y80">
        <v>2</v>
      </c>
      <c r="Z80">
        <v>19</v>
      </c>
      <c r="AA80" s="6">
        <v>29.948453608247419</v>
      </c>
      <c r="AB80">
        <f>--PizzaDelivery[[#This Row],[Is Delayed]]</f>
        <v>0</v>
      </c>
    </row>
    <row r="81" spans="1:28">
      <c r="A81" t="s">
        <v>257</v>
      </c>
      <c r="B81" t="s">
        <v>173</v>
      </c>
      <c r="C81" t="s">
        <v>190</v>
      </c>
      <c r="D81" s="1">
        <v>45372</v>
      </c>
      <c r="E81" s="5">
        <v>0.54166666666666663</v>
      </c>
      <c r="F81" s="1">
        <v>45372</v>
      </c>
      <c r="G81" s="5">
        <v>0.55555555555555558</v>
      </c>
      <c r="H81">
        <v>20</v>
      </c>
      <c r="I81" t="s">
        <v>143</v>
      </c>
      <c r="J81" t="s">
        <v>152</v>
      </c>
      <c r="K81">
        <v>3</v>
      </c>
      <c r="L81">
        <v>3.5</v>
      </c>
      <c r="M81" t="s">
        <v>153</v>
      </c>
      <c r="N81" t="s">
        <v>169</v>
      </c>
      <c r="O81" t="b">
        <v>0</v>
      </c>
      <c r="P81" t="b">
        <v>0</v>
      </c>
      <c r="Q81" s="6">
        <v>5.7142857142857144</v>
      </c>
      <c r="R81" s="6">
        <v>0.8571428571428571</v>
      </c>
      <c r="S81" t="s">
        <v>163</v>
      </c>
      <c r="T81" t="s">
        <v>171</v>
      </c>
      <c r="U81" s="6">
        <v>8.4</v>
      </c>
      <c r="V81" s="6">
        <v>11.6</v>
      </c>
      <c r="W81" t="b">
        <v>0</v>
      </c>
      <c r="X81">
        <v>6</v>
      </c>
      <c r="Y81">
        <v>3</v>
      </c>
      <c r="Z81">
        <v>13</v>
      </c>
      <c r="AA81" s="6">
        <v>30.286458333333329</v>
      </c>
      <c r="AB81">
        <f>--PizzaDelivery[[#This Row],[Is Delayed]]</f>
        <v>0</v>
      </c>
    </row>
    <row r="82" spans="1:28">
      <c r="A82" t="s">
        <v>258</v>
      </c>
      <c r="B82" t="s">
        <v>142</v>
      </c>
      <c r="C82" t="s">
        <v>192</v>
      </c>
      <c r="D82" s="1">
        <v>45373</v>
      </c>
      <c r="E82" s="5">
        <v>0.77083333333333337</v>
      </c>
      <c r="F82" s="1">
        <v>45373</v>
      </c>
      <c r="G82" s="5">
        <v>0.78472222222222221</v>
      </c>
      <c r="H82">
        <v>20</v>
      </c>
      <c r="I82" t="s">
        <v>151</v>
      </c>
      <c r="J82" t="s">
        <v>144</v>
      </c>
      <c r="K82">
        <v>4</v>
      </c>
      <c r="L82">
        <v>4</v>
      </c>
      <c r="M82" t="s">
        <v>161</v>
      </c>
      <c r="N82" t="s">
        <v>154</v>
      </c>
      <c r="O82" t="b">
        <v>1</v>
      </c>
      <c r="P82" t="b">
        <v>0</v>
      </c>
      <c r="Q82" s="6">
        <v>5</v>
      </c>
      <c r="R82" s="6">
        <v>1</v>
      </c>
      <c r="S82" t="s">
        <v>163</v>
      </c>
      <c r="T82" t="s">
        <v>147</v>
      </c>
      <c r="U82" s="6">
        <v>9.6</v>
      </c>
      <c r="V82" s="6">
        <v>10.4</v>
      </c>
      <c r="W82" t="b">
        <v>0</v>
      </c>
      <c r="X82">
        <v>12</v>
      </c>
      <c r="Y82">
        <v>1</v>
      </c>
      <c r="Z82">
        <v>18</v>
      </c>
      <c r="AA82" s="6">
        <v>30.259433962264151</v>
      </c>
      <c r="AB82">
        <f>--PizzaDelivery[[#This Row],[Is Delayed]]</f>
        <v>0</v>
      </c>
    </row>
    <row r="83" spans="1:28">
      <c r="A83" t="s">
        <v>259</v>
      </c>
      <c r="B83" t="s">
        <v>149</v>
      </c>
      <c r="C83" t="s">
        <v>194</v>
      </c>
      <c r="D83" s="1">
        <v>45374</v>
      </c>
      <c r="E83" s="5">
        <v>0.84375</v>
      </c>
      <c r="F83" s="1">
        <v>45374</v>
      </c>
      <c r="G83" s="5">
        <v>0.86111111111111116</v>
      </c>
      <c r="H83">
        <v>25</v>
      </c>
      <c r="I83" t="s">
        <v>159</v>
      </c>
      <c r="J83" t="s">
        <v>160</v>
      </c>
      <c r="K83">
        <v>2</v>
      </c>
      <c r="L83">
        <v>2</v>
      </c>
      <c r="M83" t="s">
        <v>153</v>
      </c>
      <c r="N83" t="s">
        <v>145</v>
      </c>
      <c r="O83" t="b">
        <v>1</v>
      </c>
      <c r="P83" t="b">
        <v>1</v>
      </c>
      <c r="Q83" s="6">
        <v>12.5</v>
      </c>
      <c r="R83" s="6">
        <v>1</v>
      </c>
      <c r="S83" t="s">
        <v>163</v>
      </c>
      <c r="T83" t="s">
        <v>147</v>
      </c>
      <c r="U83" s="6">
        <v>4.8</v>
      </c>
      <c r="V83" s="6">
        <v>20.2</v>
      </c>
      <c r="W83" t="b">
        <v>0</v>
      </c>
      <c r="X83">
        <v>2</v>
      </c>
      <c r="Y83">
        <v>3</v>
      </c>
      <c r="Z83">
        <v>20</v>
      </c>
      <c r="AA83" s="6">
        <v>28.186274509803919</v>
      </c>
      <c r="AB83">
        <f>--PizzaDelivery[[#This Row],[Is Delayed]]</f>
        <v>0</v>
      </c>
    </row>
    <row r="84" spans="1:28">
      <c r="A84" t="s">
        <v>260</v>
      </c>
      <c r="B84" t="s">
        <v>157</v>
      </c>
      <c r="C84" t="s">
        <v>174</v>
      </c>
      <c r="D84" s="1">
        <v>45375</v>
      </c>
      <c r="E84" s="5">
        <v>0.77083333333333337</v>
      </c>
      <c r="F84" s="1">
        <v>45375</v>
      </c>
      <c r="G84" s="5">
        <v>0.78472222222222221</v>
      </c>
      <c r="H84">
        <v>20</v>
      </c>
      <c r="I84" t="s">
        <v>143</v>
      </c>
      <c r="J84" t="s">
        <v>152</v>
      </c>
      <c r="K84">
        <v>3</v>
      </c>
      <c r="L84">
        <v>3</v>
      </c>
      <c r="M84" t="s">
        <v>153</v>
      </c>
      <c r="N84" t="s">
        <v>162</v>
      </c>
      <c r="O84" t="b">
        <v>1</v>
      </c>
      <c r="P84" t="b">
        <v>1</v>
      </c>
      <c r="Q84" s="6">
        <v>6.666666666666667</v>
      </c>
      <c r="R84" s="6">
        <v>1</v>
      </c>
      <c r="S84" t="s">
        <v>163</v>
      </c>
      <c r="T84" t="s">
        <v>147</v>
      </c>
      <c r="U84" s="6">
        <v>7.1999999999999993</v>
      </c>
      <c r="V84" s="6">
        <v>12.8</v>
      </c>
      <c r="W84" t="b">
        <v>0</v>
      </c>
      <c r="X84">
        <v>6</v>
      </c>
      <c r="Y84">
        <v>3</v>
      </c>
      <c r="Z84">
        <v>18</v>
      </c>
      <c r="AA84" s="6">
        <v>28.844221105527641</v>
      </c>
      <c r="AB84">
        <f>--PizzaDelivery[[#This Row],[Is Delayed]]</f>
        <v>0</v>
      </c>
    </row>
    <row r="85" spans="1:28">
      <c r="A85" t="s">
        <v>261</v>
      </c>
      <c r="B85" t="s">
        <v>165</v>
      </c>
      <c r="C85" t="s">
        <v>150</v>
      </c>
      <c r="D85" s="1">
        <v>45376</v>
      </c>
      <c r="E85" s="5">
        <v>0.82291666666666663</v>
      </c>
      <c r="F85" s="1">
        <v>45376</v>
      </c>
      <c r="G85" s="5">
        <v>0.84027777777777779</v>
      </c>
      <c r="H85">
        <v>25</v>
      </c>
      <c r="I85" t="s">
        <v>167</v>
      </c>
      <c r="J85" t="s">
        <v>168</v>
      </c>
      <c r="K85">
        <v>5</v>
      </c>
      <c r="L85">
        <v>4.5</v>
      </c>
      <c r="M85" t="s">
        <v>161</v>
      </c>
      <c r="N85" t="s">
        <v>169</v>
      </c>
      <c r="O85" t="b">
        <v>1</v>
      </c>
      <c r="P85" t="b">
        <v>0</v>
      </c>
      <c r="Q85" s="6">
        <v>5.5555555555555554</v>
      </c>
      <c r="R85" s="6">
        <v>1.1111111111111109</v>
      </c>
      <c r="S85" t="s">
        <v>163</v>
      </c>
      <c r="T85" t="s">
        <v>171</v>
      </c>
      <c r="U85" s="6">
        <v>10.8</v>
      </c>
      <c r="V85" s="6">
        <v>14.2</v>
      </c>
      <c r="W85" t="b">
        <v>0</v>
      </c>
      <c r="X85">
        <v>20</v>
      </c>
      <c r="Y85">
        <v>1</v>
      </c>
      <c r="Z85">
        <v>19</v>
      </c>
      <c r="AA85" s="6">
        <v>29.948453608247419</v>
      </c>
      <c r="AB85">
        <f>--PizzaDelivery[[#This Row],[Is Delayed]]</f>
        <v>0</v>
      </c>
    </row>
    <row r="86" spans="1:28">
      <c r="A86" t="s">
        <v>262</v>
      </c>
      <c r="B86" t="s">
        <v>173</v>
      </c>
      <c r="C86" t="s">
        <v>158</v>
      </c>
      <c r="D86" s="1">
        <v>45377</v>
      </c>
      <c r="E86" s="5">
        <v>0.54166666666666663</v>
      </c>
      <c r="F86" s="1">
        <v>45377</v>
      </c>
      <c r="G86" s="5">
        <v>0.55555555555555558</v>
      </c>
      <c r="H86">
        <v>20</v>
      </c>
      <c r="I86" t="s">
        <v>143</v>
      </c>
      <c r="J86" t="s">
        <v>152</v>
      </c>
      <c r="K86">
        <v>3</v>
      </c>
      <c r="L86">
        <v>3.5</v>
      </c>
      <c r="M86" t="s">
        <v>143</v>
      </c>
      <c r="N86" t="s">
        <v>154</v>
      </c>
      <c r="O86" t="b">
        <v>0</v>
      </c>
      <c r="P86" t="b">
        <v>0</v>
      </c>
      <c r="Q86" s="6">
        <v>5.7142857142857144</v>
      </c>
      <c r="R86" s="6">
        <v>0.8571428571428571</v>
      </c>
      <c r="S86" t="s">
        <v>163</v>
      </c>
      <c r="T86" t="s">
        <v>147</v>
      </c>
      <c r="U86" s="6">
        <v>8.4</v>
      </c>
      <c r="V86" s="6">
        <v>11.6</v>
      </c>
      <c r="W86" t="b">
        <v>0</v>
      </c>
      <c r="X86">
        <v>6</v>
      </c>
      <c r="Y86">
        <v>2</v>
      </c>
      <c r="Z86">
        <v>13</v>
      </c>
      <c r="AA86" s="6">
        <v>30.286458333333329</v>
      </c>
      <c r="AB86">
        <f>--PizzaDelivery[[#This Row],[Is Delayed]]</f>
        <v>0</v>
      </c>
    </row>
    <row r="87" spans="1:28">
      <c r="A87" t="s">
        <v>263</v>
      </c>
      <c r="B87" t="s">
        <v>142</v>
      </c>
      <c r="C87" t="s">
        <v>166</v>
      </c>
      <c r="D87" s="1">
        <v>45378</v>
      </c>
      <c r="E87" s="5">
        <v>0.77083333333333337</v>
      </c>
      <c r="F87" s="1">
        <v>45378</v>
      </c>
      <c r="G87" s="5">
        <v>0.78472222222222221</v>
      </c>
      <c r="H87">
        <v>20</v>
      </c>
      <c r="I87" t="s">
        <v>151</v>
      </c>
      <c r="J87" t="s">
        <v>144</v>
      </c>
      <c r="K87">
        <v>4</v>
      </c>
      <c r="L87">
        <v>4</v>
      </c>
      <c r="M87" t="s">
        <v>153</v>
      </c>
      <c r="N87" t="s">
        <v>145</v>
      </c>
      <c r="O87" t="b">
        <v>1</v>
      </c>
      <c r="P87" t="b">
        <v>0</v>
      </c>
      <c r="Q87" s="6">
        <v>5</v>
      </c>
      <c r="R87" s="6">
        <v>1</v>
      </c>
      <c r="S87" t="s">
        <v>163</v>
      </c>
      <c r="T87" t="s">
        <v>147</v>
      </c>
      <c r="U87" s="6">
        <v>9.6</v>
      </c>
      <c r="V87" s="6">
        <v>10.4</v>
      </c>
      <c r="W87" t="b">
        <v>0</v>
      </c>
      <c r="X87">
        <v>12</v>
      </c>
      <c r="Y87">
        <v>3</v>
      </c>
      <c r="Z87">
        <v>18</v>
      </c>
      <c r="AA87" s="6">
        <v>30.259433962264151</v>
      </c>
      <c r="AB87">
        <f>--PizzaDelivery[[#This Row],[Is Delayed]]</f>
        <v>0</v>
      </c>
    </row>
    <row r="88" spans="1:28">
      <c r="A88" t="s">
        <v>264</v>
      </c>
      <c r="B88" t="s">
        <v>149</v>
      </c>
      <c r="C88" t="s">
        <v>174</v>
      </c>
      <c r="D88" s="1">
        <v>45379</v>
      </c>
      <c r="E88" s="5">
        <v>0.83333333333333337</v>
      </c>
      <c r="F88" s="1">
        <v>45379</v>
      </c>
      <c r="G88" s="5">
        <v>0.85069444444444442</v>
      </c>
      <c r="H88">
        <v>25</v>
      </c>
      <c r="I88" t="s">
        <v>143</v>
      </c>
      <c r="J88" t="s">
        <v>152</v>
      </c>
      <c r="K88">
        <v>3</v>
      </c>
      <c r="L88">
        <v>3</v>
      </c>
      <c r="M88" t="s">
        <v>161</v>
      </c>
      <c r="N88" t="s">
        <v>162</v>
      </c>
      <c r="O88" t="b">
        <v>1</v>
      </c>
      <c r="P88" t="b">
        <v>0</v>
      </c>
      <c r="Q88" s="6">
        <v>8.3333333333333339</v>
      </c>
      <c r="R88" s="6">
        <v>1</v>
      </c>
      <c r="S88" t="s">
        <v>163</v>
      </c>
      <c r="T88" t="s">
        <v>147</v>
      </c>
      <c r="U88" s="6">
        <v>7.1999999999999993</v>
      </c>
      <c r="V88" s="6">
        <v>17.8</v>
      </c>
      <c r="W88" t="b">
        <v>0</v>
      </c>
      <c r="X88">
        <v>6</v>
      </c>
      <c r="Y88">
        <v>1</v>
      </c>
      <c r="Z88">
        <v>20</v>
      </c>
      <c r="AA88" s="6">
        <v>28.186274509803919</v>
      </c>
      <c r="AB88">
        <f>--PizzaDelivery[[#This Row],[Is Delayed]]</f>
        <v>0</v>
      </c>
    </row>
    <row r="89" spans="1:28">
      <c r="A89" t="s">
        <v>265</v>
      </c>
      <c r="B89" t="s">
        <v>157</v>
      </c>
      <c r="C89" t="s">
        <v>184</v>
      </c>
      <c r="D89" s="1">
        <v>45380</v>
      </c>
      <c r="E89" s="5">
        <v>0.80208333333333337</v>
      </c>
      <c r="F89" s="1">
        <v>45380</v>
      </c>
      <c r="G89" s="5">
        <v>0.81597222222222221</v>
      </c>
      <c r="H89">
        <v>20</v>
      </c>
      <c r="I89" t="s">
        <v>159</v>
      </c>
      <c r="J89" t="s">
        <v>160</v>
      </c>
      <c r="K89">
        <v>2</v>
      </c>
      <c r="L89">
        <v>2.5</v>
      </c>
      <c r="M89" t="s">
        <v>161</v>
      </c>
      <c r="N89" t="s">
        <v>169</v>
      </c>
      <c r="O89" t="b">
        <v>1</v>
      </c>
      <c r="P89" t="b">
        <v>0</v>
      </c>
      <c r="Q89" s="6">
        <v>8</v>
      </c>
      <c r="R89" s="6">
        <v>0.8</v>
      </c>
      <c r="S89" t="s">
        <v>163</v>
      </c>
      <c r="T89" t="s">
        <v>171</v>
      </c>
      <c r="U89" s="6">
        <v>6</v>
      </c>
      <c r="V89" s="6">
        <v>14</v>
      </c>
      <c r="W89" t="b">
        <v>0</v>
      </c>
      <c r="X89">
        <v>2</v>
      </c>
      <c r="Y89">
        <v>1</v>
      </c>
      <c r="Z89">
        <v>19</v>
      </c>
      <c r="AA89" s="6">
        <v>28.844221105527641</v>
      </c>
      <c r="AB89">
        <f>--PizzaDelivery[[#This Row],[Is Delayed]]</f>
        <v>0</v>
      </c>
    </row>
    <row r="90" spans="1:28">
      <c r="A90" t="s">
        <v>266</v>
      </c>
      <c r="B90" t="s">
        <v>165</v>
      </c>
      <c r="C90" t="s">
        <v>186</v>
      </c>
      <c r="D90" s="1">
        <v>45381</v>
      </c>
      <c r="E90" s="5">
        <v>0.82291666666666663</v>
      </c>
      <c r="F90" s="1">
        <v>45381</v>
      </c>
      <c r="G90" s="5">
        <v>0.84027777777777779</v>
      </c>
      <c r="H90">
        <v>25</v>
      </c>
      <c r="I90" t="s">
        <v>167</v>
      </c>
      <c r="J90" t="s">
        <v>168</v>
      </c>
      <c r="K90">
        <v>5</v>
      </c>
      <c r="L90">
        <v>4.5</v>
      </c>
      <c r="M90" t="s">
        <v>153</v>
      </c>
      <c r="N90" t="s">
        <v>154</v>
      </c>
      <c r="O90" t="b">
        <v>1</v>
      </c>
      <c r="P90" t="b">
        <v>1</v>
      </c>
      <c r="Q90" s="6">
        <v>5.5555555555555554</v>
      </c>
      <c r="R90" s="6">
        <v>1.1111111111111109</v>
      </c>
      <c r="S90" t="s">
        <v>163</v>
      </c>
      <c r="T90" t="s">
        <v>147</v>
      </c>
      <c r="U90" s="6">
        <v>10.8</v>
      </c>
      <c r="V90" s="6">
        <v>14.2</v>
      </c>
      <c r="W90" t="b">
        <v>0</v>
      </c>
      <c r="X90">
        <v>20</v>
      </c>
      <c r="Y90">
        <v>3</v>
      </c>
      <c r="Z90">
        <v>19</v>
      </c>
      <c r="AA90" s="6">
        <v>29.948453608247419</v>
      </c>
      <c r="AB90">
        <f>--PizzaDelivery[[#This Row],[Is Delayed]]</f>
        <v>0</v>
      </c>
    </row>
    <row r="91" spans="1:28">
      <c r="A91" t="s">
        <v>267</v>
      </c>
      <c r="B91" t="s">
        <v>173</v>
      </c>
      <c r="C91" t="s">
        <v>188</v>
      </c>
      <c r="D91" s="1">
        <v>45382</v>
      </c>
      <c r="E91" s="5">
        <v>0.54166666666666663</v>
      </c>
      <c r="F91" s="1">
        <v>45382</v>
      </c>
      <c r="G91" s="5">
        <v>0.55555555555555558</v>
      </c>
      <c r="H91">
        <v>20</v>
      </c>
      <c r="I91" t="s">
        <v>143</v>
      </c>
      <c r="J91" t="s">
        <v>152</v>
      </c>
      <c r="K91">
        <v>3</v>
      </c>
      <c r="L91">
        <v>3</v>
      </c>
      <c r="M91" t="s">
        <v>143</v>
      </c>
      <c r="N91" t="s">
        <v>145</v>
      </c>
      <c r="O91" t="b">
        <v>0</v>
      </c>
      <c r="P91" t="b">
        <v>1</v>
      </c>
      <c r="Q91" s="6">
        <v>6.666666666666667</v>
      </c>
      <c r="R91" s="6">
        <v>1</v>
      </c>
      <c r="S91" t="s">
        <v>163</v>
      </c>
      <c r="T91" t="s">
        <v>147</v>
      </c>
      <c r="U91" s="6">
        <v>7.1999999999999993</v>
      </c>
      <c r="V91" s="6">
        <v>12.8</v>
      </c>
      <c r="W91" t="b">
        <v>0</v>
      </c>
      <c r="X91">
        <v>6</v>
      </c>
      <c r="Y91">
        <v>2</v>
      </c>
      <c r="Z91">
        <v>13</v>
      </c>
      <c r="AA91" s="6">
        <v>30.286458333333329</v>
      </c>
      <c r="AB91">
        <f>--PizzaDelivery[[#This Row],[Is Delayed]]</f>
        <v>0</v>
      </c>
    </row>
    <row r="92" spans="1:28">
      <c r="A92" t="s">
        <v>268</v>
      </c>
      <c r="B92" t="s">
        <v>142</v>
      </c>
      <c r="C92" t="s">
        <v>190</v>
      </c>
      <c r="D92" s="1">
        <v>45383</v>
      </c>
      <c r="E92" s="5">
        <v>0.77083333333333337</v>
      </c>
      <c r="F92" s="1">
        <v>45383</v>
      </c>
      <c r="G92" s="5">
        <v>0.78472222222222221</v>
      </c>
      <c r="H92">
        <v>20</v>
      </c>
      <c r="I92" t="s">
        <v>151</v>
      </c>
      <c r="J92" t="s">
        <v>144</v>
      </c>
      <c r="K92">
        <v>4</v>
      </c>
      <c r="L92">
        <v>4</v>
      </c>
      <c r="M92" t="s">
        <v>161</v>
      </c>
      <c r="N92" t="s">
        <v>162</v>
      </c>
      <c r="O92" t="b">
        <v>1</v>
      </c>
      <c r="P92" t="b">
        <v>0</v>
      </c>
      <c r="Q92" s="6">
        <v>5</v>
      </c>
      <c r="R92" s="6">
        <v>1</v>
      </c>
      <c r="S92" t="s">
        <v>170</v>
      </c>
      <c r="T92" t="s">
        <v>147</v>
      </c>
      <c r="U92" s="6">
        <v>9.6</v>
      </c>
      <c r="V92" s="6">
        <v>10.4</v>
      </c>
      <c r="W92" t="b">
        <v>0</v>
      </c>
      <c r="X92">
        <v>12</v>
      </c>
      <c r="Y92">
        <v>1</v>
      </c>
      <c r="Z92">
        <v>18</v>
      </c>
      <c r="AA92" s="6">
        <v>30.259433962264151</v>
      </c>
      <c r="AB92">
        <f>--PizzaDelivery[[#This Row],[Is Delayed]]</f>
        <v>0</v>
      </c>
    </row>
    <row r="93" spans="1:28">
      <c r="A93" t="s">
        <v>269</v>
      </c>
      <c r="B93" t="s">
        <v>149</v>
      </c>
      <c r="C93" t="s">
        <v>192</v>
      </c>
      <c r="D93" s="1">
        <v>45384</v>
      </c>
      <c r="E93" s="5">
        <v>0.84375</v>
      </c>
      <c r="F93" s="1">
        <v>45384</v>
      </c>
      <c r="G93" s="5">
        <v>0.86111111111111116</v>
      </c>
      <c r="H93">
        <v>25</v>
      </c>
      <c r="I93" t="s">
        <v>159</v>
      </c>
      <c r="J93" t="s">
        <v>160</v>
      </c>
      <c r="K93">
        <v>2</v>
      </c>
      <c r="L93">
        <v>2</v>
      </c>
      <c r="M93" t="s">
        <v>153</v>
      </c>
      <c r="N93" t="s">
        <v>169</v>
      </c>
      <c r="O93" t="b">
        <v>1</v>
      </c>
      <c r="P93" t="b">
        <v>0</v>
      </c>
      <c r="Q93" s="6">
        <v>12.5</v>
      </c>
      <c r="R93" s="6">
        <v>1</v>
      </c>
      <c r="S93" t="s">
        <v>170</v>
      </c>
      <c r="T93" t="s">
        <v>171</v>
      </c>
      <c r="U93" s="6">
        <v>4.8</v>
      </c>
      <c r="V93" s="6">
        <v>20.2</v>
      </c>
      <c r="W93" t="b">
        <v>0</v>
      </c>
      <c r="X93">
        <v>2</v>
      </c>
      <c r="Y93">
        <v>3</v>
      </c>
      <c r="Z93">
        <v>20</v>
      </c>
      <c r="AA93" s="6">
        <v>28.186274509803919</v>
      </c>
      <c r="AB93">
        <f>--PizzaDelivery[[#This Row],[Is Delayed]]</f>
        <v>0</v>
      </c>
    </row>
    <row r="94" spans="1:28">
      <c r="A94" t="s">
        <v>270</v>
      </c>
      <c r="B94" t="s">
        <v>157</v>
      </c>
      <c r="C94" t="s">
        <v>194</v>
      </c>
      <c r="D94" s="1">
        <v>45385</v>
      </c>
      <c r="E94" s="5">
        <v>0.77083333333333337</v>
      </c>
      <c r="F94" s="1">
        <v>45385</v>
      </c>
      <c r="G94" s="5">
        <v>0.78472222222222221</v>
      </c>
      <c r="H94">
        <v>20</v>
      </c>
      <c r="I94" t="s">
        <v>143</v>
      </c>
      <c r="J94" t="s">
        <v>152</v>
      </c>
      <c r="K94">
        <v>3</v>
      </c>
      <c r="L94">
        <v>3.5</v>
      </c>
      <c r="M94" t="s">
        <v>161</v>
      </c>
      <c r="N94" t="s">
        <v>154</v>
      </c>
      <c r="O94" t="b">
        <v>1</v>
      </c>
      <c r="P94" t="b">
        <v>0</v>
      </c>
      <c r="Q94" s="6">
        <v>5.7142857142857144</v>
      </c>
      <c r="R94" s="6">
        <v>0.8571428571428571</v>
      </c>
      <c r="S94" t="s">
        <v>170</v>
      </c>
      <c r="T94" t="s">
        <v>147</v>
      </c>
      <c r="U94" s="6">
        <v>8.4</v>
      </c>
      <c r="V94" s="6">
        <v>11.6</v>
      </c>
      <c r="W94" t="b">
        <v>0</v>
      </c>
      <c r="X94">
        <v>6</v>
      </c>
      <c r="Y94">
        <v>1</v>
      </c>
      <c r="Z94">
        <v>18</v>
      </c>
      <c r="AA94" s="6">
        <v>28.844221105527641</v>
      </c>
      <c r="AB94">
        <f>--PizzaDelivery[[#This Row],[Is Delayed]]</f>
        <v>0</v>
      </c>
    </row>
    <row r="95" spans="1:28">
      <c r="A95" t="s">
        <v>271</v>
      </c>
      <c r="B95" t="s">
        <v>165</v>
      </c>
      <c r="C95" t="s">
        <v>158</v>
      </c>
      <c r="D95" s="1">
        <v>45386</v>
      </c>
      <c r="E95" s="5">
        <v>0.82291666666666663</v>
      </c>
      <c r="F95" s="1">
        <v>45386</v>
      </c>
      <c r="G95" s="5">
        <v>0.84027777777777779</v>
      </c>
      <c r="H95">
        <v>25</v>
      </c>
      <c r="I95" t="s">
        <v>167</v>
      </c>
      <c r="J95" t="s">
        <v>168</v>
      </c>
      <c r="K95">
        <v>5</v>
      </c>
      <c r="L95">
        <v>4</v>
      </c>
      <c r="M95" t="s">
        <v>143</v>
      </c>
      <c r="N95" t="s">
        <v>145</v>
      </c>
      <c r="O95" t="b">
        <v>1</v>
      </c>
      <c r="P95" t="b">
        <v>0</v>
      </c>
      <c r="Q95" s="6">
        <v>6.25</v>
      </c>
      <c r="R95" s="6">
        <v>1.25</v>
      </c>
      <c r="S95" t="s">
        <v>170</v>
      </c>
      <c r="T95" t="s">
        <v>147</v>
      </c>
      <c r="U95" s="6">
        <v>9.6</v>
      </c>
      <c r="V95" s="6">
        <v>15.4</v>
      </c>
      <c r="W95" t="b">
        <v>0</v>
      </c>
      <c r="X95">
        <v>20</v>
      </c>
      <c r="Y95">
        <v>2</v>
      </c>
      <c r="Z95">
        <v>19</v>
      </c>
      <c r="AA95" s="6">
        <v>29.948453608247419</v>
      </c>
      <c r="AB95">
        <f>--PizzaDelivery[[#This Row],[Is Delayed]]</f>
        <v>0</v>
      </c>
    </row>
    <row r="96" spans="1:28">
      <c r="A96" t="s">
        <v>272</v>
      </c>
      <c r="B96" t="s">
        <v>173</v>
      </c>
      <c r="C96" t="s">
        <v>166</v>
      </c>
      <c r="D96" s="1">
        <v>45387</v>
      </c>
      <c r="E96" s="5">
        <v>0.54166666666666663</v>
      </c>
      <c r="F96" s="1">
        <v>45387</v>
      </c>
      <c r="G96" s="5">
        <v>0.55555555555555558</v>
      </c>
      <c r="H96">
        <v>20</v>
      </c>
      <c r="I96" t="s">
        <v>143</v>
      </c>
      <c r="J96" t="s">
        <v>152</v>
      </c>
      <c r="K96">
        <v>3</v>
      </c>
      <c r="L96">
        <v>3</v>
      </c>
      <c r="M96" t="s">
        <v>153</v>
      </c>
      <c r="N96" t="s">
        <v>162</v>
      </c>
      <c r="O96" t="b">
        <v>0</v>
      </c>
      <c r="P96" t="b">
        <v>0</v>
      </c>
      <c r="Q96" s="6">
        <v>6.666666666666667</v>
      </c>
      <c r="R96" s="6">
        <v>1</v>
      </c>
      <c r="S96" t="s">
        <v>170</v>
      </c>
      <c r="T96" t="s">
        <v>147</v>
      </c>
      <c r="U96" s="6">
        <v>7.1999999999999993</v>
      </c>
      <c r="V96" s="6">
        <v>12.8</v>
      </c>
      <c r="W96" t="b">
        <v>0</v>
      </c>
      <c r="X96">
        <v>6</v>
      </c>
      <c r="Y96">
        <v>3</v>
      </c>
      <c r="Z96">
        <v>13</v>
      </c>
      <c r="AA96" s="6">
        <v>30.286458333333329</v>
      </c>
      <c r="AB96">
        <f>--PizzaDelivery[[#This Row],[Is Delayed]]</f>
        <v>0</v>
      </c>
    </row>
    <row r="97" spans="1:28">
      <c r="A97" t="s">
        <v>273</v>
      </c>
      <c r="B97" t="s">
        <v>142</v>
      </c>
      <c r="C97" t="s">
        <v>150</v>
      </c>
      <c r="D97" s="1">
        <v>45388</v>
      </c>
      <c r="E97" s="5">
        <v>0.77083333333333337</v>
      </c>
      <c r="F97" s="1">
        <v>45388</v>
      </c>
      <c r="G97" s="5">
        <v>0.78472222222222221</v>
      </c>
      <c r="H97">
        <v>20</v>
      </c>
      <c r="I97" t="s">
        <v>151</v>
      </c>
      <c r="J97" t="s">
        <v>144</v>
      </c>
      <c r="K97">
        <v>4</v>
      </c>
      <c r="L97">
        <v>4.5</v>
      </c>
      <c r="M97" t="s">
        <v>153</v>
      </c>
      <c r="N97" t="s">
        <v>145</v>
      </c>
      <c r="O97" t="b">
        <v>1</v>
      </c>
      <c r="P97" t="b">
        <v>1</v>
      </c>
      <c r="Q97" s="6">
        <v>4.4444444444444446</v>
      </c>
      <c r="R97" s="6">
        <v>0.88888888888888884</v>
      </c>
      <c r="S97" t="s">
        <v>170</v>
      </c>
      <c r="T97" t="s">
        <v>147</v>
      </c>
      <c r="U97" s="6">
        <v>10.8</v>
      </c>
      <c r="V97" s="6">
        <v>9.2000000000000011</v>
      </c>
      <c r="W97" t="b">
        <v>0</v>
      </c>
      <c r="X97">
        <v>12</v>
      </c>
      <c r="Y97">
        <v>3</v>
      </c>
      <c r="Z97">
        <v>18</v>
      </c>
      <c r="AA97" s="6">
        <v>30.259433962264151</v>
      </c>
      <c r="AB97">
        <f>--PizzaDelivery[[#This Row],[Is Delayed]]</f>
        <v>0</v>
      </c>
    </row>
    <row r="98" spans="1:28">
      <c r="A98" t="s">
        <v>274</v>
      </c>
      <c r="B98" t="s">
        <v>149</v>
      </c>
      <c r="C98" t="s">
        <v>174</v>
      </c>
      <c r="D98" s="1">
        <v>45389</v>
      </c>
      <c r="E98" s="5">
        <v>0.83333333333333337</v>
      </c>
      <c r="F98" s="1">
        <v>45389</v>
      </c>
      <c r="G98" s="5">
        <v>0.85069444444444442</v>
      </c>
      <c r="H98">
        <v>25</v>
      </c>
      <c r="I98" t="s">
        <v>143</v>
      </c>
      <c r="J98" t="s">
        <v>152</v>
      </c>
      <c r="K98">
        <v>3</v>
      </c>
      <c r="L98">
        <v>3</v>
      </c>
      <c r="M98" t="s">
        <v>143</v>
      </c>
      <c r="N98" t="s">
        <v>162</v>
      </c>
      <c r="O98" t="b">
        <v>1</v>
      </c>
      <c r="P98" t="b">
        <v>1</v>
      </c>
      <c r="Q98" s="6">
        <v>8.3333333333333339</v>
      </c>
      <c r="R98" s="6">
        <v>1</v>
      </c>
      <c r="S98" t="s">
        <v>170</v>
      </c>
      <c r="T98" t="s">
        <v>147</v>
      </c>
      <c r="U98" s="6">
        <v>7.1999999999999993</v>
      </c>
      <c r="V98" s="6">
        <v>17.8</v>
      </c>
      <c r="W98" t="b">
        <v>0</v>
      </c>
      <c r="X98">
        <v>6</v>
      </c>
      <c r="Y98">
        <v>2</v>
      </c>
      <c r="Z98">
        <v>20</v>
      </c>
      <c r="AA98" s="6">
        <v>28.186274509803919</v>
      </c>
      <c r="AB98">
        <f>--PizzaDelivery[[#This Row],[Is Delayed]]</f>
        <v>0</v>
      </c>
    </row>
    <row r="99" spans="1:28">
      <c r="A99" t="s">
        <v>275</v>
      </c>
      <c r="B99" t="s">
        <v>157</v>
      </c>
      <c r="C99" t="s">
        <v>158</v>
      </c>
      <c r="D99" s="1">
        <v>45390</v>
      </c>
      <c r="E99" s="5">
        <v>0.80208333333333337</v>
      </c>
      <c r="F99" s="1">
        <v>45390</v>
      </c>
      <c r="G99" s="5">
        <v>0.81597222222222221</v>
      </c>
      <c r="H99">
        <v>20</v>
      </c>
      <c r="I99" t="s">
        <v>159</v>
      </c>
      <c r="J99" t="s">
        <v>160</v>
      </c>
      <c r="K99">
        <v>2</v>
      </c>
      <c r="L99">
        <v>2.5</v>
      </c>
      <c r="M99" t="s">
        <v>161</v>
      </c>
      <c r="N99" t="s">
        <v>169</v>
      </c>
      <c r="O99" t="b">
        <v>1</v>
      </c>
      <c r="P99" t="b">
        <v>0</v>
      </c>
      <c r="Q99" s="6">
        <v>8</v>
      </c>
      <c r="R99" s="6">
        <v>0.8</v>
      </c>
      <c r="S99" t="s">
        <v>170</v>
      </c>
      <c r="T99" t="s">
        <v>171</v>
      </c>
      <c r="U99" s="6">
        <v>6</v>
      </c>
      <c r="V99" s="6">
        <v>14</v>
      </c>
      <c r="W99" t="b">
        <v>0</v>
      </c>
      <c r="X99">
        <v>2</v>
      </c>
      <c r="Y99">
        <v>1</v>
      </c>
      <c r="Z99">
        <v>19</v>
      </c>
      <c r="AA99" s="6">
        <v>28.844221105527641</v>
      </c>
      <c r="AB99">
        <f>--PizzaDelivery[[#This Row],[Is Delayed]]</f>
        <v>0</v>
      </c>
    </row>
    <row r="100" spans="1:28">
      <c r="A100" t="s">
        <v>276</v>
      </c>
      <c r="B100" t="s">
        <v>165</v>
      </c>
      <c r="C100" t="s">
        <v>186</v>
      </c>
      <c r="D100" s="1">
        <v>45391</v>
      </c>
      <c r="E100" s="5">
        <v>0.82291666666666663</v>
      </c>
      <c r="F100" s="1">
        <v>45391</v>
      </c>
      <c r="G100" s="5">
        <v>0.84027777777777779</v>
      </c>
      <c r="H100">
        <v>25</v>
      </c>
      <c r="I100" t="s">
        <v>167</v>
      </c>
      <c r="J100" t="s">
        <v>168</v>
      </c>
      <c r="K100">
        <v>5</v>
      </c>
      <c r="L100">
        <v>4</v>
      </c>
      <c r="M100" t="s">
        <v>153</v>
      </c>
      <c r="N100" t="s">
        <v>154</v>
      </c>
      <c r="O100" t="b">
        <v>1</v>
      </c>
      <c r="P100" t="b">
        <v>0</v>
      </c>
      <c r="Q100" s="6">
        <v>6.25</v>
      </c>
      <c r="R100" s="6">
        <v>1.25</v>
      </c>
      <c r="S100" t="s">
        <v>170</v>
      </c>
      <c r="T100" t="s">
        <v>147</v>
      </c>
      <c r="U100" s="6">
        <v>9.6</v>
      </c>
      <c r="V100" s="6">
        <v>15.4</v>
      </c>
      <c r="W100" t="b">
        <v>0</v>
      </c>
      <c r="X100">
        <v>20</v>
      </c>
      <c r="Y100">
        <v>3</v>
      </c>
      <c r="Z100">
        <v>19</v>
      </c>
      <c r="AA100" s="6">
        <v>29.948453608247419</v>
      </c>
      <c r="AB100">
        <f>--PizzaDelivery[[#This Row],[Is Delayed]]</f>
        <v>0</v>
      </c>
    </row>
    <row r="101" spans="1:28">
      <c r="A101" t="s">
        <v>277</v>
      </c>
      <c r="B101" t="s">
        <v>173</v>
      </c>
      <c r="C101" t="s">
        <v>188</v>
      </c>
      <c r="D101" s="1">
        <v>45392</v>
      </c>
      <c r="E101" s="5">
        <v>0.54166666666666663</v>
      </c>
      <c r="F101" s="1">
        <v>45392</v>
      </c>
      <c r="G101" s="5">
        <v>0.55555555555555558</v>
      </c>
      <c r="H101">
        <v>20</v>
      </c>
      <c r="I101" t="s">
        <v>143</v>
      </c>
      <c r="J101" t="s">
        <v>152</v>
      </c>
      <c r="K101">
        <v>3</v>
      </c>
      <c r="L101">
        <v>3.5</v>
      </c>
      <c r="M101" t="s">
        <v>161</v>
      </c>
      <c r="N101" t="s">
        <v>145</v>
      </c>
      <c r="O101" t="b">
        <v>0</v>
      </c>
      <c r="P101" t="b">
        <v>0</v>
      </c>
      <c r="Q101" s="6">
        <v>5.7142857142857144</v>
      </c>
      <c r="R101" s="6">
        <v>0.8571428571428571</v>
      </c>
      <c r="S101" t="s">
        <v>170</v>
      </c>
      <c r="T101" t="s">
        <v>147</v>
      </c>
      <c r="U101" s="6">
        <v>8.4</v>
      </c>
      <c r="V101" s="6">
        <v>11.6</v>
      </c>
      <c r="W101" t="b">
        <v>0</v>
      </c>
      <c r="X101">
        <v>6</v>
      </c>
      <c r="Y101">
        <v>1</v>
      </c>
      <c r="Z101">
        <v>13</v>
      </c>
      <c r="AA101" s="6">
        <v>30.286458333333329</v>
      </c>
      <c r="AB101">
        <f>--PizzaDelivery[[#This Row],[Is Delayed]]</f>
        <v>0</v>
      </c>
    </row>
    <row r="102" spans="1:28">
      <c r="A102" t="s">
        <v>278</v>
      </c>
      <c r="B102" t="s">
        <v>142</v>
      </c>
      <c r="C102" t="s">
        <v>190</v>
      </c>
      <c r="D102" s="1">
        <v>45393</v>
      </c>
      <c r="E102" s="5">
        <v>0.77083333333333337</v>
      </c>
      <c r="F102" s="1">
        <v>45393</v>
      </c>
      <c r="G102" s="5">
        <v>0.78472222222222221</v>
      </c>
      <c r="H102">
        <v>20</v>
      </c>
      <c r="I102" t="s">
        <v>151</v>
      </c>
      <c r="J102" t="s">
        <v>144</v>
      </c>
      <c r="K102">
        <v>4</v>
      </c>
      <c r="L102">
        <v>4.5</v>
      </c>
      <c r="M102" t="s">
        <v>143</v>
      </c>
      <c r="N102" t="s">
        <v>162</v>
      </c>
      <c r="O102" t="b">
        <v>1</v>
      </c>
      <c r="P102" t="b">
        <v>0</v>
      </c>
      <c r="Q102" s="6">
        <v>4.4444444444444446</v>
      </c>
      <c r="R102" s="6">
        <v>0.88888888888888884</v>
      </c>
      <c r="S102" t="s">
        <v>170</v>
      </c>
      <c r="T102" t="s">
        <v>147</v>
      </c>
      <c r="U102" s="6">
        <v>10.8</v>
      </c>
      <c r="V102" s="6">
        <v>9.2000000000000011</v>
      </c>
      <c r="W102" t="b">
        <v>0</v>
      </c>
      <c r="X102">
        <v>12</v>
      </c>
      <c r="Y102">
        <v>2</v>
      </c>
      <c r="Z102">
        <v>18</v>
      </c>
      <c r="AA102" s="6">
        <v>30.259433962264151</v>
      </c>
      <c r="AB102">
        <f>--PizzaDelivery[[#This Row],[Is Delayed]]</f>
        <v>0</v>
      </c>
    </row>
    <row r="103" spans="1:28">
      <c r="A103" t="s">
        <v>279</v>
      </c>
      <c r="B103" t="s">
        <v>149</v>
      </c>
      <c r="C103" t="s">
        <v>192</v>
      </c>
      <c r="D103" s="1">
        <v>45394</v>
      </c>
      <c r="E103" s="5">
        <v>0.84375</v>
      </c>
      <c r="F103" s="1">
        <v>45394</v>
      </c>
      <c r="G103" s="5">
        <v>0.86111111111111116</v>
      </c>
      <c r="H103">
        <v>25</v>
      </c>
      <c r="I103" t="s">
        <v>159</v>
      </c>
      <c r="J103" t="s">
        <v>160</v>
      </c>
      <c r="K103">
        <v>2</v>
      </c>
      <c r="L103">
        <v>2</v>
      </c>
      <c r="M103" t="s">
        <v>153</v>
      </c>
      <c r="N103" t="s">
        <v>169</v>
      </c>
      <c r="O103" t="b">
        <v>1</v>
      </c>
      <c r="P103" t="b">
        <v>0</v>
      </c>
      <c r="Q103" s="6">
        <v>12.5</v>
      </c>
      <c r="R103" s="6">
        <v>1</v>
      </c>
      <c r="S103" t="s">
        <v>170</v>
      </c>
      <c r="T103" t="s">
        <v>171</v>
      </c>
      <c r="U103" s="6">
        <v>4.8</v>
      </c>
      <c r="V103" s="6">
        <v>20.2</v>
      </c>
      <c r="W103" t="b">
        <v>0</v>
      </c>
      <c r="X103">
        <v>2</v>
      </c>
      <c r="Y103">
        <v>3</v>
      </c>
      <c r="Z103">
        <v>20</v>
      </c>
      <c r="AA103" s="6">
        <v>28.186274509803919</v>
      </c>
      <c r="AB103">
        <f>--PizzaDelivery[[#This Row],[Is Delayed]]</f>
        <v>0</v>
      </c>
    </row>
    <row r="104" spans="1:28">
      <c r="A104" t="s">
        <v>280</v>
      </c>
      <c r="B104" t="s">
        <v>157</v>
      </c>
      <c r="C104" t="s">
        <v>194</v>
      </c>
      <c r="D104" s="1">
        <v>45395</v>
      </c>
      <c r="E104" s="5">
        <v>0.77083333333333337</v>
      </c>
      <c r="F104" s="1">
        <v>45395</v>
      </c>
      <c r="G104" s="5">
        <v>0.78472222222222221</v>
      </c>
      <c r="H104">
        <v>20</v>
      </c>
      <c r="I104" t="s">
        <v>143</v>
      </c>
      <c r="J104" t="s">
        <v>152</v>
      </c>
      <c r="K104">
        <v>3</v>
      </c>
      <c r="L104">
        <v>3.5</v>
      </c>
      <c r="M104" t="s">
        <v>161</v>
      </c>
      <c r="N104" t="s">
        <v>154</v>
      </c>
      <c r="O104" t="b">
        <v>1</v>
      </c>
      <c r="P104" t="b">
        <v>1</v>
      </c>
      <c r="Q104" s="6">
        <v>5.7142857142857144</v>
      </c>
      <c r="R104" s="6">
        <v>0.8571428571428571</v>
      </c>
      <c r="S104" t="s">
        <v>170</v>
      </c>
      <c r="T104" t="s">
        <v>147</v>
      </c>
      <c r="U104" s="6">
        <v>8.4</v>
      </c>
      <c r="V104" s="6">
        <v>11.6</v>
      </c>
      <c r="W104" t="b">
        <v>0</v>
      </c>
      <c r="X104">
        <v>6</v>
      </c>
      <c r="Y104">
        <v>1</v>
      </c>
      <c r="Z104">
        <v>18</v>
      </c>
      <c r="AA104" s="6">
        <v>28.844221105527641</v>
      </c>
      <c r="AB104">
        <f>--PizzaDelivery[[#This Row],[Is Delayed]]</f>
        <v>0</v>
      </c>
    </row>
    <row r="105" spans="1:28">
      <c r="A105" t="s">
        <v>281</v>
      </c>
      <c r="B105" t="s">
        <v>165</v>
      </c>
      <c r="C105" t="s">
        <v>158</v>
      </c>
      <c r="D105" s="1">
        <v>45396</v>
      </c>
      <c r="E105" s="5">
        <v>0.82291666666666663</v>
      </c>
      <c r="F105" s="1">
        <v>45396</v>
      </c>
      <c r="G105" s="5">
        <v>0.84027777777777779</v>
      </c>
      <c r="H105">
        <v>25</v>
      </c>
      <c r="I105" t="s">
        <v>167</v>
      </c>
      <c r="J105" t="s">
        <v>168</v>
      </c>
      <c r="K105">
        <v>5</v>
      </c>
      <c r="L105">
        <v>4</v>
      </c>
      <c r="M105" t="s">
        <v>143</v>
      </c>
      <c r="N105" t="s">
        <v>145</v>
      </c>
      <c r="O105" t="b">
        <v>1</v>
      </c>
      <c r="P105" t="b">
        <v>1</v>
      </c>
      <c r="Q105" s="6">
        <v>6.25</v>
      </c>
      <c r="R105" s="6">
        <v>1.25</v>
      </c>
      <c r="S105" t="s">
        <v>170</v>
      </c>
      <c r="T105" t="s">
        <v>147</v>
      </c>
      <c r="U105" s="6">
        <v>9.6</v>
      </c>
      <c r="V105" s="6">
        <v>15.4</v>
      </c>
      <c r="W105" t="b">
        <v>0</v>
      </c>
      <c r="X105">
        <v>20</v>
      </c>
      <c r="Y105">
        <v>2</v>
      </c>
      <c r="Z105">
        <v>19</v>
      </c>
      <c r="AA105" s="6">
        <v>29.948453608247419</v>
      </c>
      <c r="AB105">
        <f>--PizzaDelivery[[#This Row],[Is Delayed]]</f>
        <v>0</v>
      </c>
    </row>
    <row r="106" spans="1:28">
      <c r="A106" t="s">
        <v>282</v>
      </c>
      <c r="B106" t="s">
        <v>173</v>
      </c>
      <c r="C106" t="s">
        <v>166</v>
      </c>
      <c r="D106" s="1">
        <v>45397</v>
      </c>
      <c r="E106" s="5">
        <v>0.54166666666666663</v>
      </c>
      <c r="F106" s="1">
        <v>45397</v>
      </c>
      <c r="G106" s="5">
        <v>0.55555555555555558</v>
      </c>
      <c r="H106">
        <v>20</v>
      </c>
      <c r="I106" t="s">
        <v>143</v>
      </c>
      <c r="J106" t="s">
        <v>152</v>
      </c>
      <c r="K106">
        <v>3</v>
      </c>
      <c r="L106">
        <v>3</v>
      </c>
      <c r="M106" t="s">
        <v>153</v>
      </c>
      <c r="N106" t="s">
        <v>162</v>
      </c>
      <c r="O106" t="b">
        <v>0</v>
      </c>
      <c r="P106" t="b">
        <v>0</v>
      </c>
      <c r="Q106" s="6">
        <v>6.666666666666667</v>
      </c>
      <c r="R106" s="6">
        <v>1</v>
      </c>
      <c r="S106" t="s">
        <v>170</v>
      </c>
      <c r="T106" t="s">
        <v>147</v>
      </c>
      <c r="U106" s="6">
        <v>7.1999999999999993</v>
      </c>
      <c r="V106" s="6">
        <v>12.8</v>
      </c>
      <c r="W106" t="b">
        <v>0</v>
      </c>
      <c r="X106">
        <v>6</v>
      </c>
      <c r="Y106">
        <v>3</v>
      </c>
      <c r="Z106">
        <v>13</v>
      </c>
      <c r="AA106" s="6">
        <v>30.286458333333329</v>
      </c>
      <c r="AB106">
        <f>--PizzaDelivery[[#This Row],[Is Delayed]]</f>
        <v>0</v>
      </c>
    </row>
    <row r="107" spans="1:28">
      <c r="A107" t="s">
        <v>283</v>
      </c>
      <c r="B107" t="s">
        <v>142</v>
      </c>
      <c r="C107" t="s">
        <v>150</v>
      </c>
      <c r="D107" s="1">
        <v>45398</v>
      </c>
      <c r="E107" s="5">
        <v>0.77083333333333337</v>
      </c>
      <c r="F107" s="1">
        <v>45398</v>
      </c>
      <c r="G107" s="5">
        <v>0.78472222222222221</v>
      </c>
      <c r="H107">
        <v>20</v>
      </c>
      <c r="I107" t="s">
        <v>151</v>
      </c>
      <c r="J107" t="s">
        <v>144</v>
      </c>
      <c r="K107">
        <v>4</v>
      </c>
      <c r="L107">
        <v>4.5</v>
      </c>
      <c r="M107" t="s">
        <v>161</v>
      </c>
      <c r="N107" t="s">
        <v>169</v>
      </c>
      <c r="O107" t="b">
        <v>1</v>
      </c>
      <c r="P107" t="b">
        <v>0</v>
      </c>
      <c r="Q107" s="6">
        <v>4.4444444444444446</v>
      </c>
      <c r="R107" s="6">
        <v>0.88888888888888884</v>
      </c>
      <c r="S107" t="s">
        <v>170</v>
      </c>
      <c r="T107" t="s">
        <v>171</v>
      </c>
      <c r="U107" s="6">
        <v>10.8</v>
      </c>
      <c r="V107" s="6">
        <v>9.2000000000000011</v>
      </c>
      <c r="W107" t="b">
        <v>0</v>
      </c>
      <c r="X107">
        <v>12</v>
      </c>
      <c r="Y107">
        <v>1</v>
      </c>
      <c r="Z107">
        <v>18</v>
      </c>
      <c r="AA107" s="6">
        <v>30.259433962264151</v>
      </c>
      <c r="AB107">
        <f>--PizzaDelivery[[#This Row],[Is Delayed]]</f>
        <v>0</v>
      </c>
    </row>
    <row r="108" spans="1:28">
      <c r="A108" t="s">
        <v>284</v>
      </c>
      <c r="B108" t="s">
        <v>149</v>
      </c>
      <c r="C108" t="s">
        <v>186</v>
      </c>
      <c r="D108" s="1">
        <v>45399</v>
      </c>
      <c r="E108" s="5">
        <v>0.83333333333333337</v>
      </c>
      <c r="F108" s="1">
        <v>45399</v>
      </c>
      <c r="G108" s="5">
        <v>0.85069444444444442</v>
      </c>
      <c r="H108">
        <v>25</v>
      </c>
      <c r="I108" t="s">
        <v>143</v>
      </c>
      <c r="J108" t="s">
        <v>152</v>
      </c>
      <c r="K108">
        <v>3</v>
      </c>
      <c r="L108">
        <v>3</v>
      </c>
      <c r="M108" t="s">
        <v>153</v>
      </c>
      <c r="N108" t="s">
        <v>154</v>
      </c>
      <c r="O108" t="b">
        <v>1</v>
      </c>
      <c r="P108" t="b">
        <v>0</v>
      </c>
      <c r="Q108" s="6">
        <v>8.3333333333333339</v>
      </c>
      <c r="R108" s="6">
        <v>1</v>
      </c>
      <c r="S108" t="s">
        <v>170</v>
      </c>
      <c r="T108" t="s">
        <v>147</v>
      </c>
      <c r="U108" s="6">
        <v>7.1999999999999993</v>
      </c>
      <c r="V108" s="6">
        <v>17.8</v>
      </c>
      <c r="W108" t="b">
        <v>0</v>
      </c>
      <c r="X108">
        <v>6</v>
      </c>
      <c r="Y108">
        <v>3</v>
      </c>
      <c r="Z108">
        <v>20</v>
      </c>
      <c r="AA108" s="6">
        <v>28.186274509803919</v>
      </c>
      <c r="AB108">
        <f>--PizzaDelivery[[#This Row],[Is Delayed]]</f>
        <v>0</v>
      </c>
    </row>
    <row r="109" spans="1:28">
      <c r="A109" t="s">
        <v>285</v>
      </c>
      <c r="B109" t="s">
        <v>157</v>
      </c>
      <c r="C109" t="s">
        <v>188</v>
      </c>
      <c r="D109" s="1">
        <v>45400</v>
      </c>
      <c r="E109" s="5">
        <v>0.80208333333333337</v>
      </c>
      <c r="F109" s="1">
        <v>45400</v>
      </c>
      <c r="G109" s="5">
        <v>0.81597222222222221</v>
      </c>
      <c r="H109">
        <v>20</v>
      </c>
      <c r="I109" t="s">
        <v>159</v>
      </c>
      <c r="J109" t="s">
        <v>160</v>
      </c>
      <c r="K109">
        <v>2</v>
      </c>
      <c r="L109">
        <v>2.5</v>
      </c>
      <c r="M109" t="s">
        <v>161</v>
      </c>
      <c r="N109" t="s">
        <v>145</v>
      </c>
      <c r="O109" t="b">
        <v>1</v>
      </c>
      <c r="P109" t="b">
        <v>0</v>
      </c>
      <c r="Q109" s="6">
        <v>8</v>
      </c>
      <c r="R109" s="6">
        <v>0.8</v>
      </c>
      <c r="S109" t="s">
        <v>170</v>
      </c>
      <c r="T109" t="s">
        <v>147</v>
      </c>
      <c r="U109" s="6">
        <v>6</v>
      </c>
      <c r="V109" s="6">
        <v>14</v>
      </c>
      <c r="W109" t="b">
        <v>0</v>
      </c>
      <c r="X109">
        <v>2</v>
      </c>
      <c r="Y109">
        <v>1</v>
      </c>
      <c r="Z109">
        <v>19</v>
      </c>
      <c r="AA109" s="6">
        <v>28.844221105527641</v>
      </c>
      <c r="AB109">
        <f>--PizzaDelivery[[#This Row],[Is Delayed]]</f>
        <v>0</v>
      </c>
    </row>
    <row r="110" spans="1:28">
      <c r="A110" t="s">
        <v>286</v>
      </c>
      <c r="B110" t="s">
        <v>165</v>
      </c>
      <c r="C110" t="s">
        <v>174</v>
      </c>
      <c r="D110" s="1">
        <v>45401</v>
      </c>
      <c r="E110" s="5">
        <v>0.82291666666666663</v>
      </c>
      <c r="F110" s="1">
        <v>45401</v>
      </c>
      <c r="G110" s="5">
        <v>0.84027777777777779</v>
      </c>
      <c r="H110">
        <v>25</v>
      </c>
      <c r="I110" t="s">
        <v>167</v>
      </c>
      <c r="J110" t="s">
        <v>168</v>
      </c>
      <c r="K110">
        <v>5</v>
      </c>
      <c r="L110">
        <v>4</v>
      </c>
      <c r="M110" t="s">
        <v>143</v>
      </c>
      <c r="N110" t="s">
        <v>162</v>
      </c>
      <c r="O110" t="b">
        <v>1</v>
      </c>
      <c r="P110" t="b">
        <v>0</v>
      </c>
      <c r="Q110" s="6">
        <v>6.25</v>
      </c>
      <c r="R110" s="6">
        <v>1.25</v>
      </c>
      <c r="S110" t="s">
        <v>170</v>
      </c>
      <c r="T110" t="s">
        <v>147</v>
      </c>
      <c r="U110" s="6">
        <v>9.6</v>
      </c>
      <c r="V110" s="6">
        <v>15.4</v>
      </c>
      <c r="W110" t="b">
        <v>0</v>
      </c>
      <c r="X110">
        <v>20</v>
      </c>
      <c r="Y110">
        <v>2</v>
      </c>
      <c r="Z110">
        <v>19</v>
      </c>
      <c r="AA110" s="6">
        <v>29.948453608247419</v>
      </c>
      <c r="AB110">
        <f>--PizzaDelivery[[#This Row],[Is Delayed]]</f>
        <v>0</v>
      </c>
    </row>
    <row r="111" spans="1:28">
      <c r="A111" t="s">
        <v>287</v>
      </c>
      <c r="B111" t="s">
        <v>173</v>
      </c>
      <c r="C111" t="s">
        <v>190</v>
      </c>
      <c r="D111" s="1">
        <v>45402</v>
      </c>
      <c r="E111" s="5">
        <v>0.54166666666666663</v>
      </c>
      <c r="F111" s="1">
        <v>45402</v>
      </c>
      <c r="G111" s="5">
        <v>0.55555555555555558</v>
      </c>
      <c r="H111">
        <v>20</v>
      </c>
      <c r="I111" t="s">
        <v>143</v>
      </c>
      <c r="J111" t="s">
        <v>152</v>
      </c>
      <c r="K111">
        <v>3</v>
      </c>
      <c r="L111">
        <v>3.5</v>
      </c>
      <c r="M111" t="s">
        <v>153</v>
      </c>
      <c r="N111" t="s">
        <v>169</v>
      </c>
      <c r="O111" t="b">
        <v>0</v>
      </c>
      <c r="P111" t="b">
        <v>1</v>
      </c>
      <c r="Q111" s="6">
        <v>5.7142857142857144</v>
      </c>
      <c r="R111" s="6">
        <v>0.8571428571428571</v>
      </c>
      <c r="S111" t="s">
        <v>170</v>
      </c>
      <c r="T111" t="s">
        <v>171</v>
      </c>
      <c r="U111" s="6">
        <v>8.4</v>
      </c>
      <c r="V111" s="6">
        <v>11.6</v>
      </c>
      <c r="W111" t="b">
        <v>0</v>
      </c>
      <c r="X111">
        <v>6</v>
      </c>
      <c r="Y111">
        <v>3</v>
      </c>
      <c r="Z111">
        <v>13</v>
      </c>
      <c r="AA111" s="6">
        <v>30.286458333333329</v>
      </c>
      <c r="AB111">
        <f>--PizzaDelivery[[#This Row],[Is Delayed]]</f>
        <v>0</v>
      </c>
    </row>
    <row r="112" spans="1:28">
      <c r="A112" t="s">
        <v>288</v>
      </c>
      <c r="B112" t="s">
        <v>142</v>
      </c>
      <c r="C112" t="s">
        <v>192</v>
      </c>
      <c r="D112" s="1">
        <v>45403</v>
      </c>
      <c r="E112" s="5">
        <v>0.77083333333333337</v>
      </c>
      <c r="F112" s="1">
        <v>45403</v>
      </c>
      <c r="G112" s="5">
        <v>0.78472222222222221</v>
      </c>
      <c r="H112">
        <v>20</v>
      </c>
      <c r="I112" t="s">
        <v>151</v>
      </c>
      <c r="J112" t="s">
        <v>144</v>
      </c>
      <c r="K112">
        <v>4</v>
      </c>
      <c r="L112">
        <v>4.5</v>
      </c>
      <c r="M112" t="s">
        <v>161</v>
      </c>
      <c r="N112" t="s">
        <v>154</v>
      </c>
      <c r="O112" t="b">
        <v>1</v>
      </c>
      <c r="P112" t="b">
        <v>1</v>
      </c>
      <c r="Q112" s="6">
        <v>4.4444444444444446</v>
      </c>
      <c r="R112" s="6">
        <v>0.88888888888888884</v>
      </c>
      <c r="S112" t="s">
        <v>170</v>
      </c>
      <c r="T112" t="s">
        <v>147</v>
      </c>
      <c r="U112" s="6">
        <v>10.8</v>
      </c>
      <c r="V112" s="6">
        <v>9.2000000000000011</v>
      </c>
      <c r="W112" t="b">
        <v>0</v>
      </c>
      <c r="X112">
        <v>12</v>
      </c>
      <c r="Y112">
        <v>1</v>
      </c>
      <c r="Z112">
        <v>18</v>
      </c>
      <c r="AA112" s="6">
        <v>30.259433962264151</v>
      </c>
      <c r="AB112">
        <f>--PizzaDelivery[[#This Row],[Is Delayed]]</f>
        <v>0</v>
      </c>
    </row>
    <row r="113" spans="1:28">
      <c r="A113" t="s">
        <v>289</v>
      </c>
      <c r="B113" t="s">
        <v>149</v>
      </c>
      <c r="C113" t="s">
        <v>194</v>
      </c>
      <c r="D113" s="1">
        <v>45404</v>
      </c>
      <c r="E113" s="5">
        <v>0.84375</v>
      </c>
      <c r="F113" s="1">
        <v>45404</v>
      </c>
      <c r="G113" s="5">
        <v>0.86111111111111116</v>
      </c>
      <c r="H113">
        <v>25</v>
      </c>
      <c r="I113" t="s">
        <v>159</v>
      </c>
      <c r="J113" t="s">
        <v>160</v>
      </c>
      <c r="K113">
        <v>2</v>
      </c>
      <c r="L113">
        <v>2</v>
      </c>
      <c r="M113" t="s">
        <v>153</v>
      </c>
      <c r="N113" t="s">
        <v>145</v>
      </c>
      <c r="O113" t="b">
        <v>1</v>
      </c>
      <c r="P113" t="b">
        <v>0</v>
      </c>
      <c r="Q113" s="6">
        <v>12.5</v>
      </c>
      <c r="R113" s="6">
        <v>1</v>
      </c>
      <c r="S113" t="s">
        <v>170</v>
      </c>
      <c r="T113" t="s">
        <v>147</v>
      </c>
      <c r="U113" s="6">
        <v>4.8</v>
      </c>
      <c r="V113" s="6">
        <v>20.2</v>
      </c>
      <c r="W113" t="b">
        <v>0</v>
      </c>
      <c r="X113">
        <v>2</v>
      </c>
      <c r="Y113">
        <v>3</v>
      </c>
      <c r="Z113">
        <v>20</v>
      </c>
      <c r="AA113" s="6">
        <v>28.186274509803919</v>
      </c>
      <c r="AB113">
        <f>--PizzaDelivery[[#This Row],[Is Delayed]]</f>
        <v>0</v>
      </c>
    </row>
    <row r="114" spans="1:28">
      <c r="A114" t="s">
        <v>290</v>
      </c>
      <c r="B114" t="s">
        <v>157</v>
      </c>
      <c r="C114" t="s">
        <v>174</v>
      </c>
      <c r="D114" s="1">
        <v>45405</v>
      </c>
      <c r="E114" s="5">
        <v>0.77083333333333337</v>
      </c>
      <c r="F114" s="1">
        <v>45405</v>
      </c>
      <c r="G114" s="5">
        <v>0.78472222222222221</v>
      </c>
      <c r="H114">
        <v>20</v>
      </c>
      <c r="I114" t="s">
        <v>143</v>
      </c>
      <c r="J114" t="s">
        <v>152</v>
      </c>
      <c r="K114">
        <v>3</v>
      </c>
      <c r="L114">
        <v>3</v>
      </c>
      <c r="M114" t="s">
        <v>153</v>
      </c>
      <c r="N114" t="s">
        <v>162</v>
      </c>
      <c r="O114" t="b">
        <v>1</v>
      </c>
      <c r="P114" t="b">
        <v>0</v>
      </c>
      <c r="Q114" s="6">
        <v>6.666666666666667</v>
      </c>
      <c r="R114" s="6">
        <v>1</v>
      </c>
      <c r="S114" t="s">
        <v>170</v>
      </c>
      <c r="T114" t="s">
        <v>147</v>
      </c>
      <c r="U114" s="6">
        <v>7.1999999999999993</v>
      </c>
      <c r="V114" s="6">
        <v>12.8</v>
      </c>
      <c r="W114" t="b">
        <v>0</v>
      </c>
      <c r="X114">
        <v>6</v>
      </c>
      <c r="Y114">
        <v>3</v>
      </c>
      <c r="Z114">
        <v>18</v>
      </c>
      <c r="AA114" s="6">
        <v>28.844221105527641</v>
      </c>
      <c r="AB114">
        <f>--PizzaDelivery[[#This Row],[Is Delayed]]</f>
        <v>0</v>
      </c>
    </row>
    <row r="115" spans="1:28">
      <c r="A115" t="s">
        <v>291</v>
      </c>
      <c r="B115" t="s">
        <v>165</v>
      </c>
      <c r="C115" t="s">
        <v>150</v>
      </c>
      <c r="D115" s="1">
        <v>45406</v>
      </c>
      <c r="E115" s="5">
        <v>0.82291666666666663</v>
      </c>
      <c r="F115" s="1">
        <v>45406</v>
      </c>
      <c r="G115" s="5">
        <v>0.84027777777777779</v>
      </c>
      <c r="H115">
        <v>25</v>
      </c>
      <c r="I115" t="s">
        <v>167</v>
      </c>
      <c r="J115" t="s">
        <v>168</v>
      </c>
      <c r="K115">
        <v>5</v>
      </c>
      <c r="L115">
        <v>4.5</v>
      </c>
      <c r="M115" t="s">
        <v>161</v>
      </c>
      <c r="N115" t="s">
        <v>169</v>
      </c>
      <c r="O115" t="b">
        <v>1</v>
      </c>
      <c r="P115" t="b">
        <v>0</v>
      </c>
      <c r="Q115" s="6">
        <v>5.5555555555555554</v>
      </c>
      <c r="R115" s="6">
        <v>1.1111111111111109</v>
      </c>
      <c r="S115" t="s">
        <v>170</v>
      </c>
      <c r="T115" t="s">
        <v>171</v>
      </c>
      <c r="U115" s="6">
        <v>10.8</v>
      </c>
      <c r="V115" s="6">
        <v>14.2</v>
      </c>
      <c r="W115" t="b">
        <v>0</v>
      </c>
      <c r="X115">
        <v>20</v>
      </c>
      <c r="Y115">
        <v>1</v>
      </c>
      <c r="Z115">
        <v>19</v>
      </c>
      <c r="AA115" s="6">
        <v>29.948453608247419</v>
      </c>
      <c r="AB115">
        <f>--PizzaDelivery[[#This Row],[Is Delayed]]</f>
        <v>0</v>
      </c>
    </row>
    <row r="116" spans="1:28">
      <c r="A116" t="s">
        <v>292</v>
      </c>
      <c r="B116" t="s">
        <v>173</v>
      </c>
      <c r="C116" t="s">
        <v>158</v>
      </c>
      <c r="D116" s="1">
        <v>45407</v>
      </c>
      <c r="E116" s="5">
        <v>0.54166666666666663</v>
      </c>
      <c r="F116" s="1">
        <v>45407</v>
      </c>
      <c r="G116" s="5">
        <v>0.55555555555555558</v>
      </c>
      <c r="H116">
        <v>20</v>
      </c>
      <c r="I116" t="s">
        <v>143</v>
      </c>
      <c r="J116" t="s">
        <v>152</v>
      </c>
      <c r="K116">
        <v>3</v>
      </c>
      <c r="L116">
        <v>3.5</v>
      </c>
      <c r="M116" t="s">
        <v>143</v>
      </c>
      <c r="N116" t="s">
        <v>154</v>
      </c>
      <c r="O116" t="b">
        <v>0</v>
      </c>
      <c r="P116" t="b">
        <v>0</v>
      </c>
      <c r="Q116" s="6">
        <v>5.7142857142857144</v>
      </c>
      <c r="R116" s="6">
        <v>0.8571428571428571</v>
      </c>
      <c r="S116" t="s">
        <v>170</v>
      </c>
      <c r="T116" t="s">
        <v>147</v>
      </c>
      <c r="U116" s="6">
        <v>8.4</v>
      </c>
      <c r="V116" s="6">
        <v>11.6</v>
      </c>
      <c r="W116" t="b">
        <v>0</v>
      </c>
      <c r="X116">
        <v>6</v>
      </c>
      <c r="Y116">
        <v>2</v>
      </c>
      <c r="Z116">
        <v>13</v>
      </c>
      <c r="AA116" s="6">
        <v>30.286458333333329</v>
      </c>
      <c r="AB116">
        <f>--PizzaDelivery[[#This Row],[Is Delayed]]</f>
        <v>0</v>
      </c>
    </row>
    <row r="117" spans="1:28">
      <c r="A117" t="s">
        <v>293</v>
      </c>
      <c r="B117" t="s">
        <v>142</v>
      </c>
      <c r="C117" t="s">
        <v>166</v>
      </c>
      <c r="D117" s="1">
        <v>45408</v>
      </c>
      <c r="E117" s="5">
        <v>0.77083333333333337</v>
      </c>
      <c r="F117" s="1">
        <v>45408</v>
      </c>
      <c r="G117" s="5">
        <v>0.78472222222222221</v>
      </c>
      <c r="H117">
        <v>20</v>
      </c>
      <c r="I117" t="s">
        <v>151</v>
      </c>
      <c r="J117" t="s">
        <v>144</v>
      </c>
      <c r="K117">
        <v>4</v>
      </c>
      <c r="L117">
        <v>4</v>
      </c>
      <c r="M117" t="s">
        <v>153</v>
      </c>
      <c r="N117" t="s">
        <v>145</v>
      </c>
      <c r="O117" t="b">
        <v>1</v>
      </c>
      <c r="P117" t="b">
        <v>0</v>
      </c>
      <c r="Q117" s="6">
        <v>5</v>
      </c>
      <c r="R117" s="6">
        <v>1</v>
      </c>
      <c r="S117" t="s">
        <v>170</v>
      </c>
      <c r="T117" t="s">
        <v>147</v>
      </c>
      <c r="U117" s="6">
        <v>9.6</v>
      </c>
      <c r="V117" s="6">
        <v>10.4</v>
      </c>
      <c r="W117" t="b">
        <v>0</v>
      </c>
      <c r="X117">
        <v>12</v>
      </c>
      <c r="Y117">
        <v>3</v>
      </c>
      <c r="Z117">
        <v>18</v>
      </c>
      <c r="AA117" s="6">
        <v>30.259433962264151</v>
      </c>
      <c r="AB117">
        <f>--PizzaDelivery[[#This Row],[Is Delayed]]</f>
        <v>0</v>
      </c>
    </row>
    <row r="118" spans="1:28">
      <c r="A118" t="s">
        <v>294</v>
      </c>
      <c r="B118" t="s">
        <v>149</v>
      </c>
      <c r="C118" t="s">
        <v>174</v>
      </c>
      <c r="D118" s="1">
        <v>45409</v>
      </c>
      <c r="E118" s="5">
        <v>0.83333333333333337</v>
      </c>
      <c r="F118" s="1">
        <v>45409</v>
      </c>
      <c r="G118" s="5">
        <v>0.85069444444444442</v>
      </c>
      <c r="H118">
        <v>25</v>
      </c>
      <c r="I118" t="s">
        <v>143</v>
      </c>
      <c r="J118" t="s">
        <v>152</v>
      </c>
      <c r="K118">
        <v>3</v>
      </c>
      <c r="L118">
        <v>3</v>
      </c>
      <c r="M118" t="s">
        <v>161</v>
      </c>
      <c r="N118" t="s">
        <v>162</v>
      </c>
      <c r="O118" t="b">
        <v>1</v>
      </c>
      <c r="P118" t="b">
        <v>1</v>
      </c>
      <c r="Q118" s="6">
        <v>8.3333333333333339</v>
      </c>
      <c r="R118" s="6">
        <v>1</v>
      </c>
      <c r="S118" t="s">
        <v>170</v>
      </c>
      <c r="T118" t="s">
        <v>147</v>
      </c>
      <c r="U118" s="6">
        <v>7.1999999999999993</v>
      </c>
      <c r="V118" s="6">
        <v>17.8</v>
      </c>
      <c r="W118" t="b">
        <v>0</v>
      </c>
      <c r="X118">
        <v>6</v>
      </c>
      <c r="Y118">
        <v>1</v>
      </c>
      <c r="Z118">
        <v>20</v>
      </c>
      <c r="AA118" s="6">
        <v>28.186274509803919</v>
      </c>
      <c r="AB118">
        <f>--PizzaDelivery[[#This Row],[Is Delayed]]</f>
        <v>0</v>
      </c>
    </row>
    <row r="119" spans="1:28">
      <c r="A119" t="s">
        <v>295</v>
      </c>
      <c r="B119" t="s">
        <v>157</v>
      </c>
      <c r="C119" t="s">
        <v>184</v>
      </c>
      <c r="D119" s="1">
        <v>45410</v>
      </c>
      <c r="E119" s="5">
        <v>0.80208333333333337</v>
      </c>
      <c r="F119" s="1">
        <v>45410</v>
      </c>
      <c r="G119" s="5">
        <v>0.81597222222222221</v>
      </c>
      <c r="H119">
        <v>20</v>
      </c>
      <c r="I119" t="s">
        <v>159</v>
      </c>
      <c r="J119" t="s">
        <v>160</v>
      </c>
      <c r="K119">
        <v>2</v>
      </c>
      <c r="L119">
        <v>2.5</v>
      </c>
      <c r="M119" t="s">
        <v>161</v>
      </c>
      <c r="N119" t="s">
        <v>169</v>
      </c>
      <c r="O119" t="b">
        <v>1</v>
      </c>
      <c r="P119" t="b">
        <v>1</v>
      </c>
      <c r="Q119" s="6">
        <v>8</v>
      </c>
      <c r="R119" s="6">
        <v>0.8</v>
      </c>
      <c r="S119" t="s">
        <v>170</v>
      </c>
      <c r="T119" t="s">
        <v>171</v>
      </c>
      <c r="U119" s="6">
        <v>6</v>
      </c>
      <c r="V119" s="6">
        <v>14</v>
      </c>
      <c r="W119" t="b">
        <v>0</v>
      </c>
      <c r="X119">
        <v>2</v>
      </c>
      <c r="Y119">
        <v>1</v>
      </c>
      <c r="Z119">
        <v>19</v>
      </c>
      <c r="AA119" s="6">
        <v>28.844221105527641</v>
      </c>
      <c r="AB119">
        <f>--PizzaDelivery[[#This Row],[Is Delayed]]</f>
        <v>0</v>
      </c>
    </row>
    <row r="120" spans="1:28">
      <c r="A120" t="s">
        <v>296</v>
      </c>
      <c r="B120" t="s">
        <v>165</v>
      </c>
      <c r="C120" t="s">
        <v>186</v>
      </c>
      <c r="D120" s="1">
        <v>45411</v>
      </c>
      <c r="E120" s="5">
        <v>0.82291666666666663</v>
      </c>
      <c r="F120" s="1">
        <v>45411</v>
      </c>
      <c r="G120" s="5">
        <v>0.84027777777777779</v>
      </c>
      <c r="H120">
        <v>25</v>
      </c>
      <c r="I120" t="s">
        <v>167</v>
      </c>
      <c r="J120" t="s">
        <v>168</v>
      </c>
      <c r="K120">
        <v>5</v>
      </c>
      <c r="L120">
        <v>4.5</v>
      </c>
      <c r="M120" t="s">
        <v>153</v>
      </c>
      <c r="N120" t="s">
        <v>154</v>
      </c>
      <c r="O120" t="b">
        <v>1</v>
      </c>
      <c r="P120" t="b">
        <v>0</v>
      </c>
      <c r="Q120" s="6">
        <v>5.5555555555555554</v>
      </c>
      <c r="R120" s="6">
        <v>1.1111111111111109</v>
      </c>
      <c r="S120" t="s">
        <v>170</v>
      </c>
      <c r="T120" t="s">
        <v>147</v>
      </c>
      <c r="U120" s="6">
        <v>10.8</v>
      </c>
      <c r="V120" s="6">
        <v>14.2</v>
      </c>
      <c r="W120" t="b">
        <v>0</v>
      </c>
      <c r="X120">
        <v>20</v>
      </c>
      <c r="Y120">
        <v>3</v>
      </c>
      <c r="Z120">
        <v>19</v>
      </c>
      <c r="AA120" s="6">
        <v>29.948453608247419</v>
      </c>
      <c r="AB120">
        <f>--PizzaDelivery[[#This Row],[Is Delayed]]</f>
        <v>0</v>
      </c>
    </row>
    <row r="121" spans="1:28">
      <c r="A121" t="s">
        <v>297</v>
      </c>
      <c r="B121" t="s">
        <v>173</v>
      </c>
      <c r="C121" t="s">
        <v>188</v>
      </c>
      <c r="D121" s="1">
        <v>45412</v>
      </c>
      <c r="E121" s="5">
        <v>0.54166666666666663</v>
      </c>
      <c r="F121" s="1">
        <v>45412</v>
      </c>
      <c r="G121" s="5">
        <v>0.55555555555555558</v>
      </c>
      <c r="H121">
        <v>20</v>
      </c>
      <c r="I121" t="s">
        <v>143</v>
      </c>
      <c r="J121" t="s">
        <v>152</v>
      </c>
      <c r="K121">
        <v>3</v>
      </c>
      <c r="L121">
        <v>3</v>
      </c>
      <c r="M121" t="s">
        <v>143</v>
      </c>
      <c r="N121" t="s">
        <v>145</v>
      </c>
      <c r="O121" t="b">
        <v>0</v>
      </c>
      <c r="P121" t="b">
        <v>0</v>
      </c>
      <c r="Q121" s="6">
        <v>6.666666666666667</v>
      </c>
      <c r="R121" s="6">
        <v>1</v>
      </c>
      <c r="S121" t="s">
        <v>170</v>
      </c>
      <c r="T121" t="s">
        <v>147</v>
      </c>
      <c r="U121" s="6">
        <v>7.1999999999999993</v>
      </c>
      <c r="V121" s="6">
        <v>12.8</v>
      </c>
      <c r="W121" t="b">
        <v>0</v>
      </c>
      <c r="X121">
        <v>6</v>
      </c>
      <c r="Y121">
        <v>2</v>
      </c>
      <c r="Z121">
        <v>13</v>
      </c>
      <c r="AA121" s="6">
        <v>30.286458333333329</v>
      </c>
      <c r="AB121">
        <f>--PizzaDelivery[[#This Row],[Is Delayed]]</f>
        <v>0</v>
      </c>
    </row>
    <row r="122" spans="1:28">
      <c r="A122" t="s">
        <v>298</v>
      </c>
      <c r="B122" t="s">
        <v>142</v>
      </c>
      <c r="C122" t="s">
        <v>190</v>
      </c>
      <c r="D122" s="1">
        <v>45413</v>
      </c>
      <c r="E122" s="5">
        <v>0.77083333333333337</v>
      </c>
      <c r="F122" s="1">
        <v>45413</v>
      </c>
      <c r="G122" s="5">
        <v>0.78472222222222221</v>
      </c>
      <c r="H122">
        <v>20</v>
      </c>
      <c r="I122" t="s">
        <v>151</v>
      </c>
      <c r="J122" t="s">
        <v>144</v>
      </c>
      <c r="K122">
        <v>4</v>
      </c>
      <c r="L122">
        <v>4.5</v>
      </c>
      <c r="M122" t="s">
        <v>161</v>
      </c>
      <c r="N122" t="s">
        <v>162</v>
      </c>
      <c r="O122" t="b">
        <v>1</v>
      </c>
      <c r="P122" t="b">
        <v>0</v>
      </c>
      <c r="Q122" s="6">
        <v>4.4444444444444446</v>
      </c>
      <c r="R122" s="6">
        <v>0.88888888888888884</v>
      </c>
      <c r="S122" t="s">
        <v>175</v>
      </c>
      <c r="T122" t="s">
        <v>147</v>
      </c>
      <c r="U122" s="6">
        <v>10.8</v>
      </c>
      <c r="V122" s="6">
        <v>9.2000000000000011</v>
      </c>
      <c r="W122" t="b">
        <v>0</v>
      </c>
      <c r="X122">
        <v>12</v>
      </c>
      <c r="Y122">
        <v>1</v>
      </c>
      <c r="Z122">
        <v>18</v>
      </c>
      <c r="AA122" s="6">
        <v>30.259433962264151</v>
      </c>
      <c r="AB122">
        <f>--PizzaDelivery[[#This Row],[Is Delayed]]</f>
        <v>0</v>
      </c>
    </row>
    <row r="123" spans="1:28">
      <c r="A123" t="s">
        <v>299</v>
      </c>
      <c r="B123" t="s">
        <v>149</v>
      </c>
      <c r="C123" t="s">
        <v>192</v>
      </c>
      <c r="D123" s="1">
        <v>45414</v>
      </c>
      <c r="E123" s="5">
        <v>0.84375</v>
      </c>
      <c r="F123" s="1">
        <v>45414</v>
      </c>
      <c r="G123" s="5">
        <v>0.86111111111111116</v>
      </c>
      <c r="H123">
        <v>25</v>
      </c>
      <c r="I123" t="s">
        <v>159</v>
      </c>
      <c r="J123" t="s">
        <v>160</v>
      </c>
      <c r="K123">
        <v>2</v>
      </c>
      <c r="L123">
        <v>2</v>
      </c>
      <c r="M123" t="s">
        <v>153</v>
      </c>
      <c r="N123" t="s">
        <v>169</v>
      </c>
      <c r="O123" t="b">
        <v>1</v>
      </c>
      <c r="P123" t="b">
        <v>0</v>
      </c>
      <c r="Q123" s="6">
        <v>12.5</v>
      </c>
      <c r="R123" s="6">
        <v>1</v>
      </c>
      <c r="S123" t="s">
        <v>175</v>
      </c>
      <c r="T123" t="s">
        <v>171</v>
      </c>
      <c r="U123" s="6">
        <v>4.8</v>
      </c>
      <c r="V123" s="6">
        <v>20.2</v>
      </c>
      <c r="W123" t="b">
        <v>0</v>
      </c>
      <c r="X123">
        <v>2</v>
      </c>
      <c r="Y123">
        <v>3</v>
      </c>
      <c r="Z123">
        <v>20</v>
      </c>
      <c r="AA123" s="6">
        <v>28.186274509803919</v>
      </c>
      <c r="AB123">
        <f>--PizzaDelivery[[#This Row],[Is Delayed]]</f>
        <v>0</v>
      </c>
    </row>
    <row r="124" spans="1:28">
      <c r="A124" t="s">
        <v>300</v>
      </c>
      <c r="B124" t="s">
        <v>157</v>
      </c>
      <c r="C124" t="s">
        <v>194</v>
      </c>
      <c r="D124" s="1">
        <v>45415</v>
      </c>
      <c r="E124" s="5">
        <v>0.77083333333333337</v>
      </c>
      <c r="F124" s="1">
        <v>45415</v>
      </c>
      <c r="G124" s="5">
        <v>0.78472222222222221</v>
      </c>
      <c r="H124">
        <v>20</v>
      </c>
      <c r="I124" t="s">
        <v>143</v>
      </c>
      <c r="J124" t="s">
        <v>152</v>
      </c>
      <c r="K124">
        <v>3</v>
      </c>
      <c r="L124">
        <v>3.5</v>
      </c>
      <c r="M124" t="s">
        <v>161</v>
      </c>
      <c r="N124" t="s">
        <v>154</v>
      </c>
      <c r="O124" t="b">
        <v>1</v>
      </c>
      <c r="P124" t="b">
        <v>0</v>
      </c>
      <c r="Q124" s="6">
        <v>5.7142857142857144</v>
      </c>
      <c r="R124" s="6">
        <v>0.8571428571428571</v>
      </c>
      <c r="S124" t="s">
        <v>175</v>
      </c>
      <c r="T124" t="s">
        <v>147</v>
      </c>
      <c r="U124" s="6">
        <v>8.4</v>
      </c>
      <c r="V124" s="6">
        <v>11.6</v>
      </c>
      <c r="W124" t="b">
        <v>0</v>
      </c>
      <c r="X124">
        <v>6</v>
      </c>
      <c r="Y124">
        <v>1</v>
      </c>
      <c r="Z124">
        <v>18</v>
      </c>
      <c r="AA124" s="6">
        <v>28.844221105527641</v>
      </c>
      <c r="AB124">
        <f>--PizzaDelivery[[#This Row],[Is Delayed]]</f>
        <v>0</v>
      </c>
    </row>
    <row r="125" spans="1:28">
      <c r="A125" t="s">
        <v>301</v>
      </c>
      <c r="B125" t="s">
        <v>165</v>
      </c>
      <c r="C125" t="s">
        <v>158</v>
      </c>
      <c r="D125" s="1">
        <v>45416</v>
      </c>
      <c r="E125" s="5">
        <v>0.82291666666666663</v>
      </c>
      <c r="F125" s="1">
        <v>45416</v>
      </c>
      <c r="G125" s="5">
        <v>0.84027777777777779</v>
      </c>
      <c r="H125">
        <v>25</v>
      </c>
      <c r="I125" t="s">
        <v>167</v>
      </c>
      <c r="J125" t="s">
        <v>168</v>
      </c>
      <c r="K125">
        <v>5</v>
      </c>
      <c r="L125">
        <v>4</v>
      </c>
      <c r="M125" t="s">
        <v>143</v>
      </c>
      <c r="N125" t="s">
        <v>145</v>
      </c>
      <c r="O125" t="b">
        <v>1</v>
      </c>
      <c r="P125" t="b">
        <v>1</v>
      </c>
      <c r="Q125" s="6">
        <v>6.25</v>
      </c>
      <c r="R125" s="6">
        <v>1.25</v>
      </c>
      <c r="S125" t="s">
        <v>175</v>
      </c>
      <c r="T125" t="s">
        <v>147</v>
      </c>
      <c r="U125" s="6">
        <v>9.6</v>
      </c>
      <c r="V125" s="6">
        <v>15.4</v>
      </c>
      <c r="W125" t="b">
        <v>0</v>
      </c>
      <c r="X125">
        <v>20</v>
      </c>
      <c r="Y125">
        <v>2</v>
      </c>
      <c r="Z125">
        <v>19</v>
      </c>
      <c r="AA125" s="6">
        <v>29.948453608247419</v>
      </c>
      <c r="AB125">
        <f>--PizzaDelivery[[#This Row],[Is Delayed]]</f>
        <v>0</v>
      </c>
    </row>
    <row r="126" spans="1:28">
      <c r="A126" t="s">
        <v>302</v>
      </c>
      <c r="B126" t="s">
        <v>173</v>
      </c>
      <c r="C126" t="s">
        <v>166</v>
      </c>
      <c r="D126" s="1">
        <v>45417</v>
      </c>
      <c r="E126" s="5">
        <v>0.54166666666666663</v>
      </c>
      <c r="F126" s="1">
        <v>45417</v>
      </c>
      <c r="G126" s="5">
        <v>0.55555555555555558</v>
      </c>
      <c r="H126">
        <v>20</v>
      </c>
      <c r="I126" t="s">
        <v>143</v>
      </c>
      <c r="J126" t="s">
        <v>152</v>
      </c>
      <c r="K126">
        <v>3</v>
      </c>
      <c r="L126">
        <v>3</v>
      </c>
      <c r="M126" t="s">
        <v>153</v>
      </c>
      <c r="N126" t="s">
        <v>162</v>
      </c>
      <c r="O126" t="b">
        <v>0</v>
      </c>
      <c r="P126" t="b">
        <v>1</v>
      </c>
      <c r="Q126" s="6">
        <v>6.666666666666667</v>
      </c>
      <c r="R126" s="6">
        <v>1</v>
      </c>
      <c r="S126" t="s">
        <v>175</v>
      </c>
      <c r="T126" t="s">
        <v>147</v>
      </c>
      <c r="U126" s="6">
        <v>7.1999999999999993</v>
      </c>
      <c r="V126" s="6">
        <v>12.8</v>
      </c>
      <c r="W126" t="b">
        <v>0</v>
      </c>
      <c r="X126">
        <v>6</v>
      </c>
      <c r="Y126">
        <v>3</v>
      </c>
      <c r="Z126">
        <v>13</v>
      </c>
      <c r="AA126" s="6">
        <v>30.286458333333329</v>
      </c>
      <c r="AB126">
        <f>--PizzaDelivery[[#This Row],[Is Delayed]]</f>
        <v>0</v>
      </c>
    </row>
    <row r="127" spans="1:28">
      <c r="A127" t="s">
        <v>303</v>
      </c>
      <c r="B127" t="s">
        <v>142</v>
      </c>
      <c r="C127" t="s">
        <v>40</v>
      </c>
      <c r="D127" s="1">
        <v>45505</v>
      </c>
      <c r="E127" s="5">
        <v>0.75</v>
      </c>
      <c r="F127" s="1">
        <v>45505</v>
      </c>
      <c r="G127" s="5">
        <v>0.76388888888888884</v>
      </c>
      <c r="H127">
        <v>20</v>
      </c>
      <c r="I127" t="s">
        <v>143</v>
      </c>
      <c r="J127" t="s">
        <v>144</v>
      </c>
      <c r="K127">
        <v>2</v>
      </c>
      <c r="L127">
        <v>3</v>
      </c>
      <c r="M127" t="s">
        <v>161</v>
      </c>
      <c r="N127" t="s">
        <v>145</v>
      </c>
      <c r="O127" t="b">
        <v>1</v>
      </c>
      <c r="P127" t="b">
        <v>0</v>
      </c>
      <c r="Q127" s="6">
        <v>6.666666666666667</v>
      </c>
      <c r="R127" s="6">
        <v>0.66666666666666663</v>
      </c>
      <c r="S127" t="s">
        <v>304</v>
      </c>
      <c r="T127" t="s">
        <v>147</v>
      </c>
      <c r="U127" s="6">
        <v>7.1999999999999993</v>
      </c>
      <c r="V127" s="6">
        <v>12.8</v>
      </c>
      <c r="W127" t="b">
        <v>0</v>
      </c>
      <c r="X127">
        <v>4</v>
      </c>
      <c r="Y127">
        <v>1</v>
      </c>
      <c r="Z127">
        <v>18</v>
      </c>
      <c r="AA127" s="6">
        <v>30.259433962264151</v>
      </c>
      <c r="AB127">
        <f>--PizzaDelivery[[#This Row],[Is Delayed]]</f>
        <v>0</v>
      </c>
    </row>
    <row r="128" spans="1:28">
      <c r="A128" t="s">
        <v>305</v>
      </c>
      <c r="B128" t="s">
        <v>149</v>
      </c>
      <c r="C128" t="s">
        <v>158</v>
      </c>
      <c r="D128" s="1">
        <v>45506</v>
      </c>
      <c r="E128" s="5">
        <v>0.80208333333333337</v>
      </c>
      <c r="F128" s="1">
        <v>45506</v>
      </c>
      <c r="G128" s="5">
        <v>0.82291666666666663</v>
      </c>
      <c r="H128">
        <v>30</v>
      </c>
      <c r="I128" t="s">
        <v>151</v>
      </c>
      <c r="J128" t="s">
        <v>152</v>
      </c>
      <c r="K128">
        <v>4</v>
      </c>
      <c r="L128">
        <v>6</v>
      </c>
      <c r="M128" t="s">
        <v>143</v>
      </c>
      <c r="N128" t="s">
        <v>162</v>
      </c>
      <c r="O128" t="b">
        <v>1</v>
      </c>
      <c r="P128" t="b">
        <v>0</v>
      </c>
      <c r="Q128" s="6">
        <v>5</v>
      </c>
      <c r="R128" s="6">
        <v>0.66666666666666663</v>
      </c>
      <c r="S128" t="s">
        <v>304</v>
      </c>
      <c r="T128" t="s">
        <v>147</v>
      </c>
      <c r="U128" s="6">
        <v>14.4</v>
      </c>
      <c r="V128" s="6">
        <v>15.6</v>
      </c>
      <c r="W128" t="b">
        <v>0</v>
      </c>
      <c r="X128">
        <v>12</v>
      </c>
      <c r="Y128">
        <v>2</v>
      </c>
      <c r="Z128">
        <v>19</v>
      </c>
      <c r="AA128" s="6">
        <v>28.186274509803919</v>
      </c>
      <c r="AB128">
        <f>--PizzaDelivery[[#This Row],[Is Delayed]]</f>
        <v>0</v>
      </c>
    </row>
    <row r="129" spans="1:28">
      <c r="A129" t="s">
        <v>306</v>
      </c>
      <c r="B129" t="s">
        <v>165</v>
      </c>
      <c r="C129" t="s">
        <v>150</v>
      </c>
      <c r="D129" s="1">
        <v>45507</v>
      </c>
      <c r="E129" s="5">
        <v>0.85416666666666663</v>
      </c>
      <c r="F129" s="1">
        <v>45507</v>
      </c>
      <c r="G129" s="5">
        <v>0.88194444444444442</v>
      </c>
      <c r="H129">
        <v>40</v>
      </c>
      <c r="I129" t="s">
        <v>167</v>
      </c>
      <c r="J129" t="s">
        <v>168</v>
      </c>
      <c r="K129">
        <v>5</v>
      </c>
      <c r="L129">
        <v>8</v>
      </c>
      <c r="M129" t="s">
        <v>153</v>
      </c>
      <c r="N129" t="s">
        <v>154</v>
      </c>
      <c r="O129" t="b">
        <v>1</v>
      </c>
      <c r="P129" t="b">
        <v>1</v>
      </c>
      <c r="Q129" s="6">
        <v>5</v>
      </c>
      <c r="R129" s="6">
        <v>0.625</v>
      </c>
      <c r="S129" t="s">
        <v>304</v>
      </c>
      <c r="T129" t="s">
        <v>147</v>
      </c>
      <c r="U129" s="6">
        <v>19.2</v>
      </c>
      <c r="V129" s="6">
        <v>20.8</v>
      </c>
      <c r="W129" t="b">
        <v>1</v>
      </c>
      <c r="X129">
        <v>20</v>
      </c>
      <c r="Y129">
        <v>3</v>
      </c>
      <c r="Z129">
        <v>20</v>
      </c>
      <c r="AA129" s="6">
        <v>29.948453608247419</v>
      </c>
      <c r="AB129">
        <f>--PizzaDelivery[[#This Row],[Is Delayed]]</f>
        <v>1</v>
      </c>
    </row>
    <row r="130" spans="1:28">
      <c r="A130" t="s">
        <v>307</v>
      </c>
      <c r="B130" t="s">
        <v>157</v>
      </c>
      <c r="C130" t="s">
        <v>184</v>
      </c>
      <c r="D130" s="1">
        <v>45508</v>
      </c>
      <c r="E130" s="5">
        <v>0.78125</v>
      </c>
      <c r="F130" s="1">
        <v>45508</v>
      </c>
      <c r="G130" s="5">
        <v>0.79513888888888884</v>
      </c>
      <c r="H130">
        <v>20</v>
      </c>
      <c r="I130" t="s">
        <v>159</v>
      </c>
      <c r="J130" t="s">
        <v>160</v>
      </c>
      <c r="K130">
        <v>1</v>
      </c>
      <c r="L130">
        <v>2.5</v>
      </c>
      <c r="M130" t="s">
        <v>161</v>
      </c>
      <c r="N130" t="s">
        <v>169</v>
      </c>
      <c r="O130" t="b">
        <v>1</v>
      </c>
      <c r="P130" t="b">
        <v>1</v>
      </c>
      <c r="Q130" s="6">
        <v>8</v>
      </c>
      <c r="R130" s="6">
        <v>0.4</v>
      </c>
      <c r="S130" t="s">
        <v>304</v>
      </c>
      <c r="T130" t="s">
        <v>171</v>
      </c>
      <c r="U130" s="6">
        <v>6</v>
      </c>
      <c r="V130" s="6">
        <v>14</v>
      </c>
      <c r="W130" t="b">
        <v>0</v>
      </c>
      <c r="X130">
        <v>1</v>
      </c>
      <c r="Y130">
        <v>1</v>
      </c>
      <c r="Z130">
        <v>18</v>
      </c>
      <c r="AA130" s="6">
        <v>28.844221105527641</v>
      </c>
      <c r="AB130">
        <f>--PizzaDelivery[[#This Row],[Is Delayed]]</f>
        <v>0</v>
      </c>
    </row>
    <row r="131" spans="1:28">
      <c r="A131" t="s">
        <v>308</v>
      </c>
      <c r="B131" t="s">
        <v>173</v>
      </c>
      <c r="C131" t="s">
        <v>186</v>
      </c>
      <c r="D131" s="1">
        <v>45509</v>
      </c>
      <c r="E131" s="5">
        <v>0.79166666666666663</v>
      </c>
      <c r="F131" s="1">
        <v>45509</v>
      </c>
      <c r="G131" s="5">
        <v>0.82638888888888884</v>
      </c>
      <c r="H131">
        <v>50</v>
      </c>
      <c r="I131" t="s">
        <v>151</v>
      </c>
      <c r="J131" t="s">
        <v>152</v>
      </c>
      <c r="K131">
        <v>4</v>
      </c>
      <c r="L131">
        <v>10</v>
      </c>
      <c r="M131" t="s">
        <v>153</v>
      </c>
      <c r="N131" t="s">
        <v>145</v>
      </c>
      <c r="O131" t="b">
        <v>1</v>
      </c>
      <c r="P131" t="b">
        <v>0</v>
      </c>
      <c r="Q131" s="6">
        <v>5</v>
      </c>
      <c r="R131" s="6">
        <v>0.4</v>
      </c>
      <c r="S131" t="s">
        <v>304</v>
      </c>
      <c r="T131" t="s">
        <v>147</v>
      </c>
      <c r="U131" s="6">
        <v>24</v>
      </c>
      <c r="V131" s="6">
        <v>26</v>
      </c>
      <c r="W131" t="b">
        <v>1</v>
      </c>
      <c r="X131">
        <v>12</v>
      </c>
      <c r="Y131">
        <v>3</v>
      </c>
      <c r="Z131">
        <v>19</v>
      </c>
      <c r="AA131" s="6">
        <v>30.286458333333329</v>
      </c>
      <c r="AB131">
        <f>--PizzaDelivery[[#This Row],[Is Delayed]]</f>
        <v>1</v>
      </c>
    </row>
    <row r="132" spans="1:28">
      <c r="A132" t="s">
        <v>309</v>
      </c>
      <c r="B132" t="s">
        <v>142</v>
      </c>
      <c r="C132" t="s">
        <v>166</v>
      </c>
      <c r="D132" s="1">
        <v>45510</v>
      </c>
      <c r="E132" s="5">
        <v>0.83333333333333337</v>
      </c>
      <c r="F132" s="1">
        <v>45510</v>
      </c>
      <c r="G132" s="5">
        <v>0.85763888888888884</v>
      </c>
      <c r="H132">
        <v>35</v>
      </c>
      <c r="I132" t="s">
        <v>143</v>
      </c>
      <c r="J132" t="s">
        <v>144</v>
      </c>
      <c r="K132">
        <v>3</v>
      </c>
      <c r="L132">
        <v>5.5</v>
      </c>
      <c r="M132" t="s">
        <v>143</v>
      </c>
      <c r="N132" t="s">
        <v>154</v>
      </c>
      <c r="O132" t="b">
        <v>1</v>
      </c>
      <c r="P132" t="b">
        <v>0</v>
      </c>
      <c r="Q132" s="6">
        <v>6.3636363636363633</v>
      </c>
      <c r="R132" s="6">
        <v>0.54545454545454541</v>
      </c>
      <c r="S132" t="s">
        <v>304</v>
      </c>
      <c r="T132" t="s">
        <v>147</v>
      </c>
      <c r="U132" s="6">
        <v>13.2</v>
      </c>
      <c r="V132" s="6">
        <v>21.8</v>
      </c>
      <c r="W132" t="b">
        <v>1</v>
      </c>
      <c r="X132">
        <v>6</v>
      </c>
      <c r="Y132">
        <v>2</v>
      </c>
      <c r="Z132">
        <v>20</v>
      </c>
      <c r="AA132" s="6">
        <v>30.259433962264151</v>
      </c>
      <c r="AB132">
        <f>--PizzaDelivery[[#This Row],[Is Delayed]]</f>
        <v>1</v>
      </c>
    </row>
    <row r="133" spans="1:28">
      <c r="A133" t="s">
        <v>310</v>
      </c>
      <c r="B133" t="s">
        <v>149</v>
      </c>
      <c r="C133" t="s">
        <v>192</v>
      </c>
      <c r="D133" s="1">
        <v>45511</v>
      </c>
      <c r="E133" s="5">
        <v>0.77083333333333337</v>
      </c>
      <c r="F133" s="1">
        <v>45511</v>
      </c>
      <c r="G133" s="5">
        <v>0.78472222222222221</v>
      </c>
      <c r="H133">
        <v>20</v>
      </c>
      <c r="I133" t="s">
        <v>159</v>
      </c>
      <c r="J133" t="s">
        <v>160</v>
      </c>
      <c r="K133">
        <v>2</v>
      </c>
      <c r="L133">
        <v>2</v>
      </c>
      <c r="M133" t="s">
        <v>161</v>
      </c>
      <c r="N133" t="s">
        <v>162</v>
      </c>
      <c r="O133" t="b">
        <v>1</v>
      </c>
      <c r="P133" t="b">
        <v>0</v>
      </c>
      <c r="Q133" s="6">
        <v>10</v>
      </c>
      <c r="R133" s="6">
        <v>1</v>
      </c>
      <c r="S133" t="s">
        <v>304</v>
      </c>
      <c r="T133" t="s">
        <v>147</v>
      </c>
      <c r="U133" s="6">
        <v>4.8</v>
      </c>
      <c r="V133" s="6">
        <v>15.2</v>
      </c>
      <c r="W133" t="b">
        <v>0</v>
      </c>
      <c r="X133">
        <v>2</v>
      </c>
      <c r="Y133">
        <v>1</v>
      </c>
      <c r="Z133">
        <v>18</v>
      </c>
      <c r="AA133" s="6">
        <v>28.186274509803919</v>
      </c>
      <c r="AB133">
        <f>--PizzaDelivery[[#This Row],[Is Delayed]]</f>
        <v>0</v>
      </c>
    </row>
    <row r="134" spans="1:28">
      <c r="A134" t="s">
        <v>311</v>
      </c>
      <c r="B134" t="s">
        <v>165</v>
      </c>
      <c r="C134" t="s">
        <v>194</v>
      </c>
      <c r="D134" s="1">
        <v>45512</v>
      </c>
      <c r="E134" s="5">
        <v>0.82291666666666663</v>
      </c>
      <c r="F134" s="1">
        <v>45512</v>
      </c>
      <c r="G134" s="5">
        <v>0.85069444444444442</v>
      </c>
      <c r="H134">
        <v>40</v>
      </c>
      <c r="I134" t="s">
        <v>167</v>
      </c>
      <c r="J134" t="s">
        <v>168</v>
      </c>
      <c r="K134">
        <v>5</v>
      </c>
      <c r="L134">
        <v>7.5</v>
      </c>
      <c r="M134" t="s">
        <v>153</v>
      </c>
      <c r="N134" t="s">
        <v>169</v>
      </c>
      <c r="O134" t="b">
        <v>1</v>
      </c>
      <c r="P134" t="b">
        <v>0</v>
      </c>
      <c r="Q134" s="6">
        <v>5.333333333333333</v>
      </c>
      <c r="R134" s="6">
        <v>0.66666666666666663</v>
      </c>
      <c r="S134" t="s">
        <v>304</v>
      </c>
      <c r="T134" t="s">
        <v>171</v>
      </c>
      <c r="U134" s="6">
        <v>18</v>
      </c>
      <c r="V134" s="6">
        <v>22</v>
      </c>
      <c r="W134" t="b">
        <v>1</v>
      </c>
      <c r="X134">
        <v>20</v>
      </c>
      <c r="Y134">
        <v>3</v>
      </c>
      <c r="Z134">
        <v>19</v>
      </c>
      <c r="AA134" s="6">
        <v>29.948453608247419</v>
      </c>
      <c r="AB134">
        <f>--PizzaDelivery[[#This Row],[Is Delayed]]</f>
        <v>1</v>
      </c>
    </row>
    <row r="135" spans="1:28">
      <c r="A135" t="s">
        <v>312</v>
      </c>
      <c r="B135" t="s">
        <v>157</v>
      </c>
      <c r="C135" t="s">
        <v>174</v>
      </c>
      <c r="D135" s="1">
        <v>45513</v>
      </c>
      <c r="E135" s="5">
        <v>0.75</v>
      </c>
      <c r="F135" s="1">
        <v>45513</v>
      </c>
      <c r="G135" s="5">
        <v>0.77083333333333337</v>
      </c>
      <c r="H135">
        <v>30</v>
      </c>
      <c r="I135" t="s">
        <v>143</v>
      </c>
      <c r="J135" t="s">
        <v>152</v>
      </c>
      <c r="K135">
        <v>3</v>
      </c>
      <c r="L135">
        <v>4</v>
      </c>
      <c r="M135" t="s">
        <v>143</v>
      </c>
      <c r="N135" t="s">
        <v>145</v>
      </c>
      <c r="O135" t="b">
        <v>1</v>
      </c>
      <c r="P135" t="b">
        <v>0</v>
      </c>
      <c r="Q135" s="6">
        <v>7.5</v>
      </c>
      <c r="R135" s="6">
        <v>0.75</v>
      </c>
      <c r="S135" t="s">
        <v>304</v>
      </c>
      <c r="T135" t="s">
        <v>147</v>
      </c>
      <c r="U135" s="6">
        <v>9.6</v>
      </c>
      <c r="V135" s="6">
        <v>20.399999999999999</v>
      </c>
      <c r="W135" t="b">
        <v>0</v>
      </c>
      <c r="X135">
        <v>6</v>
      </c>
      <c r="Y135">
        <v>2</v>
      </c>
      <c r="Z135">
        <v>18</v>
      </c>
      <c r="AA135" s="6">
        <v>28.844221105527641</v>
      </c>
      <c r="AB135">
        <f>--PizzaDelivery[[#This Row],[Is Delayed]]</f>
        <v>0</v>
      </c>
    </row>
    <row r="136" spans="1:28">
      <c r="A136" t="s">
        <v>313</v>
      </c>
      <c r="B136" t="s">
        <v>173</v>
      </c>
      <c r="C136" t="s">
        <v>190</v>
      </c>
      <c r="D136" s="1">
        <v>45514</v>
      </c>
      <c r="E136" s="5">
        <v>0.84375</v>
      </c>
      <c r="F136" s="1">
        <v>45514</v>
      </c>
      <c r="G136" s="5">
        <v>0.875</v>
      </c>
      <c r="H136">
        <v>45</v>
      </c>
      <c r="I136" t="s">
        <v>151</v>
      </c>
      <c r="J136" t="s">
        <v>144</v>
      </c>
      <c r="K136">
        <v>4</v>
      </c>
      <c r="L136">
        <v>9</v>
      </c>
      <c r="M136" t="s">
        <v>153</v>
      </c>
      <c r="N136" t="s">
        <v>154</v>
      </c>
      <c r="O136" t="b">
        <v>1</v>
      </c>
      <c r="P136" t="b">
        <v>1</v>
      </c>
      <c r="Q136" s="6">
        <v>5</v>
      </c>
      <c r="R136" s="6">
        <v>0.44444444444444442</v>
      </c>
      <c r="S136" t="s">
        <v>304</v>
      </c>
      <c r="T136" t="s">
        <v>147</v>
      </c>
      <c r="U136" s="6">
        <v>21.6</v>
      </c>
      <c r="V136" s="6">
        <v>23.4</v>
      </c>
      <c r="W136" t="b">
        <v>1</v>
      </c>
      <c r="X136">
        <v>12</v>
      </c>
      <c r="Y136">
        <v>3</v>
      </c>
      <c r="Z136">
        <v>20</v>
      </c>
      <c r="AA136" s="6">
        <v>30.286458333333329</v>
      </c>
      <c r="AB136">
        <f>--PizzaDelivery[[#This Row],[Is Delayed]]</f>
        <v>1</v>
      </c>
    </row>
    <row r="137" spans="1:28">
      <c r="A137" t="s">
        <v>314</v>
      </c>
      <c r="B137" t="s">
        <v>142</v>
      </c>
      <c r="C137" t="s">
        <v>315</v>
      </c>
      <c r="D137" s="1">
        <v>45515</v>
      </c>
      <c r="E137" s="5">
        <v>0.75</v>
      </c>
      <c r="F137" s="1">
        <v>45515</v>
      </c>
      <c r="G137" s="5">
        <v>0.76388888888888884</v>
      </c>
      <c r="H137">
        <v>20</v>
      </c>
      <c r="I137" t="s">
        <v>143</v>
      </c>
      <c r="J137" t="s">
        <v>144</v>
      </c>
      <c r="K137">
        <v>2</v>
      </c>
      <c r="L137">
        <v>3</v>
      </c>
      <c r="M137" t="s">
        <v>161</v>
      </c>
      <c r="N137" t="s">
        <v>162</v>
      </c>
      <c r="O137" t="b">
        <v>1</v>
      </c>
      <c r="P137" t="b">
        <v>1</v>
      </c>
      <c r="Q137" s="6">
        <v>6.666666666666667</v>
      </c>
      <c r="R137" s="6">
        <v>0.66666666666666663</v>
      </c>
      <c r="S137" t="s">
        <v>304</v>
      </c>
      <c r="T137" t="s">
        <v>147</v>
      </c>
      <c r="U137" s="6">
        <v>7.1999999999999993</v>
      </c>
      <c r="V137" s="6">
        <v>12.8</v>
      </c>
      <c r="W137" t="b">
        <v>0</v>
      </c>
      <c r="X137">
        <v>4</v>
      </c>
      <c r="Y137">
        <v>1</v>
      </c>
      <c r="Z137">
        <v>18</v>
      </c>
      <c r="AA137" s="6">
        <v>30.259433962264151</v>
      </c>
      <c r="AB137">
        <f>--PizzaDelivery[[#This Row],[Is Delayed]]</f>
        <v>0</v>
      </c>
    </row>
    <row r="138" spans="1:28">
      <c r="A138" t="s">
        <v>316</v>
      </c>
      <c r="B138" t="s">
        <v>149</v>
      </c>
      <c r="C138" t="s">
        <v>317</v>
      </c>
      <c r="D138" s="1">
        <v>45516</v>
      </c>
      <c r="E138" s="5">
        <v>0.80208333333333337</v>
      </c>
      <c r="F138" s="1">
        <v>45516</v>
      </c>
      <c r="G138" s="5">
        <v>0.82291666666666663</v>
      </c>
      <c r="H138">
        <v>30</v>
      </c>
      <c r="I138" t="s">
        <v>151</v>
      </c>
      <c r="J138" t="s">
        <v>152</v>
      </c>
      <c r="K138">
        <v>4</v>
      </c>
      <c r="L138">
        <v>6</v>
      </c>
      <c r="M138" t="s">
        <v>143</v>
      </c>
      <c r="N138" t="s">
        <v>169</v>
      </c>
      <c r="O138" t="b">
        <v>1</v>
      </c>
      <c r="P138" t="b">
        <v>0</v>
      </c>
      <c r="Q138" s="6">
        <v>5</v>
      </c>
      <c r="R138" s="6">
        <v>0.66666666666666663</v>
      </c>
      <c r="S138" t="s">
        <v>304</v>
      </c>
      <c r="T138" t="s">
        <v>171</v>
      </c>
      <c r="U138" s="6">
        <v>14.4</v>
      </c>
      <c r="V138" s="6">
        <v>15.6</v>
      </c>
      <c r="W138" t="b">
        <v>0</v>
      </c>
      <c r="X138">
        <v>12</v>
      </c>
      <c r="Y138">
        <v>2</v>
      </c>
      <c r="Z138">
        <v>19</v>
      </c>
      <c r="AA138" s="6">
        <v>28.186274509803919</v>
      </c>
      <c r="AB138">
        <f>--PizzaDelivery[[#This Row],[Is Delayed]]</f>
        <v>0</v>
      </c>
    </row>
    <row r="139" spans="1:28">
      <c r="A139" t="s">
        <v>318</v>
      </c>
      <c r="B139" t="s">
        <v>165</v>
      </c>
      <c r="C139" t="s">
        <v>319</v>
      </c>
      <c r="D139" s="1">
        <v>45517</v>
      </c>
      <c r="E139" s="5">
        <v>0.85416666666666663</v>
      </c>
      <c r="F139" s="1">
        <v>45517</v>
      </c>
      <c r="G139" s="5">
        <v>0.88194444444444442</v>
      </c>
      <c r="H139">
        <v>40</v>
      </c>
      <c r="I139" t="s">
        <v>167</v>
      </c>
      <c r="J139" t="s">
        <v>168</v>
      </c>
      <c r="K139">
        <v>5</v>
      </c>
      <c r="L139">
        <v>8</v>
      </c>
      <c r="M139" t="s">
        <v>153</v>
      </c>
      <c r="N139" t="s">
        <v>145</v>
      </c>
      <c r="O139" t="b">
        <v>1</v>
      </c>
      <c r="P139" t="b">
        <v>0</v>
      </c>
      <c r="Q139" s="6">
        <v>5</v>
      </c>
      <c r="R139" s="6">
        <v>0.625</v>
      </c>
      <c r="S139" t="s">
        <v>304</v>
      </c>
      <c r="T139" t="s">
        <v>147</v>
      </c>
      <c r="U139" s="6">
        <v>19.2</v>
      </c>
      <c r="V139" s="6">
        <v>20.8</v>
      </c>
      <c r="W139" t="b">
        <v>1</v>
      </c>
      <c r="X139">
        <v>20</v>
      </c>
      <c r="Y139">
        <v>3</v>
      </c>
      <c r="Z139">
        <v>20</v>
      </c>
      <c r="AA139" s="6">
        <v>29.948453608247419</v>
      </c>
      <c r="AB139">
        <f>--PizzaDelivery[[#This Row],[Is Delayed]]</f>
        <v>1</v>
      </c>
    </row>
    <row r="140" spans="1:28">
      <c r="A140" t="s">
        <v>320</v>
      </c>
      <c r="B140" t="s">
        <v>157</v>
      </c>
      <c r="C140" t="s">
        <v>321</v>
      </c>
      <c r="D140" s="1">
        <v>45518</v>
      </c>
      <c r="E140" s="5">
        <v>0.78125</v>
      </c>
      <c r="F140" s="1">
        <v>45518</v>
      </c>
      <c r="G140" s="5">
        <v>0.79513888888888884</v>
      </c>
      <c r="H140">
        <v>20</v>
      </c>
      <c r="I140" t="s">
        <v>159</v>
      </c>
      <c r="J140" t="s">
        <v>160</v>
      </c>
      <c r="K140">
        <v>1</v>
      </c>
      <c r="L140">
        <v>2.5</v>
      </c>
      <c r="M140" t="s">
        <v>161</v>
      </c>
      <c r="N140" t="s">
        <v>154</v>
      </c>
      <c r="O140" t="b">
        <v>1</v>
      </c>
      <c r="P140" t="b">
        <v>0</v>
      </c>
      <c r="Q140" s="6">
        <v>8</v>
      </c>
      <c r="R140" s="6">
        <v>0.4</v>
      </c>
      <c r="S140" t="s">
        <v>304</v>
      </c>
      <c r="T140" t="s">
        <v>147</v>
      </c>
      <c r="U140" s="6">
        <v>6</v>
      </c>
      <c r="V140" s="6">
        <v>14</v>
      </c>
      <c r="W140" t="b">
        <v>0</v>
      </c>
      <c r="X140">
        <v>1</v>
      </c>
      <c r="Y140">
        <v>1</v>
      </c>
      <c r="Z140">
        <v>18</v>
      </c>
      <c r="AA140" s="6">
        <v>28.844221105527641</v>
      </c>
      <c r="AB140">
        <f>--PizzaDelivery[[#This Row],[Is Delayed]]</f>
        <v>0</v>
      </c>
    </row>
    <row r="141" spans="1:28">
      <c r="A141" t="s">
        <v>322</v>
      </c>
      <c r="B141" t="s">
        <v>173</v>
      </c>
      <c r="C141" t="s">
        <v>323</v>
      </c>
      <c r="D141" s="1">
        <v>45519</v>
      </c>
      <c r="E141" s="5">
        <v>0.79166666666666663</v>
      </c>
      <c r="F141" s="1">
        <v>45519</v>
      </c>
      <c r="G141" s="5">
        <v>0.82638888888888884</v>
      </c>
      <c r="H141">
        <v>50</v>
      </c>
      <c r="I141" t="s">
        <v>151</v>
      </c>
      <c r="J141" t="s">
        <v>152</v>
      </c>
      <c r="K141">
        <v>4</v>
      </c>
      <c r="L141">
        <v>10</v>
      </c>
      <c r="M141" t="s">
        <v>153</v>
      </c>
      <c r="N141" t="s">
        <v>162</v>
      </c>
      <c r="O141" t="b">
        <v>1</v>
      </c>
      <c r="P141" t="b">
        <v>0</v>
      </c>
      <c r="Q141" s="6">
        <v>5</v>
      </c>
      <c r="R141" s="6">
        <v>0.4</v>
      </c>
      <c r="S141" t="s">
        <v>304</v>
      </c>
      <c r="T141" t="s">
        <v>147</v>
      </c>
      <c r="U141" s="6">
        <v>24</v>
      </c>
      <c r="V141" s="6">
        <v>26</v>
      </c>
      <c r="W141" t="b">
        <v>1</v>
      </c>
      <c r="X141">
        <v>12</v>
      </c>
      <c r="Y141">
        <v>3</v>
      </c>
      <c r="Z141">
        <v>19</v>
      </c>
      <c r="AA141" s="6">
        <v>30.286458333333329</v>
      </c>
      <c r="AB141">
        <f>--PizzaDelivery[[#This Row],[Is Delayed]]</f>
        <v>1</v>
      </c>
    </row>
    <row r="142" spans="1:28">
      <c r="A142" t="s">
        <v>324</v>
      </c>
      <c r="B142" t="s">
        <v>142</v>
      </c>
      <c r="C142" t="s">
        <v>325</v>
      </c>
      <c r="D142" s="1">
        <v>45520</v>
      </c>
      <c r="E142" s="5">
        <v>0.83333333333333337</v>
      </c>
      <c r="F142" s="1">
        <v>45520</v>
      </c>
      <c r="G142" s="5">
        <v>0.85763888888888884</v>
      </c>
      <c r="H142">
        <v>35</v>
      </c>
      <c r="I142" t="s">
        <v>143</v>
      </c>
      <c r="J142" t="s">
        <v>144</v>
      </c>
      <c r="K142">
        <v>3</v>
      </c>
      <c r="L142">
        <v>5.5</v>
      </c>
      <c r="M142" t="s">
        <v>143</v>
      </c>
      <c r="N142" t="s">
        <v>169</v>
      </c>
      <c r="O142" t="b">
        <v>1</v>
      </c>
      <c r="P142" t="b">
        <v>0</v>
      </c>
      <c r="Q142" s="6">
        <v>6.3636363636363633</v>
      </c>
      <c r="R142" s="6">
        <v>0.54545454545454541</v>
      </c>
      <c r="S142" t="s">
        <v>304</v>
      </c>
      <c r="T142" t="s">
        <v>171</v>
      </c>
      <c r="U142" s="6">
        <v>13.2</v>
      </c>
      <c r="V142" s="6">
        <v>21.8</v>
      </c>
      <c r="W142" t="b">
        <v>1</v>
      </c>
      <c r="X142">
        <v>6</v>
      </c>
      <c r="Y142">
        <v>2</v>
      </c>
      <c r="Z142">
        <v>20</v>
      </c>
      <c r="AA142" s="6">
        <v>30.259433962264151</v>
      </c>
      <c r="AB142">
        <f>--PizzaDelivery[[#This Row],[Is Delayed]]</f>
        <v>1</v>
      </c>
    </row>
    <row r="143" spans="1:28">
      <c r="A143" t="s">
        <v>326</v>
      </c>
      <c r="B143" t="s">
        <v>149</v>
      </c>
      <c r="C143" t="s">
        <v>327</v>
      </c>
      <c r="D143" s="1">
        <v>45521</v>
      </c>
      <c r="E143" s="5">
        <v>0.77083333333333337</v>
      </c>
      <c r="F143" s="1">
        <v>45521</v>
      </c>
      <c r="G143" s="5">
        <v>0.78472222222222221</v>
      </c>
      <c r="H143">
        <v>20</v>
      </c>
      <c r="I143" t="s">
        <v>159</v>
      </c>
      <c r="J143" t="s">
        <v>160</v>
      </c>
      <c r="K143">
        <v>2</v>
      </c>
      <c r="L143">
        <v>2</v>
      </c>
      <c r="M143" t="s">
        <v>161</v>
      </c>
      <c r="N143" t="s">
        <v>145</v>
      </c>
      <c r="O143" t="b">
        <v>1</v>
      </c>
      <c r="P143" t="b">
        <v>1</v>
      </c>
      <c r="Q143" s="6">
        <v>10</v>
      </c>
      <c r="R143" s="6">
        <v>1</v>
      </c>
      <c r="S143" t="s">
        <v>304</v>
      </c>
      <c r="T143" t="s">
        <v>147</v>
      </c>
      <c r="U143" s="6">
        <v>4.8</v>
      </c>
      <c r="V143" s="6">
        <v>15.2</v>
      </c>
      <c r="W143" t="b">
        <v>0</v>
      </c>
      <c r="X143">
        <v>2</v>
      </c>
      <c r="Y143">
        <v>1</v>
      </c>
      <c r="Z143">
        <v>18</v>
      </c>
      <c r="AA143" s="6">
        <v>28.186274509803919</v>
      </c>
      <c r="AB143">
        <f>--PizzaDelivery[[#This Row],[Is Delayed]]</f>
        <v>0</v>
      </c>
    </row>
    <row r="144" spans="1:28">
      <c r="A144" t="s">
        <v>328</v>
      </c>
      <c r="B144" t="s">
        <v>165</v>
      </c>
      <c r="C144" t="s">
        <v>329</v>
      </c>
      <c r="D144" s="1">
        <v>45522</v>
      </c>
      <c r="E144" s="5">
        <v>0.82291666666666663</v>
      </c>
      <c r="F144" s="1">
        <v>45522</v>
      </c>
      <c r="G144" s="5">
        <v>0.85069444444444442</v>
      </c>
      <c r="H144">
        <v>40</v>
      </c>
      <c r="I144" t="s">
        <v>167</v>
      </c>
      <c r="J144" t="s">
        <v>168</v>
      </c>
      <c r="K144">
        <v>5</v>
      </c>
      <c r="L144">
        <v>7.5</v>
      </c>
      <c r="M144" t="s">
        <v>153</v>
      </c>
      <c r="N144" t="s">
        <v>154</v>
      </c>
      <c r="O144" t="b">
        <v>1</v>
      </c>
      <c r="P144" t="b">
        <v>1</v>
      </c>
      <c r="Q144" s="6">
        <v>5.333333333333333</v>
      </c>
      <c r="R144" s="6">
        <v>0.66666666666666663</v>
      </c>
      <c r="S144" t="s">
        <v>304</v>
      </c>
      <c r="T144" t="s">
        <v>147</v>
      </c>
      <c r="U144" s="6">
        <v>18</v>
      </c>
      <c r="V144" s="6">
        <v>22</v>
      </c>
      <c r="W144" t="b">
        <v>1</v>
      </c>
      <c r="X144">
        <v>20</v>
      </c>
      <c r="Y144">
        <v>3</v>
      </c>
      <c r="Z144">
        <v>19</v>
      </c>
      <c r="AA144" s="6">
        <v>29.948453608247419</v>
      </c>
      <c r="AB144">
        <f>--PizzaDelivery[[#This Row],[Is Delayed]]</f>
        <v>1</v>
      </c>
    </row>
    <row r="145" spans="1:28">
      <c r="A145" t="s">
        <v>330</v>
      </c>
      <c r="B145" t="s">
        <v>157</v>
      </c>
      <c r="C145" t="s">
        <v>182</v>
      </c>
      <c r="D145" s="1">
        <v>45523</v>
      </c>
      <c r="E145" s="5">
        <v>0.75</v>
      </c>
      <c r="F145" s="1">
        <v>45523</v>
      </c>
      <c r="G145" s="5">
        <v>0.77083333333333337</v>
      </c>
      <c r="H145">
        <v>30</v>
      </c>
      <c r="I145" t="s">
        <v>143</v>
      </c>
      <c r="J145" t="s">
        <v>152</v>
      </c>
      <c r="K145">
        <v>3</v>
      </c>
      <c r="L145">
        <v>4</v>
      </c>
      <c r="M145" t="s">
        <v>143</v>
      </c>
      <c r="N145" t="s">
        <v>162</v>
      </c>
      <c r="O145" t="b">
        <v>1</v>
      </c>
      <c r="P145" t="b">
        <v>0</v>
      </c>
      <c r="Q145" s="6">
        <v>7.5</v>
      </c>
      <c r="R145" s="6">
        <v>0.75</v>
      </c>
      <c r="S145" t="s">
        <v>304</v>
      </c>
      <c r="T145" t="s">
        <v>147</v>
      </c>
      <c r="U145" s="6">
        <v>9.6</v>
      </c>
      <c r="V145" s="6">
        <v>20.399999999999999</v>
      </c>
      <c r="W145" t="b">
        <v>0</v>
      </c>
      <c r="X145">
        <v>6</v>
      </c>
      <c r="Y145">
        <v>2</v>
      </c>
      <c r="Z145">
        <v>18</v>
      </c>
      <c r="AA145" s="6">
        <v>28.844221105527641</v>
      </c>
      <c r="AB145">
        <f>--PizzaDelivery[[#This Row],[Is Delayed]]</f>
        <v>0</v>
      </c>
    </row>
    <row r="146" spans="1:28">
      <c r="A146" t="s">
        <v>331</v>
      </c>
      <c r="B146" t="s">
        <v>173</v>
      </c>
      <c r="C146" t="s">
        <v>327</v>
      </c>
      <c r="D146" s="1">
        <v>45524</v>
      </c>
      <c r="E146" s="5">
        <v>0.84375</v>
      </c>
      <c r="F146" s="1">
        <v>45524</v>
      </c>
      <c r="G146" s="5">
        <v>0.875</v>
      </c>
      <c r="H146">
        <v>45</v>
      </c>
      <c r="I146" t="s">
        <v>151</v>
      </c>
      <c r="J146" t="s">
        <v>144</v>
      </c>
      <c r="K146">
        <v>4</v>
      </c>
      <c r="L146">
        <v>9</v>
      </c>
      <c r="M146" t="s">
        <v>153</v>
      </c>
      <c r="N146" t="s">
        <v>169</v>
      </c>
      <c r="O146" t="b">
        <v>1</v>
      </c>
      <c r="P146" t="b">
        <v>0</v>
      </c>
      <c r="Q146" s="6">
        <v>5</v>
      </c>
      <c r="R146" s="6">
        <v>0.44444444444444442</v>
      </c>
      <c r="S146" t="s">
        <v>304</v>
      </c>
      <c r="T146" t="s">
        <v>171</v>
      </c>
      <c r="U146" s="6">
        <v>21.6</v>
      </c>
      <c r="V146" s="6">
        <v>23.4</v>
      </c>
      <c r="W146" t="b">
        <v>1</v>
      </c>
      <c r="X146">
        <v>12</v>
      </c>
      <c r="Y146">
        <v>3</v>
      </c>
      <c r="Z146">
        <v>20</v>
      </c>
      <c r="AA146" s="6">
        <v>30.286458333333329</v>
      </c>
      <c r="AB146">
        <f>--PizzaDelivery[[#This Row],[Is Delayed]]</f>
        <v>1</v>
      </c>
    </row>
    <row r="147" spans="1:28">
      <c r="A147" t="s">
        <v>332</v>
      </c>
      <c r="B147" t="s">
        <v>142</v>
      </c>
      <c r="C147" t="s">
        <v>333</v>
      </c>
      <c r="D147" s="1">
        <v>45525</v>
      </c>
      <c r="E147" s="5">
        <v>0.75</v>
      </c>
      <c r="F147" s="1">
        <v>45525</v>
      </c>
      <c r="G147" s="5">
        <v>0.76388888888888884</v>
      </c>
      <c r="H147">
        <v>20</v>
      </c>
      <c r="I147" t="s">
        <v>143</v>
      </c>
      <c r="J147" t="s">
        <v>144</v>
      </c>
      <c r="K147">
        <v>2</v>
      </c>
      <c r="L147">
        <v>3</v>
      </c>
      <c r="M147" t="s">
        <v>161</v>
      </c>
      <c r="N147" t="s">
        <v>145</v>
      </c>
      <c r="O147" t="b">
        <v>1</v>
      </c>
      <c r="P147" t="b">
        <v>0</v>
      </c>
      <c r="Q147" s="6">
        <v>6.666666666666667</v>
      </c>
      <c r="R147" s="6">
        <v>0.66666666666666663</v>
      </c>
      <c r="S147" t="s">
        <v>304</v>
      </c>
      <c r="T147" t="s">
        <v>147</v>
      </c>
      <c r="U147" s="6">
        <v>7.1999999999999993</v>
      </c>
      <c r="V147" s="6">
        <v>12.8</v>
      </c>
      <c r="W147" t="b">
        <v>0</v>
      </c>
      <c r="X147">
        <v>4</v>
      </c>
      <c r="Y147">
        <v>1</v>
      </c>
      <c r="Z147">
        <v>18</v>
      </c>
      <c r="AA147" s="6">
        <v>30.259433962264151</v>
      </c>
      <c r="AB147">
        <f>--PizzaDelivery[[#This Row],[Is Delayed]]</f>
        <v>0</v>
      </c>
    </row>
    <row r="148" spans="1:28">
      <c r="A148" t="s">
        <v>334</v>
      </c>
      <c r="B148" t="s">
        <v>149</v>
      </c>
      <c r="C148" t="s">
        <v>335</v>
      </c>
      <c r="D148" s="1">
        <v>45526</v>
      </c>
      <c r="E148" s="5">
        <v>0.80208333333333337</v>
      </c>
      <c r="F148" s="1">
        <v>45526</v>
      </c>
      <c r="G148" s="5">
        <v>0.82291666666666663</v>
      </c>
      <c r="H148">
        <v>30</v>
      </c>
      <c r="I148" t="s">
        <v>151</v>
      </c>
      <c r="J148" t="s">
        <v>152</v>
      </c>
      <c r="K148">
        <v>4</v>
      </c>
      <c r="L148">
        <v>6</v>
      </c>
      <c r="M148" t="s">
        <v>143</v>
      </c>
      <c r="N148" t="s">
        <v>154</v>
      </c>
      <c r="O148" t="b">
        <v>1</v>
      </c>
      <c r="P148" t="b">
        <v>0</v>
      </c>
      <c r="Q148" s="6">
        <v>5</v>
      </c>
      <c r="R148" s="6">
        <v>0.66666666666666663</v>
      </c>
      <c r="S148" t="s">
        <v>304</v>
      </c>
      <c r="T148" t="s">
        <v>147</v>
      </c>
      <c r="U148" s="6">
        <v>14.4</v>
      </c>
      <c r="V148" s="6">
        <v>15.6</v>
      </c>
      <c r="W148" t="b">
        <v>0</v>
      </c>
      <c r="X148">
        <v>12</v>
      </c>
      <c r="Y148">
        <v>2</v>
      </c>
      <c r="Z148">
        <v>19</v>
      </c>
      <c r="AA148" s="6">
        <v>28.186274509803919</v>
      </c>
      <c r="AB148">
        <f>--PizzaDelivery[[#This Row],[Is Delayed]]</f>
        <v>0</v>
      </c>
    </row>
    <row r="149" spans="1:28">
      <c r="A149" t="s">
        <v>336</v>
      </c>
      <c r="B149" t="s">
        <v>165</v>
      </c>
      <c r="C149" t="s">
        <v>337</v>
      </c>
      <c r="D149" s="1">
        <v>45527</v>
      </c>
      <c r="E149" s="5">
        <v>0.85416666666666663</v>
      </c>
      <c r="F149" s="1">
        <v>45527</v>
      </c>
      <c r="G149" s="5">
        <v>0.88194444444444442</v>
      </c>
      <c r="H149">
        <v>40</v>
      </c>
      <c r="I149" t="s">
        <v>167</v>
      </c>
      <c r="J149" t="s">
        <v>168</v>
      </c>
      <c r="K149">
        <v>5</v>
      </c>
      <c r="L149">
        <v>8</v>
      </c>
      <c r="M149" t="s">
        <v>153</v>
      </c>
      <c r="N149" t="s">
        <v>162</v>
      </c>
      <c r="O149" t="b">
        <v>1</v>
      </c>
      <c r="P149" t="b">
        <v>0</v>
      </c>
      <c r="Q149" s="6">
        <v>5</v>
      </c>
      <c r="R149" s="6">
        <v>0.625</v>
      </c>
      <c r="S149" t="s">
        <v>304</v>
      </c>
      <c r="T149" t="s">
        <v>147</v>
      </c>
      <c r="U149" s="6">
        <v>19.2</v>
      </c>
      <c r="V149" s="6">
        <v>20.8</v>
      </c>
      <c r="W149" t="b">
        <v>1</v>
      </c>
      <c r="X149">
        <v>20</v>
      </c>
      <c r="Y149">
        <v>3</v>
      </c>
      <c r="Z149">
        <v>20</v>
      </c>
      <c r="AA149" s="6">
        <v>29.948453608247419</v>
      </c>
      <c r="AB149">
        <f>--PizzaDelivery[[#This Row],[Is Delayed]]</f>
        <v>1</v>
      </c>
    </row>
    <row r="150" spans="1:28">
      <c r="A150" t="s">
        <v>338</v>
      </c>
      <c r="B150" t="s">
        <v>157</v>
      </c>
      <c r="C150" t="s">
        <v>339</v>
      </c>
      <c r="D150" s="1">
        <v>45528</v>
      </c>
      <c r="E150" s="5">
        <v>0.78125</v>
      </c>
      <c r="F150" s="1">
        <v>45528</v>
      </c>
      <c r="G150" s="5">
        <v>0.79513888888888884</v>
      </c>
      <c r="H150">
        <v>20</v>
      </c>
      <c r="I150" t="s">
        <v>159</v>
      </c>
      <c r="J150" t="s">
        <v>160</v>
      </c>
      <c r="K150">
        <v>1</v>
      </c>
      <c r="L150">
        <v>2.5</v>
      </c>
      <c r="M150" t="s">
        <v>161</v>
      </c>
      <c r="N150" t="s">
        <v>169</v>
      </c>
      <c r="O150" t="b">
        <v>1</v>
      </c>
      <c r="P150" t="b">
        <v>1</v>
      </c>
      <c r="Q150" s="6">
        <v>8</v>
      </c>
      <c r="R150" s="6">
        <v>0.4</v>
      </c>
      <c r="S150" t="s">
        <v>304</v>
      </c>
      <c r="T150" t="s">
        <v>171</v>
      </c>
      <c r="U150" s="6">
        <v>6</v>
      </c>
      <c r="V150" s="6">
        <v>14</v>
      </c>
      <c r="W150" t="b">
        <v>0</v>
      </c>
      <c r="X150">
        <v>1</v>
      </c>
      <c r="Y150">
        <v>1</v>
      </c>
      <c r="Z150">
        <v>18</v>
      </c>
      <c r="AA150" s="6">
        <v>28.844221105527641</v>
      </c>
      <c r="AB150">
        <f>--PizzaDelivery[[#This Row],[Is Delayed]]</f>
        <v>0</v>
      </c>
    </row>
    <row r="151" spans="1:28">
      <c r="A151" t="s">
        <v>340</v>
      </c>
      <c r="B151" t="s">
        <v>173</v>
      </c>
      <c r="C151" t="s">
        <v>194</v>
      </c>
      <c r="D151" s="1">
        <v>45529</v>
      </c>
      <c r="E151" s="5">
        <v>0.79166666666666663</v>
      </c>
      <c r="F151" s="1">
        <v>45529</v>
      </c>
      <c r="G151" s="5">
        <v>0.82638888888888884</v>
      </c>
      <c r="H151">
        <v>50</v>
      </c>
      <c r="I151" t="s">
        <v>151</v>
      </c>
      <c r="J151" t="s">
        <v>152</v>
      </c>
      <c r="K151">
        <v>4</v>
      </c>
      <c r="L151">
        <v>10</v>
      </c>
      <c r="M151" t="s">
        <v>153</v>
      </c>
      <c r="N151" t="s">
        <v>145</v>
      </c>
      <c r="O151" t="b">
        <v>1</v>
      </c>
      <c r="P151" t="b">
        <v>1</v>
      </c>
      <c r="Q151" s="6">
        <v>5</v>
      </c>
      <c r="R151" s="6">
        <v>0.4</v>
      </c>
      <c r="S151" t="s">
        <v>304</v>
      </c>
      <c r="T151" t="s">
        <v>147</v>
      </c>
      <c r="U151" s="6">
        <v>24</v>
      </c>
      <c r="V151" s="6">
        <v>26</v>
      </c>
      <c r="W151" t="b">
        <v>1</v>
      </c>
      <c r="X151">
        <v>12</v>
      </c>
      <c r="Y151">
        <v>3</v>
      </c>
      <c r="Z151">
        <v>19</v>
      </c>
      <c r="AA151" s="6">
        <v>30.286458333333329</v>
      </c>
      <c r="AB151">
        <f>--PizzaDelivery[[#This Row],[Is Delayed]]</f>
        <v>1</v>
      </c>
    </row>
    <row r="152" spans="1:28">
      <c r="A152" t="s">
        <v>341</v>
      </c>
      <c r="B152" t="s">
        <v>142</v>
      </c>
      <c r="C152" t="s">
        <v>40</v>
      </c>
      <c r="D152" s="1">
        <v>45505</v>
      </c>
      <c r="E152" s="5">
        <v>0.75</v>
      </c>
      <c r="F152" s="1">
        <v>45505</v>
      </c>
      <c r="G152" s="5">
        <v>0.77083333333333337</v>
      </c>
      <c r="H152">
        <v>30</v>
      </c>
      <c r="I152" t="s">
        <v>151</v>
      </c>
      <c r="J152" t="s">
        <v>144</v>
      </c>
      <c r="K152">
        <v>4</v>
      </c>
      <c r="L152">
        <v>5.5</v>
      </c>
      <c r="M152" t="s">
        <v>153</v>
      </c>
      <c r="N152" t="s">
        <v>342</v>
      </c>
      <c r="O152" t="b">
        <v>1</v>
      </c>
      <c r="P152" t="b">
        <v>0</v>
      </c>
      <c r="Q152" s="6">
        <v>5.4545454545454541</v>
      </c>
      <c r="R152" s="6">
        <v>0.72727272727272729</v>
      </c>
      <c r="S152" t="s">
        <v>304</v>
      </c>
      <c r="T152" t="s">
        <v>171</v>
      </c>
      <c r="U152" s="6">
        <v>13.2</v>
      </c>
      <c r="V152" s="6">
        <v>16.8</v>
      </c>
      <c r="W152" t="b">
        <v>0</v>
      </c>
      <c r="X152">
        <v>12</v>
      </c>
      <c r="Y152">
        <v>3</v>
      </c>
      <c r="Z152">
        <v>18</v>
      </c>
      <c r="AA152" s="6">
        <v>30.259433962264151</v>
      </c>
      <c r="AB152">
        <f>--PizzaDelivery[[#This Row],[Is Delayed]]</f>
        <v>0</v>
      </c>
    </row>
    <row r="153" spans="1:28">
      <c r="A153" t="s">
        <v>343</v>
      </c>
      <c r="B153" t="s">
        <v>165</v>
      </c>
      <c r="C153" t="s">
        <v>150</v>
      </c>
      <c r="D153" s="1">
        <v>45506</v>
      </c>
      <c r="E153" s="5">
        <v>0.80208333333333337</v>
      </c>
      <c r="F153" s="1">
        <v>45506</v>
      </c>
      <c r="G153" s="5">
        <v>0.82291666666666663</v>
      </c>
      <c r="H153">
        <v>30</v>
      </c>
      <c r="I153" t="s">
        <v>167</v>
      </c>
      <c r="J153" t="s">
        <v>168</v>
      </c>
      <c r="K153">
        <v>5</v>
      </c>
      <c r="L153">
        <v>6</v>
      </c>
      <c r="M153" t="s">
        <v>143</v>
      </c>
      <c r="N153" t="s">
        <v>145</v>
      </c>
      <c r="O153" t="b">
        <v>1</v>
      </c>
      <c r="P153" t="b">
        <v>0</v>
      </c>
      <c r="Q153" s="6">
        <v>5</v>
      </c>
      <c r="R153" s="6">
        <v>0.83333333333333337</v>
      </c>
      <c r="S153" t="s">
        <v>304</v>
      </c>
      <c r="T153" t="s">
        <v>147</v>
      </c>
      <c r="U153" s="6">
        <v>14.4</v>
      </c>
      <c r="V153" s="6">
        <v>15.6</v>
      </c>
      <c r="W153" t="b">
        <v>0</v>
      </c>
      <c r="X153">
        <v>20</v>
      </c>
      <c r="Y153">
        <v>2</v>
      </c>
      <c r="Z153">
        <v>19</v>
      </c>
      <c r="AA153" s="6">
        <v>29.948453608247419</v>
      </c>
      <c r="AB153">
        <f>--PizzaDelivery[[#This Row],[Is Delayed]]</f>
        <v>0</v>
      </c>
    </row>
    <row r="154" spans="1:28">
      <c r="A154" t="s">
        <v>344</v>
      </c>
      <c r="B154" t="s">
        <v>149</v>
      </c>
      <c r="C154" t="s">
        <v>158</v>
      </c>
      <c r="D154" s="1">
        <v>45507</v>
      </c>
      <c r="E154" s="5">
        <v>0.83333333333333337</v>
      </c>
      <c r="F154" s="1">
        <v>45507</v>
      </c>
      <c r="G154" s="5">
        <v>0.85763888888888884</v>
      </c>
      <c r="H154">
        <v>35</v>
      </c>
      <c r="I154" t="s">
        <v>143</v>
      </c>
      <c r="J154" t="s">
        <v>152</v>
      </c>
      <c r="K154">
        <v>3</v>
      </c>
      <c r="L154">
        <v>7.2</v>
      </c>
      <c r="M154" t="s">
        <v>161</v>
      </c>
      <c r="N154" t="s">
        <v>162</v>
      </c>
      <c r="O154" t="b">
        <v>1</v>
      </c>
      <c r="P154" t="b">
        <v>1</v>
      </c>
      <c r="Q154" s="6">
        <v>4.8611111111111107</v>
      </c>
      <c r="R154" s="6">
        <v>0.41666666666666657</v>
      </c>
      <c r="S154" t="s">
        <v>304</v>
      </c>
      <c r="T154" t="s">
        <v>147</v>
      </c>
      <c r="U154" s="6">
        <v>17.28</v>
      </c>
      <c r="V154" s="6">
        <v>17.72</v>
      </c>
      <c r="W154" t="b">
        <v>1</v>
      </c>
      <c r="X154">
        <v>6</v>
      </c>
      <c r="Y154">
        <v>1</v>
      </c>
      <c r="Z154">
        <v>20</v>
      </c>
      <c r="AA154" s="6">
        <v>28.186274509803919</v>
      </c>
      <c r="AB154">
        <f>--PizzaDelivery[[#This Row],[Is Delayed]]</f>
        <v>1</v>
      </c>
    </row>
    <row r="155" spans="1:28">
      <c r="A155" t="s">
        <v>345</v>
      </c>
      <c r="B155" t="s">
        <v>157</v>
      </c>
      <c r="C155" t="s">
        <v>184</v>
      </c>
      <c r="D155" s="1">
        <v>45508</v>
      </c>
      <c r="E155" s="5">
        <v>0.73958333333333337</v>
      </c>
      <c r="F155" s="1">
        <v>45508</v>
      </c>
      <c r="G155" s="5">
        <v>0.75347222222222221</v>
      </c>
      <c r="H155">
        <v>20</v>
      </c>
      <c r="I155" t="s">
        <v>159</v>
      </c>
      <c r="J155" t="s">
        <v>160</v>
      </c>
      <c r="K155">
        <v>2</v>
      </c>
      <c r="L155">
        <v>3</v>
      </c>
      <c r="M155" t="s">
        <v>161</v>
      </c>
      <c r="N155" t="s">
        <v>154</v>
      </c>
      <c r="O155" t="b">
        <v>0</v>
      </c>
      <c r="P155" t="b">
        <v>1</v>
      </c>
      <c r="Q155" s="6">
        <v>6.666666666666667</v>
      </c>
      <c r="R155" s="6">
        <v>0.66666666666666663</v>
      </c>
      <c r="S155" t="s">
        <v>304</v>
      </c>
      <c r="T155" t="s">
        <v>147</v>
      </c>
      <c r="U155" s="6">
        <v>7.1999999999999993</v>
      </c>
      <c r="V155" s="6">
        <v>12.8</v>
      </c>
      <c r="W155" t="b">
        <v>0</v>
      </c>
      <c r="X155">
        <v>2</v>
      </c>
      <c r="Y155">
        <v>1</v>
      </c>
      <c r="Z155">
        <v>17</v>
      </c>
      <c r="AA155" s="6">
        <v>28.844221105527641</v>
      </c>
      <c r="AB155">
        <f>--PizzaDelivery[[#This Row],[Is Delayed]]</f>
        <v>0</v>
      </c>
    </row>
    <row r="156" spans="1:28">
      <c r="A156" t="s">
        <v>346</v>
      </c>
      <c r="B156" t="s">
        <v>173</v>
      </c>
      <c r="C156" t="s">
        <v>186</v>
      </c>
      <c r="D156" s="1">
        <v>45509</v>
      </c>
      <c r="E156" s="5">
        <v>0.5625</v>
      </c>
      <c r="F156" s="1">
        <v>45509</v>
      </c>
      <c r="G156" s="5">
        <v>0.58333333333333337</v>
      </c>
      <c r="H156">
        <v>30</v>
      </c>
      <c r="I156" t="s">
        <v>143</v>
      </c>
      <c r="J156" t="s">
        <v>152</v>
      </c>
      <c r="K156">
        <v>4</v>
      </c>
      <c r="L156">
        <v>5</v>
      </c>
      <c r="M156" t="s">
        <v>153</v>
      </c>
      <c r="N156" t="s">
        <v>169</v>
      </c>
      <c r="O156" t="b">
        <v>0</v>
      </c>
      <c r="P156" t="b">
        <v>0</v>
      </c>
      <c r="Q156" s="6">
        <v>6</v>
      </c>
      <c r="R156" s="6">
        <v>0.8</v>
      </c>
      <c r="S156" t="s">
        <v>304</v>
      </c>
      <c r="T156" t="s">
        <v>171</v>
      </c>
      <c r="U156" s="6">
        <v>12</v>
      </c>
      <c r="V156" s="6">
        <v>18</v>
      </c>
      <c r="W156" t="b">
        <v>0</v>
      </c>
      <c r="X156">
        <v>8</v>
      </c>
      <c r="Y156">
        <v>3</v>
      </c>
      <c r="Z156">
        <v>13</v>
      </c>
      <c r="AA156" s="6">
        <v>30.286458333333329</v>
      </c>
      <c r="AB156">
        <f>--PizzaDelivery[[#This Row],[Is Delayed]]</f>
        <v>0</v>
      </c>
    </row>
    <row r="157" spans="1:28">
      <c r="A157" t="s">
        <v>347</v>
      </c>
      <c r="B157" t="s">
        <v>142</v>
      </c>
      <c r="C157" t="s">
        <v>166</v>
      </c>
      <c r="D157" s="1">
        <v>45510</v>
      </c>
      <c r="E157" s="5">
        <v>0.76388888888888884</v>
      </c>
      <c r="F157" s="1">
        <v>45510</v>
      </c>
      <c r="G157" s="5">
        <v>0.78472222222222221</v>
      </c>
      <c r="H157">
        <v>30</v>
      </c>
      <c r="I157" t="s">
        <v>151</v>
      </c>
      <c r="J157" t="s">
        <v>144</v>
      </c>
      <c r="K157">
        <v>3</v>
      </c>
      <c r="L157">
        <v>6.5</v>
      </c>
      <c r="M157" t="s">
        <v>143</v>
      </c>
      <c r="N157" t="s">
        <v>342</v>
      </c>
      <c r="O157" t="b">
        <v>1</v>
      </c>
      <c r="P157" t="b">
        <v>0</v>
      </c>
      <c r="Q157" s="6">
        <v>4.615384615384615</v>
      </c>
      <c r="R157" s="6">
        <v>0.46153846153846162</v>
      </c>
      <c r="S157" t="s">
        <v>304</v>
      </c>
      <c r="T157" t="s">
        <v>171</v>
      </c>
      <c r="U157" s="6">
        <v>15.6</v>
      </c>
      <c r="V157" s="6">
        <v>14.4</v>
      </c>
      <c r="W157" t="b">
        <v>0</v>
      </c>
      <c r="X157">
        <v>9</v>
      </c>
      <c r="Y157">
        <v>2</v>
      </c>
      <c r="Z157">
        <v>18</v>
      </c>
      <c r="AA157" s="6">
        <v>30.259433962264151</v>
      </c>
      <c r="AB157">
        <f>--PizzaDelivery[[#This Row],[Is Delayed]]</f>
        <v>0</v>
      </c>
    </row>
    <row r="158" spans="1:28">
      <c r="A158" t="s">
        <v>348</v>
      </c>
      <c r="B158" t="s">
        <v>149</v>
      </c>
      <c r="C158" t="s">
        <v>192</v>
      </c>
      <c r="D158" s="1">
        <v>45511</v>
      </c>
      <c r="E158" s="5">
        <v>0.84027777777777779</v>
      </c>
      <c r="F158" s="1">
        <v>45511</v>
      </c>
      <c r="G158" s="5">
        <v>0.86458333333333337</v>
      </c>
      <c r="H158">
        <v>35</v>
      </c>
      <c r="I158" t="s">
        <v>159</v>
      </c>
      <c r="J158" t="s">
        <v>160</v>
      </c>
      <c r="K158">
        <v>2</v>
      </c>
      <c r="L158">
        <v>4</v>
      </c>
      <c r="M158" t="s">
        <v>153</v>
      </c>
      <c r="N158" t="s">
        <v>145</v>
      </c>
      <c r="O158" t="b">
        <v>1</v>
      </c>
      <c r="P158" t="b">
        <v>0</v>
      </c>
      <c r="Q158" s="6">
        <v>8.75</v>
      </c>
      <c r="R158" s="6">
        <v>0.5</v>
      </c>
      <c r="S158" t="s">
        <v>304</v>
      </c>
      <c r="T158" t="s">
        <v>147</v>
      </c>
      <c r="U158" s="6">
        <v>9.6</v>
      </c>
      <c r="V158" s="6">
        <v>25.4</v>
      </c>
      <c r="W158" t="b">
        <v>1</v>
      </c>
      <c r="X158">
        <v>2</v>
      </c>
      <c r="Y158">
        <v>3</v>
      </c>
      <c r="Z158">
        <v>20</v>
      </c>
      <c r="AA158" s="6">
        <v>28.186274509803919</v>
      </c>
      <c r="AB158">
        <f>--PizzaDelivery[[#This Row],[Is Delayed]]</f>
        <v>1</v>
      </c>
    </row>
    <row r="159" spans="1:28">
      <c r="A159" t="s">
        <v>349</v>
      </c>
      <c r="B159" t="s">
        <v>157</v>
      </c>
      <c r="C159" t="s">
        <v>194</v>
      </c>
      <c r="D159" s="1">
        <v>45512</v>
      </c>
      <c r="E159" s="5">
        <v>0.75</v>
      </c>
      <c r="F159" s="1">
        <v>45512</v>
      </c>
      <c r="G159" s="5">
        <v>0.76736111111111116</v>
      </c>
      <c r="H159">
        <v>25</v>
      </c>
      <c r="I159" t="s">
        <v>143</v>
      </c>
      <c r="J159" t="s">
        <v>152</v>
      </c>
      <c r="K159">
        <v>3</v>
      </c>
      <c r="L159">
        <v>3.5</v>
      </c>
      <c r="M159" t="s">
        <v>161</v>
      </c>
      <c r="N159" t="s">
        <v>162</v>
      </c>
      <c r="O159" t="b">
        <v>1</v>
      </c>
      <c r="P159" t="b">
        <v>0</v>
      </c>
      <c r="Q159" s="6">
        <v>7.1428571428571432</v>
      </c>
      <c r="R159" s="6">
        <v>0.8571428571428571</v>
      </c>
      <c r="S159" t="s">
        <v>304</v>
      </c>
      <c r="T159" t="s">
        <v>147</v>
      </c>
      <c r="U159" s="6">
        <v>8.4</v>
      </c>
      <c r="V159" s="6">
        <v>16.600000000000001</v>
      </c>
      <c r="W159" t="b">
        <v>0</v>
      </c>
      <c r="X159">
        <v>6</v>
      </c>
      <c r="Y159">
        <v>1</v>
      </c>
      <c r="Z159">
        <v>18</v>
      </c>
      <c r="AA159" s="6">
        <v>28.844221105527641</v>
      </c>
      <c r="AB159">
        <f>--PizzaDelivery[[#This Row],[Is Delayed]]</f>
        <v>0</v>
      </c>
    </row>
    <row r="160" spans="1:28">
      <c r="A160" t="s">
        <v>350</v>
      </c>
      <c r="B160" t="s">
        <v>165</v>
      </c>
      <c r="C160" t="s">
        <v>174</v>
      </c>
      <c r="D160" s="1">
        <v>45513</v>
      </c>
      <c r="E160" s="5">
        <v>0.8125</v>
      </c>
      <c r="F160" s="1">
        <v>45513</v>
      </c>
      <c r="G160" s="5">
        <v>0.83333333333333337</v>
      </c>
      <c r="H160">
        <v>30</v>
      </c>
      <c r="I160" t="s">
        <v>167</v>
      </c>
      <c r="J160" t="s">
        <v>168</v>
      </c>
      <c r="K160">
        <v>5</v>
      </c>
      <c r="L160">
        <v>6</v>
      </c>
      <c r="M160" t="s">
        <v>143</v>
      </c>
      <c r="N160" t="s">
        <v>154</v>
      </c>
      <c r="O160" t="b">
        <v>1</v>
      </c>
      <c r="P160" t="b">
        <v>0</v>
      </c>
      <c r="Q160" s="6">
        <v>5</v>
      </c>
      <c r="R160" s="6">
        <v>0.83333333333333337</v>
      </c>
      <c r="S160" t="s">
        <v>304</v>
      </c>
      <c r="T160" t="s">
        <v>147</v>
      </c>
      <c r="U160" s="6">
        <v>14.4</v>
      </c>
      <c r="V160" s="6">
        <v>15.6</v>
      </c>
      <c r="W160" t="b">
        <v>0</v>
      </c>
      <c r="X160">
        <v>20</v>
      </c>
      <c r="Y160">
        <v>2</v>
      </c>
      <c r="Z160">
        <v>19</v>
      </c>
      <c r="AA160" s="6">
        <v>29.948453608247419</v>
      </c>
      <c r="AB160">
        <f>--PizzaDelivery[[#This Row],[Is Delayed]]</f>
        <v>0</v>
      </c>
    </row>
    <row r="161" spans="1:28">
      <c r="A161" t="s">
        <v>351</v>
      </c>
      <c r="B161" t="s">
        <v>173</v>
      </c>
      <c r="C161" t="s">
        <v>190</v>
      </c>
      <c r="D161" s="1">
        <v>45514</v>
      </c>
      <c r="E161" s="5">
        <v>0.53125</v>
      </c>
      <c r="F161" s="1">
        <v>45514</v>
      </c>
      <c r="G161" s="5">
        <v>0.55208333333333337</v>
      </c>
      <c r="H161">
        <v>30</v>
      </c>
      <c r="I161" t="s">
        <v>143</v>
      </c>
      <c r="J161" t="s">
        <v>152</v>
      </c>
      <c r="K161">
        <v>4</v>
      </c>
      <c r="L161">
        <v>5.5</v>
      </c>
      <c r="M161" t="s">
        <v>153</v>
      </c>
      <c r="N161" t="s">
        <v>169</v>
      </c>
      <c r="O161" t="b">
        <v>0</v>
      </c>
      <c r="P161" t="b">
        <v>1</v>
      </c>
      <c r="Q161" s="6">
        <v>5.4545454545454541</v>
      </c>
      <c r="R161" s="6">
        <v>0.72727272727272729</v>
      </c>
      <c r="S161" t="s">
        <v>304</v>
      </c>
      <c r="T161" t="s">
        <v>171</v>
      </c>
      <c r="U161" s="6">
        <v>13.2</v>
      </c>
      <c r="V161" s="6">
        <v>16.8</v>
      </c>
      <c r="W161" t="b">
        <v>0</v>
      </c>
      <c r="X161">
        <v>8</v>
      </c>
      <c r="Y161">
        <v>3</v>
      </c>
      <c r="Z161">
        <v>12</v>
      </c>
      <c r="AA161" s="6">
        <v>30.286458333333329</v>
      </c>
      <c r="AB161">
        <f>--PizzaDelivery[[#This Row],[Is Delayed]]</f>
        <v>0</v>
      </c>
    </row>
    <row r="162" spans="1:28">
      <c r="A162" t="s">
        <v>352</v>
      </c>
      <c r="B162" t="s">
        <v>142</v>
      </c>
      <c r="C162" t="s">
        <v>192</v>
      </c>
      <c r="D162" s="1">
        <v>45515</v>
      </c>
      <c r="E162" s="5">
        <v>0.76041666666666663</v>
      </c>
      <c r="F162" s="1">
        <v>45515</v>
      </c>
      <c r="G162" s="5">
        <v>0.78125</v>
      </c>
      <c r="H162">
        <v>30</v>
      </c>
      <c r="I162" t="s">
        <v>151</v>
      </c>
      <c r="J162" t="s">
        <v>144</v>
      </c>
      <c r="K162">
        <v>3</v>
      </c>
      <c r="L162">
        <v>6</v>
      </c>
      <c r="M162" t="s">
        <v>143</v>
      </c>
      <c r="N162" t="s">
        <v>342</v>
      </c>
      <c r="O162" t="b">
        <v>1</v>
      </c>
      <c r="P162" t="b">
        <v>1</v>
      </c>
      <c r="Q162" s="6">
        <v>5</v>
      </c>
      <c r="R162" s="6">
        <v>0.5</v>
      </c>
      <c r="S162" t="s">
        <v>304</v>
      </c>
      <c r="T162" t="s">
        <v>171</v>
      </c>
      <c r="U162" s="6">
        <v>14.4</v>
      </c>
      <c r="V162" s="6">
        <v>15.6</v>
      </c>
      <c r="W162" t="b">
        <v>0</v>
      </c>
      <c r="X162">
        <v>9</v>
      </c>
      <c r="Y162">
        <v>2</v>
      </c>
      <c r="Z162">
        <v>18</v>
      </c>
      <c r="AA162" s="6">
        <v>30.259433962264151</v>
      </c>
      <c r="AB162">
        <f>--PizzaDelivery[[#This Row],[Is Delayed]]</f>
        <v>0</v>
      </c>
    </row>
    <row r="163" spans="1:28">
      <c r="A163" t="s">
        <v>353</v>
      </c>
      <c r="B163" t="s">
        <v>149</v>
      </c>
      <c r="C163" t="s">
        <v>194</v>
      </c>
      <c r="D163" s="1">
        <v>45516</v>
      </c>
      <c r="E163" s="5">
        <v>0.83333333333333337</v>
      </c>
      <c r="F163" s="1">
        <v>45516</v>
      </c>
      <c r="G163" s="5">
        <v>0.85416666666666663</v>
      </c>
      <c r="H163">
        <v>30</v>
      </c>
      <c r="I163" t="s">
        <v>159</v>
      </c>
      <c r="J163" t="s">
        <v>160</v>
      </c>
      <c r="K163">
        <v>2</v>
      </c>
      <c r="L163">
        <v>4.5</v>
      </c>
      <c r="M163" t="s">
        <v>161</v>
      </c>
      <c r="N163" t="s">
        <v>145</v>
      </c>
      <c r="O163" t="b">
        <v>1</v>
      </c>
      <c r="P163" t="b">
        <v>0</v>
      </c>
      <c r="Q163" s="6">
        <v>6.666666666666667</v>
      </c>
      <c r="R163" s="6">
        <v>0.44444444444444442</v>
      </c>
      <c r="S163" t="s">
        <v>304</v>
      </c>
      <c r="T163" t="s">
        <v>147</v>
      </c>
      <c r="U163" s="6">
        <v>10.8</v>
      </c>
      <c r="V163" s="6">
        <v>19.2</v>
      </c>
      <c r="W163" t="b">
        <v>0</v>
      </c>
      <c r="X163">
        <v>2</v>
      </c>
      <c r="Y163">
        <v>1</v>
      </c>
      <c r="Z163">
        <v>20</v>
      </c>
      <c r="AA163" s="6">
        <v>28.186274509803919</v>
      </c>
      <c r="AB163">
        <f>--PizzaDelivery[[#This Row],[Is Delayed]]</f>
        <v>0</v>
      </c>
    </row>
    <row r="164" spans="1:28">
      <c r="A164" t="s">
        <v>354</v>
      </c>
      <c r="B164" t="s">
        <v>157</v>
      </c>
      <c r="C164" t="s">
        <v>174</v>
      </c>
      <c r="D164" s="1">
        <v>45517</v>
      </c>
      <c r="E164" s="5">
        <v>0.75694444444444442</v>
      </c>
      <c r="F164" s="1">
        <v>45517</v>
      </c>
      <c r="G164" s="5">
        <v>0.77430555555555558</v>
      </c>
      <c r="H164">
        <v>25</v>
      </c>
      <c r="I164" t="s">
        <v>143</v>
      </c>
      <c r="J164" t="s">
        <v>152</v>
      </c>
      <c r="K164">
        <v>3</v>
      </c>
      <c r="L164">
        <v>3</v>
      </c>
      <c r="M164" t="s">
        <v>153</v>
      </c>
      <c r="N164" t="s">
        <v>162</v>
      </c>
      <c r="O164" t="b">
        <v>1</v>
      </c>
      <c r="P164" t="b">
        <v>0</v>
      </c>
      <c r="Q164" s="6">
        <v>8.3333333333333339</v>
      </c>
      <c r="R164" s="6">
        <v>1</v>
      </c>
      <c r="S164" t="s">
        <v>304</v>
      </c>
      <c r="T164" t="s">
        <v>147</v>
      </c>
      <c r="U164" s="6">
        <v>7.1999999999999993</v>
      </c>
      <c r="V164" s="6">
        <v>17.8</v>
      </c>
      <c r="W164" t="b">
        <v>0</v>
      </c>
      <c r="X164">
        <v>6</v>
      </c>
      <c r="Y164">
        <v>3</v>
      </c>
      <c r="Z164">
        <v>18</v>
      </c>
      <c r="AA164" s="6">
        <v>28.844221105527641</v>
      </c>
      <c r="AB164">
        <f>--PizzaDelivery[[#This Row],[Is Delayed]]</f>
        <v>0</v>
      </c>
    </row>
    <row r="165" spans="1:28">
      <c r="A165" t="s">
        <v>355</v>
      </c>
      <c r="B165" t="s">
        <v>165</v>
      </c>
      <c r="C165" t="s">
        <v>150</v>
      </c>
      <c r="D165" s="1">
        <v>45518</v>
      </c>
      <c r="E165" s="5">
        <v>0.80555555555555558</v>
      </c>
      <c r="F165" s="1">
        <v>45518</v>
      </c>
      <c r="G165" s="5">
        <v>0.82638888888888884</v>
      </c>
      <c r="H165">
        <v>30</v>
      </c>
      <c r="I165" t="s">
        <v>167</v>
      </c>
      <c r="J165" t="s">
        <v>168</v>
      </c>
      <c r="K165">
        <v>5</v>
      </c>
      <c r="L165">
        <v>6.5</v>
      </c>
      <c r="M165" t="s">
        <v>143</v>
      </c>
      <c r="N165" t="s">
        <v>154</v>
      </c>
      <c r="O165" t="b">
        <v>1</v>
      </c>
      <c r="P165" t="b">
        <v>0</v>
      </c>
      <c r="Q165" s="6">
        <v>4.615384615384615</v>
      </c>
      <c r="R165" s="6">
        <v>0.76923076923076927</v>
      </c>
      <c r="S165" t="s">
        <v>304</v>
      </c>
      <c r="T165" t="s">
        <v>147</v>
      </c>
      <c r="U165" s="6">
        <v>15.6</v>
      </c>
      <c r="V165" s="6">
        <v>14.4</v>
      </c>
      <c r="W165" t="b">
        <v>0</v>
      </c>
      <c r="X165">
        <v>20</v>
      </c>
      <c r="Y165">
        <v>2</v>
      </c>
      <c r="Z165">
        <v>19</v>
      </c>
      <c r="AA165" s="6">
        <v>29.948453608247419</v>
      </c>
      <c r="AB165">
        <f>--PizzaDelivery[[#This Row],[Is Delayed]]</f>
        <v>0</v>
      </c>
    </row>
    <row r="166" spans="1:28">
      <c r="A166" t="s">
        <v>356</v>
      </c>
      <c r="B166" t="s">
        <v>173</v>
      </c>
      <c r="C166" t="s">
        <v>158</v>
      </c>
      <c r="D166" s="1">
        <v>45519</v>
      </c>
      <c r="E166" s="5">
        <v>0.55208333333333337</v>
      </c>
      <c r="F166" s="1">
        <v>45519</v>
      </c>
      <c r="G166" s="5">
        <v>0.57291666666666663</v>
      </c>
      <c r="H166">
        <v>30</v>
      </c>
      <c r="I166" t="s">
        <v>143</v>
      </c>
      <c r="J166" t="s">
        <v>152</v>
      </c>
      <c r="K166">
        <v>4</v>
      </c>
      <c r="L166">
        <v>5</v>
      </c>
      <c r="M166" t="s">
        <v>153</v>
      </c>
      <c r="N166" t="s">
        <v>169</v>
      </c>
      <c r="O166" t="b">
        <v>0</v>
      </c>
      <c r="P166" t="b">
        <v>0</v>
      </c>
      <c r="Q166" s="6">
        <v>6</v>
      </c>
      <c r="R166" s="6">
        <v>0.8</v>
      </c>
      <c r="S166" t="s">
        <v>304</v>
      </c>
      <c r="T166" t="s">
        <v>171</v>
      </c>
      <c r="U166" s="6">
        <v>12</v>
      </c>
      <c r="V166" s="6">
        <v>18</v>
      </c>
      <c r="W166" t="b">
        <v>0</v>
      </c>
      <c r="X166">
        <v>8</v>
      </c>
      <c r="Y166">
        <v>3</v>
      </c>
      <c r="Z166">
        <v>13</v>
      </c>
      <c r="AA166" s="6">
        <v>30.286458333333329</v>
      </c>
      <c r="AB166">
        <f>--PizzaDelivery[[#This Row],[Is Delayed]]</f>
        <v>0</v>
      </c>
    </row>
    <row r="167" spans="1:28">
      <c r="A167" t="s">
        <v>357</v>
      </c>
      <c r="B167" t="s">
        <v>142</v>
      </c>
      <c r="C167" t="s">
        <v>166</v>
      </c>
      <c r="D167" s="1">
        <v>45520</v>
      </c>
      <c r="E167" s="5">
        <v>0.76736111111111116</v>
      </c>
      <c r="F167" s="1">
        <v>45520</v>
      </c>
      <c r="G167" s="5">
        <v>0.78819444444444442</v>
      </c>
      <c r="H167">
        <v>30</v>
      </c>
      <c r="I167" t="s">
        <v>151</v>
      </c>
      <c r="J167" t="s">
        <v>144</v>
      </c>
      <c r="K167">
        <v>3</v>
      </c>
      <c r="L167">
        <v>6</v>
      </c>
      <c r="M167" t="s">
        <v>143</v>
      </c>
      <c r="N167" t="s">
        <v>342</v>
      </c>
      <c r="O167" t="b">
        <v>1</v>
      </c>
      <c r="P167" t="b">
        <v>0</v>
      </c>
      <c r="Q167" s="6">
        <v>5</v>
      </c>
      <c r="R167" s="6">
        <v>0.5</v>
      </c>
      <c r="S167" t="s">
        <v>304</v>
      </c>
      <c r="T167" t="s">
        <v>171</v>
      </c>
      <c r="U167" s="6">
        <v>14.4</v>
      </c>
      <c r="V167" s="6">
        <v>15.6</v>
      </c>
      <c r="W167" t="b">
        <v>0</v>
      </c>
      <c r="X167">
        <v>9</v>
      </c>
      <c r="Y167">
        <v>2</v>
      </c>
      <c r="Z167">
        <v>18</v>
      </c>
      <c r="AA167" s="6">
        <v>30.259433962264151</v>
      </c>
      <c r="AB167">
        <f>--PizzaDelivery[[#This Row],[Is Delayed]]</f>
        <v>0</v>
      </c>
    </row>
    <row r="168" spans="1:28">
      <c r="A168" t="s">
        <v>358</v>
      </c>
      <c r="B168" t="s">
        <v>149</v>
      </c>
      <c r="C168" t="s">
        <v>192</v>
      </c>
      <c r="D168" s="1">
        <v>45521</v>
      </c>
      <c r="E168" s="5">
        <v>0.83680555555555558</v>
      </c>
      <c r="F168" s="1">
        <v>45521</v>
      </c>
      <c r="G168" s="5">
        <v>0.85763888888888884</v>
      </c>
      <c r="H168">
        <v>30</v>
      </c>
      <c r="I168" t="s">
        <v>159</v>
      </c>
      <c r="J168" t="s">
        <v>160</v>
      </c>
      <c r="K168">
        <v>2</v>
      </c>
      <c r="L168">
        <v>4</v>
      </c>
      <c r="M168" t="s">
        <v>161</v>
      </c>
      <c r="N168" t="s">
        <v>145</v>
      </c>
      <c r="O168" t="b">
        <v>1</v>
      </c>
      <c r="P168" t="b">
        <v>1</v>
      </c>
      <c r="Q168" s="6">
        <v>7.5</v>
      </c>
      <c r="R168" s="6">
        <v>0.5</v>
      </c>
      <c r="S168" t="s">
        <v>304</v>
      </c>
      <c r="T168" t="s">
        <v>147</v>
      </c>
      <c r="U168" s="6">
        <v>9.6</v>
      </c>
      <c r="V168" s="6">
        <v>20.399999999999999</v>
      </c>
      <c r="W168" t="b">
        <v>0</v>
      </c>
      <c r="X168">
        <v>2</v>
      </c>
      <c r="Y168">
        <v>1</v>
      </c>
      <c r="Z168">
        <v>20</v>
      </c>
      <c r="AA168" s="6">
        <v>28.186274509803919</v>
      </c>
      <c r="AB168">
        <f>--PizzaDelivery[[#This Row],[Is Delayed]]</f>
        <v>0</v>
      </c>
    </row>
    <row r="169" spans="1:28">
      <c r="A169" t="s">
        <v>359</v>
      </c>
      <c r="B169" t="s">
        <v>157</v>
      </c>
      <c r="C169" t="s">
        <v>194</v>
      </c>
      <c r="D169" s="1">
        <v>45522</v>
      </c>
      <c r="E169" s="5">
        <v>0.75</v>
      </c>
      <c r="F169" s="1">
        <v>45522</v>
      </c>
      <c r="G169" s="5">
        <v>0.76736111111111116</v>
      </c>
      <c r="H169">
        <v>25</v>
      </c>
      <c r="I169" t="s">
        <v>143</v>
      </c>
      <c r="J169" t="s">
        <v>152</v>
      </c>
      <c r="K169">
        <v>3</v>
      </c>
      <c r="L169">
        <v>3.5</v>
      </c>
      <c r="M169" t="s">
        <v>153</v>
      </c>
      <c r="N169" t="s">
        <v>162</v>
      </c>
      <c r="O169" t="b">
        <v>1</v>
      </c>
      <c r="P169" t="b">
        <v>1</v>
      </c>
      <c r="Q169" s="6">
        <v>7.1428571428571432</v>
      </c>
      <c r="R169" s="6">
        <v>0.8571428571428571</v>
      </c>
      <c r="S169" t="s">
        <v>304</v>
      </c>
      <c r="T169" t="s">
        <v>147</v>
      </c>
      <c r="U169" s="6">
        <v>8.4</v>
      </c>
      <c r="V169" s="6">
        <v>16.600000000000001</v>
      </c>
      <c r="W169" t="b">
        <v>0</v>
      </c>
      <c r="X169">
        <v>6</v>
      </c>
      <c r="Y169">
        <v>3</v>
      </c>
      <c r="Z169">
        <v>18</v>
      </c>
      <c r="AA169" s="6">
        <v>28.844221105527641</v>
      </c>
      <c r="AB169">
        <f>--PizzaDelivery[[#This Row],[Is Delayed]]</f>
        <v>0</v>
      </c>
    </row>
    <row r="170" spans="1:28">
      <c r="A170" t="s">
        <v>360</v>
      </c>
      <c r="B170" t="s">
        <v>165</v>
      </c>
      <c r="C170" t="s">
        <v>174</v>
      </c>
      <c r="D170" s="1">
        <v>45523</v>
      </c>
      <c r="E170" s="5">
        <v>0.8125</v>
      </c>
      <c r="F170" s="1">
        <v>45523</v>
      </c>
      <c r="G170" s="5">
        <v>0.83333333333333337</v>
      </c>
      <c r="H170">
        <v>30</v>
      </c>
      <c r="I170" t="s">
        <v>167</v>
      </c>
      <c r="J170" t="s">
        <v>168</v>
      </c>
      <c r="K170">
        <v>5</v>
      </c>
      <c r="L170">
        <v>6</v>
      </c>
      <c r="M170" t="s">
        <v>143</v>
      </c>
      <c r="N170" t="s">
        <v>154</v>
      </c>
      <c r="O170" t="b">
        <v>1</v>
      </c>
      <c r="P170" t="b">
        <v>0</v>
      </c>
      <c r="Q170" s="6">
        <v>5</v>
      </c>
      <c r="R170" s="6">
        <v>0.83333333333333337</v>
      </c>
      <c r="S170" t="s">
        <v>304</v>
      </c>
      <c r="T170" t="s">
        <v>147</v>
      </c>
      <c r="U170" s="6">
        <v>14.4</v>
      </c>
      <c r="V170" s="6">
        <v>15.6</v>
      </c>
      <c r="W170" t="b">
        <v>0</v>
      </c>
      <c r="X170">
        <v>20</v>
      </c>
      <c r="Y170">
        <v>2</v>
      </c>
      <c r="Z170">
        <v>19</v>
      </c>
      <c r="AA170" s="6">
        <v>29.948453608247419</v>
      </c>
      <c r="AB170">
        <f>--PizzaDelivery[[#This Row],[Is Delayed]]</f>
        <v>0</v>
      </c>
    </row>
    <row r="171" spans="1:28">
      <c r="A171" t="s">
        <v>361</v>
      </c>
      <c r="B171" t="s">
        <v>173</v>
      </c>
      <c r="C171" t="s">
        <v>190</v>
      </c>
      <c r="D171" s="1">
        <v>45524</v>
      </c>
      <c r="E171" s="5">
        <v>0.54166666666666663</v>
      </c>
      <c r="F171" s="1">
        <v>45524</v>
      </c>
      <c r="G171" s="5">
        <v>0.5625</v>
      </c>
      <c r="H171">
        <v>30</v>
      </c>
      <c r="I171" t="s">
        <v>143</v>
      </c>
      <c r="J171" t="s">
        <v>152</v>
      </c>
      <c r="K171">
        <v>4</v>
      </c>
      <c r="L171">
        <v>5.5</v>
      </c>
      <c r="M171" t="s">
        <v>161</v>
      </c>
      <c r="N171" t="s">
        <v>169</v>
      </c>
      <c r="O171" t="b">
        <v>0</v>
      </c>
      <c r="P171" t="b">
        <v>0</v>
      </c>
      <c r="Q171" s="6">
        <v>5.4545454545454541</v>
      </c>
      <c r="R171" s="6">
        <v>0.72727272727272729</v>
      </c>
      <c r="S171" t="s">
        <v>304</v>
      </c>
      <c r="T171" t="s">
        <v>171</v>
      </c>
      <c r="U171" s="6">
        <v>13.2</v>
      </c>
      <c r="V171" s="6">
        <v>16.8</v>
      </c>
      <c r="W171" t="b">
        <v>0</v>
      </c>
      <c r="X171">
        <v>8</v>
      </c>
      <c r="Y171">
        <v>1</v>
      </c>
      <c r="Z171">
        <v>13</v>
      </c>
      <c r="AA171" s="6">
        <v>30.286458333333329</v>
      </c>
      <c r="AB171">
        <f>--PizzaDelivery[[#This Row],[Is Delayed]]</f>
        <v>0</v>
      </c>
    </row>
    <row r="172" spans="1:28">
      <c r="A172" t="s">
        <v>362</v>
      </c>
      <c r="B172" t="s">
        <v>142</v>
      </c>
      <c r="C172" t="s">
        <v>192</v>
      </c>
      <c r="D172" s="1">
        <v>45525</v>
      </c>
      <c r="E172" s="5">
        <v>0.76041666666666663</v>
      </c>
      <c r="F172" s="1">
        <v>45525</v>
      </c>
      <c r="G172" s="5">
        <v>0.78125</v>
      </c>
      <c r="H172">
        <v>30</v>
      </c>
      <c r="I172" t="s">
        <v>151</v>
      </c>
      <c r="J172" t="s">
        <v>144</v>
      </c>
      <c r="K172">
        <v>3</v>
      </c>
      <c r="L172">
        <v>6</v>
      </c>
      <c r="M172" t="s">
        <v>153</v>
      </c>
      <c r="N172" t="s">
        <v>342</v>
      </c>
      <c r="O172" t="b">
        <v>1</v>
      </c>
      <c r="P172" t="b">
        <v>0</v>
      </c>
      <c r="Q172" s="6">
        <v>5</v>
      </c>
      <c r="R172" s="6">
        <v>0.5</v>
      </c>
      <c r="S172" t="s">
        <v>304</v>
      </c>
      <c r="T172" t="s">
        <v>171</v>
      </c>
      <c r="U172" s="6">
        <v>14.4</v>
      </c>
      <c r="V172" s="6">
        <v>15.6</v>
      </c>
      <c r="W172" t="b">
        <v>0</v>
      </c>
      <c r="X172">
        <v>9</v>
      </c>
      <c r="Y172">
        <v>3</v>
      </c>
      <c r="Z172">
        <v>18</v>
      </c>
      <c r="AA172" s="6">
        <v>30.259433962264151</v>
      </c>
      <c r="AB172">
        <f>--PizzaDelivery[[#This Row],[Is Delayed]]</f>
        <v>0</v>
      </c>
    </row>
    <row r="173" spans="1:28">
      <c r="A173" t="s">
        <v>363</v>
      </c>
      <c r="B173" t="s">
        <v>149</v>
      </c>
      <c r="C173" t="s">
        <v>194</v>
      </c>
      <c r="D173" s="1">
        <v>45526</v>
      </c>
      <c r="E173" s="5">
        <v>0.83333333333333337</v>
      </c>
      <c r="F173" s="1">
        <v>45526</v>
      </c>
      <c r="G173" s="5">
        <v>0.85416666666666663</v>
      </c>
      <c r="H173">
        <v>30</v>
      </c>
      <c r="I173" t="s">
        <v>159</v>
      </c>
      <c r="J173" t="s">
        <v>160</v>
      </c>
      <c r="K173">
        <v>2</v>
      </c>
      <c r="L173">
        <v>4.5</v>
      </c>
      <c r="M173" t="s">
        <v>143</v>
      </c>
      <c r="N173" t="s">
        <v>145</v>
      </c>
      <c r="O173" t="b">
        <v>1</v>
      </c>
      <c r="P173" t="b">
        <v>0</v>
      </c>
      <c r="Q173" s="6">
        <v>6.666666666666667</v>
      </c>
      <c r="R173" s="6">
        <v>0.44444444444444442</v>
      </c>
      <c r="S173" t="s">
        <v>304</v>
      </c>
      <c r="T173" t="s">
        <v>147</v>
      </c>
      <c r="U173" s="6">
        <v>10.8</v>
      </c>
      <c r="V173" s="6">
        <v>19.2</v>
      </c>
      <c r="W173" t="b">
        <v>0</v>
      </c>
      <c r="X173">
        <v>2</v>
      </c>
      <c r="Y173">
        <v>2</v>
      </c>
      <c r="Z173">
        <v>20</v>
      </c>
      <c r="AA173" s="6">
        <v>28.186274509803919</v>
      </c>
      <c r="AB173">
        <f>--PizzaDelivery[[#This Row],[Is Delayed]]</f>
        <v>0</v>
      </c>
    </row>
    <row r="174" spans="1:28">
      <c r="A174" t="s">
        <v>364</v>
      </c>
      <c r="B174" t="s">
        <v>157</v>
      </c>
      <c r="C174" t="s">
        <v>174</v>
      </c>
      <c r="D174" s="1">
        <v>45527</v>
      </c>
      <c r="E174" s="5">
        <v>0.75694444444444442</v>
      </c>
      <c r="F174" s="1">
        <v>45527</v>
      </c>
      <c r="G174" s="5">
        <v>0.77430555555555558</v>
      </c>
      <c r="H174">
        <v>25</v>
      </c>
      <c r="I174" t="s">
        <v>143</v>
      </c>
      <c r="J174" t="s">
        <v>152</v>
      </c>
      <c r="K174">
        <v>3</v>
      </c>
      <c r="L174">
        <v>3</v>
      </c>
      <c r="M174" t="s">
        <v>161</v>
      </c>
      <c r="N174" t="s">
        <v>162</v>
      </c>
      <c r="O174" t="b">
        <v>1</v>
      </c>
      <c r="P174" t="b">
        <v>0</v>
      </c>
      <c r="Q174" s="6">
        <v>8.3333333333333339</v>
      </c>
      <c r="R174" s="6">
        <v>1</v>
      </c>
      <c r="S174" t="s">
        <v>304</v>
      </c>
      <c r="T174" t="s">
        <v>147</v>
      </c>
      <c r="U174" s="6">
        <v>7.1999999999999993</v>
      </c>
      <c r="V174" s="6">
        <v>17.8</v>
      </c>
      <c r="W174" t="b">
        <v>0</v>
      </c>
      <c r="X174">
        <v>6</v>
      </c>
      <c r="Y174">
        <v>1</v>
      </c>
      <c r="Z174">
        <v>18</v>
      </c>
      <c r="AA174" s="6">
        <v>28.844221105527641</v>
      </c>
      <c r="AB174">
        <f>--PizzaDelivery[[#This Row],[Is Delayed]]</f>
        <v>0</v>
      </c>
    </row>
    <row r="175" spans="1:28">
      <c r="A175" t="s">
        <v>365</v>
      </c>
      <c r="B175" t="s">
        <v>165</v>
      </c>
      <c r="C175" t="s">
        <v>150</v>
      </c>
      <c r="D175" s="1">
        <v>45528</v>
      </c>
      <c r="E175" s="5">
        <v>0.80555555555555558</v>
      </c>
      <c r="F175" s="1">
        <v>45528</v>
      </c>
      <c r="G175" s="5">
        <v>0.82638888888888884</v>
      </c>
      <c r="H175">
        <v>30</v>
      </c>
      <c r="I175" t="s">
        <v>167</v>
      </c>
      <c r="J175" t="s">
        <v>168</v>
      </c>
      <c r="K175">
        <v>5</v>
      </c>
      <c r="L175">
        <v>6.5</v>
      </c>
      <c r="M175" t="s">
        <v>153</v>
      </c>
      <c r="N175" t="s">
        <v>154</v>
      </c>
      <c r="O175" t="b">
        <v>1</v>
      </c>
      <c r="P175" t="b">
        <v>1</v>
      </c>
      <c r="Q175" s="6">
        <v>4.615384615384615</v>
      </c>
      <c r="R175" s="6">
        <v>0.76923076923076927</v>
      </c>
      <c r="S175" t="s">
        <v>304</v>
      </c>
      <c r="T175" t="s">
        <v>147</v>
      </c>
      <c r="U175" s="6">
        <v>15.6</v>
      </c>
      <c r="V175" s="6">
        <v>14.4</v>
      </c>
      <c r="W175" t="b">
        <v>0</v>
      </c>
      <c r="X175">
        <v>20</v>
      </c>
      <c r="Y175">
        <v>3</v>
      </c>
      <c r="Z175">
        <v>19</v>
      </c>
      <c r="AA175" s="6">
        <v>29.948453608247419</v>
      </c>
      <c r="AB175">
        <f>--PizzaDelivery[[#This Row],[Is Delayed]]</f>
        <v>0</v>
      </c>
    </row>
    <row r="176" spans="1:28">
      <c r="A176" t="s">
        <v>366</v>
      </c>
      <c r="B176" t="s">
        <v>173</v>
      </c>
      <c r="C176" t="s">
        <v>188</v>
      </c>
      <c r="D176" s="1">
        <v>45463</v>
      </c>
      <c r="E176" s="5">
        <v>0.54166666666666663</v>
      </c>
      <c r="F176" s="1">
        <v>45463</v>
      </c>
      <c r="G176" s="5">
        <v>0.55555555555555558</v>
      </c>
      <c r="H176">
        <v>20</v>
      </c>
      <c r="I176" t="s">
        <v>143</v>
      </c>
      <c r="J176" t="s">
        <v>152</v>
      </c>
      <c r="K176">
        <v>3</v>
      </c>
      <c r="L176">
        <v>3</v>
      </c>
      <c r="M176" t="s">
        <v>143</v>
      </c>
      <c r="N176" t="s">
        <v>145</v>
      </c>
      <c r="O176" t="b">
        <v>0</v>
      </c>
      <c r="P176" t="b">
        <v>0</v>
      </c>
      <c r="Q176" s="6">
        <v>6.666666666666667</v>
      </c>
      <c r="R176" s="6">
        <v>1</v>
      </c>
      <c r="S176" t="s">
        <v>367</v>
      </c>
      <c r="T176" t="s">
        <v>147</v>
      </c>
      <c r="U176" s="6">
        <v>7.1999999999999993</v>
      </c>
      <c r="V176" s="6">
        <v>12.8</v>
      </c>
      <c r="W176" t="b">
        <v>0</v>
      </c>
      <c r="X176">
        <v>6</v>
      </c>
      <c r="Y176">
        <v>2</v>
      </c>
      <c r="Z176">
        <v>13</v>
      </c>
      <c r="AA176" s="6">
        <v>30.286458333333329</v>
      </c>
      <c r="AB176">
        <f>--PizzaDelivery[[#This Row],[Is Delayed]]</f>
        <v>0</v>
      </c>
    </row>
    <row r="177" spans="1:28">
      <c r="A177" t="s">
        <v>368</v>
      </c>
      <c r="B177" t="s">
        <v>142</v>
      </c>
      <c r="C177" t="s">
        <v>192</v>
      </c>
      <c r="D177" s="1">
        <v>45464</v>
      </c>
      <c r="E177" s="5">
        <v>0.77083333333333337</v>
      </c>
      <c r="F177" s="1">
        <v>45464</v>
      </c>
      <c r="G177" s="5">
        <v>0.78472222222222221</v>
      </c>
      <c r="H177">
        <v>20</v>
      </c>
      <c r="I177" t="s">
        <v>151</v>
      </c>
      <c r="J177" t="s">
        <v>144</v>
      </c>
      <c r="K177">
        <v>4</v>
      </c>
      <c r="L177">
        <v>4.5</v>
      </c>
      <c r="M177" t="s">
        <v>161</v>
      </c>
      <c r="N177" t="s">
        <v>162</v>
      </c>
      <c r="O177" t="b">
        <v>1</v>
      </c>
      <c r="P177" t="b">
        <v>0</v>
      </c>
      <c r="Q177" s="6">
        <v>4.4444444444444446</v>
      </c>
      <c r="R177" s="6">
        <v>0.88888888888888884</v>
      </c>
      <c r="S177" t="s">
        <v>367</v>
      </c>
      <c r="T177" t="s">
        <v>147</v>
      </c>
      <c r="U177" s="6">
        <v>10.8</v>
      </c>
      <c r="V177" s="6">
        <v>9.2000000000000011</v>
      </c>
      <c r="W177" t="b">
        <v>0</v>
      </c>
      <c r="X177">
        <v>12</v>
      </c>
      <c r="Y177">
        <v>1</v>
      </c>
      <c r="Z177">
        <v>18</v>
      </c>
      <c r="AA177" s="6">
        <v>30.259433962264151</v>
      </c>
      <c r="AB177">
        <f>--PizzaDelivery[[#This Row],[Is Delayed]]</f>
        <v>0</v>
      </c>
    </row>
    <row r="178" spans="1:28">
      <c r="A178" t="s">
        <v>369</v>
      </c>
      <c r="B178" t="s">
        <v>149</v>
      </c>
      <c r="C178" t="s">
        <v>194</v>
      </c>
      <c r="D178" s="1">
        <v>45465</v>
      </c>
      <c r="E178" s="5">
        <v>0.84375</v>
      </c>
      <c r="F178" s="1">
        <v>45465</v>
      </c>
      <c r="G178" s="5">
        <v>0.86111111111111116</v>
      </c>
      <c r="H178">
        <v>25</v>
      </c>
      <c r="I178" t="s">
        <v>159</v>
      </c>
      <c r="J178" t="s">
        <v>160</v>
      </c>
      <c r="K178">
        <v>2</v>
      </c>
      <c r="L178">
        <v>2</v>
      </c>
      <c r="M178" t="s">
        <v>153</v>
      </c>
      <c r="N178" t="s">
        <v>169</v>
      </c>
      <c r="O178" t="b">
        <v>1</v>
      </c>
      <c r="P178" t="b">
        <v>1</v>
      </c>
      <c r="Q178" s="6">
        <v>12.5</v>
      </c>
      <c r="R178" s="6">
        <v>1</v>
      </c>
      <c r="S178" t="s">
        <v>367</v>
      </c>
      <c r="T178" t="s">
        <v>171</v>
      </c>
      <c r="U178" s="6">
        <v>4.8</v>
      </c>
      <c r="V178" s="6">
        <v>20.2</v>
      </c>
      <c r="W178" t="b">
        <v>0</v>
      </c>
      <c r="X178">
        <v>2</v>
      </c>
      <c r="Y178">
        <v>3</v>
      </c>
      <c r="Z178">
        <v>20</v>
      </c>
      <c r="AA178" s="6">
        <v>28.186274509803919</v>
      </c>
      <c r="AB178">
        <f>--PizzaDelivery[[#This Row],[Is Delayed]]</f>
        <v>0</v>
      </c>
    </row>
    <row r="179" spans="1:28">
      <c r="A179" t="s">
        <v>370</v>
      </c>
      <c r="B179" t="s">
        <v>157</v>
      </c>
      <c r="C179" t="s">
        <v>174</v>
      </c>
      <c r="D179" s="1">
        <v>45466</v>
      </c>
      <c r="E179" s="5">
        <v>0.77083333333333337</v>
      </c>
      <c r="F179" s="1">
        <v>45466</v>
      </c>
      <c r="G179" s="5">
        <v>0.78472222222222221</v>
      </c>
      <c r="H179">
        <v>20</v>
      </c>
      <c r="I179" t="s">
        <v>143</v>
      </c>
      <c r="J179" t="s">
        <v>152</v>
      </c>
      <c r="K179">
        <v>3</v>
      </c>
      <c r="L179">
        <v>3</v>
      </c>
      <c r="M179" t="s">
        <v>153</v>
      </c>
      <c r="N179" t="s">
        <v>162</v>
      </c>
      <c r="O179" t="b">
        <v>1</v>
      </c>
      <c r="P179" t="b">
        <v>1</v>
      </c>
      <c r="Q179" s="6">
        <v>6.666666666666667</v>
      </c>
      <c r="R179" s="6">
        <v>1</v>
      </c>
      <c r="S179" t="s">
        <v>367</v>
      </c>
      <c r="T179" t="s">
        <v>147</v>
      </c>
      <c r="U179" s="6">
        <v>7.1999999999999993</v>
      </c>
      <c r="V179" s="6">
        <v>12.8</v>
      </c>
      <c r="W179" t="b">
        <v>0</v>
      </c>
      <c r="X179">
        <v>6</v>
      </c>
      <c r="Y179">
        <v>3</v>
      </c>
      <c r="Z179">
        <v>18</v>
      </c>
      <c r="AA179" s="6">
        <v>28.844221105527641</v>
      </c>
      <c r="AB179">
        <f>--PizzaDelivery[[#This Row],[Is Delayed]]</f>
        <v>0</v>
      </c>
    </row>
    <row r="180" spans="1:28">
      <c r="A180" t="s">
        <v>371</v>
      </c>
      <c r="B180" t="s">
        <v>165</v>
      </c>
      <c r="C180" t="s">
        <v>150</v>
      </c>
      <c r="D180" s="1">
        <v>45467</v>
      </c>
      <c r="E180" s="5">
        <v>0.82291666666666663</v>
      </c>
      <c r="F180" s="1">
        <v>45467</v>
      </c>
      <c r="G180" s="5">
        <v>0.84027777777777779</v>
      </c>
      <c r="H180">
        <v>25</v>
      </c>
      <c r="I180" t="s">
        <v>167</v>
      </c>
      <c r="J180" t="s">
        <v>168</v>
      </c>
      <c r="K180">
        <v>5</v>
      </c>
      <c r="L180">
        <v>4.5</v>
      </c>
      <c r="M180" t="s">
        <v>161</v>
      </c>
      <c r="N180" t="s">
        <v>169</v>
      </c>
      <c r="O180" t="b">
        <v>1</v>
      </c>
      <c r="P180" t="b">
        <v>0</v>
      </c>
      <c r="Q180" s="6">
        <v>5.5555555555555554</v>
      </c>
      <c r="R180" s="6">
        <v>1.1111111111111109</v>
      </c>
      <c r="S180" t="s">
        <v>367</v>
      </c>
      <c r="T180" t="s">
        <v>171</v>
      </c>
      <c r="U180" s="6">
        <v>10.8</v>
      </c>
      <c r="V180" s="6">
        <v>14.2</v>
      </c>
      <c r="W180" t="b">
        <v>0</v>
      </c>
      <c r="X180">
        <v>20</v>
      </c>
      <c r="Y180">
        <v>1</v>
      </c>
      <c r="Z180">
        <v>19</v>
      </c>
      <c r="AA180" s="6">
        <v>29.948453608247419</v>
      </c>
      <c r="AB180">
        <f>--PizzaDelivery[[#This Row],[Is Delayed]]</f>
        <v>0</v>
      </c>
    </row>
    <row r="181" spans="1:28">
      <c r="A181" t="s">
        <v>372</v>
      </c>
      <c r="B181" t="s">
        <v>173</v>
      </c>
      <c r="C181" t="s">
        <v>158</v>
      </c>
      <c r="D181" s="1">
        <v>45468</v>
      </c>
      <c r="E181" s="5">
        <v>0.54166666666666663</v>
      </c>
      <c r="F181" s="1">
        <v>45468</v>
      </c>
      <c r="G181" s="5">
        <v>0.55555555555555558</v>
      </c>
      <c r="H181">
        <v>20</v>
      </c>
      <c r="I181" t="s">
        <v>143</v>
      </c>
      <c r="J181" t="s">
        <v>152</v>
      </c>
      <c r="K181">
        <v>3</v>
      </c>
      <c r="L181">
        <v>3.5</v>
      </c>
      <c r="M181" t="s">
        <v>143</v>
      </c>
      <c r="N181" t="s">
        <v>154</v>
      </c>
      <c r="O181" t="b">
        <v>0</v>
      </c>
      <c r="P181" t="b">
        <v>0</v>
      </c>
      <c r="Q181" s="6">
        <v>5.7142857142857144</v>
      </c>
      <c r="R181" s="6">
        <v>0.8571428571428571</v>
      </c>
      <c r="S181" t="s">
        <v>367</v>
      </c>
      <c r="T181" t="s">
        <v>147</v>
      </c>
      <c r="U181" s="6">
        <v>8.4</v>
      </c>
      <c r="V181" s="6">
        <v>11.6</v>
      </c>
      <c r="W181" t="b">
        <v>0</v>
      </c>
      <c r="X181">
        <v>6</v>
      </c>
      <c r="Y181">
        <v>2</v>
      </c>
      <c r="Z181">
        <v>13</v>
      </c>
      <c r="AA181" s="6">
        <v>30.286458333333329</v>
      </c>
      <c r="AB181">
        <f>--PizzaDelivery[[#This Row],[Is Delayed]]</f>
        <v>0</v>
      </c>
    </row>
    <row r="182" spans="1:28">
      <c r="A182" t="s">
        <v>373</v>
      </c>
      <c r="B182" t="s">
        <v>142</v>
      </c>
      <c r="C182" t="s">
        <v>166</v>
      </c>
      <c r="D182" s="1">
        <v>45469</v>
      </c>
      <c r="E182" s="5">
        <v>0.77083333333333337</v>
      </c>
      <c r="F182" s="1">
        <v>45469</v>
      </c>
      <c r="G182" s="5">
        <v>0.78819444444444442</v>
      </c>
      <c r="H182">
        <v>25</v>
      </c>
      <c r="I182" t="s">
        <v>151</v>
      </c>
      <c r="J182" t="s">
        <v>144</v>
      </c>
      <c r="K182">
        <v>4</v>
      </c>
      <c r="L182">
        <v>4.5</v>
      </c>
      <c r="M182" t="s">
        <v>153</v>
      </c>
      <c r="N182" t="s">
        <v>145</v>
      </c>
      <c r="O182" t="b">
        <v>1</v>
      </c>
      <c r="P182" t="b">
        <v>0</v>
      </c>
      <c r="Q182" s="6">
        <v>5.5555555555555554</v>
      </c>
      <c r="R182" s="6">
        <v>0.88888888888888884</v>
      </c>
      <c r="S182" t="s">
        <v>367</v>
      </c>
      <c r="T182" t="s">
        <v>147</v>
      </c>
      <c r="U182" s="6">
        <v>10.8</v>
      </c>
      <c r="V182" s="6">
        <v>14.2</v>
      </c>
      <c r="W182" t="b">
        <v>0</v>
      </c>
      <c r="X182">
        <v>12</v>
      </c>
      <c r="Y182">
        <v>3</v>
      </c>
      <c r="Z182">
        <v>18</v>
      </c>
      <c r="AA182" s="6">
        <v>30.259433962264151</v>
      </c>
      <c r="AB182">
        <f>--PizzaDelivery[[#This Row],[Is Delayed]]</f>
        <v>0</v>
      </c>
    </row>
    <row r="183" spans="1:28">
      <c r="A183" t="s">
        <v>374</v>
      </c>
      <c r="B183" t="s">
        <v>149</v>
      </c>
      <c r="C183" t="s">
        <v>186</v>
      </c>
      <c r="D183" s="1">
        <v>45470</v>
      </c>
      <c r="E183" s="5">
        <v>0.83333333333333337</v>
      </c>
      <c r="F183" s="1">
        <v>45470</v>
      </c>
      <c r="G183" s="5">
        <v>0.85069444444444442</v>
      </c>
      <c r="H183">
        <v>25</v>
      </c>
      <c r="I183" t="s">
        <v>143</v>
      </c>
      <c r="J183" t="s">
        <v>152</v>
      </c>
      <c r="K183">
        <v>3</v>
      </c>
      <c r="L183">
        <v>3</v>
      </c>
      <c r="M183" t="s">
        <v>143</v>
      </c>
      <c r="N183" t="s">
        <v>162</v>
      </c>
      <c r="O183" t="b">
        <v>1</v>
      </c>
      <c r="P183" t="b">
        <v>0</v>
      </c>
      <c r="Q183" s="6">
        <v>8.3333333333333339</v>
      </c>
      <c r="R183" s="6">
        <v>1</v>
      </c>
      <c r="S183" t="s">
        <v>367</v>
      </c>
      <c r="T183" t="s">
        <v>147</v>
      </c>
      <c r="U183" s="6">
        <v>7.1999999999999993</v>
      </c>
      <c r="V183" s="6">
        <v>17.8</v>
      </c>
      <c r="W183" t="b">
        <v>0</v>
      </c>
      <c r="X183">
        <v>6</v>
      </c>
      <c r="Y183">
        <v>2</v>
      </c>
      <c r="Z183">
        <v>20</v>
      </c>
      <c r="AA183" s="6">
        <v>28.186274509803919</v>
      </c>
      <c r="AB183">
        <f>--PizzaDelivery[[#This Row],[Is Delayed]]</f>
        <v>0</v>
      </c>
    </row>
    <row r="184" spans="1:28">
      <c r="A184" t="s">
        <v>375</v>
      </c>
      <c r="B184" t="s">
        <v>157</v>
      </c>
      <c r="C184" t="s">
        <v>188</v>
      </c>
      <c r="D184" s="1">
        <v>45471</v>
      </c>
      <c r="E184" s="5">
        <v>0.80208333333333337</v>
      </c>
      <c r="F184" s="1">
        <v>45471</v>
      </c>
      <c r="G184" s="5">
        <v>0.81597222222222221</v>
      </c>
      <c r="H184">
        <v>20</v>
      </c>
      <c r="I184" t="s">
        <v>159</v>
      </c>
      <c r="J184" t="s">
        <v>160</v>
      </c>
      <c r="K184">
        <v>2</v>
      </c>
      <c r="L184">
        <v>2.5</v>
      </c>
      <c r="M184" t="s">
        <v>161</v>
      </c>
      <c r="N184" t="s">
        <v>169</v>
      </c>
      <c r="O184" t="b">
        <v>1</v>
      </c>
      <c r="P184" t="b">
        <v>0</v>
      </c>
      <c r="Q184" s="6">
        <v>8</v>
      </c>
      <c r="R184" s="6">
        <v>0.8</v>
      </c>
      <c r="S184" t="s">
        <v>367</v>
      </c>
      <c r="T184" t="s">
        <v>171</v>
      </c>
      <c r="U184" s="6">
        <v>6</v>
      </c>
      <c r="V184" s="6">
        <v>14</v>
      </c>
      <c r="W184" t="b">
        <v>0</v>
      </c>
      <c r="X184">
        <v>2</v>
      </c>
      <c r="Y184">
        <v>1</v>
      </c>
      <c r="Z184">
        <v>19</v>
      </c>
      <c r="AA184" s="6">
        <v>28.844221105527641</v>
      </c>
      <c r="AB184">
        <f>--PizzaDelivery[[#This Row],[Is Delayed]]</f>
        <v>0</v>
      </c>
    </row>
    <row r="185" spans="1:28">
      <c r="A185" t="s">
        <v>376</v>
      </c>
      <c r="B185" t="s">
        <v>165</v>
      </c>
      <c r="C185" t="s">
        <v>158</v>
      </c>
      <c r="D185" s="1">
        <v>45472</v>
      </c>
      <c r="E185" s="5">
        <v>0.82291666666666663</v>
      </c>
      <c r="F185" s="1">
        <v>45472</v>
      </c>
      <c r="G185" s="5">
        <v>0.84027777777777779</v>
      </c>
      <c r="H185">
        <v>25</v>
      </c>
      <c r="I185" t="s">
        <v>167</v>
      </c>
      <c r="J185" t="s">
        <v>168</v>
      </c>
      <c r="K185">
        <v>5</v>
      </c>
      <c r="L185">
        <v>4</v>
      </c>
      <c r="M185" t="s">
        <v>153</v>
      </c>
      <c r="N185" t="s">
        <v>154</v>
      </c>
      <c r="O185" t="b">
        <v>1</v>
      </c>
      <c r="P185" t="b">
        <v>1</v>
      </c>
      <c r="Q185" s="6">
        <v>6.25</v>
      </c>
      <c r="R185" s="6">
        <v>1.25</v>
      </c>
      <c r="S185" t="s">
        <v>367</v>
      </c>
      <c r="T185" t="s">
        <v>147</v>
      </c>
      <c r="U185" s="6">
        <v>9.6</v>
      </c>
      <c r="V185" s="6">
        <v>15.4</v>
      </c>
      <c r="W185" t="b">
        <v>0</v>
      </c>
      <c r="X185">
        <v>20</v>
      </c>
      <c r="Y185">
        <v>3</v>
      </c>
      <c r="Z185">
        <v>19</v>
      </c>
      <c r="AA185" s="6">
        <v>29.948453608247419</v>
      </c>
      <c r="AB185">
        <f>--PizzaDelivery[[#This Row],[Is Delayed]]</f>
        <v>0</v>
      </c>
    </row>
    <row r="186" spans="1:28">
      <c r="A186" t="s">
        <v>377</v>
      </c>
      <c r="B186" t="s">
        <v>173</v>
      </c>
      <c r="C186" t="s">
        <v>166</v>
      </c>
      <c r="D186" s="1">
        <v>45473</v>
      </c>
      <c r="E186" s="5">
        <v>0.54166666666666663</v>
      </c>
      <c r="F186" s="1">
        <v>45473</v>
      </c>
      <c r="G186" s="5">
        <v>0.55555555555555558</v>
      </c>
      <c r="H186">
        <v>20</v>
      </c>
      <c r="I186" t="s">
        <v>143</v>
      </c>
      <c r="J186" t="s">
        <v>152</v>
      </c>
      <c r="K186">
        <v>3</v>
      </c>
      <c r="L186">
        <v>3.5</v>
      </c>
      <c r="M186" t="s">
        <v>161</v>
      </c>
      <c r="N186" t="s">
        <v>145</v>
      </c>
      <c r="O186" t="b">
        <v>0</v>
      </c>
      <c r="P186" t="b">
        <v>1</v>
      </c>
      <c r="Q186" s="6">
        <v>5.7142857142857144</v>
      </c>
      <c r="R186" s="6">
        <v>0.8571428571428571</v>
      </c>
      <c r="S186" t="s">
        <v>367</v>
      </c>
      <c r="T186" t="s">
        <v>147</v>
      </c>
      <c r="U186" s="6">
        <v>8.4</v>
      </c>
      <c r="V186" s="6">
        <v>11.6</v>
      </c>
      <c r="W186" t="b">
        <v>0</v>
      </c>
      <c r="X186">
        <v>6</v>
      </c>
      <c r="Y186">
        <v>1</v>
      </c>
      <c r="Z186">
        <v>13</v>
      </c>
      <c r="AA186" s="6">
        <v>30.286458333333329</v>
      </c>
      <c r="AB186">
        <f>--PizzaDelivery[[#This Row],[Is Delayed]]</f>
        <v>0</v>
      </c>
    </row>
    <row r="187" spans="1:28">
      <c r="A187" t="s">
        <v>378</v>
      </c>
      <c r="B187" t="s">
        <v>142</v>
      </c>
      <c r="C187" t="s">
        <v>150</v>
      </c>
      <c r="D187" s="1">
        <v>45474</v>
      </c>
      <c r="E187" s="5">
        <v>0.77083333333333337</v>
      </c>
      <c r="F187" s="1">
        <v>45474</v>
      </c>
      <c r="G187" s="5">
        <v>0.78472222222222221</v>
      </c>
      <c r="H187">
        <v>20</v>
      </c>
      <c r="I187" t="s">
        <v>151</v>
      </c>
      <c r="J187" t="s">
        <v>144</v>
      </c>
      <c r="K187">
        <v>4</v>
      </c>
      <c r="L187">
        <v>4.5</v>
      </c>
      <c r="M187" t="s">
        <v>143</v>
      </c>
      <c r="N187" t="s">
        <v>162</v>
      </c>
      <c r="O187" t="b">
        <v>1</v>
      </c>
      <c r="P187" t="b">
        <v>0</v>
      </c>
      <c r="Q187" s="6">
        <v>4.4444444444444446</v>
      </c>
      <c r="R187" s="6">
        <v>0.88888888888888884</v>
      </c>
      <c r="S187" t="s">
        <v>379</v>
      </c>
      <c r="T187" t="s">
        <v>147</v>
      </c>
      <c r="U187" s="6">
        <v>10.8</v>
      </c>
      <c r="V187" s="6">
        <v>9.2000000000000011</v>
      </c>
      <c r="W187" t="b">
        <v>0</v>
      </c>
      <c r="X187">
        <v>12</v>
      </c>
      <c r="Y187">
        <v>2</v>
      </c>
      <c r="Z187">
        <v>18</v>
      </c>
      <c r="AA187" s="6">
        <v>30.259433962264151</v>
      </c>
      <c r="AB187">
        <f>--PizzaDelivery[[#This Row],[Is Delayed]]</f>
        <v>0</v>
      </c>
    </row>
    <row r="188" spans="1:28">
      <c r="A188" t="s">
        <v>380</v>
      </c>
      <c r="B188" t="s">
        <v>149</v>
      </c>
      <c r="C188" t="s">
        <v>192</v>
      </c>
      <c r="D188" s="1">
        <v>45475</v>
      </c>
      <c r="E188" s="5">
        <v>0.84375</v>
      </c>
      <c r="F188" s="1">
        <v>45475</v>
      </c>
      <c r="G188" s="5">
        <v>0.86111111111111116</v>
      </c>
      <c r="H188">
        <v>25</v>
      </c>
      <c r="I188" t="s">
        <v>159</v>
      </c>
      <c r="J188" t="s">
        <v>160</v>
      </c>
      <c r="K188">
        <v>2</v>
      </c>
      <c r="L188">
        <v>2</v>
      </c>
      <c r="M188" t="s">
        <v>153</v>
      </c>
      <c r="N188" t="s">
        <v>169</v>
      </c>
      <c r="O188" t="b">
        <v>1</v>
      </c>
      <c r="P188" t="b">
        <v>0</v>
      </c>
      <c r="Q188" s="6">
        <v>12.5</v>
      </c>
      <c r="R188" s="6">
        <v>1</v>
      </c>
      <c r="S188" t="s">
        <v>379</v>
      </c>
      <c r="T188" t="s">
        <v>171</v>
      </c>
      <c r="U188" s="6">
        <v>4.8</v>
      </c>
      <c r="V188" s="6">
        <v>20.2</v>
      </c>
      <c r="W188" t="b">
        <v>0</v>
      </c>
      <c r="X188">
        <v>2</v>
      </c>
      <c r="Y188">
        <v>3</v>
      </c>
      <c r="Z188">
        <v>20</v>
      </c>
      <c r="AA188" s="6">
        <v>28.186274509803919</v>
      </c>
      <c r="AB188">
        <f>--PizzaDelivery[[#This Row],[Is Delayed]]</f>
        <v>0</v>
      </c>
    </row>
    <row r="189" spans="1:28">
      <c r="A189" t="s">
        <v>381</v>
      </c>
      <c r="B189" t="s">
        <v>157</v>
      </c>
      <c r="C189" t="s">
        <v>194</v>
      </c>
      <c r="D189" s="1">
        <v>45476</v>
      </c>
      <c r="E189" s="5">
        <v>0.77083333333333337</v>
      </c>
      <c r="F189" s="1">
        <v>45476</v>
      </c>
      <c r="G189" s="5">
        <v>0.78472222222222221</v>
      </c>
      <c r="H189">
        <v>20</v>
      </c>
      <c r="I189" t="s">
        <v>143</v>
      </c>
      <c r="J189" t="s">
        <v>152</v>
      </c>
      <c r="K189">
        <v>3</v>
      </c>
      <c r="L189">
        <v>3.5</v>
      </c>
      <c r="M189" t="s">
        <v>161</v>
      </c>
      <c r="N189" t="s">
        <v>154</v>
      </c>
      <c r="O189" t="b">
        <v>1</v>
      </c>
      <c r="P189" t="b">
        <v>0</v>
      </c>
      <c r="Q189" s="6">
        <v>5.7142857142857144</v>
      </c>
      <c r="R189" s="6">
        <v>0.8571428571428571</v>
      </c>
      <c r="S189" t="s">
        <v>379</v>
      </c>
      <c r="T189" t="s">
        <v>147</v>
      </c>
      <c r="U189" s="6">
        <v>8.4</v>
      </c>
      <c r="V189" s="6">
        <v>11.6</v>
      </c>
      <c r="W189" t="b">
        <v>0</v>
      </c>
      <c r="X189">
        <v>6</v>
      </c>
      <c r="Y189">
        <v>1</v>
      </c>
      <c r="Z189">
        <v>18</v>
      </c>
      <c r="AA189" s="6">
        <v>28.844221105527641</v>
      </c>
      <c r="AB189">
        <f>--PizzaDelivery[[#This Row],[Is Delayed]]</f>
        <v>0</v>
      </c>
    </row>
    <row r="190" spans="1:28">
      <c r="A190" t="s">
        <v>382</v>
      </c>
      <c r="B190" t="s">
        <v>165</v>
      </c>
      <c r="C190" t="s">
        <v>174</v>
      </c>
      <c r="D190" s="1">
        <v>45477</v>
      </c>
      <c r="E190" s="5">
        <v>0.82291666666666663</v>
      </c>
      <c r="F190" s="1">
        <v>45477</v>
      </c>
      <c r="G190" s="5">
        <v>0.84027777777777779</v>
      </c>
      <c r="H190">
        <v>25</v>
      </c>
      <c r="I190" t="s">
        <v>167</v>
      </c>
      <c r="J190" t="s">
        <v>168</v>
      </c>
      <c r="K190">
        <v>5</v>
      </c>
      <c r="L190">
        <v>4</v>
      </c>
      <c r="M190" t="s">
        <v>143</v>
      </c>
      <c r="N190" t="s">
        <v>145</v>
      </c>
      <c r="O190" t="b">
        <v>1</v>
      </c>
      <c r="P190" t="b">
        <v>0</v>
      </c>
      <c r="Q190" s="6">
        <v>6.25</v>
      </c>
      <c r="R190" s="6">
        <v>1.25</v>
      </c>
      <c r="S190" t="s">
        <v>379</v>
      </c>
      <c r="T190" t="s">
        <v>147</v>
      </c>
      <c r="U190" s="6">
        <v>9.6</v>
      </c>
      <c r="V190" s="6">
        <v>15.4</v>
      </c>
      <c r="W190" t="b">
        <v>0</v>
      </c>
      <c r="X190">
        <v>20</v>
      </c>
      <c r="Y190">
        <v>2</v>
      </c>
      <c r="Z190">
        <v>19</v>
      </c>
      <c r="AA190" s="6">
        <v>29.948453608247419</v>
      </c>
      <c r="AB190">
        <f>--PizzaDelivery[[#This Row],[Is Delayed]]</f>
        <v>0</v>
      </c>
    </row>
    <row r="191" spans="1:28">
      <c r="A191" t="s">
        <v>383</v>
      </c>
      <c r="B191" t="s">
        <v>173</v>
      </c>
      <c r="C191" t="s">
        <v>190</v>
      </c>
      <c r="D191" s="1">
        <v>45478</v>
      </c>
      <c r="E191" s="5">
        <v>0.54166666666666663</v>
      </c>
      <c r="F191" s="1">
        <v>45478</v>
      </c>
      <c r="G191" s="5">
        <v>0.55555555555555558</v>
      </c>
      <c r="H191">
        <v>20</v>
      </c>
      <c r="I191" t="s">
        <v>143</v>
      </c>
      <c r="J191" t="s">
        <v>152</v>
      </c>
      <c r="K191">
        <v>3</v>
      </c>
      <c r="L191">
        <v>3.5</v>
      </c>
      <c r="M191" t="s">
        <v>153</v>
      </c>
      <c r="N191" t="s">
        <v>162</v>
      </c>
      <c r="O191" t="b">
        <v>0</v>
      </c>
      <c r="P191" t="b">
        <v>0</v>
      </c>
      <c r="Q191" s="6">
        <v>5.7142857142857144</v>
      </c>
      <c r="R191" s="6">
        <v>0.8571428571428571</v>
      </c>
      <c r="S191" t="s">
        <v>379</v>
      </c>
      <c r="T191" t="s">
        <v>147</v>
      </c>
      <c r="U191" s="6">
        <v>8.4</v>
      </c>
      <c r="V191" s="6">
        <v>11.6</v>
      </c>
      <c r="W191" t="b">
        <v>0</v>
      </c>
      <c r="X191">
        <v>6</v>
      </c>
      <c r="Y191">
        <v>3</v>
      </c>
      <c r="Z191">
        <v>13</v>
      </c>
      <c r="AA191" s="6">
        <v>30.286458333333329</v>
      </c>
      <c r="AB191">
        <f>--PizzaDelivery[[#This Row],[Is Delayed]]</f>
        <v>0</v>
      </c>
    </row>
    <row r="192" spans="1:28">
      <c r="A192" t="s">
        <v>384</v>
      </c>
      <c r="B192" t="s">
        <v>142</v>
      </c>
      <c r="C192" t="s">
        <v>192</v>
      </c>
      <c r="D192" s="1">
        <v>45479</v>
      </c>
      <c r="E192" s="5">
        <v>0.77083333333333337</v>
      </c>
      <c r="F192" s="1">
        <v>45479</v>
      </c>
      <c r="G192" s="5">
        <v>0.78472222222222221</v>
      </c>
      <c r="H192">
        <v>20</v>
      </c>
      <c r="I192" t="s">
        <v>151</v>
      </c>
      <c r="J192" t="s">
        <v>144</v>
      </c>
      <c r="K192">
        <v>4</v>
      </c>
      <c r="L192">
        <v>4.5</v>
      </c>
      <c r="M192" t="s">
        <v>161</v>
      </c>
      <c r="N192" t="s">
        <v>169</v>
      </c>
      <c r="O192" t="b">
        <v>1</v>
      </c>
      <c r="P192" t="b">
        <v>1</v>
      </c>
      <c r="Q192" s="6">
        <v>4.4444444444444446</v>
      </c>
      <c r="R192" s="6">
        <v>0.88888888888888884</v>
      </c>
      <c r="S192" t="s">
        <v>379</v>
      </c>
      <c r="T192" t="s">
        <v>171</v>
      </c>
      <c r="U192" s="6">
        <v>10.8</v>
      </c>
      <c r="V192" s="6">
        <v>9.2000000000000011</v>
      </c>
      <c r="W192" t="b">
        <v>0</v>
      </c>
      <c r="X192">
        <v>12</v>
      </c>
      <c r="Y192">
        <v>1</v>
      </c>
      <c r="Z192">
        <v>18</v>
      </c>
      <c r="AA192" s="6">
        <v>30.259433962264151</v>
      </c>
      <c r="AB192">
        <f>--PizzaDelivery[[#This Row],[Is Delayed]]</f>
        <v>0</v>
      </c>
    </row>
    <row r="193" spans="1:28">
      <c r="A193" t="s">
        <v>385</v>
      </c>
      <c r="B193" t="s">
        <v>149</v>
      </c>
      <c r="C193" t="s">
        <v>194</v>
      </c>
      <c r="D193" s="1">
        <v>45480</v>
      </c>
      <c r="E193" s="5">
        <v>0.84375</v>
      </c>
      <c r="F193" s="1">
        <v>45480</v>
      </c>
      <c r="G193" s="5">
        <v>0.86111111111111116</v>
      </c>
      <c r="H193">
        <v>25</v>
      </c>
      <c r="I193" t="s">
        <v>159</v>
      </c>
      <c r="J193" t="s">
        <v>160</v>
      </c>
      <c r="K193">
        <v>2</v>
      </c>
      <c r="L193">
        <v>2</v>
      </c>
      <c r="M193" t="s">
        <v>153</v>
      </c>
      <c r="N193" t="s">
        <v>154</v>
      </c>
      <c r="O193" t="b">
        <v>1</v>
      </c>
      <c r="P193" t="b">
        <v>1</v>
      </c>
      <c r="Q193" s="6">
        <v>12.5</v>
      </c>
      <c r="R193" s="6">
        <v>1</v>
      </c>
      <c r="S193" t="s">
        <v>379</v>
      </c>
      <c r="T193" t="s">
        <v>147</v>
      </c>
      <c r="U193" s="6">
        <v>4.8</v>
      </c>
      <c r="V193" s="6">
        <v>20.2</v>
      </c>
      <c r="W193" t="b">
        <v>0</v>
      </c>
      <c r="X193">
        <v>2</v>
      </c>
      <c r="Y193">
        <v>3</v>
      </c>
      <c r="Z193">
        <v>20</v>
      </c>
      <c r="AA193" s="6">
        <v>28.186274509803919</v>
      </c>
      <c r="AB193">
        <f>--PizzaDelivery[[#This Row],[Is Delayed]]</f>
        <v>0</v>
      </c>
    </row>
    <row r="194" spans="1:28">
      <c r="A194" t="s">
        <v>386</v>
      </c>
      <c r="B194" t="s">
        <v>157</v>
      </c>
      <c r="C194" t="s">
        <v>174</v>
      </c>
      <c r="D194" s="1">
        <v>45481</v>
      </c>
      <c r="E194" s="5">
        <v>0.77083333333333337</v>
      </c>
      <c r="F194" s="1">
        <v>45481</v>
      </c>
      <c r="G194" s="5">
        <v>0.78472222222222221</v>
      </c>
      <c r="H194">
        <v>20</v>
      </c>
      <c r="I194" t="s">
        <v>143</v>
      </c>
      <c r="J194" t="s">
        <v>152</v>
      </c>
      <c r="K194">
        <v>3</v>
      </c>
      <c r="L194">
        <v>3</v>
      </c>
      <c r="M194" t="s">
        <v>153</v>
      </c>
      <c r="N194" t="s">
        <v>162</v>
      </c>
      <c r="O194" t="b">
        <v>1</v>
      </c>
      <c r="P194" t="b">
        <v>0</v>
      </c>
      <c r="Q194" s="6">
        <v>6.666666666666667</v>
      </c>
      <c r="R194" s="6">
        <v>1</v>
      </c>
      <c r="S194" t="s">
        <v>379</v>
      </c>
      <c r="T194" t="s">
        <v>147</v>
      </c>
      <c r="U194" s="6">
        <v>7.1999999999999993</v>
      </c>
      <c r="V194" s="6">
        <v>12.8</v>
      </c>
      <c r="W194" t="b">
        <v>0</v>
      </c>
      <c r="X194">
        <v>6</v>
      </c>
      <c r="Y194">
        <v>3</v>
      </c>
      <c r="Z194">
        <v>18</v>
      </c>
      <c r="AA194" s="6">
        <v>28.844221105527641</v>
      </c>
      <c r="AB194">
        <f>--PizzaDelivery[[#This Row],[Is Delayed]]</f>
        <v>0</v>
      </c>
    </row>
    <row r="195" spans="1:28">
      <c r="A195" t="s">
        <v>387</v>
      </c>
      <c r="B195" t="s">
        <v>165</v>
      </c>
      <c r="C195" t="s">
        <v>150</v>
      </c>
      <c r="D195" s="1">
        <v>45482</v>
      </c>
      <c r="E195" s="5">
        <v>0.82291666666666663</v>
      </c>
      <c r="F195" s="1">
        <v>45482</v>
      </c>
      <c r="G195" s="5">
        <v>0.84027777777777779</v>
      </c>
      <c r="H195">
        <v>25</v>
      </c>
      <c r="I195" t="s">
        <v>167</v>
      </c>
      <c r="J195" t="s">
        <v>168</v>
      </c>
      <c r="K195">
        <v>5</v>
      </c>
      <c r="L195">
        <v>4.5</v>
      </c>
      <c r="M195" t="s">
        <v>161</v>
      </c>
      <c r="N195" t="s">
        <v>169</v>
      </c>
      <c r="O195" t="b">
        <v>1</v>
      </c>
      <c r="P195" t="b">
        <v>0</v>
      </c>
      <c r="Q195" s="6">
        <v>5.5555555555555554</v>
      </c>
      <c r="R195" s="6">
        <v>1.1111111111111109</v>
      </c>
      <c r="S195" t="s">
        <v>379</v>
      </c>
      <c r="T195" t="s">
        <v>171</v>
      </c>
      <c r="U195" s="6">
        <v>10.8</v>
      </c>
      <c r="V195" s="6">
        <v>14.2</v>
      </c>
      <c r="W195" t="b">
        <v>0</v>
      </c>
      <c r="X195">
        <v>20</v>
      </c>
      <c r="Y195">
        <v>1</v>
      </c>
      <c r="Z195">
        <v>19</v>
      </c>
      <c r="AA195" s="6">
        <v>29.948453608247419</v>
      </c>
      <c r="AB195">
        <f>--PizzaDelivery[[#This Row],[Is Delayed]]</f>
        <v>0</v>
      </c>
    </row>
    <row r="196" spans="1:28">
      <c r="A196" t="s">
        <v>388</v>
      </c>
      <c r="B196" t="s">
        <v>173</v>
      </c>
      <c r="C196" t="s">
        <v>158</v>
      </c>
      <c r="D196" s="1">
        <v>45483</v>
      </c>
      <c r="E196" s="5">
        <v>0.54166666666666663</v>
      </c>
      <c r="F196" s="1">
        <v>45483</v>
      </c>
      <c r="G196" s="5">
        <v>0.55555555555555558</v>
      </c>
      <c r="H196">
        <v>20</v>
      </c>
      <c r="I196" t="s">
        <v>143</v>
      </c>
      <c r="J196" t="s">
        <v>152</v>
      </c>
      <c r="K196">
        <v>3</v>
      </c>
      <c r="L196">
        <v>3.5</v>
      </c>
      <c r="M196" t="s">
        <v>143</v>
      </c>
      <c r="N196" t="s">
        <v>154</v>
      </c>
      <c r="O196" t="b">
        <v>0</v>
      </c>
      <c r="P196" t="b">
        <v>0</v>
      </c>
      <c r="Q196" s="6">
        <v>5.7142857142857144</v>
      </c>
      <c r="R196" s="6">
        <v>0.8571428571428571</v>
      </c>
      <c r="S196" t="s">
        <v>379</v>
      </c>
      <c r="T196" t="s">
        <v>147</v>
      </c>
      <c r="U196" s="6">
        <v>8.4</v>
      </c>
      <c r="V196" s="6">
        <v>11.6</v>
      </c>
      <c r="W196" t="b">
        <v>0</v>
      </c>
      <c r="X196">
        <v>6</v>
      </c>
      <c r="Y196">
        <v>2</v>
      </c>
      <c r="Z196">
        <v>13</v>
      </c>
      <c r="AA196" s="6">
        <v>30.286458333333329</v>
      </c>
      <c r="AB196">
        <f>--PizzaDelivery[[#This Row],[Is Delayed]]</f>
        <v>0</v>
      </c>
    </row>
    <row r="197" spans="1:28">
      <c r="A197" t="s">
        <v>389</v>
      </c>
      <c r="B197" t="s">
        <v>142</v>
      </c>
      <c r="C197" t="s">
        <v>166</v>
      </c>
      <c r="D197" s="1">
        <v>45484</v>
      </c>
      <c r="E197" s="5">
        <v>0.77083333333333337</v>
      </c>
      <c r="F197" s="1">
        <v>45484</v>
      </c>
      <c r="G197" s="5">
        <v>0.78472222222222221</v>
      </c>
      <c r="H197">
        <v>20</v>
      </c>
      <c r="I197" t="s">
        <v>151</v>
      </c>
      <c r="J197" t="s">
        <v>144</v>
      </c>
      <c r="K197">
        <v>4</v>
      </c>
      <c r="L197">
        <v>4</v>
      </c>
      <c r="M197" t="s">
        <v>153</v>
      </c>
      <c r="N197" t="s">
        <v>145</v>
      </c>
      <c r="O197" t="b">
        <v>1</v>
      </c>
      <c r="P197" t="b">
        <v>0</v>
      </c>
      <c r="Q197" s="6">
        <v>5</v>
      </c>
      <c r="R197" s="6">
        <v>1</v>
      </c>
      <c r="S197" t="s">
        <v>379</v>
      </c>
      <c r="T197" t="s">
        <v>147</v>
      </c>
      <c r="U197" s="6">
        <v>9.6</v>
      </c>
      <c r="V197" s="6">
        <v>10.4</v>
      </c>
      <c r="W197" t="b">
        <v>0</v>
      </c>
      <c r="X197">
        <v>12</v>
      </c>
      <c r="Y197">
        <v>3</v>
      </c>
      <c r="Z197">
        <v>18</v>
      </c>
      <c r="AA197" s="6">
        <v>30.259433962264151</v>
      </c>
      <c r="AB197">
        <f>--PizzaDelivery[[#This Row],[Is Delayed]]</f>
        <v>0</v>
      </c>
    </row>
    <row r="198" spans="1:28">
      <c r="A198" t="s">
        <v>390</v>
      </c>
      <c r="B198" t="s">
        <v>149</v>
      </c>
      <c r="C198" t="s">
        <v>174</v>
      </c>
      <c r="D198" s="1">
        <v>45485</v>
      </c>
      <c r="E198" s="5">
        <v>0.83333333333333337</v>
      </c>
      <c r="F198" s="1">
        <v>45485</v>
      </c>
      <c r="G198" s="5">
        <v>0.85069444444444442</v>
      </c>
      <c r="H198">
        <v>25</v>
      </c>
      <c r="I198" t="s">
        <v>143</v>
      </c>
      <c r="J198" t="s">
        <v>152</v>
      </c>
      <c r="K198">
        <v>3</v>
      </c>
      <c r="L198">
        <v>3</v>
      </c>
      <c r="M198" t="s">
        <v>161</v>
      </c>
      <c r="N198" t="s">
        <v>162</v>
      </c>
      <c r="O198" t="b">
        <v>1</v>
      </c>
      <c r="P198" t="b">
        <v>0</v>
      </c>
      <c r="Q198" s="6">
        <v>8.3333333333333339</v>
      </c>
      <c r="R198" s="6">
        <v>1</v>
      </c>
      <c r="S198" t="s">
        <v>379</v>
      </c>
      <c r="T198" t="s">
        <v>147</v>
      </c>
      <c r="U198" s="6">
        <v>7.1999999999999993</v>
      </c>
      <c r="V198" s="6">
        <v>17.8</v>
      </c>
      <c r="W198" t="b">
        <v>0</v>
      </c>
      <c r="X198">
        <v>6</v>
      </c>
      <c r="Y198">
        <v>1</v>
      </c>
      <c r="Z198">
        <v>20</v>
      </c>
      <c r="AA198" s="6">
        <v>28.186274509803919</v>
      </c>
      <c r="AB198">
        <f>--PizzaDelivery[[#This Row],[Is Delayed]]</f>
        <v>0</v>
      </c>
    </row>
    <row r="199" spans="1:28">
      <c r="A199" t="s">
        <v>391</v>
      </c>
      <c r="B199" t="s">
        <v>157</v>
      </c>
      <c r="C199" t="s">
        <v>184</v>
      </c>
      <c r="D199" s="1">
        <v>45486</v>
      </c>
      <c r="E199" s="5">
        <v>0.80208333333333337</v>
      </c>
      <c r="F199" s="1">
        <v>45486</v>
      </c>
      <c r="G199" s="5">
        <v>0.81597222222222221</v>
      </c>
      <c r="H199">
        <v>20</v>
      </c>
      <c r="I199" t="s">
        <v>159</v>
      </c>
      <c r="J199" t="s">
        <v>160</v>
      </c>
      <c r="K199">
        <v>2</v>
      </c>
      <c r="L199">
        <v>2.5</v>
      </c>
      <c r="M199" t="s">
        <v>161</v>
      </c>
      <c r="N199" t="s">
        <v>169</v>
      </c>
      <c r="O199" t="b">
        <v>1</v>
      </c>
      <c r="P199" t="b">
        <v>1</v>
      </c>
      <c r="Q199" s="6">
        <v>8</v>
      </c>
      <c r="R199" s="6">
        <v>0.8</v>
      </c>
      <c r="S199" t="s">
        <v>379</v>
      </c>
      <c r="T199" t="s">
        <v>171</v>
      </c>
      <c r="U199" s="6">
        <v>6</v>
      </c>
      <c r="V199" s="6">
        <v>14</v>
      </c>
      <c r="W199" t="b">
        <v>0</v>
      </c>
      <c r="X199">
        <v>2</v>
      </c>
      <c r="Y199">
        <v>1</v>
      </c>
      <c r="Z199">
        <v>19</v>
      </c>
      <c r="AA199" s="6">
        <v>28.844221105527641</v>
      </c>
      <c r="AB199">
        <f>--PizzaDelivery[[#This Row],[Is Delayed]]</f>
        <v>0</v>
      </c>
    </row>
    <row r="200" spans="1:28">
      <c r="A200" t="s">
        <v>392</v>
      </c>
      <c r="B200" t="s">
        <v>165</v>
      </c>
      <c r="C200" t="s">
        <v>186</v>
      </c>
      <c r="D200" s="1">
        <v>45487</v>
      </c>
      <c r="E200" s="5">
        <v>0.82291666666666663</v>
      </c>
      <c r="F200" s="1">
        <v>45487</v>
      </c>
      <c r="G200" s="5">
        <v>0.84027777777777779</v>
      </c>
      <c r="H200">
        <v>25</v>
      </c>
      <c r="I200" t="s">
        <v>167</v>
      </c>
      <c r="J200" t="s">
        <v>168</v>
      </c>
      <c r="K200">
        <v>5</v>
      </c>
      <c r="L200">
        <v>4.5</v>
      </c>
      <c r="M200" t="s">
        <v>153</v>
      </c>
      <c r="N200" t="s">
        <v>154</v>
      </c>
      <c r="O200" t="b">
        <v>1</v>
      </c>
      <c r="P200" t="b">
        <v>1</v>
      </c>
      <c r="Q200" s="6">
        <v>5.5555555555555554</v>
      </c>
      <c r="R200" s="6">
        <v>1.1111111111111109</v>
      </c>
      <c r="S200" t="s">
        <v>379</v>
      </c>
      <c r="T200" t="s">
        <v>147</v>
      </c>
      <c r="U200" s="6">
        <v>10.8</v>
      </c>
      <c r="V200" s="6">
        <v>14.2</v>
      </c>
      <c r="W200" t="b">
        <v>0</v>
      </c>
      <c r="X200">
        <v>20</v>
      </c>
      <c r="Y200">
        <v>3</v>
      </c>
      <c r="Z200">
        <v>19</v>
      </c>
      <c r="AA200" s="6">
        <v>29.948453608247419</v>
      </c>
      <c r="AB200">
        <f>--PizzaDelivery[[#This Row],[Is Delayed]]</f>
        <v>0</v>
      </c>
    </row>
    <row r="201" spans="1:28">
      <c r="A201" t="s">
        <v>393</v>
      </c>
      <c r="B201" t="s">
        <v>173</v>
      </c>
      <c r="C201" t="s">
        <v>188</v>
      </c>
      <c r="D201" s="1">
        <v>45488</v>
      </c>
      <c r="E201" s="5">
        <v>0.54166666666666663</v>
      </c>
      <c r="F201" s="1">
        <v>45488</v>
      </c>
      <c r="G201" s="5">
        <v>0.55555555555555558</v>
      </c>
      <c r="H201">
        <v>20</v>
      </c>
      <c r="I201" t="s">
        <v>143</v>
      </c>
      <c r="J201" t="s">
        <v>152</v>
      </c>
      <c r="K201">
        <v>3</v>
      </c>
      <c r="L201">
        <v>3</v>
      </c>
      <c r="M201" t="s">
        <v>143</v>
      </c>
      <c r="N201" t="s">
        <v>145</v>
      </c>
      <c r="O201" t="b">
        <v>0</v>
      </c>
      <c r="P201" t="b">
        <v>0</v>
      </c>
      <c r="Q201" s="6">
        <v>6.666666666666667</v>
      </c>
      <c r="R201" s="6">
        <v>1</v>
      </c>
      <c r="S201" t="s">
        <v>379</v>
      </c>
      <c r="T201" t="s">
        <v>147</v>
      </c>
      <c r="U201" s="6">
        <v>7.1999999999999993</v>
      </c>
      <c r="V201" s="6">
        <v>12.8</v>
      </c>
      <c r="W201" t="b">
        <v>0</v>
      </c>
      <c r="X201">
        <v>6</v>
      </c>
      <c r="Y201">
        <v>2</v>
      </c>
      <c r="Z201">
        <v>13</v>
      </c>
      <c r="AA201" s="6">
        <v>30.286458333333329</v>
      </c>
      <c r="AB201">
        <f>--PizzaDelivery[[#This Row],[Is Delayed]]</f>
        <v>0</v>
      </c>
    </row>
    <row r="202" spans="1:28">
      <c r="A202" t="s">
        <v>394</v>
      </c>
      <c r="B202" t="s">
        <v>142</v>
      </c>
      <c r="C202" t="s">
        <v>40</v>
      </c>
      <c r="D202" s="1">
        <v>45489</v>
      </c>
      <c r="E202" s="5">
        <v>0.77083333333333337</v>
      </c>
      <c r="F202" s="1">
        <v>45489</v>
      </c>
      <c r="G202" s="5">
        <v>0.78819444444444442</v>
      </c>
      <c r="H202">
        <v>25</v>
      </c>
      <c r="I202" t="s">
        <v>151</v>
      </c>
      <c r="J202" t="s">
        <v>144</v>
      </c>
      <c r="K202">
        <v>3</v>
      </c>
      <c r="L202">
        <v>5</v>
      </c>
      <c r="M202" t="s">
        <v>153</v>
      </c>
      <c r="N202" t="s">
        <v>145</v>
      </c>
      <c r="O202" t="b">
        <v>1</v>
      </c>
      <c r="P202" t="b">
        <v>0</v>
      </c>
      <c r="Q202" s="6">
        <v>5</v>
      </c>
      <c r="R202" s="6">
        <v>0.6</v>
      </c>
      <c r="S202" t="s">
        <v>379</v>
      </c>
      <c r="T202" t="s">
        <v>147</v>
      </c>
      <c r="U202" s="6">
        <v>12</v>
      </c>
      <c r="V202" s="6">
        <v>13</v>
      </c>
      <c r="W202" t="b">
        <v>0</v>
      </c>
      <c r="X202">
        <v>9</v>
      </c>
      <c r="Y202">
        <v>3</v>
      </c>
      <c r="Z202">
        <v>18</v>
      </c>
      <c r="AA202" s="6">
        <v>30.259433962264151</v>
      </c>
      <c r="AB202">
        <f>--PizzaDelivery[[#This Row],[Is Delayed]]</f>
        <v>0</v>
      </c>
    </row>
    <row r="203" spans="1:28">
      <c r="A203" t="s">
        <v>395</v>
      </c>
      <c r="B203" t="s">
        <v>149</v>
      </c>
      <c r="C203" t="s">
        <v>150</v>
      </c>
      <c r="D203" s="1">
        <v>45490</v>
      </c>
      <c r="E203" s="5">
        <v>0.79166666666666663</v>
      </c>
      <c r="F203" s="1">
        <v>45490</v>
      </c>
      <c r="G203" s="5">
        <v>0.8125</v>
      </c>
      <c r="H203">
        <v>30</v>
      </c>
      <c r="I203" t="s">
        <v>143</v>
      </c>
      <c r="J203" t="s">
        <v>152</v>
      </c>
      <c r="K203">
        <v>4</v>
      </c>
      <c r="L203">
        <v>3.5</v>
      </c>
      <c r="M203" t="s">
        <v>143</v>
      </c>
      <c r="N203" t="s">
        <v>162</v>
      </c>
      <c r="O203" t="b">
        <v>1</v>
      </c>
      <c r="P203" t="b">
        <v>0</v>
      </c>
      <c r="Q203" s="6">
        <v>8.5714285714285712</v>
      </c>
      <c r="R203" s="6">
        <v>1.142857142857143</v>
      </c>
      <c r="S203" t="s">
        <v>379</v>
      </c>
      <c r="T203" t="s">
        <v>147</v>
      </c>
      <c r="U203" s="6">
        <v>8.4</v>
      </c>
      <c r="V203" s="6">
        <v>21.6</v>
      </c>
      <c r="W203" t="b">
        <v>0</v>
      </c>
      <c r="X203">
        <v>8</v>
      </c>
      <c r="Y203">
        <v>2</v>
      </c>
      <c r="Z203">
        <v>19</v>
      </c>
      <c r="AA203" s="6">
        <v>28.186274509803919</v>
      </c>
      <c r="AB203">
        <f>--PizzaDelivery[[#This Row],[Is Delayed]]</f>
        <v>0</v>
      </c>
    </row>
    <row r="204" spans="1:28">
      <c r="A204" t="s">
        <v>396</v>
      </c>
      <c r="B204" t="s">
        <v>157</v>
      </c>
      <c r="C204" t="s">
        <v>158</v>
      </c>
      <c r="D204" s="1">
        <v>45491</v>
      </c>
      <c r="E204" s="5">
        <v>0.84375</v>
      </c>
      <c r="F204" s="1">
        <v>45491</v>
      </c>
      <c r="G204" s="5">
        <v>0.86111111111111116</v>
      </c>
      <c r="H204">
        <v>25</v>
      </c>
      <c r="I204" t="s">
        <v>159</v>
      </c>
      <c r="J204" t="s">
        <v>160</v>
      </c>
      <c r="K204">
        <v>2</v>
      </c>
      <c r="L204">
        <v>4</v>
      </c>
      <c r="M204" t="s">
        <v>161</v>
      </c>
      <c r="N204" t="s">
        <v>169</v>
      </c>
      <c r="O204" t="b">
        <v>1</v>
      </c>
      <c r="P204" t="b">
        <v>0</v>
      </c>
      <c r="Q204" s="6">
        <v>6.25</v>
      </c>
      <c r="R204" s="6">
        <v>0.5</v>
      </c>
      <c r="S204" t="s">
        <v>379</v>
      </c>
      <c r="T204" t="s">
        <v>171</v>
      </c>
      <c r="U204" s="6">
        <v>9.6</v>
      </c>
      <c r="V204" s="6">
        <v>15.4</v>
      </c>
      <c r="W204" t="b">
        <v>0</v>
      </c>
      <c r="X204">
        <v>2</v>
      </c>
      <c r="Y204">
        <v>1</v>
      </c>
      <c r="Z204">
        <v>20</v>
      </c>
      <c r="AA204" s="6">
        <v>28.844221105527641</v>
      </c>
      <c r="AB204">
        <f>--PizzaDelivery[[#This Row],[Is Delayed]]</f>
        <v>0</v>
      </c>
    </row>
    <row r="205" spans="1:28">
      <c r="A205" t="s">
        <v>397</v>
      </c>
      <c r="B205" t="s">
        <v>165</v>
      </c>
      <c r="C205" t="s">
        <v>184</v>
      </c>
      <c r="D205" s="1">
        <v>45492</v>
      </c>
      <c r="E205" s="5">
        <v>0.82291666666666663</v>
      </c>
      <c r="F205" s="1">
        <v>45492</v>
      </c>
      <c r="G205" s="5">
        <v>0.84027777777777779</v>
      </c>
      <c r="H205">
        <v>25</v>
      </c>
      <c r="I205" t="s">
        <v>167</v>
      </c>
      <c r="J205" t="s">
        <v>168</v>
      </c>
      <c r="K205">
        <v>5</v>
      </c>
      <c r="L205">
        <v>6</v>
      </c>
      <c r="M205" t="s">
        <v>153</v>
      </c>
      <c r="N205" t="s">
        <v>154</v>
      </c>
      <c r="O205" t="b">
        <v>1</v>
      </c>
      <c r="P205" t="b">
        <v>0</v>
      </c>
      <c r="Q205" s="6">
        <v>4.166666666666667</v>
      </c>
      <c r="R205" s="6">
        <v>0.83333333333333337</v>
      </c>
      <c r="S205" t="s">
        <v>379</v>
      </c>
      <c r="T205" t="s">
        <v>147</v>
      </c>
      <c r="U205" s="6">
        <v>14.4</v>
      </c>
      <c r="V205" s="6">
        <v>10.6</v>
      </c>
      <c r="W205" t="b">
        <v>0</v>
      </c>
      <c r="X205">
        <v>20</v>
      </c>
      <c r="Y205">
        <v>3</v>
      </c>
      <c r="Z205">
        <v>19</v>
      </c>
      <c r="AA205" s="6">
        <v>29.948453608247419</v>
      </c>
      <c r="AB205">
        <f>--PizzaDelivery[[#This Row],[Is Delayed]]</f>
        <v>0</v>
      </c>
    </row>
    <row r="206" spans="1:28">
      <c r="A206" t="s">
        <v>398</v>
      </c>
      <c r="B206" t="s">
        <v>173</v>
      </c>
      <c r="C206" t="s">
        <v>186</v>
      </c>
      <c r="D206" s="1">
        <v>45493</v>
      </c>
      <c r="E206" s="5">
        <v>0.54166666666666663</v>
      </c>
      <c r="F206" s="1">
        <v>45493</v>
      </c>
      <c r="G206" s="5">
        <v>0.55902777777777779</v>
      </c>
      <c r="H206">
        <v>25</v>
      </c>
      <c r="I206" t="s">
        <v>143</v>
      </c>
      <c r="J206" t="s">
        <v>152</v>
      </c>
      <c r="K206">
        <v>3</v>
      </c>
      <c r="L206">
        <v>3</v>
      </c>
      <c r="M206" t="s">
        <v>161</v>
      </c>
      <c r="N206" t="s">
        <v>145</v>
      </c>
      <c r="O206" t="b">
        <v>0</v>
      </c>
      <c r="P206" t="b">
        <v>1</v>
      </c>
      <c r="Q206" s="6">
        <v>8.3333333333333339</v>
      </c>
      <c r="R206" s="6">
        <v>1</v>
      </c>
      <c r="S206" t="s">
        <v>379</v>
      </c>
      <c r="T206" t="s">
        <v>147</v>
      </c>
      <c r="U206" s="6">
        <v>7.1999999999999993</v>
      </c>
      <c r="V206" s="6">
        <v>17.8</v>
      </c>
      <c r="W206" t="b">
        <v>0</v>
      </c>
      <c r="X206">
        <v>6</v>
      </c>
      <c r="Y206">
        <v>1</v>
      </c>
      <c r="Z206">
        <v>13</v>
      </c>
      <c r="AA206" s="6">
        <v>30.286458333333329</v>
      </c>
      <c r="AB206">
        <f>--PizzaDelivery[[#This Row],[Is Delayed]]</f>
        <v>0</v>
      </c>
    </row>
    <row r="207" spans="1:28">
      <c r="A207" t="s">
        <v>399</v>
      </c>
      <c r="B207" t="s">
        <v>142</v>
      </c>
      <c r="C207" t="s">
        <v>166</v>
      </c>
      <c r="D207" s="1">
        <v>45494</v>
      </c>
      <c r="E207" s="5">
        <v>0.77083333333333337</v>
      </c>
      <c r="F207" s="1">
        <v>45494</v>
      </c>
      <c r="G207" s="5">
        <v>0.78819444444444442</v>
      </c>
      <c r="H207">
        <v>25</v>
      </c>
      <c r="I207" t="s">
        <v>151</v>
      </c>
      <c r="J207" t="s">
        <v>144</v>
      </c>
      <c r="K207">
        <v>4</v>
      </c>
      <c r="L207">
        <v>5</v>
      </c>
      <c r="M207" t="s">
        <v>153</v>
      </c>
      <c r="N207" t="s">
        <v>162</v>
      </c>
      <c r="O207" t="b">
        <v>1</v>
      </c>
      <c r="P207" t="b">
        <v>1</v>
      </c>
      <c r="Q207" s="6">
        <v>5</v>
      </c>
      <c r="R207" s="6">
        <v>0.8</v>
      </c>
      <c r="S207" t="s">
        <v>379</v>
      </c>
      <c r="T207" t="s">
        <v>147</v>
      </c>
      <c r="U207" s="6">
        <v>12</v>
      </c>
      <c r="V207" s="6">
        <v>13</v>
      </c>
      <c r="W207" t="b">
        <v>0</v>
      </c>
      <c r="X207">
        <v>12</v>
      </c>
      <c r="Y207">
        <v>3</v>
      </c>
      <c r="Z207">
        <v>18</v>
      </c>
      <c r="AA207" s="6">
        <v>30.259433962264151</v>
      </c>
      <c r="AB207">
        <f>--PizzaDelivery[[#This Row],[Is Delayed]]</f>
        <v>0</v>
      </c>
    </row>
    <row r="208" spans="1:28">
      <c r="A208" t="s">
        <v>400</v>
      </c>
      <c r="B208" t="s">
        <v>149</v>
      </c>
      <c r="C208" t="s">
        <v>192</v>
      </c>
      <c r="D208" s="1">
        <v>45495</v>
      </c>
      <c r="E208" s="5">
        <v>0.84375</v>
      </c>
      <c r="F208" s="1">
        <v>45495</v>
      </c>
      <c r="G208" s="5">
        <v>0.86111111111111116</v>
      </c>
      <c r="H208">
        <v>25</v>
      </c>
      <c r="I208" t="s">
        <v>159</v>
      </c>
      <c r="J208" t="s">
        <v>160</v>
      </c>
      <c r="K208">
        <v>2</v>
      </c>
      <c r="L208">
        <v>2.5</v>
      </c>
      <c r="M208" t="s">
        <v>143</v>
      </c>
      <c r="N208" t="s">
        <v>169</v>
      </c>
      <c r="O208" t="b">
        <v>1</v>
      </c>
      <c r="P208" t="b">
        <v>0</v>
      </c>
      <c r="Q208" s="6">
        <v>10</v>
      </c>
      <c r="R208" s="6">
        <v>0.8</v>
      </c>
      <c r="S208" t="s">
        <v>379</v>
      </c>
      <c r="T208" t="s">
        <v>171</v>
      </c>
      <c r="U208" s="6">
        <v>6</v>
      </c>
      <c r="V208" s="6">
        <v>19</v>
      </c>
      <c r="W208" t="b">
        <v>0</v>
      </c>
      <c r="X208">
        <v>2</v>
      </c>
      <c r="Y208">
        <v>2</v>
      </c>
      <c r="Z208">
        <v>20</v>
      </c>
      <c r="AA208" s="6">
        <v>28.186274509803919</v>
      </c>
      <c r="AB208">
        <f>--PizzaDelivery[[#This Row],[Is Delayed]]</f>
        <v>0</v>
      </c>
    </row>
    <row r="209" spans="1:28">
      <c r="A209" t="s">
        <v>401</v>
      </c>
      <c r="B209" t="s">
        <v>157</v>
      </c>
      <c r="C209" t="s">
        <v>194</v>
      </c>
      <c r="D209" s="1">
        <v>45496</v>
      </c>
      <c r="E209" s="5">
        <v>0.77083333333333337</v>
      </c>
      <c r="F209" s="1">
        <v>45496</v>
      </c>
      <c r="G209" s="5">
        <v>0.78472222222222221</v>
      </c>
      <c r="H209">
        <v>20</v>
      </c>
      <c r="I209" t="s">
        <v>143</v>
      </c>
      <c r="J209" t="s">
        <v>152</v>
      </c>
      <c r="K209">
        <v>3</v>
      </c>
      <c r="L209">
        <v>3.5</v>
      </c>
      <c r="M209" t="s">
        <v>161</v>
      </c>
      <c r="N209" t="s">
        <v>154</v>
      </c>
      <c r="O209" t="b">
        <v>1</v>
      </c>
      <c r="P209" t="b">
        <v>0</v>
      </c>
      <c r="Q209" s="6">
        <v>5.7142857142857144</v>
      </c>
      <c r="R209" s="6">
        <v>0.8571428571428571</v>
      </c>
      <c r="S209" t="s">
        <v>379</v>
      </c>
      <c r="T209" t="s">
        <v>147</v>
      </c>
      <c r="U209" s="6">
        <v>8.4</v>
      </c>
      <c r="V209" s="6">
        <v>11.6</v>
      </c>
      <c r="W209" t="b">
        <v>0</v>
      </c>
      <c r="X209">
        <v>6</v>
      </c>
      <c r="Y209">
        <v>1</v>
      </c>
      <c r="Z209">
        <v>18</v>
      </c>
      <c r="AA209" s="6">
        <v>28.844221105527641</v>
      </c>
      <c r="AB209">
        <f>--PizzaDelivery[[#This Row],[Is Delayed]]</f>
        <v>0</v>
      </c>
    </row>
    <row r="210" spans="1:28">
      <c r="A210" t="s">
        <v>402</v>
      </c>
      <c r="B210" t="s">
        <v>165</v>
      </c>
      <c r="C210" t="s">
        <v>174</v>
      </c>
      <c r="D210" s="1">
        <v>45497</v>
      </c>
      <c r="E210" s="5">
        <v>0.82291666666666663</v>
      </c>
      <c r="F210" s="1">
        <v>45497</v>
      </c>
      <c r="G210" s="5">
        <v>0.84027777777777779</v>
      </c>
      <c r="H210">
        <v>25</v>
      </c>
      <c r="I210" t="s">
        <v>167</v>
      </c>
      <c r="J210" t="s">
        <v>168</v>
      </c>
      <c r="K210">
        <v>5</v>
      </c>
      <c r="L210">
        <v>4</v>
      </c>
      <c r="M210" t="s">
        <v>153</v>
      </c>
      <c r="N210" t="s">
        <v>145</v>
      </c>
      <c r="O210" t="b">
        <v>1</v>
      </c>
      <c r="P210" t="b">
        <v>0</v>
      </c>
      <c r="Q210" s="6">
        <v>6.25</v>
      </c>
      <c r="R210" s="6">
        <v>1.25</v>
      </c>
      <c r="S210" t="s">
        <v>379</v>
      </c>
      <c r="T210" t="s">
        <v>147</v>
      </c>
      <c r="U210" s="6">
        <v>9.6</v>
      </c>
      <c r="V210" s="6">
        <v>15.4</v>
      </c>
      <c r="W210" t="b">
        <v>0</v>
      </c>
      <c r="X210">
        <v>20</v>
      </c>
      <c r="Y210">
        <v>3</v>
      </c>
      <c r="Z210">
        <v>19</v>
      </c>
      <c r="AA210" s="6">
        <v>29.948453608247419</v>
      </c>
      <c r="AB210">
        <f>--PizzaDelivery[[#This Row],[Is Delayed]]</f>
        <v>0</v>
      </c>
    </row>
    <row r="211" spans="1:28">
      <c r="A211" t="s">
        <v>403</v>
      </c>
      <c r="B211" t="s">
        <v>173</v>
      </c>
      <c r="C211" t="s">
        <v>190</v>
      </c>
      <c r="D211" s="1">
        <v>45498</v>
      </c>
      <c r="E211" s="5">
        <v>0.54166666666666663</v>
      </c>
      <c r="F211" s="1">
        <v>45498</v>
      </c>
      <c r="G211" s="5">
        <v>0.55555555555555558</v>
      </c>
      <c r="H211">
        <v>20</v>
      </c>
      <c r="I211" t="s">
        <v>143</v>
      </c>
      <c r="J211" t="s">
        <v>152</v>
      </c>
      <c r="K211">
        <v>3</v>
      </c>
      <c r="L211">
        <v>3.5</v>
      </c>
      <c r="M211" t="s">
        <v>161</v>
      </c>
      <c r="N211" t="s">
        <v>162</v>
      </c>
      <c r="O211" t="b">
        <v>0</v>
      </c>
      <c r="P211" t="b">
        <v>0</v>
      </c>
      <c r="Q211" s="6">
        <v>5.7142857142857144</v>
      </c>
      <c r="R211" s="6">
        <v>0.8571428571428571</v>
      </c>
      <c r="S211" t="s">
        <v>379</v>
      </c>
      <c r="T211" t="s">
        <v>147</v>
      </c>
      <c r="U211" s="6">
        <v>8.4</v>
      </c>
      <c r="V211" s="6">
        <v>11.6</v>
      </c>
      <c r="W211" t="b">
        <v>0</v>
      </c>
      <c r="X211">
        <v>6</v>
      </c>
      <c r="Y211">
        <v>1</v>
      </c>
      <c r="Z211">
        <v>13</v>
      </c>
      <c r="AA211" s="6">
        <v>30.286458333333329</v>
      </c>
      <c r="AB211">
        <f>--PizzaDelivery[[#This Row],[Is Delayed]]</f>
        <v>0</v>
      </c>
    </row>
    <row r="212" spans="1:28">
      <c r="A212" t="s">
        <v>404</v>
      </c>
      <c r="B212" t="s">
        <v>142</v>
      </c>
      <c r="C212" t="s">
        <v>192</v>
      </c>
      <c r="D212" s="1">
        <v>45499</v>
      </c>
      <c r="E212" s="5">
        <v>0.77083333333333337</v>
      </c>
      <c r="F212" s="1">
        <v>45499</v>
      </c>
      <c r="G212" s="5">
        <v>0.78472222222222221</v>
      </c>
      <c r="H212">
        <v>20</v>
      </c>
      <c r="I212" t="s">
        <v>151</v>
      </c>
      <c r="J212" t="s">
        <v>144</v>
      </c>
      <c r="K212">
        <v>4</v>
      </c>
      <c r="L212">
        <v>4.5</v>
      </c>
      <c r="M212" t="s">
        <v>143</v>
      </c>
      <c r="N212" t="s">
        <v>169</v>
      </c>
      <c r="O212" t="b">
        <v>1</v>
      </c>
      <c r="P212" t="b">
        <v>0</v>
      </c>
      <c r="Q212" s="6">
        <v>4.4444444444444446</v>
      </c>
      <c r="R212" s="6">
        <v>0.88888888888888884</v>
      </c>
      <c r="S212" t="s">
        <v>379</v>
      </c>
      <c r="T212" t="s">
        <v>171</v>
      </c>
      <c r="U212" s="6">
        <v>10.8</v>
      </c>
      <c r="V212" s="6">
        <v>9.2000000000000011</v>
      </c>
      <c r="W212" t="b">
        <v>0</v>
      </c>
      <c r="X212">
        <v>12</v>
      </c>
      <c r="Y212">
        <v>2</v>
      </c>
      <c r="Z212">
        <v>18</v>
      </c>
      <c r="AA212" s="6">
        <v>30.259433962264151</v>
      </c>
      <c r="AB212">
        <f>--PizzaDelivery[[#This Row],[Is Delayed]]</f>
        <v>0</v>
      </c>
    </row>
    <row r="213" spans="1:28">
      <c r="A213" t="s">
        <v>405</v>
      </c>
      <c r="B213" t="s">
        <v>149</v>
      </c>
      <c r="C213" t="s">
        <v>194</v>
      </c>
      <c r="D213" s="1">
        <v>45500</v>
      </c>
      <c r="E213" s="5">
        <v>0.84375</v>
      </c>
      <c r="F213" s="1">
        <v>45500</v>
      </c>
      <c r="G213" s="5">
        <v>0.86111111111111116</v>
      </c>
      <c r="H213">
        <v>25</v>
      </c>
      <c r="I213" t="s">
        <v>159</v>
      </c>
      <c r="J213" t="s">
        <v>160</v>
      </c>
      <c r="K213">
        <v>2</v>
      </c>
      <c r="L213">
        <v>2</v>
      </c>
      <c r="M213" t="s">
        <v>153</v>
      </c>
      <c r="N213" t="s">
        <v>154</v>
      </c>
      <c r="O213" t="b">
        <v>1</v>
      </c>
      <c r="P213" t="b">
        <v>1</v>
      </c>
      <c r="Q213" s="6">
        <v>12.5</v>
      </c>
      <c r="R213" s="6">
        <v>1</v>
      </c>
      <c r="S213" t="s">
        <v>379</v>
      </c>
      <c r="T213" t="s">
        <v>147</v>
      </c>
      <c r="U213" s="6">
        <v>4.8</v>
      </c>
      <c r="V213" s="6">
        <v>20.2</v>
      </c>
      <c r="W213" t="b">
        <v>0</v>
      </c>
      <c r="X213">
        <v>2</v>
      </c>
      <c r="Y213">
        <v>3</v>
      </c>
      <c r="Z213">
        <v>20</v>
      </c>
      <c r="AA213" s="6">
        <v>28.186274509803919</v>
      </c>
      <c r="AB213">
        <f>--PizzaDelivery[[#This Row],[Is Delayed]]</f>
        <v>0</v>
      </c>
    </row>
    <row r="214" spans="1:28">
      <c r="A214" t="s">
        <v>406</v>
      </c>
      <c r="B214" t="s">
        <v>157</v>
      </c>
      <c r="C214" t="s">
        <v>174</v>
      </c>
      <c r="D214" s="1">
        <v>45501</v>
      </c>
      <c r="E214" s="5">
        <v>0.77083333333333337</v>
      </c>
      <c r="F214" s="1">
        <v>45501</v>
      </c>
      <c r="G214" s="5">
        <v>0.78472222222222221</v>
      </c>
      <c r="H214">
        <v>20</v>
      </c>
      <c r="I214" t="s">
        <v>143</v>
      </c>
      <c r="J214" t="s">
        <v>152</v>
      </c>
      <c r="K214">
        <v>3</v>
      </c>
      <c r="L214">
        <v>3</v>
      </c>
      <c r="M214" t="s">
        <v>153</v>
      </c>
      <c r="N214" t="s">
        <v>162</v>
      </c>
      <c r="O214" t="b">
        <v>1</v>
      </c>
      <c r="P214" t="b">
        <v>1</v>
      </c>
      <c r="Q214" s="6">
        <v>6.666666666666667</v>
      </c>
      <c r="R214" s="6">
        <v>1</v>
      </c>
      <c r="S214" t="s">
        <v>379</v>
      </c>
      <c r="T214" t="s">
        <v>147</v>
      </c>
      <c r="U214" s="6">
        <v>7.1999999999999993</v>
      </c>
      <c r="V214" s="6">
        <v>12.8</v>
      </c>
      <c r="W214" t="b">
        <v>0</v>
      </c>
      <c r="X214">
        <v>6</v>
      </c>
      <c r="Y214">
        <v>3</v>
      </c>
      <c r="Z214">
        <v>18</v>
      </c>
      <c r="AA214" s="6">
        <v>28.844221105527641</v>
      </c>
      <c r="AB214">
        <f>--PizzaDelivery[[#This Row],[Is Delayed]]</f>
        <v>0</v>
      </c>
    </row>
    <row r="215" spans="1:28">
      <c r="A215" t="s">
        <v>407</v>
      </c>
      <c r="B215" t="s">
        <v>165</v>
      </c>
      <c r="C215" t="s">
        <v>150</v>
      </c>
      <c r="D215" s="1">
        <v>45502</v>
      </c>
      <c r="E215" s="5">
        <v>0.82291666666666663</v>
      </c>
      <c r="F215" s="1">
        <v>45502</v>
      </c>
      <c r="G215" s="5">
        <v>0.84027777777777779</v>
      </c>
      <c r="H215">
        <v>25</v>
      </c>
      <c r="I215" t="s">
        <v>167</v>
      </c>
      <c r="J215" t="s">
        <v>168</v>
      </c>
      <c r="K215">
        <v>5</v>
      </c>
      <c r="L215">
        <v>4.5</v>
      </c>
      <c r="M215" t="s">
        <v>161</v>
      </c>
      <c r="N215" t="s">
        <v>169</v>
      </c>
      <c r="O215" t="b">
        <v>1</v>
      </c>
      <c r="P215" t="b">
        <v>0</v>
      </c>
      <c r="Q215" s="6">
        <v>5.5555555555555554</v>
      </c>
      <c r="R215" s="6">
        <v>1.1111111111111109</v>
      </c>
      <c r="S215" t="s">
        <v>379</v>
      </c>
      <c r="T215" t="s">
        <v>171</v>
      </c>
      <c r="U215" s="6">
        <v>10.8</v>
      </c>
      <c r="V215" s="6">
        <v>14.2</v>
      </c>
      <c r="W215" t="b">
        <v>0</v>
      </c>
      <c r="X215">
        <v>20</v>
      </c>
      <c r="Y215">
        <v>1</v>
      </c>
      <c r="Z215">
        <v>19</v>
      </c>
      <c r="AA215" s="6">
        <v>29.948453608247419</v>
      </c>
      <c r="AB215">
        <f>--PizzaDelivery[[#This Row],[Is Delayed]]</f>
        <v>0</v>
      </c>
    </row>
    <row r="216" spans="1:28">
      <c r="A216" t="s">
        <v>408</v>
      </c>
      <c r="B216" t="s">
        <v>173</v>
      </c>
      <c r="C216" t="s">
        <v>158</v>
      </c>
      <c r="D216" s="1">
        <v>45503</v>
      </c>
      <c r="E216" s="5">
        <v>0.54166666666666663</v>
      </c>
      <c r="F216" s="1">
        <v>45503</v>
      </c>
      <c r="G216" s="5">
        <v>0.55555555555555558</v>
      </c>
      <c r="H216">
        <v>20</v>
      </c>
      <c r="I216" t="s">
        <v>143</v>
      </c>
      <c r="J216" t="s">
        <v>152</v>
      </c>
      <c r="K216">
        <v>3</v>
      </c>
      <c r="L216">
        <v>3.5</v>
      </c>
      <c r="M216" t="s">
        <v>143</v>
      </c>
      <c r="N216" t="s">
        <v>154</v>
      </c>
      <c r="O216" t="b">
        <v>0</v>
      </c>
      <c r="P216" t="b">
        <v>0</v>
      </c>
      <c r="Q216" s="6">
        <v>5.7142857142857144</v>
      </c>
      <c r="R216" s="6">
        <v>0.8571428571428571</v>
      </c>
      <c r="S216" t="s">
        <v>379</v>
      </c>
      <c r="T216" t="s">
        <v>147</v>
      </c>
      <c r="U216" s="6">
        <v>8.4</v>
      </c>
      <c r="V216" s="6">
        <v>11.6</v>
      </c>
      <c r="W216" t="b">
        <v>0</v>
      </c>
      <c r="X216">
        <v>6</v>
      </c>
      <c r="Y216">
        <v>2</v>
      </c>
      <c r="Z216">
        <v>13</v>
      </c>
      <c r="AA216" s="6">
        <v>30.286458333333329</v>
      </c>
      <c r="AB216">
        <f>--PizzaDelivery[[#This Row],[Is Delayed]]</f>
        <v>0</v>
      </c>
    </row>
    <row r="217" spans="1:28">
      <c r="A217" t="s">
        <v>409</v>
      </c>
      <c r="B217" t="s">
        <v>142</v>
      </c>
      <c r="C217" t="s">
        <v>166</v>
      </c>
      <c r="D217" s="1">
        <v>45504</v>
      </c>
      <c r="E217" s="5">
        <v>0.77083333333333337</v>
      </c>
      <c r="F217" s="1">
        <v>45504</v>
      </c>
      <c r="G217" s="5">
        <v>0.78472222222222221</v>
      </c>
      <c r="H217">
        <v>20</v>
      </c>
      <c r="I217" t="s">
        <v>151</v>
      </c>
      <c r="J217" t="s">
        <v>144</v>
      </c>
      <c r="K217">
        <v>4</v>
      </c>
      <c r="L217">
        <v>4</v>
      </c>
      <c r="M217" t="s">
        <v>153</v>
      </c>
      <c r="N217" t="s">
        <v>145</v>
      </c>
      <c r="O217" t="b">
        <v>1</v>
      </c>
      <c r="P217" t="b">
        <v>0</v>
      </c>
      <c r="Q217" s="6">
        <v>5</v>
      </c>
      <c r="R217" s="6">
        <v>1</v>
      </c>
      <c r="S217" t="s">
        <v>379</v>
      </c>
      <c r="T217" t="s">
        <v>147</v>
      </c>
      <c r="U217" s="6">
        <v>9.6</v>
      </c>
      <c r="V217" s="6">
        <v>10.4</v>
      </c>
      <c r="W217" t="b">
        <v>0</v>
      </c>
      <c r="X217">
        <v>12</v>
      </c>
      <c r="Y217">
        <v>3</v>
      </c>
      <c r="Z217">
        <v>18</v>
      </c>
      <c r="AA217" s="6">
        <v>30.259433962264151</v>
      </c>
      <c r="AB217">
        <f>--PizzaDelivery[[#This Row],[Is Delayed]]</f>
        <v>0</v>
      </c>
    </row>
    <row r="218" spans="1:28">
      <c r="A218" t="s">
        <v>410</v>
      </c>
      <c r="B218" t="s">
        <v>149</v>
      </c>
      <c r="C218" t="s">
        <v>174</v>
      </c>
      <c r="D218" s="1">
        <v>45505</v>
      </c>
      <c r="E218" s="5">
        <v>0.83333333333333337</v>
      </c>
      <c r="F218" s="1">
        <v>45505</v>
      </c>
      <c r="G218" s="5">
        <v>0.85069444444444442</v>
      </c>
      <c r="H218">
        <v>25</v>
      </c>
      <c r="I218" t="s">
        <v>143</v>
      </c>
      <c r="J218" t="s">
        <v>152</v>
      </c>
      <c r="K218">
        <v>3</v>
      </c>
      <c r="L218">
        <v>3</v>
      </c>
      <c r="M218" t="s">
        <v>161</v>
      </c>
      <c r="N218" t="s">
        <v>162</v>
      </c>
      <c r="O218" t="b">
        <v>1</v>
      </c>
      <c r="P218" t="b">
        <v>0</v>
      </c>
      <c r="Q218" s="6">
        <v>8.3333333333333339</v>
      </c>
      <c r="R218" s="6">
        <v>1</v>
      </c>
      <c r="S218" t="s">
        <v>304</v>
      </c>
      <c r="T218" t="s">
        <v>147</v>
      </c>
      <c r="U218" s="6">
        <v>7.1999999999999993</v>
      </c>
      <c r="V218" s="6">
        <v>17.8</v>
      </c>
      <c r="W218" t="b">
        <v>0</v>
      </c>
      <c r="X218">
        <v>6</v>
      </c>
      <c r="Y218">
        <v>1</v>
      </c>
      <c r="Z218">
        <v>20</v>
      </c>
      <c r="AA218" s="6">
        <v>28.186274509803919</v>
      </c>
      <c r="AB218">
        <f>--PizzaDelivery[[#This Row],[Is Delayed]]</f>
        <v>0</v>
      </c>
    </row>
    <row r="219" spans="1:28">
      <c r="A219" t="s">
        <v>411</v>
      </c>
      <c r="B219" t="s">
        <v>157</v>
      </c>
      <c r="C219" t="s">
        <v>184</v>
      </c>
      <c r="D219" s="1">
        <v>45506</v>
      </c>
      <c r="E219" s="5">
        <v>0.80208333333333337</v>
      </c>
      <c r="F219" s="1">
        <v>45506</v>
      </c>
      <c r="G219" s="5">
        <v>0.81597222222222221</v>
      </c>
      <c r="H219">
        <v>20</v>
      </c>
      <c r="I219" t="s">
        <v>159</v>
      </c>
      <c r="J219" t="s">
        <v>160</v>
      </c>
      <c r="K219">
        <v>2</v>
      </c>
      <c r="L219">
        <v>2.5</v>
      </c>
      <c r="M219" t="s">
        <v>161</v>
      </c>
      <c r="N219" t="s">
        <v>169</v>
      </c>
      <c r="O219" t="b">
        <v>1</v>
      </c>
      <c r="P219" t="b">
        <v>0</v>
      </c>
      <c r="Q219" s="6">
        <v>8</v>
      </c>
      <c r="R219" s="6">
        <v>0.8</v>
      </c>
      <c r="S219" t="s">
        <v>304</v>
      </c>
      <c r="T219" t="s">
        <v>171</v>
      </c>
      <c r="U219" s="6">
        <v>6</v>
      </c>
      <c r="V219" s="6">
        <v>14</v>
      </c>
      <c r="W219" t="b">
        <v>0</v>
      </c>
      <c r="X219">
        <v>2</v>
      </c>
      <c r="Y219">
        <v>1</v>
      </c>
      <c r="Z219">
        <v>19</v>
      </c>
      <c r="AA219" s="6">
        <v>28.844221105527641</v>
      </c>
      <c r="AB219">
        <f>--PizzaDelivery[[#This Row],[Is Delayed]]</f>
        <v>0</v>
      </c>
    </row>
    <row r="220" spans="1:28">
      <c r="A220" t="s">
        <v>412</v>
      </c>
      <c r="B220" t="s">
        <v>165</v>
      </c>
      <c r="C220" t="s">
        <v>186</v>
      </c>
      <c r="D220" s="1">
        <v>45507</v>
      </c>
      <c r="E220" s="5">
        <v>0.82291666666666663</v>
      </c>
      <c r="F220" s="1">
        <v>45507</v>
      </c>
      <c r="G220" s="5">
        <v>0.84027777777777779</v>
      </c>
      <c r="H220">
        <v>25</v>
      </c>
      <c r="I220" t="s">
        <v>167</v>
      </c>
      <c r="J220" t="s">
        <v>168</v>
      </c>
      <c r="K220">
        <v>5</v>
      </c>
      <c r="L220">
        <v>4.5</v>
      </c>
      <c r="M220" t="s">
        <v>153</v>
      </c>
      <c r="N220" t="s">
        <v>154</v>
      </c>
      <c r="O220" t="b">
        <v>1</v>
      </c>
      <c r="P220" t="b">
        <v>1</v>
      </c>
      <c r="Q220" s="6">
        <v>5.5555555555555554</v>
      </c>
      <c r="R220" s="6">
        <v>1.1111111111111109</v>
      </c>
      <c r="S220" t="s">
        <v>304</v>
      </c>
      <c r="T220" t="s">
        <v>147</v>
      </c>
      <c r="U220" s="6">
        <v>10.8</v>
      </c>
      <c r="V220" s="6">
        <v>14.2</v>
      </c>
      <c r="W220" t="b">
        <v>0</v>
      </c>
      <c r="X220">
        <v>20</v>
      </c>
      <c r="Y220">
        <v>3</v>
      </c>
      <c r="Z220">
        <v>19</v>
      </c>
      <c r="AA220" s="6">
        <v>29.948453608247419</v>
      </c>
      <c r="AB220">
        <f>--PizzaDelivery[[#This Row],[Is Delayed]]</f>
        <v>0</v>
      </c>
    </row>
    <row r="221" spans="1:28">
      <c r="A221" t="s">
        <v>413</v>
      </c>
      <c r="B221" t="s">
        <v>173</v>
      </c>
      <c r="C221" t="s">
        <v>188</v>
      </c>
      <c r="D221" s="1">
        <v>45508</v>
      </c>
      <c r="E221" s="5">
        <v>0.54166666666666663</v>
      </c>
      <c r="F221" s="1">
        <v>45508</v>
      </c>
      <c r="G221" s="5">
        <v>0.55555555555555558</v>
      </c>
      <c r="H221">
        <v>20</v>
      </c>
      <c r="I221" t="s">
        <v>143</v>
      </c>
      <c r="J221" t="s">
        <v>152</v>
      </c>
      <c r="K221">
        <v>3</v>
      </c>
      <c r="L221">
        <v>3</v>
      </c>
      <c r="M221" t="s">
        <v>143</v>
      </c>
      <c r="N221" t="s">
        <v>145</v>
      </c>
      <c r="O221" t="b">
        <v>0</v>
      </c>
      <c r="P221" t="b">
        <v>1</v>
      </c>
      <c r="Q221" s="6">
        <v>6.666666666666667</v>
      </c>
      <c r="R221" s="6">
        <v>1</v>
      </c>
      <c r="S221" t="s">
        <v>304</v>
      </c>
      <c r="T221" t="s">
        <v>147</v>
      </c>
      <c r="U221" s="6">
        <v>7.1999999999999993</v>
      </c>
      <c r="V221" s="6">
        <v>12.8</v>
      </c>
      <c r="W221" t="b">
        <v>0</v>
      </c>
      <c r="X221">
        <v>6</v>
      </c>
      <c r="Y221">
        <v>2</v>
      </c>
      <c r="Z221">
        <v>13</v>
      </c>
      <c r="AA221" s="6">
        <v>30.286458333333329</v>
      </c>
      <c r="AB221">
        <f>--PizzaDelivery[[#This Row],[Is Delayed]]</f>
        <v>0</v>
      </c>
    </row>
    <row r="222" spans="1:28">
      <c r="A222" t="s">
        <v>414</v>
      </c>
      <c r="B222" t="s">
        <v>142</v>
      </c>
      <c r="C222" t="s">
        <v>40</v>
      </c>
      <c r="D222" s="1">
        <v>45509</v>
      </c>
      <c r="E222" s="5">
        <v>0.77083333333333337</v>
      </c>
      <c r="F222" s="1">
        <v>45509</v>
      </c>
      <c r="G222" s="5">
        <v>0.78819444444444442</v>
      </c>
      <c r="H222">
        <v>25</v>
      </c>
      <c r="I222" t="s">
        <v>151</v>
      </c>
      <c r="J222" t="s">
        <v>144</v>
      </c>
      <c r="K222">
        <v>3</v>
      </c>
      <c r="L222">
        <v>5</v>
      </c>
      <c r="M222" t="s">
        <v>153</v>
      </c>
      <c r="N222" t="s">
        <v>145</v>
      </c>
      <c r="O222" t="b">
        <v>1</v>
      </c>
      <c r="P222" t="b">
        <v>0</v>
      </c>
      <c r="Q222" s="6">
        <v>5</v>
      </c>
      <c r="R222" s="6">
        <v>0.6</v>
      </c>
      <c r="S222" t="s">
        <v>304</v>
      </c>
      <c r="T222" t="s">
        <v>147</v>
      </c>
      <c r="U222" s="6">
        <v>12</v>
      </c>
      <c r="V222" s="6">
        <v>13</v>
      </c>
      <c r="W222" t="b">
        <v>0</v>
      </c>
      <c r="X222">
        <v>9</v>
      </c>
      <c r="Y222">
        <v>3</v>
      </c>
      <c r="Z222">
        <v>18</v>
      </c>
      <c r="AA222" s="6">
        <v>30.259433962264151</v>
      </c>
      <c r="AB222">
        <f>--PizzaDelivery[[#This Row],[Is Delayed]]</f>
        <v>0</v>
      </c>
    </row>
    <row r="223" spans="1:28">
      <c r="A223" t="s">
        <v>415</v>
      </c>
      <c r="B223" t="s">
        <v>149</v>
      </c>
      <c r="C223" t="s">
        <v>150</v>
      </c>
      <c r="D223" s="1">
        <v>45510</v>
      </c>
      <c r="E223" s="5">
        <v>0.79166666666666663</v>
      </c>
      <c r="F223" s="1">
        <v>45510</v>
      </c>
      <c r="G223" s="5">
        <v>0.8125</v>
      </c>
      <c r="H223">
        <v>30</v>
      </c>
      <c r="I223" t="s">
        <v>143</v>
      </c>
      <c r="J223" t="s">
        <v>152</v>
      </c>
      <c r="K223">
        <v>4</v>
      </c>
      <c r="L223">
        <v>3.5</v>
      </c>
      <c r="M223" t="s">
        <v>143</v>
      </c>
      <c r="N223" t="s">
        <v>162</v>
      </c>
      <c r="O223" t="b">
        <v>1</v>
      </c>
      <c r="P223" t="b">
        <v>0</v>
      </c>
      <c r="Q223" s="6">
        <v>8.5714285714285712</v>
      </c>
      <c r="R223" s="6">
        <v>1.142857142857143</v>
      </c>
      <c r="S223" t="s">
        <v>304</v>
      </c>
      <c r="T223" t="s">
        <v>147</v>
      </c>
      <c r="U223" s="6">
        <v>8.4</v>
      </c>
      <c r="V223" s="6">
        <v>21.6</v>
      </c>
      <c r="W223" t="b">
        <v>0</v>
      </c>
      <c r="X223">
        <v>8</v>
      </c>
      <c r="Y223">
        <v>2</v>
      </c>
      <c r="Z223">
        <v>19</v>
      </c>
      <c r="AA223" s="6">
        <v>28.186274509803919</v>
      </c>
      <c r="AB223">
        <f>--PizzaDelivery[[#This Row],[Is Delayed]]</f>
        <v>0</v>
      </c>
    </row>
    <row r="224" spans="1:28">
      <c r="A224" t="s">
        <v>416</v>
      </c>
      <c r="B224" t="s">
        <v>157</v>
      </c>
      <c r="C224" t="s">
        <v>158</v>
      </c>
      <c r="D224" s="1">
        <v>45511</v>
      </c>
      <c r="E224" s="5">
        <v>0.84375</v>
      </c>
      <c r="F224" s="1">
        <v>45511</v>
      </c>
      <c r="G224" s="5">
        <v>0.86111111111111116</v>
      </c>
      <c r="H224">
        <v>25</v>
      </c>
      <c r="I224" t="s">
        <v>159</v>
      </c>
      <c r="J224" t="s">
        <v>160</v>
      </c>
      <c r="K224">
        <v>2</v>
      </c>
      <c r="L224">
        <v>4</v>
      </c>
      <c r="M224" t="s">
        <v>161</v>
      </c>
      <c r="N224" t="s">
        <v>169</v>
      </c>
      <c r="O224" t="b">
        <v>1</v>
      </c>
      <c r="P224" t="b">
        <v>0</v>
      </c>
      <c r="Q224" s="6">
        <v>6.25</v>
      </c>
      <c r="R224" s="6">
        <v>0.5</v>
      </c>
      <c r="S224" t="s">
        <v>304</v>
      </c>
      <c r="T224" t="s">
        <v>171</v>
      </c>
      <c r="U224" s="6">
        <v>9.6</v>
      </c>
      <c r="V224" s="6">
        <v>15.4</v>
      </c>
      <c r="W224" t="b">
        <v>0</v>
      </c>
      <c r="X224">
        <v>2</v>
      </c>
      <c r="Y224">
        <v>1</v>
      </c>
      <c r="Z224">
        <v>20</v>
      </c>
      <c r="AA224" s="6">
        <v>28.844221105527641</v>
      </c>
      <c r="AB224">
        <f>--PizzaDelivery[[#This Row],[Is Delayed]]</f>
        <v>0</v>
      </c>
    </row>
    <row r="225" spans="1:28">
      <c r="A225" t="s">
        <v>417</v>
      </c>
      <c r="B225" t="s">
        <v>165</v>
      </c>
      <c r="C225" t="s">
        <v>184</v>
      </c>
      <c r="D225" s="1">
        <v>45512</v>
      </c>
      <c r="E225" s="5">
        <v>0.82291666666666663</v>
      </c>
      <c r="F225" s="1">
        <v>45512</v>
      </c>
      <c r="G225" s="5">
        <v>0.84027777777777779</v>
      </c>
      <c r="H225">
        <v>25</v>
      </c>
      <c r="I225" t="s">
        <v>167</v>
      </c>
      <c r="J225" t="s">
        <v>168</v>
      </c>
      <c r="K225">
        <v>5</v>
      </c>
      <c r="L225">
        <v>6</v>
      </c>
      <c r="M225" t="s">
        <v>153</v>
      </c>
      <c r="N225" t="s">
        <v>154</v>
      </c>
      <c r="O225" t="b">
        <v>1</v>
      </c>
      <c r="P225" t="b">
        <v>0</v>
      </c>
      <c r="Q225" s="6">
        <v>4.166666666666667</v>
      </c>
      <c r="R225" s="6">
        <v>0.83333333333333337</v>
      </c>
      <c r="S225" t="s">
        <v>304</v>
      </c>
      <c r="T225" t="s">
        <v>147</v>
      </c>
      <c r="U225" s="6">
        <v>14.4</v>
      </c>
      <c r="V225" s="6">
        <v>10.6</v>
      </c>
      <c r="W225" t="b">
        <v>0</v>
      </c>
      <c r="X225">
        <v>20</v>
      </c>
      <c r="Y225">
        <v>3</v>
      </c>
      <c r="Z225">
        <v>19</v>
      </c>
      <c r="AA225" s="6">
        <v>29.948453608247419</v>
      </c>
      <c r="AB225">
        <f>--PizzaDelivery[[#This Row],[Is Delayed]]</f>
        <v>0</v>
      </c>
    </row>
    <row r="226" spans="1:28">
      <c r="A226" t="s">
        <v>418</v>
      </c>
      <c r="B226" t="s">
        <v>173</v>
      </c>
      <c r="C226" t="s">
        <v>186</v>
      </c>
      <c r="D226" s="1">
        <v>45513</v>
      </c>
      <c r="E226" s="5">
        <v>0.54166666666666663</v>
      </c>
      <c r="F226" s="1">
        <v>45513</v>
      </c>
      <c r="G226" s="5">
        <v>0.55902777777777779</v>
      </c>
      <c r="H226">
        <v>25</v>
      </c>
      <c r="I226" t="s">
        <v>143</v>
      </c>
      <c r="J226" t="s">
        <v>152</v>
      </c>
      <c r="K226">
        <v>3</v>
      </c>
      <c r="L226">
        <v>3</v>
      </c>
      <c r="M226" t="s">
        <v>161</v>
      </c>
      <c r="N226" t="s">
        <v>145</v>
      </c>
      <c r="O226" t="b">
        <v>0</v>
      </c>
      <c r="P226" t="b">
        <v>0</v>
      </c>
      <c r="Q226" s="6">
        <v>8.3333333333333339</v>
      </c>
      <c r="R226" s="6">
        <v>1</v>
      </c>
      <c r="S226" t="s">
        <v>304</v>
      </c>
      <c r="T226" t="s">
        <v>147</v>
      </c>
      <c r="U226" s="6">
        <v>7.1999999999999993</v>
      </c>
      <c r="V226" s="6">
        <v>17.8</v>
      </c>
      <c r="W226" t="b">
        <v>0</v>
      </c>
      <c r="X226">
        <v>6</v>
      </c>
      <c r="Y226">
        <v>1</v>
      </c>
      <c r="Z226">
        <v>13</v>
      </c>
      <c r="AA226" s="6">
        <v>30.286458333333329</v>
      </c>
      <c r="AB226">
        <f>--PizzaDelivery[[#This Row],[Is Delayed]]</f>
        <v>0</v>
      </c>
    </row>
    <row r="227" spans="1:28">
      <c r="A227" t="s">
        <v>419</v>
      </c>
      <c r="B227" t="s">
        <v>142</v>
      </c>
      <c r="C227" t="s">
        <v>166</v>
      </c>
      <c r="D227" s="1">
        <v>45514</v>
      </c>
      <c r="E227" s="5">
        <v>0.77083333333333337</v>
      </c>
      <c r="F227" s="1">
        <v>45514</v>
      </c>
      <c r="G227" s="5">
        <v>0.78819444444444442</v>
      </c>
      <c r="H227">
        <v>25</v>
      </c>
      <c r="I227" t="s">
        <v>151</v>
      </c>
      <c r="J227" t="s">
        <v>144</v>
      </c>
      <c r="K227">
        <v>4</v>
      </c>
      <c r="L227">
        <v>5</v>
      </c>
      <c r="M227" t="s">
        <v>153</v>
      </c>
      <c r="N227" t="s">
        <v>162</v>
      </c>
      <c r="O227" t="b">
        <v>1</v>
      </c>
      <c r="P227" t="b">
        <v>1</v>
      </c>
      <c r="Q227" s="6">
        <v>5</v>
      </c>
      <c r="R227" s="6">
        <v>0.8</v>
      </c>
      <c r="S227" t="s">
        <v>304</v>
      </c>
      <c r="T227" t="s">
        <v>147</v>
      </c>
      <c r="U227" s="6">
        <v>12</v>
      </c>
      <c r="V227" s="6">
        <v>13</v>
      </c>
      <c r="W227" t="b">
        <v>0</v>
      </c>
      <c r="X227">
        <v>12</v>
      </c>
      <c r="Y227">
        <v>3</v>
      </c>
      <c r="Z227">
        <v>18</v>
      </c>
      <c r="AA227" s="6">
        <v>30.259433962264151</v>
      </c>
      <c r="AB227">
        <f>--PizzaDelivery[[#This Row],[Is Delayed]]</f>
        <v>0</v>
      </c>
    </row>
    <row r="228" spans="1:28">
      <c r="A228" t="s">
        <v>420</v>
      </c>
      <c r="B228" t="s">
        <v>149</v>
      </c>
      <c r="C228" t="s">
        <v>192</v>
      </c>
      <c r="D228" s="1">
        <v>45515</v>
      </c>
      <c r="E228" s="5">
        <v>0.84375</v>
      </c>
      <c r="F228" s="1">
        <v>45515</v>
      </c>
      <c r="G228" s="5">
        <v>0.86111111111111116</v>
      </c>
      <c r="H228">
        <v>25</v>
      </c>
      <c r="I228" t="s">
        <v>159</v>
      </c>
      <c r="J228" t="s">
        <v>160</v>
      </c>
      <c r="K228">
        <v>2</v>
      </c>
      <c r="L228">
        <v>2.5</v>
      </c>
      <c r="M228" t="s">
        <v>143</v>
      </c>
      <c r="N228" t="s">
        <v>169</v>
      </c>
      <c r="O228" t="b">
        <v>1</v>
      </c>
      <c r="P228" t="b">
        <v>1</v>
      </c>
      <c r="Q228" s="6">
        <v>10</v>
      </c>
      <c r="R228" s="6">
        <v>0.8</v>
      </c>
      <c r="S228" t="s">
        <v>304</v>
      </c>
      <c r="T228" t="s">
        <v>171</v>
      </c>
      <c r="U228" s="6">
        <v>6</v>
      </c>
      <c r="V228" s="6">
        <v>19</v>
      </c>
      <c r="W228" t="b">
        <v>0</v>
      </c>
      <c r="X228">
        <v>2</v>
      </c>
      <c r="Y228">
        <v>2</v>
      </c>
      <c r="Z228">
        <v>20</v>
      </c>
      <c r="AA228" s="6">
        <v>28.186274509803919</v>
      </c>
      <c r="AB228">
        <f>--PizzaDelivery[[#This Row],[Is Delayed]]</f>
        <v>0</v>
      </c>
    </row>
    <row r="229" spans="1:28">
      <c r="A229" t="s">
        <v>421</v>
      </c>
      <c r="B229" t="s">
        <v>157</v>
      </c>
      <c r="C229" t="s">
        <v>194</v>
      </c>
      <c r="D229" s="1">
        <v>45516</v>
      </c>
      <c r="E229" s="5">
        <v>0.77083333333333337</v>
      </c>
      <c r="F229" s="1">
        <v>45516</v>
      </c>
      <c r="G229" s="5">
        <v>0.78472222222222221</v>
      </c>
      <c r="H229">
        <v>20</v>
      </c>
      <c r="I229" t="s">
        <v>143</v>
      </c>
      <c r="J229" t="s">
        <v>152</v>
      </c>
      <c r="K229">
        <v>3</v>
      </c>
      <c r="L229">
        <v>3.5</v>
      </c>
      <c r="M229" t="s">
        <v>161</v>
      </c>
      <c r="N229" t="s">
        <v>154</v>
      </c>
      <c r="O229" t="b">
        <v>1</v>
      </c>
      <c r="P229" t="b">
        <v>0</v>
      </c>
      <c r="Q229" s="6">
        <v>5.7142857142857144</v>
      </c>
      <c r="R229" s="6">
        <v>0.8571428571428571</v>
      </c>
      <c r="S229" t="s">
        <v>304</v>
      </c>
      <c r="T229" t="s">
        <v>147</v>
      </c>
      <c r="U229" s="6">
        <v>8.4</v>
      </c>
      <c r="V229" s="6">
        <v>11.6</v>
      </c>
      <c r="W229" t="b">
        <v>0</v>
      </c>
      <c r="X229">
        <v>6</v>
      </c>
      <c r="Y229">
        <v>1</v>
      </c>
      <c r="Z229">
        <v>18</v>
      </c>
      <c r="AA229" s="6">
        <v>28.844221105527641</v>
      </c>
      <c r="AB229">
        <f>--PizzaDelivery[[#This Row],[Is Delayed]]</f>
        <v>0</v>
      </c>
    </row>
    <row r="230" spans="1:28">
      <c r="A230" t="s">
        <v>422</v>
      </c>
      <c r="B230" t="s">
        <v>165</v>
      </c>
      <c r="C230" t="s">
        <v>150</v>
      </c>
      <c r="D230" s="1">
        <v>45517</v>
      </c>
      <c r="E230" s="5">
        <v>0.82291666666666663</v>
      </c>
      <c r="F230" s="1">
        <v>45517</v>
      </c>
      <c r="G230" s="5">
        <v>0.84027777777777779</v>
      </c>
      <c r="H230">
        <v>25</v>
      </c>
      <c r="I230" t="s">
        <v>167</v>
      </c>
      <c r="J230" t="s">
        <v>168</v>
      </c>
      <c r="K230">
        <v>5</v>
      </c>
      <c r="L230">
        <v>4.5</v>
      </c>
      <c r="M230" t="s">
        <v>161</v>
      </c>
      <c r="N230" t="s">
        <v>169</v>
      </c>
      <c r="O230" t="b">
        <v>1</v>
      </c>
      <c r="P230" t="b">
        <v>0</v>
      </c>
      <c r="Q230" s="6">
        <v>5.5555555555555554</v>
      </c>
      <c r="R230" s="6">
        <v>1.1111111111111109</v>
      </c>
      <c r="S230" t="s">
        <v>304</v>
      </c>
      <c r="T230" t="s">
        <v>171</v>
      </c>
      <c r="U230" s="6">
        <v>10.8</v>
      </c>
      <c r="V230" s="6">
        <v>14.2</v>
      </c>
      <c r="W230" t="b">
        <v>0</v>
      </c>
      <c r="X230">
        <v>20</v>
      </c>
      <c r="Y230">
        <v>1</v>
      </c>
      <c r="Z230">
        <v>19</v>
      </c>
      <c r="AA230" s="6">
        <v>29.948453608247419</v>
      </c>
      <c r="AB230">
        <f>--PizzaDelivery[[#This Row],[Is Delayed]]</f>
        <v>0</v>
      </c>
    </row>
    <row r="231" spans="1:28">
      <c r="A231" t="s">
        <v>423</v>
      </c>
      <c r="B231" t="s">
        <v>142</v>
      </c>
      <c r="C231" t="s">
        <v>40</v>
      </c>
      <c r="D231" s="1">
        <v>45518</v>
      </c>
      <c r="E231" s="5">
        <v>0.77083333333333337</v>
      </c>
      <c r="F231" s="1">
        <v>45518</v>
      </c>
      <c r="G231" s="5">
        <v>0.79513888888888884</v>
      </c>
      <c r="H231">
        <v>35</v>
      </c>
      <c r="I231" t="s">
        <v>151</v>
      </c>
      <c r="J231" t="s">
        <v>144</v>
      </c>
      <c r="K231">
        <v>3</v>
      </c>
      <c r="L231">
        <v>5</v>
      </c>
      <c r="M231" t="s">
        <v>153</v>
      </c>
      <c r="N231" t="s">
        <v>162</v>
      </c>
      <c r="O231" t="b">
        <v>1</v>
      </c>
      <c r="P231" t="b">
        <v>0</v>
      </c>
      <c r="Q231" s="6">
        <v>7</v>
      </c>
      <c r="R231" s="6">
        <v>0.6</v>
      </c>
      <c r="S231" t="s">
        <v>304</v>
      </c>
      <c r="T231" t="s">
        <v>147</v>
      </c>
      <c r="U231" s="6">
        <v>12</v>
      </c>
      <c r="V231" s="6">
        <v>23</v>
      </c>
      <c r="W231" t="b">
        <v>1</v>
      </c>
      <c r="X231">
        <v>9</v>
      </c>
      <c r="Y231">
        <v>3</v>
      </c>
      <c r="Z231">
        <v>18</v>
      </c>
      <c r="AA231" s="6">
        <v>30.259433962264151</v>
      </c>
      <c r="AB231">
        <f>--PizzaDelivery[[#This Row],[Is Delayed]]</f>
        <v>1</v>
      </c>
    </row>
    <row r="232" spans="1:28">
      <c r="A232" t="s">
        <v>424</v>
      </c>
      <c r="B232" t="s">
        <v>149</v>
      </c>
      <c r="C232" t="s">
        <v>158</v>
      </c>
      <c r="D232" s="1">
        <v>45519</v>
      </c>
      <c r="E232" s="5">
        <v>0.84375</v>
      </c>
      <c r="F232" s="1">
        <v>45519</v>
      </c>
      <c r="G232" s="5">
        <v>0.86111111111111116</v>
      </c>
      <c r="H232">
        <v>25</v>
      </c>
      <c r="I232" t="s">
        <v>143</v>
      </c>
      <c r="J232" t="s">
        <v>152</v>
      </c>
      <c r="K232">
        <v>4</v>
      </c>
      <c r="L232">
        <v>3.5</v>
      </c>
      <c r="M232" t="s">
        <v>143</v>
      </c>
      <c r="N232" t="s">
        <v>145</v>
      </c>
      <c r="O232" t="b">
        <v>1</v>
      </c>
      <c r="P232" t="b">
        <v>0</v>
      </c>
      <c r="Q232" s="6">
        <v>7.1428571428571432</v>
      </c>
      <c r="R232" s="6">
        <v>1.142857142857143</v>
      </c>
      <c r="S232" t="s">
        <v>304</v>
      </c>
      <c r="T232" t="s">
        <v>147</v>
      </c>
      <c r="U232" s="6">
        <v>8.4</v>
      </c>
      <c r="V232" s="6">
        <v>16.600000000000001</v>
      </c>
      <c r="W232" t="b">
        <v>0</v>
      </c>
      <c r="X232">
        <v>8</v>
      </c>
      <c r="Y232">
        <v>2</v>
      </c>
      <c r="Z232">
        <v>20</v>
      </c>
      <c r="AA232" s="6">
        <v>28.186274509803919</v>
      </c>
      <c r="AB232">
        <f>--PizzaDelivery[[#This Row],[Is Delayed]]</f>
        <v>0</v>
      </c>
    </row>
    <row r="233" spans="1:28">
      <c r="A233" t="s">
        <v>425</v>
      </c>
      <c r="B233" t="s">
        <v>157</v>
      </c>
      <c r="C233" t="s">
        <v>184</v>
      </c>
      <c r="D233" s="1">
        <v>45520</v>
      </c>
      <c r="E233" s="5">
        <v>0.79166666666666663</v>
      </c>
      <c r="F233" s="1">
        <v>45520</v>
      </c>
      <c r="G233" s="5">
        <v>0.80555555555555558</v>
      </c>
      <c r="H233">
        <v>20</v>
      </c>
      <c r="I233" t="s">
        <v>159</v>
      </c>
      <c r="J233" t="s">
        <v>160</v>
      </c>
      <c r="K233">
        <v>2</v>
      </c>
      <c r="L233">
        <v>2</v>
      </c>
      <c r="M233" t="s">
        <v>161</v>
      </c>
      <c r="N233" t="s">
        <v>154</v>
      </c>
      <c r="O233" t="b">
        <v>1</v>
      </c>
      <c r="P233" t="b">
        <v>0</v>
      </c>
      <c r="Q233" s="6">
        <v>10</v>
      </c>
      <c r="R233" s="6">
        <v>1</v>
      </c>
      <c r="S233" t="s">
        <v>304</v>
      </c>
      <c r="T233" t="s">
        <v>147</v>
      </c>
      <c r="U233" s="6">
        <v>4.8</v>
      </c>
      <c r="V233" s="6">
        <v>15.2</v>
      </c>
      <c r="W233" t="b">
        <v>0</v>
      </c>
      <c r="X233">
        <v>2</v>
      </c>
      <c r="Y233">
        <v>1</v>
      </c>
      <c r="Z233">
        <v>19</v>
      </c>
      <c r="AA233" s="6">
        <v>28.844221105527641</v>
      </c>
      <c r="AB233">
        <f>--PizzaDelivery[[#This Row],[Is Delayed]]</f>
        <v>0</v>
      </c>
    </row>
    <row r="234" spans="1:28">
      <c r="A234" t="s">
        <v>426</v>
      </c>
      <c r="B234" t="s">
        <v>173</v>
      </c>
      <c r="C234" t="s">
        <v>186</v>
      </c>
      <c r="D234" s="1">
        <v>45521</v>
      </c>
      <c r="E234" s="5">
        <v>0.54166666666666663</v>
      </c>
      <c r="F234" s="1">
        <v>45521</v>
      </c>
      <c r="G234" s="5">
        <v>0.5625</v>
      </c>
      <c r="H234">
        <v>30</v>
      </c>
      <c r="I234" t="s">
        <v>143</v>
      </c>
      <c r="J234" t="s">
        <v>152</v>
      </c>
      <c r="K234">
        <v>3</v>
      </c>
      <c r="L234">
        <v>3</v>
      </c>
      <c r="M234" t="s">
        <v>153</v>
      </c>
      <c r="N234" t="s">
        <v>162</v>
      </c>
      <c r="O234" t="b">
        <v>0</v>
      </c>
      <c r="P234" t="b">
        <v>1</v>
      </c>
      <c r="Q234" s="6">
        <v>10</v>
      </c>
      <c r="R234" s="6">
        <v>1</v>
      </c>
      <c r="S234" t="s">
        <v>304</v>
      </c>
      <c r="T234" t="s">
        <v>147</v>
      </c>
      <c r="U234" s="6">
        <v>7.1999999999999993</v>
      </c>
      <c r="V234" s="6">
        <v>22.8</v>
      </c>
      <c r="W234" t="b">
        <v>0</v>
      </c>
      <c r="X234">
        <v>6</v>
      </c>
      <c r="Y234">
        <v>3</v>
      </c>
      <c r="Z234">
        <v>13</v>
      </c>
      <c r="AA234" s="6">
        <v>30.286458333333329</v>
      </c>
      <c r="AB234">
        <f>--PizzaDelivery[[#This Row],[Is Delayed]]</f>
        <v>0</v>
      </c>
    </row>
    <row r="235" spans="1:28">
      <c r="A235" t="s">
        <v>427</v>
      </c>
      <c r="B235" t="s">
        <v>142</v>
      </c>
      <c r="C235" t="s">
        <v>166</v>
      </c>
      <c r="D235" s="1">
        <v>45522</v>
      </c>
      <c r="E235" s="5">
        <v>0.77083333333333337</v>
      </c>
      <c r="F235" s="1">
        <v>45522</v>
      </c>
      <c r="G235" s="5">
        <v>0.79861111111111116</v>
      </c>
      <c r="H235">
        <v>40</v>
      </c>
      <c r="I235" t="s">
        <v>151</v>
      </c>
      <c r="J235" t="s">
        <v>144</v>
      </c>
      <c r="K235">
        <v>4</v>
      </c>
      <c r="L235">
        <v>5</v>
      </c>
      <c r="M235" t="s">
        <v>153</v>
      </c>
      <c r="N235" t="s">
        <v>145</v>
      </c>
      <c r="O235" t="b">
        <v>1</v>
      </c>
      <c r="P235" t="b">
        <v>1</v>
      </c>
      <c r="Q235" s="6">
        <v>8</v>
      </c>
      <c r="R235" s="6">
        <v>0.8</v>
      </c>
      <c r="S235" t="s">
        <v>304</v>
      </c>
      <c r="T235" t="s">
        <v>147</v>
      </c>
      <c r="U235" s="6">
        <v>12</v>
      </c>
      <c r="V235" s="6">
        <v>28</v>
      </c>
      <c r="W235" t="b">
        <v>1</v>
      </c>
      <c r="X235">
        <v>12</v>
      </c>
      <c r="Y235">
        <v>3</v>
      </c>
      <c r="Z235">
        <v>18</v>
      </c>
      <c r="AA235" s="6">
        <v>30.259433962264151</v>
      </c>
      <c r="AB235">
        <f>--PizzaDelivery[[#This Row],[Is Delayed]]</f>
        <v>1</v>
      </c>
    </row>
    <row r="236" spans="1:28">
      <c r="A236" t="s">
        <v>428</v>
      </c>
      <c r="B236" t="s">
        <v>149</v>
      </c>
      <c r="C236" t="s">
        <v>192</v>
      </c>
      <c r="D236" s="1">
        <v>45523</v>
      </c>
      <c r="E236" s="5">
        <v>0.84375</v>
      </c>
      <c r="F236" s="1">
        <v>45523</v>
      </c>
      <c r="G236" s="5">
        <v>0.85763888888888884</v>
      </c>
      <c r="H236">
        <v>20</v>
      </c>
      <c r="I236" t="s">
        <v>159</v>
      </c>
      <c r="J236" t="s">
        <v>160</v>
      </c>
      <c r="K236">
        <v>2</v>
      </c>
      <c r="L236">
        <v>2.5</v>
      </c>
      <c r="M236" t="s">
        <v>143</v>
      </c>
      <c r="N236" t="s">
        <v>169</v>
      </c>
      <c r="O236" t="b">
        <v>1</v>
      </c>
      <c r="P236" t="b">
        <v>0</v>
      </c>
      <c r="Q236" s="6">
        <v>8</v>
      </c>
      <c r="R236" s="6">
        <v>0.8</v>
      </c>
      <c r="S236" t="s">
        <v>304</v>
      </c>
      <c r="T236" t="s">
        <v>171</v>
      </c>
      <c r="U236" s="6">
        <v>6</v>
      </c>
      <c r="V236" s="6">
        <v>14</v>
      </c>
      <c r="W236" t="b">
        <v>0</v>
      </c>
      <c r="X236">
        <v>2</v>
      </c>
      <c r="Y236">
        <v>2</v>
      </c>
      <c r="Z236">
        <v>20</v>
      </c>
      <c r="AA236" s="6">
        <v>28.186274509803919</v>
      </c>
      <c r="AB236">
        <f>--PizzaDelivery[[#This Row],[Is Delayed]]</f>
        <v>0</v>
      </c>
    </row>
    <row r="237" spans="1:28">
      <c r="A237" t="s">
        <v>429</v>
      </c>
      <c r="B237" t="s">
        <v>157</v>
      </c>
      <c r="C237" t="s">
        <v>194</v>
      </c>
      <c r="D237" s="1">
        <v>45524</v>
      </c>
      <c r="E237" s="5">
        <v>0.77083333333333337</v>
      </c>
      <c r="F237" s="1">
        <v>45524</v>
      </c>
      <c r="G237" s="5">
        <v>0.78472222222222221</v>
      </c>
      <c r="H237">
        <v>20</v>
      </c>
      <c r="I237" t="s">
        <v>143</v>
      </c>
      <c r="J237" t="s">
        <v>152</v>
      </c>
      <c r="K237">
        <v>3</v>
      </c>
      <c r="L237">
        <v>3.5</v>
      </c>
      <c r="M237" t="s">
        <v>161</v>
      </c>
      <c r="N237" t="s">
        <v>154</v>
      </c>
      <c r="O237" t="b">
        <v>1</v>
      </c>
      <c r="P237" t="b">
        <v>0</v>
      </c>
      <c r="Q237" s="6">
        <v>5.7142857142857144</v>
      </c>
      <c r="R237" s="6">
        <v>0.8571428571428571</v>
      </c>
      <c r="S237" t="s">
        <v>304</v>
      </c>
      <c r="T237" t="s">
        <v>147</v>
      </c>
      <c r="U237" s="6">
        <v>8.4</v>
      </c>
      <c r="V237" s="6">
        <v>11.6</v>
      </c>
      <c r="W237" t="b">
        <v>0</v>
      </c>
      <c r="X237">
        <v>6</v>
      </c>
      <c r="Y237">
        <v>1</v>
      </c>
      <c r="Z237">
        <v>18</v>
      </c>
      <c r="AA237" s="6">
        <v>28.844221105527641</v>
      </c>
      <c r="AB237">
        <f>--PizzaDelivery[[#This Row],[Is Delayed]]</f>
        <v>0</v>
      </c>
    </row>
    <row r="238" spans="1:28">
      <c r="A238" t="s">
        <v>430</v>
      </c>
      <c r="B238" t="s">
        <v>165</v>
      </c>
      <c r="C238" t="s">
        <v>174</v>
      </c>
      <c r="D238" s="1">
        <v>45525</v>
      </c>
      <c r="E238" s="5">
        <v>0.82291666666666663</v>
      </c>
      <c r="F238" s="1">
        <v>45525</v>
      </c>
      <c r="G238" s="5">
        <v>0.84375</v>
      </c>
      <c r="H238">
        <v>30</v>
      </c>
      <c r="I238" t="s">
        <v>167</v>
      </c>
      <c r="J238" t="s">
        <v>168</v>
      </c>
      <c r="K238">
        <v>5</v>
      </c>
      <c r="L238">
        <v>4</v>
      </c>
      <c r="M238" t="s">
        <v>153</v>
      </c>
      <c r="N238" t="s">
        <v>145</v>
      </c>
      <c r="O238" t="b">
        <v>1</v>
      </c>
      <c r="P238" t="b">
        <v>0</v>
      </c>
      <c r="Q238" s="6">
        <v>7.5</v>
      </c>
      <c r="R238" s="6">
        <v>1.25</v>
      </c>
      <c r="S238" t="s">
        <v>304</v>
      </c>
      <c r="T238" t="s">
        <v>147</v>
      </c>
      <c r="U238" s="6">
        <v>9.6</v>
      </c>
      <c r="V238" s="6">
        <v>20.399999999999999</v>
      </c>
      <c r="W238" t="b">
        <v>0</v>
      </c>
      <c r="X238">
        <v>20</v>
      </c>
      <c r="Y238">
        <v>3</v>
      </c>
      <c r="Z238">
        <v>19</v>
      </c>
      <c r="AA238" s="6">
        <v>29.948453608247419</v>
      </c>
      <c r="AB238">
        <f>--PizzaDelivery[[#This Row],[Is Delayed]]</f>
        <v>0</v>
      </c>
    </row>
    <row r="239" spans="1:28">
      <c r="A239" t="s">
        <v>431</v>
      </c>
      <c r="B239" t="s">
        <v>173</v>
      </c>
      <c r="C239" t="s">
        <v>190</v>
      </c>
      <c r="D239" s="1">
        <v>45526</v>
      </c>
      <c r="E239" s="5">
        <v>0.54166666666666663</v>
      </c>
      <c r="F239" s="1">
        <v>45526</v>
      </c>
      <c r="G239" s="5">
        <v>0.55902777777777779</v>
      </c>
      <c r="H239">
        <v>25</v>
      </c>
      <c r="I239" t="s">
        <v>143</v>
      </c>
      <c r="J239" t="s">
        <v>152</v>
      </c>
      <c r="K239">
        <v>3</v>
      </c>
      <c r="L239">
        <v>3.5</v>
      </c>
      <c r="M239" t="s">
        <v>161</v>
      </c>
      <c r="N239" t="s">
        <v>162</v>
      </c>
      <c r="O239" t="b">
        <v>0</v>
      </c>
      <c r="P239" t="b">
        <v>0</v>
      </c>
      <c r="Q239" s="6">
        <v>7.1428571428571432</v>
      </c>
      <c r="R239" s="6">
        <v>0.8571428571428571</v>
      </c>
      <c r="S239" t="s">
        <v>304</v>
      </c>
      <c r="T239" t="s">
        <v>147</v>
      </c>
      <c r="U239" s="6">
        <v>8.4</v>
      </c>
      <c r="V239" s="6">
        <v>16.600000000000001</v>
      </c>
      <c r="W239" t="b">
        <v>0</v>
      </c>
      <c r="X239">
        <v>6</v>
      </c>
      <c r="Y239">
        <v>1</v>
      </c>
      <c r="Z239">
        <v>13</v>
      </c>
      <c r="AA239" s="6">
        <v>30.286458333333329</v>
      </c>
      <c r="AB239">
        <f>--PizzaDelivery[[#This Row],[Is Delayed]]</f>
        <v>0</v>
      </c>
    </row>
    <row r="240" spans="1:28">
      <c r="A240" t="s">
        <v>432</v>
      </c>
      <c r="B240" t="s">
        <v>142</v>
      </c>
      <c r="C240" t="s">
        <v>192</v>
      </c>
      <c r="D240" s="1">
        <v>45527</v>
      </c>
      <c r="E240" s="5">
        <v>0.77083333333333337</v>
      </c>
      <c r="F240" s="1">
        <v>45527</v>
      </c>
      <c r="G240" s="5">
        <v>0.78472222222222221</v>
      </c>
      <c r="H240">
        <v>20</v>
      </c>
      <c r="I240" t="s">
        <v>151</v>
      </c>
      <c r="J240" t="s">
        <v>144</v>
      </c>
      <c r="K240">
        <v>4</v>
      </c>
      <c r="L240">
        <v>4.5</v>
      </c>
      <c r="M240" t="s">
        <v>143</v>
      </c>
      <c r="N240" t="s">
        <v>169</v>
      </c>
      <c r="O240" t="b">
        <v>1</v>
      </c>
      <c r="P240" t="b">
        <v>0</v>
      </c>
      <c r="Q240" s="6">
        <v>4.4444444444444446</v>
      </c>
      <c r="R240" s="6">
        <v>0.88888888888888884</v>
      </c>
      <c r="S240" t="s">
        <v>304</v>
      </c>
      <c r="T240" t="s">
        <v>171</v>
      </c>
      <c r="U240" s="6">
        <v>10.8</v>
      </c>
      <c r="V240" s="6">
        <v>9.2000000000000011</v>
      </c>
      <c r="W240" t="b">
        <v>0</v>
      </c>
      <c r="X240">
        <v>12</v>
      </c>
      <c r="Y240">
        <v>2</v>
      </c>
      <c r="Z240">
        <v>18</v>
      </c>
      <c r="AA240" s="6">
        <v>30.259433962264151</v>
      </c>
      <c r="AB240">
        <f>--PizzaDelivery[[#This Row],[Is Delayed]]</f>
        <v>0</v>
      </c>
    </row>
    <row r="241" spans="1:28">
      <c r="A241" t="s">
        <v>433</v>
      </c>
      <c r="B241" t="s">
        <v>149</v>
      </c>
      <c r="C241" t="s">
        <v>194</v>
      </c>
      <c r="D241" s="1">
        <v>45528</v>
      </c>
      <c r="E241" s="5">
        <v>0.84375</v>
      </c>
      <c r="F241" s="1">
        <v>45528</v>
      </c>
      <c r="G241" s="5">
        <v>0.86111111111111116</v>
      </c>
      <c r="H241">
        <v>25</v>
      </c>
      <c r="I241" t="s">
        <v>159</v>
      </c>
      <c r="J241" t="s">
        <v>160</v>
      </c>
      <c r="K241">
        <v>2</v>
      </c>
      <c r="L241">
        <v>2</v>
      </c>
      <c r="M241" t="s">
        <v>153</v>
      </c>
      <c r="N241" t="s">
        <v>154</v>
      </c>
      <c r="O241" t="b">
        <v>1</v>
      </c>
      <c r="P241" t="b">
        <v>1</v>
      </c>
      <c r="Q241" s="6">
        <v>12.5</v>
      </c>
      <c r="R241" s="6">
        <v>1</v>
      </c>
      <c r="S241" t="s">
        <v>304</v>
      </c>
      <c r="T241" t="s">
        <v>147</v>
      </c>
      <c r="U241" s="6">
        <v>4.8</v>
      </c>
      <c r="V241" s="6">
        <v>20.2</v>
      </c>
      <c r="W241" t="b">
        <v>0</v>
      </c>
      <c r="X241">
        <v>2</v>
      </c>
      <c r="Y241">
        <v>3</v>
      </c>
      <c r="Z241">
        <v>20</v>
      </c>
      <c r="AA241" s="6">
        <v>28.186274509803919</v>
      </c>
      <c r="AB241">
        <f>--PizzaDelivery[[#This Row],[Is Delayed]]</f>
        <v>0</v>
      </c>
    </row>
    <row r="242" spans="1:28">
      <c r="A242" t="s">
        <v>434</v>
      </c>
      <c r="B242" t="s">
        <v>157</v>
      </c>
      <c r="C242" t="s">
        <v>174</v>
      </c>
      <c r="D242" s="1">
        <v>45529</v>
      </c>
      <c r="E242" s="5">
        <v>0.77083333333333337</v>
      </c>
      <c r="F242" s="1">
        <v>45529</v>
      </c>
      <c r="G242" s="5">
        <v>0.78472222222222221</v>
      </c>
      <c r="H242">
        <v>20</v>
      </c>
      <c r="I242" t="s">
        <v>143</v>
      </c>
      <c r="J242" t="s">
        <v>152</v>
      </c>
      <c r="K242">
        <v>3</v>
      </c>
      <c r="L242">
        <v>3</v>
      </c>
      <c r="M242" t="s">
        <v>153</v>
      </c>
      <c r="N242" t="s">
        <v>162</v>
      </c>
      <c r="O242" t="b">
        <v>1</v>
      </c>
      <c r="P242" t="b">
        <v>1</v>
      </c>
      <c r="Q242" s="6">
        <v>6.666666666666667</v>
      </c>
      <c r="R242" s="6">
        <v>1</v>
      </c>
      <c r="S242" t="s">
        <v>304</v>
      </c>
      <c r="T242" t="s">
        <v>147</v>
      </c>
      <c r="U242" s="6">
        <v>7.1999999999999993</v>
      </c>
      <c r="V242" s="6">
        <v>12.8</v>
      </c>
      <c r="W242" t="b">
        <v>0</v>
      </c>
      <c r="X242">
        <v>6</v>
      </c>
      <c r="Y242">
        <v>3</v>
      </c>
      <c r="Z242">
        <v>18</v>
      </c>
      <c r="AA242" s="6">
        <v>28.844221105527641</v>
      </c>
      <c r="AB242">
        <f>--PizzaDelivery[[#This Row],[Is Delayed]]</f>
        <v>0</v>
      </c>
    </row>
    <row r="243" spans="1:28">
      <c r="A243" t="s">
        <v>435</v>
      </c>
      <c r="B243" t="s">
        <v>165</v>
      </c>
      <c r="C243" t="s">
        <v>150</v>
      </c>
      <c r="D243" s="1">
        <v>45530</v>
      </c>
      <c r="E243" s="5">
        <v>0.82291666666666663</v>
      </c>
      <c r="F243" s="1">
        <v>45530</v>
      </c>
      <c r="G243" s="5">
        <v>0.84027777777777779</v>
      </c>
      <c r="H243">
        <v>25</v>
      </c>
      <c r="I243" t="s">
        <v>167</v>
      </c>
      <c r="J243" t="s">
        <v>168</v>
      </c>
      <c r="K243">
        <v>5</v>
      </c>
      <c r="L243">
        <v>4.5</v>
      </c>
      <c r="M243" t="s">
        <v>161</v>
      </c>
      <c r="N243" t="s">
        <v>169</v>
      </c>
      <c r="O243" t="b">
        <v>1</v>
      </c>
      <c r="P243" t="b">
        <v>0</v>
      </c>
      <c r="Q243" s="6">
        <v>5.5555555555555554</v>
      </c>
      <c r="R243" s="6">
        <v>1.1111111111111109</v>
      </c>
      <c r="S243" t="s">
        <v>304</v>
      </c>
      <c r="T243" t="s">
        <v>171</v>
      </c>
      <c r="U243" s="6">
        <v>10.8</v>
      </c>
      <c r="V243" s="6">
        <v>14.2</v>
      </c>
      <c r="W243" t="b">
        <v>0</v>
      </c>
      <c r="X243">
        <v>20</v>
      </c>
      <c r="Y243">
        <v>1</v>
      </c>
      <c r="Z243">
        <v>19</v>
      </c>
      <c r="AA243" s="6">
        <v>29.948453608247419</v>
      </c>
      <c r="AB243">
        <f>--PizzaDelivery[[#This Row],[Is Delayed]]</f>
        <v>0</v>
      </c>
    </row>
    <row r="244" spans="1:28">
      <c r="A244" t="s">
        <v>436</v>
      </c>
      <c r="B244" t="s">
        <v>173</v>
      </c>
      <c r="C244" t="s">
        <v>158</v>
      </c>
      <c r="D244" s="1">
        <v>45531</v>
      </c>
      <c r="E244" s="5">
        <v>0.54166666666666663</v>
      </c>
      <c r="F244" s="1">
        <v>45531</v>
      </c>
      <c r="G244" s="5">
        <v>0.55555555555555558</v>
      </c>
      <c r="H244">
        <v>20</v>
      </c>
      <c r="I244" t="s">
        <v>143</v>
      </c>
      <c r="J244" t="s">
        <v>152</v>
      </c>
      <c r="K244">
        <v>3</v>
      </c>
      <c r="L244">
        <v>3.5</v>
      </c>
      <c r="M244" t="s">
        <v>143</v>
      </c>
      <c r="N244" t="s">
        <v>154</v>
      </c>
      <c r="O244" t="b">
        <v>0</v>
      </c>
      <c r="P244" t="b">
        <v>0</v>
      </c>
      <c r="Q244" s="6">
        <v>5.7142857142857144</v>
      </c>
      <c r="R244" s="6">
        <v>0.8571428571428571</v>
      </c>
      <c r="S244" t="s">
        <v>304</v>
      </c>
      <c r="T244" t="s">
        <v>147</v>
      </c>
      <c r="U244" s="6">
        <v>8.4</v>
      </c>
      <c r="V244" s="6">
        <v>11.6</v>
      </c>
      <c r="W244" t="b">
        <v>0</v>
      </c>
      <c r="X244">
        <v>6</v>
      </c>
      <c r="Y244">
        <v>2</v>
      </c>
      <c r="Z244">
        <v>13</v>
      </c>
      <c r="AA244" s="6">
        <v>30.286458333333329</v>
      </c>
      <c r="AB244">
        <f>--PizzaDelivery[[#This Row],[Is Delayed]]</f>
        <v>0</v>
      </c>
    </row>
    <row r="245" spans="1:28">
      <c r="A245" t="s">
        <v>437</v>
      </c>
      <c r="B245" t="s">
        <v>142</v>
      </c>
      <c r="C245" t="s">
        <v>166</v>
      </c>
      <c r="D245" s="1">
        <v>45532</v>
      </c>
      <c r="E245" s="5">
        <v>0.77083333333333337</v>
      </c>
      <c r="F245" s="1">
        <v>45532</v>
      </c>
      <c r="G245" s="5">
        <v>0.78819444444444442</v>
      </c>
      <c r="H245">
        <v>25</v>
      </c>
      <c r="I245" t="s">
        <v>151</v>
      </c>
      <c r="J245" t="s">
        <v>144</v>
      </c>
      <c r="K245">
        <v>4</v>
      </c>
      <c r="L245">
        <v>5</v>
      </c>
      <c r="M245" t="s">
        <v>153</v>
      </c>
      <c r="N245" t="s">
        <v>145</v>
      </c>
      <c r="O245" t="b">
        <v>1</v>
      </c>
      <c r="P245" t="b">
        <v>0</v>
      </c>
      <c r="Q245" s="6">
        <v>5</v>
      </c>
      <c r="R245" s="6">
        <v>0.8</v>
      </c>
      <c r="S245" t="s">
        <v>304</v>
      </c>
      <c r="T245" t="s">
        <v>147</v>
      </c>
      <c r="U245" s="6">
        <v>12</v>
      </c>
      <c r="V245" s="6">
        <v>13</v>
      </c>
      <c r="W245" t="b">
        <v>0</v>
      </c>
      <c r="X245">
        <v>12</v>
      </c>
      <c r="Y245">
        <v>3</v>
      </c>
      <c r="Z245">
        <v>18</v>
      </c>
      <c r="AA245" s="6">
        <v>30.259433962264151</v>
      </c>
      <c r="AB245">
        <f>--PizzaDelivery[[#This Row],[Is Delayed]]</f>
        <v>0</v>
      </c>
    </row>
    <row r="246" spans="1:28">
      <c r="A246" t="s">
        <v>438</v>
      </c>
      <c r="B246" t="s">
        <v>149</v>
      </c>
      <c r="C246" t="s">
        <v>192</v>
      </c>
      <c r="D246" s="1">
        <v>45533</v>
      </c>
      <c r="E246" s="5">
        <v>0.84375</v>
      </c>
      <c r="F246" s="1">
        <v>45533</v>
      </c>
      <c r="G246" s="5">
        <v>0.86111111111111116</v>
      </c>
      <c r="H246">
        <v>25</v>
      </c>
      <c r="I246" t="s">
        <v>159</v>
      </c>
      <c r="J246" t="s">
        <v>160</v>
      </c>
      <c r="K246">
        <v>2</v>
      </c>
      <c r="L246">
        <v>2.5</v>
      </c>
      <c r="M246" t="s">
        <v>143</v>
      </c>
      <c r="N246" t="s">
        <v>169</v>
      </c>
      <c r="O246" t="b">
        <v>1</v>
      </c>
      <c r="P246" t="b">
        <v>0</v>
      </c>
      <c r="Q246" s="6">
        <v>10</v>
      </c>
      <c r="R246" s="6">
        <v>0.8</v>
      </c>
      <c r="S246" t="s">
        <v>304</v>
      </c>
      <c r="T246" t="s">
        <v>171</v>
      </c>
      <c r="U246" s="6">
        <v>6</v>
      </c>
      <c r="V246" s="6">
        <v>19</v>
      </c>
      <c r="W246" t="b">
        <v>0</v>
      </c>
      <c r="X246">
        <v>2</v>
      </c>
      <c r="Y246">
        <v>2</v>
      </c>
      <c r="Z246">
        <v>20</v>
      </c>
      <c r="AA246" s="6">
        <v>28.186274509803919</v>
      </c>
      <c r="AB246">
        <f>--PizzaDelivery[[#This Row],[Is Delayed]]</f>
        <v>0</v>
      </c>
    </row>
    <row r="247" spans="1:28">
      <c r="A247" t="s">
        <v>439</v>
      </c>
      <c r="B247" t="s">
        <v>157</v>
      </c>
      <c r="C247" t="s">
        <v>194</v>
      </c>
      <c r="D247" s="1">
        <v>45534</v>
      </c>
      <c r="E247" s="5">
        <v>0.77083333333333337</v>
      </c>
      <c r="F247" s="1">
        <v>45534</v>
      </c>
      <c r="G247" s="5">
        <v>0.78472222222222221</v>
      </c>
      <c r="H247">
        <v>20</v>
      </c>
      <c r="I247" t="s">
        <v>143</v>
      </c>
      <c r="J247" t="s">
        <v>152</v>
      </c>
      <c r="K247">
        <v>3</v>
      </c>
      <c r="L247">
        <v>3.5</v>
      </c>
      <c r="M247" t="s">
        <v>161</v>
      </c>
      <c r="N247" t="s">
        <v>154</v>
      </c>
      <c r="O247" t="b">
        <v>1</v>
      </c>
      <c r="P247" t="b">
        <v>0</v>
      </c>
      <c r="Q247" s="6">
        <v>5.7142857142857144</v>
      </c>
      <c r="R247" s="6">
        <v>0.8571428571428571</v>
      </c>
      <c r="S247" t="s">
        <v>304</v>
      </c>
      <c r="T247" t="s">
        <v>147</v>
      </c>
      <c r="U247" s="6">
        <v>8.4</v>
      </c>
      <c r="V247" s="6">
        <v>11.6</v>
      </c>
      <c r="W247" t="b">
        <v>0</v>
      </c>
      <c r="X247">
        <v>6</v>
      </c>
      <c r="Y247">
        <v>1</v>
      </c>
      <c r="Z247">
        <v>18</v>
      </c>
      <c r="AA247" s="6">
        <v>28.844221105527641</v>
      </c>
      <c r="AB247">
        <f>--PizzaDelivery[[#This Row],[Is Delayed]]</f>
        <v>0</v>
      </c>
    </row>
    <row r="248" spans="1:28">
      <c r="A248" t="s">
        <v>440</v>
      </c>
      <c r="B248" t="s">
        <v>165</v>
      </c>
      <c r="C248" t="s">
        <v>174</v>
      </c>
      <c r="D248" s="1">
        <v>45535</v>
      </c>
      <c r="E248" s="5">
        <v>0.82291666666666663</v>
      </c>
      <c r="F248" s="1">
        <v>45535</v>
      </c>
      <c r="G248" s="5">
        <v>0.84027777777777779</v>
      </c>
      <c r="H248">
        <v>25</v>
      </c>
      <c r="I248" t="s">
        <v>167</v>
      </c>
      <c r="J248" t="s">
        <v>168</v>
      </c>
      <c r="K248">
        <v>5</v>
      </c>
      <c r="L248">
        <v>4</v>
      </c>
      <c r="M248" t="s">
        <v>153</v>
      </c>
      <c r="N248" t="s">
        <v>145</v>
      </c>
      <c r="O248" t="b">
        <v>1</v>
      </c>
      <c r="P248" t="b">
        <v>1</v>
      </c>
      <c r="Q248" s="6">
        <v>6.25</v>
      </c>
      <c r="R248" s="6">
        <v>1.25</v>
      </c>
      <c r="S248" t="s">
        <v>304</v>
      </c>
      <c r="T248" t="s">
        <v>147</v>
      </c>
      <c r="U248" s="6">
        <v>9.6</v>
      </c>
      <c r="V248" s="6">
        <v>15.4</v>
      </c>
      <c r="W248" t="b">
        <v>0</v>
      </c>
      <c r="X248">
        <v>20</v>
      </c>
      <c r="Y248">
        <v>3</v>
      </c>
      <c r="Z248">
        <v>19</v>
      </c>
      <c r="AA248" s="6">
        <v>29.948453608247419</v>
      </c>
      <c r="AB248">
        <f>--PizzaDelivery[[#This Row],[Is Delayed]]</f>
        <v>0</v>
      </c>
    </row>
    <row r="249" spans="1:28">
      <c r="A249" t="s">
        <v>441</v>
      </c>
      <c r="B249" t="s">
        <v>173</v>
      </c>
      <c r="C249" t="s">
        <v>190</v>
      </c>
      <c r="D249" s="1">
        <v>45536</v>
      </c>
      <c r="E249" s="5">
        <v>0.54166666666666663</v>
      </c>
      <c r="F249" s="1">
        <v>45536</v>
      </c>
      <c r="G249" s="5">
        <v>0.55555555555555558</v>
      </c>
      <c r="H249">
        <v>20</v>
      </c>
      <c r="I249" t="s">
        <v>143</v>
      </c>
      <c r="J249" t="s">
        <v>152</v>
      </c>
      <c r="K249">
        <v>3</v>
      </c>
      <c r="L249">
        <v>3.5</v>
      </c>
      <c r="M249" t="s">
        <v>161</v>
      </c>
      <c r="N249" t="s">
        <v>162</v>
      </c>
      <c r="O249" t="b">
        <v>0</v>
      </c>
      <c r="P249" t="b">
        <v>1</v>
      </c>
      <c r="Q249" s="6">
        <v>5.7142857142857144</v>
      </c>
      <c r="R249" s="6">
        <v>0.8571428571428571</v>
      </c>
      <c r="S249" t="s">
        <v>442</v>
      </c>
      <c r="T249" t="s">
        <v>147</v>
      </c>
      <c r="U249" s="6">
        <v>8.4</v>
      </c>
      <c r="V249" s="6">
        <v>11.6</v>
      </c>
      <c r="W249" t="b">
        <v>0</v>
      </c>
      <c r="X249">
        <v>6</v>
      </c>
      <c r="Y249">
        <v>1</v>
      </c>
      <c r="Z249">
        <v>13</v>
      </c>
      <c r="AA249" s="6">
        <v>30.286458333333329</v>
      </c>
      <c r="AB249">
        <f>--PizzaDelivery[[#This Row],[Is Delayed]]</f>
        <v>0</v>
      </c>
    </row>
    <row r="250" spans="1:28">
      <c r="A250" t="s">
        <v>443</v>
      </c>
      <c r="B250" t="s">
        <v>142</v>
      </c>
      <c r="C250" t="s">
        <v>192</v>
      </c>
      <c r="D250" s="1">
        <v>45537</v>
      </c>
      <c r="E250" s="5">
        <v>0.77083333333333337</v>
      </c>
      <c r="F250" s="1">
        <v>45537</v>
      </c>
      <c r="G250" s="5">
        <v>0.78472222222222221</v>
      </c>
      <c r="H250">
        <v>20</v>
      </c>
      <c r="I250" t="s">
        <v>151</v>
      </c>
      <c r="J250" t="s">
        <v>144</v>
      </c>
      <c r="K250">
        <v>4</v>
      </c>
      <c r="L250">
        <v>4.5</v>
      </c>
      <c r="M250" t="s">
        <v>143</v>
      </c>
      <c r="N250" t="s">
        <v>169</v>
      </c>
      <c r="O250" t="b">
        <v>1</v>
      </c>
      <c r="P250" t="b">
        <v>0</v>
      </c>
      <c r="Q250" s="6">
        <v>4.4444444444444446</v>
      </c>
      <c r="R250" s="6">
        <v>0.88888888888888884</v>
      </c>
      <c r="S250" t="s">
        <v>442</v>
      </c>
      <c r="T250" t="s">
        <v>171</v>
      </c>
      <c r="U250" s="6">
        <v>10.8</v>
      </c>
      <c r="V250" s="6">
        <v>9.2000000000000011</v>
      </c>
      <c r="W250" t="b">
        <v>0</v>
      </c>
      <c r="X250">
        <v>12</v>
      </c>
      <c r="Y250">
        <v>2</v>
      </c>
      <c r="Z250">
        <v>18</v>
      </c>
      <c r="AA250" s="6">
        <v>30.259433962264151</v>
      </c>
      <c r="AB250">
        <f>--PizzaDelivery[[#This Row],[Is Delayed]]</f>
        <v>0</v>
      </c>
    </row>
    <row r="251" spans="1:28">
      <c r="A251" t="s">
        <v>444</v>
      </c>
      <c r="B251" t="s">
        <v>149</v>
      </c>
      <c r="C251" t="s">
        <v>194</v>
      </c>
      <c r="D251" s="1">
        <v>45538</v>
      </c>
      <c r="E251" s="5">
        <v>0.84375</v>
      </c>
      <c r="F251" s="1">
        <v>45538</v>
      </c>
      <c r="G251" s="5">
        <v>0.86111111111111116</v>
      </c>
      <c r="H251">
        <v>25</v>
      </c>
      <c r="I251" t="s">
        <v>159</v>
      </c>
      <c r="J251" t="s">
        <v>160</v>
      </c>
      <c r="K251">
        <v>2</v>
      </c>
      <c r="L251">
        <v>2</v>
      </c>
      <c r="M251" t="s">
        <v>153</v>
      </c>
      <c r="N251" t="s">
        <v>154</v>
      </c>
      <c r="O251" t="b">
        <v>1</v>
      </c>
      <c r="P251" t="b">
        <v>0</v>
      </c>
      <c r="Q251" s="6">
        <v>12.5</v>
      </c>
      <c r="R251" s="6">
        <v>1</v>
      </c>
      <c r="S251" t="s">
        <v>442</v>
      </c>
      <c r="T251" t="s">
        <v>147</v>
      </c>
      <c r="U251" s="6">
        <v>4.8</v>
      </c>
      <c r="V251" s="6">
        <v>20.2</v>
      </c>
      <c r="W251" t="b">
        <v>0</v>
      </c>
      <c r="X251">
        <v>2</v>
      </c>
      <c r="Y251">
        <v>3</v>
      </c>
      <c r="Z251">
        <v>20</v>
      </c>
      <c r="AA251" s="6">
        <v>28.186274509803919</v>
      </c>
      <c r="AB251">
        <f>--PizzaDelivery[[#This Row],[Is Delayed]]</f>
        <v>0</v>
      </c>
    </row>
    <row r="252" spans="1:28">
      <c r="A252" t="s">
        <v>445</v>
      </c>
      <c r="B252" t="s">
        <v>157</v>
      </c>
      <c r="C252" t="s">
        <v>174</v>
      </c>
      <c r="D252" s="1">
        <v>45539</v>
      </c>
      <c r="E252" s="5">
        <v>0.77083333333333337</v>
      </c>
      <c r="F252" s="1">
        <v>45539</v>
      </c>
      <c r="G252" s="5">
        <v>0.78472222222222221</v>
      </c>
      <c r="H252">
        <v>20</v>
      </c>
      <c r="I252" t="s">
        <v>143</v>
      </c>
      <c r="J252" t="s">
        <v>152</v>
      </c>
      <c r="K252">
        <v>3</v>
      </c>
      <c r="L252">
        <v>3</v>
      </c>
      <c r="M252" t="s">
        <v>153</v>
      </c>
      <c r="N252" t="s">
        <v>162</v>
      </c>
      <c r="O252" t="b">
        <v>1</v>
      </c>
      <c r="P252" t="b">
        <v>0</v>
      </c>
      <c r="Q252" s="6">
        <v>6.666666666666667</v>
      </c>
      <c r="R252" s="6">
        <v>1</v>
      </c>
      <c r="S252" t="s">
        <v>442</v>
      </c>
      <c r="T252" t="s">
        <v>147</v>
      </c>
      <c r="U252" s="6">
        <v>7.1999999999999993</v>
      </c>
      <c r="V252" s="6">
        <v>12.8</v>
      </c>
      <c r="W252" t="b">
        <v>0</v>
      </c>
      <c r="X252">
        <v>6</v>
      </c>
      <c r="Y252">
        <v>3</v>
      </c>
      <c r="Z252">
        <v>18</v>
      </c>
      <c r="AA252" s="6">
        <v>28.844221105527641</v>
      </c>
      <c r="AB252">
        <f>--PizzaDelivery[[#This Row],[Is Delayed]]</f>
        <v>0</v>
      </c>
    </row>
    <row r="253" spans="1:28">
      <c r="A253" t="s">
        <v>446</v>
      </c>
      <c r="B253" t="s">
        <v>165</v>
      </c>
      <c r="C253" t="s">
        <v>150</v>
      </c>
      <c r="D253" s="1">
        <v>45540</v>
      </c>
      <c r="E253" s="5">
        <v>0.82291666666666663</v>
      </c>
      <c r="F253" s="1">
        <v>45540</v>
      </c>
      <c r="G253" s="5">
        <v>0.84027777777777779</v>
      </c>
      <c r="H253">
        <v>25</v>
      </c>
      <c r="I253" t="s">
        <v>167</v>
      </c>
      <c r="J253" t="s">
        <v>168</v>
      </c>
      <c r="K253">
        <v>5</v>
      </c>
      <c r="L253">
        <v>4.5</v>
      </c>
      <c r="M253" t="s">
        <v>161</v>
      </c>
      <c r="N253" t="s">
        <v>169</v>
      </c>
      <c r="O253" t="b">
        <v>1</v>
      </c>
      <c r="P253" t="b">
        <v>0</v>
      </c>
      <c r="Q253" s="6">
        <v>5.5555555555555554</v>
      </c>
      <c r="R253" s="6">
        <v>1.1111111111111109</v>
      </c>
      <c r="S253" t="s">
        <v>442</v>
      </c>
      <c r="T253" t="s">
        <v>171</v>
      </c>
      <c r="U253" s="6">
        <v>10.8</v>
      </c>
      <c r="V253" s="6">
        <v>14.2</v>
      </c>
      <c r="W253" t="b">
        <v>0</v>
      </c>
      <c r="X253">
        <v>20</v>
      </c>
      <c r="Y253">
        <v>1</v>
      </c>
      <c r="Z253">
        <v>19</v>
      </c>
      <c r="AA253" s="6">
        <v>29.948453608247419</v>
      </c>
      <c r="AB253">
        <f>--PizzaDelivery[[#This Row],[Is Delayed]]</f>
        <v>0</v>
      </c>
    </row>
    <row r="254" spans="1:28">
      <c r="A254" t="s">
        <v>447</v>
      </c>
      <c r="B254" t="s">
        <v>173</v>
      </c>
      <c r="C254" t="s">
        <v>158</v>
      </c>
      <c r="D254" s="1">
        <v>45541</v>
      </c>
      <c r="E254" s="5">
        <v>0.54166666666666663</v>
      </c>
      <c r="F254" s="1">
        <v>45541</v>
      </c>
      <c r="G254" s="5">
        <v>0.55555555555555558</v>
      </c>
      <c r="H254">
        <v>20</v>
      </c>
      <c r="I254" t="s">
        <v>143</v>
      </c>
      <c r="J254" t="s">
        <v>152</v>
      </c>
      <c r="K254">
        <v>3</v>
      </c>
      <c r="L254">
        <v>3.5</v>
      </c>
      <c r="M254" t="s">
        <v>143</v>
      </c>
      <c r="N254" t="s">
        <v>154</v>
      </c>
      <c r="O254" t="b">
        <v>0</v>
      </c>
      <c r="P254" t="b">
        <v>0</v>
      </c>
      <c r="Q254" s="6">
        <v>5.7142857142857144</v>
      </c>
      <c r="R254" s="6">
        <v>0.8571428571428571</v>
      </c>
      <c r="S254" t="s">
        <v>442</v>
      </c>
      <c r="T254" t="s">
        <v>147</v>
      </c>
      <c r="U254" s="6">
        <v>8.4</v>
      </c>
      <c r="V254" s="6">
        <v>11.6</v>
      </c>
      <c r="W254" t="b">
        <v>0</v>
      </c>
      <c r="X254">
        <v>6</v>
      </c>
      <c r="Y254">
        <v>2</v>
      </c>
      <c r="Z254">
        <v>13</v>
      </c>
      <c r="AA254" s="6">
        <v>30.286458333333329</v>
      </c>
      <c r="AB254">
        <f>--PizzaDelivery[[#This Row],[Is Delayed]]</f>
        <v>0</v>
      </c>
    </row>
    <row r="255" spans="1:28">
      <c r="A255" t="s">
        <v>448</v>
      </c>
      <c r="B255" t="s">
        <v>142</v>
      </c>
      <c r="C255" t="s">
        <v>166</v>
      </c>
      <c r="D255" s="1">
        <v>45542</v>
      </c>
      <c r="E255" s="5">
        <v>0.77083333333333337</v>
      </c>
      <c r="F255" s="1">
        <v>45542</v>
      </c>
      <c r="G255" s="5">
        <v>0.78819444444444442</v>
      </c>
      <c r="H255">
        <v>25</v>
      </c>
      <c r="I255" t="s">
        <v>151</v>
      </c>
      <c r="J255" t="s">
        <v>144</v>
      </c>
      <c r="K255">
        <v>4</v>
      </c>
      <c r="L255">
        <v>5</v>
      </c>
      <c r="M255" t="s">
        <v>153</v>
      </c>
      <c r="N255" t="s">
        <v>145</v>
      </c>
      <c r="O255" t="b">
        <v>1</v>
      </c>
      <c r="P255" t="b">
        <v>1</v>
      </c>
      <c r="Q255" s="6">
        <v>5</v>
      </c>
      <c r="R255" s="6">
        <v>0.8</v>
      </c>
      <c r="S255" t="s">
        <v>442</v>
      </c>
      <c r="T255" t="s">
        <v>147</v>
      </c>
      <c r="U255" s="6">
        <v>12</v>
      </c>
      <c r="V255" s="6">
        <v>13</v>
      </c>
      <c r="W255" t="b">
        <v>0</v>
      </c>
      <c r="X255">
        <v>12</v>
      </c>
      <c r="Y255">
        <v>3</v>
      </c>
      <c r="Z255">
        <v>18</v>
      </c>
      <c r="AA255" s="6">
        <v>30.259433962264151</v>
      </c>
      <c r="AB255">
        <f>--PizzaDelivery[[#This Row],[Is Delayed]]</f>
        <v>0</v>
      </c>
    </row>
    <row r="256" spans="1:28">
      <c r="A256" t="s">
        <v>449</v>
      </c>
      <c r="B256" t="s">
        <v>149</v>
      </c>
      <c r="C256" t="s">
        <v>192</v>
      </c>
      <c r="D256" s="1">
        <v>45543</v>
      </c>
      <c r="E256" s="5">
        <v>0.84375</v>
      </c>
      <c r="F256" s="1">
        <v>45543</v>
      </c>
      <c r="G256" s="5">
        <v>0.86111111111111116</v>
      </c>
      <c r="H256">
        <v>25</v>
      </c>
      <c r="I256" t="s">
        <v>159</v>
      </c>
      <c r="J256" t="s">
        <v>160</v>
      </c>
      <c r="K256">
        <v>2</v>
      </c>
      <c r="L256">
        <v>2.5</v>
      </c>
      <c r="M256" t="s">
        <v>143</v>
      </c>
      <c r="N256" t="s">
        <v>169</v>
      </c>
      <c r="O256" t="b">
        <v>1</v>
      </c>
      <c r="P256" t="b">
        <v>1</v>
      </c>
      <c r="Q256" s="6">
        <v>10</v>
      </c>
      <c r="R256" s="6">
        <v>0.8</v>
      </c>
      <c r="S256" t="s">
        <v>442</v>
      </c>
      <c r="T256" t="s">
        <v>171</v>
      </c>
      <c r="U256" s="6">
        <v>6</v>
      </c>
      <c r="V256" s="6">
        <v>19</v>
      </c>
      <c r="W256" t="b">
        <v>0</v>
      </c>
      <c r="X256">
        <v>2</v>
      </c>
      <c r="Y256">
        <v>2</v>
      </c>
      <c r="Z256">
        <v>20</v>
      </c>
      <c r="AA256" s="6">
        <v>28.186274509803919</v>
      </c>
      <c r="AB256">
        <f>--PizzaDelivery[[#This Row],[Is Delayed]]</f>
        <v>0</v>
      </c>
    </row>
    <row r="257" spans="1:28">
      <c r="A257" t="s">
        <v>450</v>
      </c>
      <c r="B257" t="s">
        <v>157</v>
      </c>
      <c r="C257" t="s">
        <v>194</v>
      </c>
      <c r="D257" s="1">
        <v>45544</v>
      </c>
      <c r="E257" s="5">
        <v>0.77083333333333337</v>
      </c>
      <c r="F257" s="1">
        <v>45544</v>
      </c>
      <c r="G257" s="5">
        <v>0.78472222222222221</v>
      </c>
      <c r="H257">
        <v>20</v>
      </c>
      <c r="I257" t="s">
        <v>143</v>
      </c>
      <c r="J257" t="s">
        <v>152</v>
      </c>
      <c r="K257">
        <v>3</v>
      </c>
      <c r="L257">
        <v>3.5</v>
      </c>
      <c r="M257" t="s">
        <v>161</v>
      </c>
      <c r="N257" t="s">
        <v>154</v>
      </c>
      <c r="O257" t="b">
        <v>1</v>
      </c>
      <c r="P257" t="b">
        <v>0</v>
      </c>
      <c r="Q257" s="6">
        <v>5.7142857142857144</v>
      </c>
      <c r="R257" s="6">
        <v>0.8571428571428571</v>
      </c>
      <c r="S257" t="s">
        <v>442</v>
      </c>
      <c r="T257" t="s">
        <v>147</v>
      </c>
      <c r="U257" s="6">
        <v>8.4</v>
      </c>
      <c r="V257" s="6">
        <v>11.6</v>
      </c>
      <c r="W257" t="b">
        <v>0</v>
      </c>
      <c r="X257">
        <v>6</v>
      </c>
      <c r="Y257">
        <v>1</v>
      </c>
      <c r="Z257">
        <v>18</v>
      </c>
      <c r="AA257" s="6">
        <v>28.844221105527641</v>
      </c>
      <c r="AB257">
        <f>--PizzaDelivery[[#This Row],[Is Delayed]]</f>
        <v>0</v>
      </c>
    </row>
    <row r="258" spans="1:28">
      <c r="A258" t="s">
        <v>451</v>
      </c>
      <c r="B258" t="s">
        <v>142</v>
      </c>
      <c r="C258" t="s">
        <v>182</v>
      </c>
      <c r="D258" s="1">
        <v>45545</v>
      </c>
      <c r="E258" s="5">
        <v>0.75</v>
      </c>
      <c r="F258" s="1">
        <v>45545</v>
      </c>
      <c r="G258" s="5">
        <v>0.76736111111111116</v>
      </c>
      <c r="H258">
        <v>25</v>
      </c>
      <c r="I258" t="s">
        <v>151</v>
      </c>
      <c r="J258" t="s">
        <v>144</v>
      </c>
      <c r="K258">
        <v>3</v>
      </c>
      <c r="L258">
        <v>5</v>
      </c>
      <c r="M258" t="s">
        <v>153</v>
      </c>
      <c r="N258" t="s">
        <v>169</v>
      </c>
      <c r="O258" t="b">
        <v>1</v>
      </c>
      <c r="P258" t="b">
        <v>0</v>
      </c>
      <c r="Q258" s="6">
        <v>5</v>
      </c>
      <c r="R258" s="6">
        <v>0.6</v>
      </c>
      <c r="S258" t="s">
        <v>442</v>
      </c>
      <c r="T258" t="s">
        <v>171</v>
      </c>
      <c r="U258" s="6">
        <v>12</v>
      </c>
      <c r="V258" s="6">
        <v>13</v>
      </c>
      <c r="W258" t="b">
        <v>0</v>
      </c>
      <c r="X258">
        <v>9</v>
      </c>
      <c r="Y258">
        <v>3</v>
      </c>
      <c r="Z258">
        <v>18</v>
      </c>
      <c r="AA258" s="6">
        <v>30.259433962264151</v>
      </c>
      <c r="AB258">
        <f>--PizzaDelivery[[#This Row],[Is Delayed]]</f>
        <v>0</v>
      </c>
    </row>
    <row r="259" spans="1:28">
      <c r="A259" t="s">
        <v>452</v>
      </c>
      <c r="B259" t="s">
        <v>142</v>
      </c>
      <c r="C259" t="s">
        <v>317</v>
      </c>
      <c r="D259" s="1">
        <v>45546</v>
      </c>
      <c r="E259" s="5">
        <v>0.80208333333333337</v>
      </c>
      <c r="F259" s="1">
        <v>45546</v>
      </c>
      <c r="G259" s="5">
        <v>0.81597222222222221</v>
      </c>
      <c r="H259">
        <v>20</v>
      </c>
      <c r="I259" t="s">
        <v>143</v>
      </c>
      <c r="J259" t="s">
        <v>152</v>
      </c>
      <c r="K259">
        <v>2</v>
      </c>
      <c r="L259">
        <v>3.5</v>
      </c>
      <c r="M259" t="s">
        <v>143</v>
      </c>
      <c r="N259" t="s">
        <v>145</v>
      </c>
      <c r="O259" t="b">
        <v>1</v>
      </c>
      <c r="P259" t="b">
        <v>0</v>
      </c>
      <c r="Q259" s="6">
        <v>5.7142857142857144</v>
      </c>
      <c r="R259" s="6">
        <v>0.5714285714285714</v>
      </c>
      <c r="S259" t="s">
        <v>442</v>
      </c>
      <c r="T259" t="s">
        <v>147</v>
      </c>
      <c r="U259" s="6">
        <v>8.4</v>
      </c>
      <c r="V259" s="6">
        <v>11.6</v>
      </c>
      <c r="W259" t="b">
        <v>0</v>
      </c>
      <c r="X259">
        <v>4</v>
      </c>
      <c r="Y259">
        <v>2</v>
      </c>
      <c r="Z259">
        <v>19</v>
      </c>
      <c r="AA259" s="6">
        <v>30.259433962264151</v>
      </c>
      <c r="AB259">
        <f>--PizzaDelivery[[#This Row],[Is Delayed]]</f>
        <v>0</v>
      </c>
    </row>
    <row r="260" spans="1:28">
      <c r="A260" t="s">
        <v>453</v>
      </c>
      <c r="B260" t="s">
        <v>142</v>
      </c>
      <c r="C260" t="s">
        <v>190</v>
      </c>
      <c r="D260" s="1">
        <v>45547</v>
      </c>
      <c r="E260" s="5">
        <v>0.85416666666666663</v>
      </c>
      <c r="F260" s="1">
        <v>45547</v>
      </c>
      <c r="G260" s="5">
        <v>0.86805555555555558</v>
      </c>
      <c r="H260">
        <v>20</v>
      </c>
      <c r="I260" t="s">
        <v>159</v>
      </c>
      <c r="J260" t="s">
        <v>160</v>
      </c>
      <c r="K260">
        <v>1</v>
      </c>
      <c r="L260">
        <v>2.5</v>
      </c>
      <c r="M260" t="s">
        <v>161</v>
      </c>
      <c r="N260" t="s">
        <v>154</v>
      </c>
      <c r="O260" t="b">
        <v>1</v>
      </c>
      <c r="P260" t="b">
        <v>0</v>
      </c>
      <c r="Q260" s="6">
        <v>8</v>
      </c>
      <c r="R260" s="6">
        <v>0.4</v>
      </c>
      <c r="S260" t="s">
        <v>442</v>
      </c>
      <c r="T260" t="s">
        <v>147</v>
      </c>
      <c r="U260" s="6">
        <v>6</v>
      </c>
      <c r="V260" s="6">
        <v>14</v>
      </c>
      <c r="W260" t="b">
        <v>0</v>
      </c>
      <c r="X260">
        <v>1</v>
      </c>
      <c r="Y260">
        <v>1</v>
      </c>
      <c r="Z260">
        <v>20</v>
      </c>
      <c r="AA260" s="6">
        <v>30.259433962264151</v>
      </c>
      <c r="AB260">
        <f>--PizzaDelivery[[#This Row],[Is Delayed]]</f>
        <v>0</v>
      </c>
    </row>
    <row r="261" spans="1:28">
      <c r="A261" t="s">
        <v>454</v>
      </c>
      <c r="B261" t="s">
        <v>142</v>
      </c>
      <c r="C261" t="s">
        <v>158</v>
      </c>
      <c r="D261" s="1">
        <v>45548</v>
      </c>
      <c r="E261" s="5">
        <v>0.78125</v>
      </c>
      <c r="F261" s="1">
        <v>45548</v>
      </c>
      <c r="G261" s="5">
        <v>0.79861111111111116</v>
      </c>
      <c r="H261">
        <v>25</v>
      </c>
      <c r="I261" t="s">
        <v>167</v>
      </c>
      <c r="J261" t="s">
        <v>168</v>
      </c>
      <c r="K261">
        <v>5</v>
      </c>
      <c r="L261">
        <v>4.5</v>
      </c>
      <c r="M261" t="s">
        <v>153</v>
      </c>
      <c r="N261" t="s">
        <v>162</v>
      </c>
      <c r="O261" t="b">
        <v>1</v>
      </c>
      <c r="P261" t="b">
        <v>0</v>
      </c>
      <c r="Q261" s="6">
        <v>5.5555555555555554</v>
      </c>
      <c r="R261" s="6">
        <v>1.1111111111111109</v>
      </c>
      <c r="S261" t="s">
        <v>442</v>
      </c>
      <c r="T261" t="s">
        <v>147</v>
      </c>
      <c r="U261" s="6">
        <v>10.8</v>
      </c>
      <c r="V261" s="6">
        <v>14.2</v>
      </c>
      <c r="W261" t="b">
        <v>0</v>
      </c>
      <c r="X261">
        <v>20</v>
      </c>
      <c r="Y261">
        <v>3</v>
      </c>
      <c r="Z261">
        <v>18</v>
      </c>
      <c r="AA261" s="6">
        <v>30.259433962264151</v>
      </c>
      <c r="AB261">
        <f>--PizzaDelivery[[#This Row],[Is Delayed]]</f>
        <v>0</v>
      </c>
    </row>
    <row r="262" spans="1:28">
      <c r="A262" t="s">
        <v>455</v>
      </c>
      <c r="B262" t="s">
        <v>142</v>
      </c>
      <c r="C262" t="s">
        <v>166</v>
      </c>
      <c r="D262" s="1">
        <v>45549</v>
      </c>
      <c r="E262" s="5">
        <v>0.79166666666666663</v>
      </c>
      <c r="F262" s="1">
        <v>45549</v>
      </c>
      <c r="G262" s="5">
        <v>0.80555555555555558</v>
      </c>
      <c r="H262">
        <v>20</v>
      </c>
      <c r="I262" t="s">
        <v>143</v>
      </c>
      <c r="J262" t="s">
        <v>152</v>
      </c>
      <c r="K262">
        <v>3</v>
      </c>
      <c r="L262">
        <v>3</v>
      </c>
      <c r="M262" t="s">
        <v>143</v>
      </c>
      <c r="N262" t="s">
        <v>169</v>
      </c>
      <c r="O262" t="b">
        <v>1</v>
      </c>
      <c r="P262" t="b">
        <v>1</v>
      </c>
      <c r="Q262" s="6">
        <v>6.666666666666667</v>
      </c>
      <c r="R262" s="6">
        <v>1</v>
      </c>
      <c r="S262" t="s">
        <v>442</v>
      </c>
      <c r="T262" t="s">
        <v>171</v>
      </c>
      <c r="U262" s="6">
        <v>7.1999999999999993</v>
      </c>
      <c r="V262" s="6">
        <v>12.8</v>
      </c>
      <c r="W262" t="b">
        <v>0</v>
      </c>
      <c r="X262">
        <v>6</v>
      </c>
      <c r="Y262">
        <v>2</v>
      </c>
      <c r="Z262">
        <v>19</v>
      </c>
      <c r="AA262" s="6">
        <v>30.259433962264151</v>
      </c>
      <c r="AB262">
        <f>--PizzaDelivery[[#This Row],[Is Delayed]]</f>
        <v>0</v>
      </c>
    </row>
    <row r="263" spans="1:28">
      <c r="A263" t="s">
        <v>456</v>
      </c>
      <c r="B263" t="s">
        <v>142</v>
      </c>
      <c r="C263" t="s">
        <v>192</v>
      </c>
      <c r="D263" s="1">
        <v>45550</v>
      </c>
      <c r="E263" s="5">
        <v>0.83333333333333337</v>
      </c>
      <c r="F263" s="1">
        <v>45550</v>
      </c>
      <c r="G263" s="5">
        <v>0.85069444444444442</v>
      </c>
      <c r="H263">
        <v>25</v>
      </c>
      <c r="I263" t="s">
        <v>151</v>
      </c>
      <c r="J263" t="s">
        <v>144</v>
      </c>
      <c r="K263">
        <v>4</v>
      </c>
      <c r="L263">
        <v>5</v>
      </c>
      <c r="M263" t="s">
        <v>153</v>
      </c>
      <c r="N263" t="s">
        <v>145</v>
      </c>
      <c r="O263" t="b">
        <v>1</v>
      </c>
      <c r="P263" t="b">
        <v>1</v>
      </c>
      <c r="Q263" s="6">
        <v>5</v>
      </c>
      <c r="R263" s="6">
        <v>0.8</v>
      </c>
      <c r="S263" t="s">
        <v>442</v>
      </c>
      <c r="T263" t="s">
        <v>147</v>
      </c>
      <c r="U263" s="6">
        <v>12</v>
      </c>
      <c r="V263" s="6">
        <v>13</v>
      </c>
      <c r="W263" t="b">
        <v>0</v>
      </c>
      <c r="X263">
        <v>12</v>
      </c>
      <c r="Y263">
        <v>3</v>
      </c>
      <c r="Z263">
        <v>20</v>
      </c>
      <c r="AA263" s="6">
        <v>30.259433962264151</v>
      </c>
      <c r="AB263">
        <f>--PizzaDelivery[[#This Row],[Is Delayed]]</f>
        <v>0</v>
      </c>
    </row>
    <row r="264" spans="1:28">
      <c r="A264" t="s">
        <v>457</v>
      </c>
      <c r="B264" t="s">
        <v>142</v>
      </c>
      <c r="C264" t="s">
        <v>194</v>
      </c>
      <c r="D264" s="1">
        <v>45551</v>
      </c>
      <c r="E264" s="5">
        <v>0.77083333333333337</v>
      </c>
      <c r="F264" s="1">
        <v>45551</v>
      </c>
      <c r="G264" s="5">
        <v>0.78472222222222221</v>
      </c>
      <c r="H264">
        <v>20</v>
      </c>
      <c r="I264" t="s">
        <v>159</v>
      </c>
      <c r="J264" t="s">
        <v>160</v>
      </c>
      <c r="K264">
        <v>2</v>
      </c>
      <c r="L264">
        <v>2</v>
      </c>
      <c r="M264" t="s">
        <v>161</v>
      </c>
      <c r="N264" t="s">
        <v>154</v>
      </c>
      <c r="O264" t="b">
        <v>1</v>
      </c>
      <c r="P264" t="b">
        <v>0</v>
      </c>
      <c r="Q264" s="6">
        <v>10</v>
      </c>
      <c r="R264" s="6">
        <v>1</v>
      </c>
      <c r="S264" t="s">
        <v>442</v>
      </c>
      <c r="T264" t="s">
        <v>147</v>
      </c>
      <c r="U264" s="6">
        <v>4.8</v>
      </c>
      <c r="V264" s="6">
        <v>15.2</v>
      </c>
      <c r="W264" t="b">
        <v>0</v>
      </c>
      <c r="X264">
        <v>2</v>
      </c>
      <c r="Y264">
        <v>1</v>
      </c>
      <c r="Z264">
        <v>18</v>
      </c>
      <c r="AA264" s="6">
        <v>30.259433962264151</v>
      </c>
      <c r="AB264">
        <f>--PizzaDelivery[[#This Row],[Is Delayed]]</f>
        <v>0</v>
      </c>
    </row>
    <row r="265" spans="1:28">
      <c r="A265" t="s">
        <v>458</v>
      </c>
      <c r="B265" t="s">
        <v>142</v>
      </c>
      <c r="C265" t="s">
        <v>174</v>
      </c>
      <c r="D265" s="1">
        <v>45552</v>
      </c>
      <c r="E265" s="5">
        <v>0.82291666666666663</v>
      </c>
      <c r="F265" s="1">
        <v>45552</v>
      </c>
      <c r="G265" s="5">
        <v>0.84027777777777779</v>
      </c>
      <c r="H265">
        <v>25</v>
      </c>
      <c r="I265" t="s">
        <v>167</v>
      </c>
      <c r="J265" t="s">
        <v>168</v>
      </c>
      <c r="K265">
        <v>5</v>
      </c>
      <c r="L265">
        <v>4.5</v>
      </c>
      <c r="M265" t="s">
        <v>143</v>
      </c>
      <c r="N265" t="s">
        <v>162</v>
      </c>
      <c r="O265" t="b">
        <v>1</v>
      </c>
      <c r="P265" t="b">
        <v>0</v>
      </c>
      <c r="Q265" s="6">
        <v>5.5555555555555554</v>
      </c>
      <c r="R265" s="6">
        <v>1.1111111111111109</v>
      </c>
      <c r="S265" t="s">
        <v>442</v>
      </c>
      <c r="T265" t="s">
        <v>147</v>
      </c>
      <c r="U265" s="6">
        <v>10.8</v>
      </c>
      <c r="V265" s="6">
        <v>14.2</v>
      </c>
      <c r="W265" t="b">
        <v>0</v>
      </c>
      <c r="X265">
        <v>20</v>
      </c>
      <c r="Y265">
        <v>2</v>
      </c>
      <c r="Z265">
        <v>19</v>
      </c>
      <c r="AA265" s="6">
        <v>30.259433962264151</v>
      </c>
      <c r="AB265">
        <f>--PizzaDelivery[[#This Row],[Is Delayed]]</f>
        <v>0</v>
      </c>
    </row>
    <row r="266" spans="1:28">
      <c r="A266" t="s">
        <v>459</v>
      </c>
      <c r="B266" t="s">
        <v>142</v>
      </c>
      <c r="C266" t="s">
        <v>150</v>
      </c>
      <c r="D266" s="1">
        <v>45553</v>
      </c>
      <c r="E266" s="5">
        <v>0.75</v>
      </c>
      <c r="F266" s="1">
        <v>45553</v>
      </c>
      <c r="G266" s="5">
        <v>0.76388888888888884</v>
      </c>
      <c r="H266">
        <v>20</v>
      </c>
      <c r="I266" t="s">
        <v>143</v>
      </c>
      <c r="J266" t="s">
        <v>152</v>
      </c>
      <c r="K266">
        <v>3</v>
      </c>
      <c r="L266">
        <v>3.5</v>
      </c>
      <c r="M266" t="s">
        <v>153</v>
      </c>
      <c r="N266" t="s">
        <v>169</v>
      </c>
      <c r="O266" t="b">
        <v>1</v>
      </c>
      <c r="P266" t="b">
        <v>0</v>
      </c>
      <c r="Q266" s="6">
        <v>5.7142857142857144</v>
      </c>
      <c r="R266" s="6">
        <v>0.8571428571428571</v>
      </c>
      <c r="S266" t="s">
        <v>442</v>
      </c>
      <c r="T266" t="s">
        <v>171</v>
      </c>
      <c r="U266" s="6">
        <v>8.4</v>
      </c>
      <c r="V266" s="6">
        <v>11.6</v>
      </c>
      <c r="W266" t="b">
        <v>0</v>
      </c>
      <c r="X266">
        <v>6</v>
      </c>
      <c r="Y266">
        <v>3</v>
      </c>
      <c r="Z266">
        <v>18</v>
      </c>
      <c r="AA266" s="6">
        <v>30.259433962264151</v>
      </c>
      <c r="AB266">
        <f>--PizzaDelivery[[#This Row],[Is Delayed]]</f>
        <v>0</v>
      </c>
    </row>
    <row r="267" spans="1:28">
      <c r="A267" t="s">
        <v>460</v>
      </c>
      <c r="B267" t="s">
        <v>142</v>
      </c>
      <c r="C267" t="s">
        <v>40</v>
      </c>
      <c r="D267" s="1">
        <v>45554</v>
      </c>
      <c r="E267" s="5">
        <v>0.84375</v>
      </c>
      <c r="F267" s="1">
        <v>45554</v>
      </c>
      <c r="G267" s="5">
        <v>0.86111111111111116</v>
      </c>
      <c r="H267">
        <v>25</v>
      </c>
      <c r="I267" t="s">
        <v>151</v>
      </c>
      <c r="J267" t="s">
        <v>144</v>
      </c>
      <c r="K267">
        <v>4</v>
      </c>
      <c r="L267">
        <v>5</v>
      </c>
      <c r="M267" t="s">
        <v>153</v>
      </c>
      <c r="N267" t="s">
        <v>145</v>
      </c>
      <c r="O267" t="b">
        <v>1</v>
      </c>
      <c r="P267" t="b">
        <v>0</v>
      </c>
      <c r="Q267" s="6">
        <v>5</v>
      </c>
      <c r="R267" s="6">
        <v>0.8</v>
      </c>
      <c r="S267" t="s">
        <v>442</v>
      </c>
      <c r="T267" t="s">
        <v>147</v>
      </c>
      <c r="U267" s="6">
        <v>12</v>
      </c>
      <c r="V267" s="6">
        <v>13</v>
      </c>
      <c r="W267" t="b">
        <v>0</v>
      </c>
      <c r="X267">
        <v>12</v>
      </c>
      <c r="Y267">
        <v>3</v>
      </c>
      <c r="Z267">
        <v>20</v>
      </c>
      <c r="AA267" s="6">
        <v>30.259433962264151</v>
      </c>
      <c r="AB267">
        <f>--PizzaDelivery[[#This Row],[Is Delayed]]</f>
        <v>0</v>
      </c>
    </row>
    <row r="268" spans="1:28">
      <c r="A268" t="s">
        <v>461</v>
      </c>
      <c r="B268" t="s">
        <v>142</v>
      </c>
      <c r="C268" t="s">
        <v>315</v>
      </c>
      <c r="D268" s="1">
        <v>45545</v>
      </c>
      <c r="E268" s="5">
        <v>0.75</v>
      </c>
      <c r="F268" s="1">
        <v>45545</v>
      </c>
      <c r="G268" s="5">
        <v>0.76388888888888884</v>
      </c>
      <c r="H268">
        <v>20</v>
      </c>
      <c r="I268" t="s">
        <v>143</v>
      </c>
      <c r="J268" t="s">
        <v>144</v>
      </c>
      <c r="K268">
        <v>2</v>
      </c>
      <c r="L268">
        <v>3</v>
      </c>
      <c r="M268" t="s">
        <v>161</v>
      </c>
      <c r="N268" t="s">
        <v>169</v>
      </c>
      <c r="O268" t="b">
        <v>1</v>
      </c>
      <c r="P268" t="b">
        <v>0</v>
      </c>
      <c r="Q268" s="6">
        <v>6.666666666666667</v>
      </c>
      <c r="R268" s="6">
        <v>0.66666666666666663</v>
      </c>
      <c r="S268" t="s">
        <v>442</v>
      </c>
      <c r="T268" t="s">
        <v>171</v>
      </c>
      <c r="U268" s="6">
        <v>7.1999999999999993</v>
      </c>
      <c r="V268" s="6">
        <v>12.8</v>
      </c>
      <c r="W268" t="b">
        <v>0</v>
      </c>
      <c r="X268">
        <v>4</v>
      </c>
      <c r="Y268">
        <v>1</v>
      </c>
      <c r="Z268">
        <v>18</v>
      </c>
      <c r="AA268" s="6">
        <v>30.259433962264151</v>
      </c>
      <c r="AB268">
        <f>--PizzaDelivery[[#This Row],[Is Delayed]]</f>
        <v>0</v>
      </c>
    </row>
    <row r="269" spans="1:28">
      <c r="A269" t="s">
        <v>462</v>
      </c>
      <c r="B269" t="s">
        <v>149</v>
      </c>
      <c r="C269" t="s">
        <v>317</v>
      </c>
      <c r="D269" s="1">
        <v>45546</v>
      </c>
      <c r="E269" s="5">
        <v>0.80208333333333337</v>
      </c>
      <c r="F269" s="1">
        <v>45546</v>
      </c>
      <c r="G269" s="5">
        <v>0.82291666666666663</v>
      </c>
      <c r="H269">
        <v>30</v>
      </c>
      <c r="I269" t="s">
        <v>151</v>
      </c>
      <c r="J269" t="s">
        <v>152</v>
      </c>
      <c r="K269">
        <v>4</v>
      </c>
      <c r="L269">
        <v>6</v>
      </c>
      <c r="M269" t="s">
        <v>143</v>
      </c>
      <c r="N269" t="s">
        <v>145</v>
      </c>
      <c r="O269" t="b">
        <v>1</v>
      </c>
      <c r="P269" t="b">
        <v>0</v>
      </c>
      <c r="Q269" s="6">
        <v>5</v>
      </c>
      <c r="R269" s="6">
        <v>0.66666666666666663</v>
      </c>
      <c r="S269" t="s">
        <v>442</v>
      </c>
      <c r="T269" t="s">
        <v>147</v>
      </c>
      <c r="U269" s="6">
        <v>14.4</v>
      </c>
      <c r="V269" s="6">
        <v>15.6</v>
      </c>
      <c r="W269" t="b">
        <v>0</v>
      </c>
      <c r="X269">
        <v>12</v>
      </c>
      <c r="Y269">
        <v>2</v>
      </c>
      <c r="Z269">
        <v>19</v>
      </c>
      <c r="AA269" s="6">
        <v>28.186274509803919</v>
      </c>
      <c r="AB269">
        <f>--PizzaDelivery[[#This Row],[Is Delayed]]</f>
        <v>0</v>
      </c>
    </row>
    <row r="270" spans="1:28">
      <c r="A270" t="s">
        <v>463</v>
      </c>
      <c r="B270" t="s">
        <v>165</v>
      </c>
      <c r="C270" t="s">
        <v>190</v>
      </c>
      <c r="D270" s="1">
        <v>45547</v>
      </c>
      <c r="E270" s="5">
        <v>0.85416666666666663</v>
      </c>
      <c r="F270" s="1">
        <v>45547</v>
      </c>
      <c r="G270" s="5">
        <v>0.88194444444444442</v>
      </c>
      <c r="H270">
        <v>40</v>
      </c>
      <c r="I270" t="s">
        <v>167</v>
      </c>
      <c r="J270" t="s">
        <v>168</v>
      </c>
      <c r="K270">
        <v>5</v>
      </c>
      <c r="L270">
        <v>8</v>
      </c>
      <c r="M270" t="s">
        <v>153</v>
      </c>
      <c r="N270" t="s">
        <v>154</v>
      </c>
      <c r="O270" t="b">
        <v>1</v>
      </c>
      <c r="P270" t="b">
        <v>0</v>
      </c>
      <c r="Q270" s="6">
        <v>5</v>
      </c>
      <c r="R270" s="6">
        <v>0.625</v>
      </c>
      <c r="S270" t="s">
        <v>442</v>
      </c>
      <c r="T270" t="s">
        <v>147</v>
      </c>
      <c r="U270" s="6">
        <v>19.2</v>
      </c>
      <c r="V270" s="6">
        <v>20.8</v>
      </c>
      <c r="W270" t="b">
        <v>1</v>
      </c>
      <c r="X270">
        <v>20</v>
      </c>
      <c r="Y270">
        <v>3</v>
      </c>
      <c r="Z270">
        <v>20</v>
      </c>
      <c r="AA270" s="6">
        <v>29.948453608247419</v>
      </c>
      <c r="AB270">
        <f>--PizzaDelivery[[#This Row],[Is Delayed]]</f>
        <v>1</v>
      </c>
    </row>
    <row r="271" spans="1:28">
      <c r="A271" t="s">
        <v>464</v>
      </c>
      <c r="B271" t="s">
        <v>157</v>
      </c>
      <c r="C271" t="s">
        <v>158</v>
      </c>
      <c r="D271" s="1">
        <v>45548</v>
      </c>
      <c r="E271" s="5">
        <v>0.78125</v>
      </c>
      <c r="F271" s="1">
        <v>45548</v>
      </c>
      <c r="G271" s="5">
        <v>0.79513888888888884</v>
      </c>
      <c r="H271">
        <v>20</v>
      </c>
      <c r="I271" t="s">
        <v>159</v>
      </c>
      <c r="J271" t="s">
        <v>160</v>
      </c>
      <c r="K271">
        <v>1</v>
      </c>
      <c r="L271">
        <v>2.5</v>
      </c>
      <c r="M271" t="s">
        <v>161</v>
      </c>
      <c r="N271" t="s">
        <v>162</v>
      </c>
      <c r="O271" t="b">
        <v>1</v>
      </c>
      <c r="P271" t="b">
        <v>0</v>
      </c>
      <c r="Q271" s="6">
        <v>8</v>
      </c>
      <c r="R271" s="6">
        <v>0.4</v>
      </c>
      <c r="S271" t="s">
        <v>442</v>
      </c>
      <c r="T271" t="s">
        <v>147</v>
      </c>
      <c r="U271" s="6">
        <v>6</v>
      </c>
      <c r="V271" s="6">
        <v>14</v>
      </c>
      <c r="W271" t="b">
        <v>0</v>
      </c>
      <c r="X271">
        <v>1</v>
      </c>
      <c r="Y271">
        <v>1</v>
      </c>
      <c r="Z271">
        <v>18</v>
      </c>
      <c r="AA271" s="6">
        <v>28.844221105527641</v>
      </c>
      <c r="AB271">
        <f>--PizzaDelivery[[#This Row],[Is Delayed]]</f>
        <v>0</v>
      </c>
    </row>
    <row r="272" spans="1:28">
      <c r="A272" t="s">
        <v>465</v>
      </c>
      <c r="B272" t="s">
        <v>173</v>
      </c>
      <c r="C272" t="s">
        <v>166</v>
      </c>
      <c r="D272" s="1">
        <v>45549</v>
      </c>
      <c r="E272" s="5">
        <v>0.79166666666666663</v>
      </c>
      <c r="F272" s="1">
        <v>45549</v>
      </c>
      <c r="G272" s="5">
        <v>0.82638888888888884</v>
      </c>
      <c r="H272">
        <v>50</v>
      </c>
      <c r="I272" t="s">
        <v>151</v>
      </c>
      <c r="J272" t="s">
        <v>152</v>
      </c>
      <c r="K272">
        <v>4</v>
      </c>
      <c r="L272">
        <v>10</v>
      </c>
      <c r="M272" t="s">
        <v>153</v>
      </c>
      <c r="N272" t="s">
        <v>169</v>
      </c>
      <c r="O272" t="b">
        <v>1</v>
      </c>
      <c r="P272" t="b">
        <v>1</v>
      </c>
      <c r="Q272" s="6">
        <v>5</v>
      </c>
      <c r="R272" s="6">
        <v>0.4</v>
      </c>
      <c r="S272" t="s">
        <v>442</v>
      </c>
      <c r="T272" t="s">
        <v>171</v>
      </c>
      <c r="U272" s="6">
        <v>24</v>
      </c>
      <c r="V272" s="6">
        <v>26</v>
      </c>
      <c r="W272" t="b">
        <v>1</v>
      </c>
      <c r="X272">
        <v>12</v>
      </c>
      <c r="Y272">
        <v>3</v>
      </c>
      <c r="Z272">
        <v>19</v>
      </c>
      <c r="AA272" s="6">
        <v>30.286458333333329</v>
      </c>
      <c r="AB272">
        <f>--PizzaDelivery[[#This Row],[Is Delayed]]</f>
        <v>1</v>
      </c>
    </row>
    <row r="273" spans="1:28">
      <c r="A273" t="s">
        <v>466</v>
      </c>
      <c r="B273" t="s">
        <v>142</v>
      </c>
      <c r="C273" t="s">
        <v>192</v>
      </c>
      <c r="D273" s="1">
        <v>45550</v>
      </c>
      <c r="E273" s="5">
        <v>0.83333333333333337</v>
      </c>
      <c r="F273" s="1">
        <v>45550</v>
      </c>
      <c r="G273" s="5">
        <v>0.85763888888888884</v>
      </c>
      <c r="H273">
        <v>35</v>
      </c>
      <c r="I273" t="s">
        <v>143</v>
      </c>
      <c r="J273" t="s">
        <v>144</v>
      </c>
      <c r="K273">
        <v>3</v>
      </c>
      <c r="L273">
        <v>5.5</v>
      </c>
      <c r="M273" t="s">
        <v>143</v>
      </c>
      <c r="N273" t="s">
        <v>145</v>
      </c>
      <c r="O273" t="b">
        <v>1</v>
      </c>
      <c r="P273" t="b">
        <v>1</v>
      </c>
      <c r="Q273" s="6">
        <v>6.3636363636363633</v>
      </c>
      <c r="R273" s="6">
        <v>0.54545454545454541</v>
      </c>
      <c r="S273" t="s">
        <v>442</v>
      </c>
      <c r="T273" t="s">
        <v>147</v>
      </c>
      <c r="U273" s="6">
        <v>13.2</v>
      </c>
      <c r="V273" s="6">
        <v>21.8</v>
      </c>
      <c r="W273" t="b">
        <v>1</v>
      </c>
      <c r="X273">
        <v>6</v>
      </c>
      <c r="Y273">
        <v>2</v>
      </c>
      <c r="Z273">
        <v>20</v>
      </c>
      <c r="AA273" s="6">
        <v>30.259433962264151</v>
      </c>
      <c r="AB273">
        <f>--PizzaDelivery[[#This Row],[Is Delayed]]</f>
        <v>1</v>
      </c>
    </row>
    <row r="274" spans="1:28">
      <c r="A274" t="s">
        <v>467</v>
      </c>
      <c r="B274" t="s">
        <v>149</v>
      </c>
      <c r="C274" t="s">
        <v>194</v>
      </c>
      <c r="D274" s="1">
        <v>45551</v>
      </c>
      <c r="E274" s="5">
        <v>0.77083333333333337</v>
      </c>
      <c r="F274" s="1">
        <v>45551</v>
      </c>
      <c r="G274" s="5">
        <v>0.78472222222222221</v>
      </c>
      <c r="H274">
        <v>20</v>
      </c>
      <c r="I274" t="s">
        <v>159</v>
      </c>
      <c r="J274" t="s">
        <v>160</v>
      </c>
      <c r="K274">
        <v>2</v>
      </c>
      <c r="L274">
        <v>2</v>
      </c>
      <c r="M274" t="s">
        <v>161</v>
      </c>
      <c r="N274" t="s">
        <v>154</v>
      </c>
      <c r="O274" t="b">
        <v>1</v>
      </c>
      <c r="P274" t="b">
        <v>0</v>
      </c>
      <c r="Q274" s="6">
        <v>10</v>
      </c>
      <c r="R274" s="6">
        <v>1</v>
      </c>
      <c r="S274" t="s">
        <v>442</v>
      </c>
      <c r="T274" t="s">
        <v>147</v>
      </c>
      <c r="U274" s="6">
        <v>4.8</v>
      </c>
      <c r="V274" s="6">
        <v>15.2</v>
      </c>
      <c r="W274" t="b">
        <v>0</v>
      </c>
      <c r="X274">
        <v>2</v>
      </c>
      <c r="Y274">
        <v>1</v>
      </c>
      <c r="Z274">
        <v>18</v>
      </c>
      <c r="AA274" s="6">
        <v>28.186274509803919</v>
      </c>
      <c r="AB274">
        <f>--PizzaDelivery[[#This Row],[Is Delayed]]</f>
        <v>0</v>
      </c>
    </row>
    <row r="275" spans="1:28">
      <c r="A275" t="s">
        <v>468</v>
      </c>
      <c r="B275" t="s">
        <v>165</v>
      </c>
      <c r="C275" t="s">
        <v>174</v>
      </c>
      <c r="D275" s="1">
        <v>45552</v>
      </c>
      <c r="E275" s="5">
        <v>0.82291666666666663</v>
      </c>
      <c r="F275" s="1">
        <v>45552</v>
      </c>
      <c r="G275" s="5">
        <v>0.85069444444444442</v>
      </c>
      <c r="H275">
        <v>40</v>
      </c>
      <c r="I275" t="s">
        <v>167</v>
      </c>
      <c r="J275" t="s">
        <v>168</v>
      </c>
      <c r="K275">
        <v>5</v>
      </c>
      <c r="L275">
        <v>7.5</v>
      </c>
      <c r="M275" t="s">
        <v>153</v>
      </c>
      <c r="N275" t="s">
        <v>162</v>
      </c>
      <c r="O275" t="b">
        <v>1</v>
      </c>
      <c r="P275" t="b">
        <v>0</v>
      </c>
      <c r="Q275" s="6">
        <v>5.333333333333333</v>
      </c>
      <c r="R275" s="6">
        <v>0.66666666666666663</v>
      </c>
      <c r="S275" t="s">
        <v>442</v>
      </c>
      <c r="T275" t="s">
        <v>147</v>
      </c>
      <c r="U275" s="6">
        <v>18</v>
      </c>
      <c r="V275" s="6">
        <v>22</v>
      </c>
      <c r="W275" t="b">
        <v>1</v>
      </c>
      <c r="X275">
        <v>20</v>
      </c>
      <c r="Y275">
        <v>3</v>
      </c>
      <c r="Z275">
        <v>19</v>
      </c>
      <c r="AA275" s="6">
        <v>29.948453608247419</v>
      </c>
      <c r="AB275">
        <f>--PizzaDelivery[[#This Row],[Is Delayed]]</f>
        <v>1</v>
      </c>
    </row>
    <row r="276" spans="1:28">
      <c r="A276" t="s">
        <v>469</v>
      </c>
      <c r="B276" t="s">
        <v>157</v>
      </c>
      <c r="C276" t="s">
        <v>150</v>
      </c>
      <c r="D276" s="1">
        <v>45553</v>
      </c>
      <c r="E276" s="5">
        <v>0.75</v>
      </c>
      <c r="F276" s="1">
        <v>45553</v>
      </c>
      <c r="G276" s="5">
        <v>0.77083333333333337</v>
      </c>
      <c r="H276">
        <v>30</v>
      </c>
      <c r="I276" t="s">
        <v>143</v>
      </c>
      <c r="J276" t="s">
        <v>152</v>
      </c>
      <c r="K276">
        <v>3</v>
      </c>
      <c r="L276">
        <v>4</v>
      </c>
      <c r="M276" t="s">
        <v>143</v>
      </c>
      <c r="N276" t="s">
        <v>169</v>
      </c>
      <c r="O276" t="b">
        <v>1</v>
      </c>
      <c r="P276" t="b">
        <v>0</v>
      </c>
      <c r="Q276" s="6">
        <v>7.5</v>
      </c>
      <c r="R276" s="6">
        <v>0.75</v>
      </c>
      <c r="S276" t="s">
        <v>442</v>
      </c>
      <c r="T276" t="s">
        <v>171</v>
      </c>
      <c r="U276" s="6">
        <v>9.6</v>
      </c>
      <c r="V276" s="6">
        <v>20.399999999999999</v>
      </c>
      <c r="W276" t="b">
        <v>0</v>
      </c>
      <c r="X276">
        <v>6</v>
      </c>
      <c r="Y276">
        <v>2</v>
      </c>
      <c r="Z276">
        <v>18</v>
      </c>
      <c r="AA276" s="6">
        <v>28.844221105527641</v>
      </c>
      <c r="AB276">
        <f>--PizzaDelivery[[#This Row],[Is Delayed]]</f>
        <v>0</v>
      </c>
    </row>
    <row r="277" spans="1:28">
      <c r="A277" t="s">
        <v>470</v>
      </c>
      <c r="B277" t="s">
        <v>173</v>
      </c>
      <c r="C277" t="s">
        <v>40</v>
      </c>
      <c r="D277" s="1">
        <v>45554</v>
      </c>
      <c r="E277" s="5">
        <v>0.84375</v>
      </c>
      <c r="F277" s="1">
        <v>45554</v>
      </c>
      <c r="G277" s="5">
        <v>0.875</v>
      </c>
      <c r="H277">
        <v>45</v>
      </c>
      <c r="I277" t="s">
        <v>151</v>
      </c>
      <c r="J277" t="s">
        <v>144</v>
      </c>
      <c r="K277">
        <v>4</v>
      </c>
      <c r="L277">
        <v>9</v>
      </c>
      <c r="M277" t="s">
        <v>153</v>
      </c>
      <c r="N277" t="s">
        <v>145</v>
      </c>
      <c r="O277" t="b">
        <v>1</v>
      </c>
      <c r="P277" t="b">
        <v>0</v>
      </c>
      <c r="Q277" s="6">
        <v>5</v>
      </c>
      <c r="R277" s="6">
        <v>0.44444444444444442</v>
      </c>
      <c r="S277" t="s">
        <v>442</v>
      </c>
      <c r="T277" t="s">
        <v>147</v>
      </c>
      <c r="U277" s="6">
        <v>21.6</v>
      </c>
      <c r="V277" s="6">
        <v>23.4</v>
      </c>
      <c r="W277" t="b">
        <v>1</v>
      </c>
      <c r="X277">
        <v>12</v>
      </c>
      <c r="Y277">
        <v>3</v>
      </c>
      <c r="Z277">
        <v>20</v>
      </c>
      <c r="AA277" s="6">
        <v>30.286458333333329</v>
      </c>
      <c r="AB277">
        <f>--PizzaDelivery[[#This Row],[Is Delayed]]</f>
        <v>1</v>
      </c>
    </row>
    <row r="278" spans="1:28">
      <c r="A278" t="s">
        <v>471</v>
      </c>
      <c r="B278" t="s">
        <v>142</v>
      </c>
      <c r="C278" t="s">
        <v>40</v>
      </c>
      <c r="D278" s="1">
        <v>45550</v>
      </c>
      <c r="E278" s="5">
        <v>0.78125</v>
      </c>
      <c r="F278" s="1">
        <v>45550</v>
      </c>
      <c r="G278" s="5">
        <v>0.79861111111111116</v>
      </c>
      <c r="H278">
        <v>25</v>
      </c>
      <c r="I278" t="s">
        <v>151</v>
      </c>
      <c r="J278" t="s">
        <v>144</v>
      </c>
      <c r="K278">
        <v>3</v>
      </c>
      <c r="L278">
        <v>5</v>
      </c>
      <c r="M278" t="s">
        <v>153</v>
      </c>
      <c r="N278" t="s">
        <v>342</v>
      </c>
      <c r="O278" t="b">
        <v>1</v>
      </c>
      <c r="P278" t="b">
        <v>1</v>
      </c>
      <c r="Q278" s="6">
        <v>5</v>
      </c>
      <c r="R278" s="6">
        <v>0.6</v>
      </c>
      <c r="S278" t="s">
        <v>442</v>
      </c>
      <c r="T278" t="s">
        <v>171</v>
      </c>
      <c r="U278" s="6">
        <v>12</v>
      </c>
      <c r="V278" s="6">
        <v>13</v>
      </c>
      <c r="W278" t="b">
        <v>0</v>
      </c>
      <c r="X278">
        <v>9</v>
      </c>
      <c r="Y278">
        <v>3</v>
      </c>
      <c r="Z278">
        <v>18</v>
      </c>
      <c r="AA278" s="6">
        <v>30.259433962264151</v>
      </c>
      <c r="AB278">
        <f>--PizzaDelivery[[#This Row],[Is Delayed]]</f>
        <v>0</v>
      </c>
    </row>
    <row r="279" spans="1:28">
      <c r="A279" t="s">
        <v>472</v>
      </c>
      <c r="B279" t="s">
        <v>165</v>
      </c>
      <c r="C279" t="s">
        <v>150</v>
      </c>
      <c r="D279" s="1">
        <v>45551</v>
      </c>
      <c r="E279" s="5">
        <v>0.83333333333333337</v>
      </c>
      <c r="F279" s="1">
        <v>45551</v>
      </c>
      <c r="G279" s="5">
        <v>0.85416666666666663</v>
      </c>
      <c r="H279">
        <v>30</v>
      </c>
      <c r="I279" t="s">
        <v>167</v>
      </c>
      <c r="J279" t="s">
        <v>168</v>
      </c>
      <c r="K279">
        <v>5</v>
      </c>
      <c r="L279">
        <v>6.5</v>
      </c>
      <c r="M279" t="s">
        <v>143</v>
      </c>
      <c r="N279" t="s">
        <v>145</v>
      </c>
      <c r="O279" t="b">
        <v>1</v>
      </c>
      <c r="P279" t="b">
        <v>0</v>
      </c>
      <c r="Q279" s="6">
        <v>4.615384615384615</v>
      </c>
      <c r="R279" s="6">
        <v>0.76923076923076927</v>
      </c>
      <c r="S279" t="s">
        <v>442</v>
      </c>
      <c r="T279" t="s">
        <v>147</v>
      </c>
      <c r="U279" s="6">
        <v>15.6</v>
      </c>
      <c r="V279" s="6">
        <v>14.4</v>
      </c>
      <c r="W279" t="b">
        <v>0</v>
      </c>
      <c r="X279">
        <v>20</v>
      </c>
      <c r="Y279">
        <v>2</v>
      </c>
      <c r="Z279">
        <v>20</v>
      </c>
      <c r="AA279" s="6">
        <v>29.948453608247419</v>
      </c>
      <c r="AB279">
        <f>--PizzaDelivery[[#This Row],[Is Delayed]]</f>
        <v>0</v>
      </c>
    </row>
    <row r="280" spans="1:28">
      <c r="A280" t="s">
        <v>473</v>
      </c>
      <c r="B280" t="s">
        <v>149</v>
      </c>
      <c r="C280" t="s">
        <v>158</v>
      </c>
      <c r="D280" s="1">
        <v>45552</v>
      </c>
      <c r="E280" s="5">
        <v>0.80208333333333337</v>
      </c>
      <c r="F280" s="1">
        <v>45552</v>
      </c>
      <c r="G280" s="5">
        <v>0.81597222222222221</v>
      </c>
      <c r="H280">
        <v>20</v>
      </c>
      <c r="I280" t="s">
        <v>143</v>
      </c>
      <c r="J280" t="s">
        <v>152</v>
      </c>
      <c r="K280">
        <v>4</v>
      </c>
      <c r="L280">
        <v>4</v>
      </c>
      <c r="M280" t="s">
        <v>161</v>
      </c>
      <c r="N280" t="s">
        <v>162</v>
      </c>
      <c r="O280" t="b">
        <v>1</v>
      </c>
      <c r="P280" t="b">
        <v>0</v>
      </c>
      <c r="Q280" s="6">
        <v>5</v>
      </c>
      <c r="R280" s="6">
        <v>1</v>
      </c>
      <c r="S280" t="s">
        <v>442</v>
      </c>
      <c r="T280" t="s">
        <v>147</v>
      </c>
      <c r="U280" s="6">
        <v>9.6</v>
      </c>
      <c r="V280" s="6">
        <v>10.4</v>
      </c>
      <c r="W280" t="b">
        <v>0</v>
      </c>
      <c r="X280">
        <v>8</v>
      </c>
      <c r="Y280">
        <v>1</v>
      </c>
      <c r="Z280">
        <v>19</v>
      </c>
      <c r="AA280" s="6">
        <v>28.186274509803919</v>
      </c>
      <c r="AB280">
        <f>--PizzaDelivery[[#This Row],[Is Delayed]]</f>
        <v>0</v>
      </c>
    </row>
    <row r="281" spans="1:28">
      <c r="A281" t="s">
        <v>474</v>
      </c>
      <c r="B281" t="s">
        <v>157</v>
      </c>
      <c r="C281" t="s">
        <v>184</v>
      </c>
      <c r="D281" s="1">
        <v>45553</v>
      </c>
      <c r="E281" s="5">
        <v>0.77083333333333337</v>
      </c>
      <c r="F281" s="1">
        <v>45553</v>
      </c>
      <c r="G281" s="5">
        <v>0.79513888888888884</v>
      </c>
      <c r="H281">
        <v>35</v>
      </c>
      <c r="I281" t="s">
        <v>159</v>
      </c>
      <c r="J281" t="s">
        <v>160</v>
      </c>
      <c r="K281">
        <v>2</v>
      </c>
      <c r="L281">
        <v>7.5</v>
      </c>
      <c r="M281" t="s">
        <v>153</v>
      </c>
      <c r="N281" t="s">
        <v>154</v>
      </c>
      <c r="O281" t="b">
        <v>1</v>
      </c>
      <c r="P281" t="b">
        <v>0</v>
      </c>
      <c r="Q281" s="6">
        <v>4.666666666666667</v>
      </c>
      <c r="R281" s="6">
        <v>0.26666666666666672</v>
      </c>
      <c r="S281" t="s">
        <v>442</v>
      </c>
      <c r="T281" t="s">
        <v>147</v>
      </c>
      <c r="U281" s="6">
        <v>18</v>
      </c>
      <c r="V281" s="6">
        <v>17</v>
      </c>
      <c r="W281" t="b">
        <v>1</v>
      </c>
      <c r="X281">
        <v>2</v>
      </c>
      <c r="Y281">
        <v>3</v>
      </c>
      <c r="Z281">
        <v>18</v>
      </c>
      <c r="AA281" s="6">
        <v>28.844221105527641</v>
      </c>
      <c r="AB281">
        <f>--PizzaDelivery[[#This Row],[Is Delayed]]</f>
        <v>1</v>
      </c>
    </row>
    <row r="282" spans="1:28">
      <c r="A282" t="s">
        <v>475</v>
      </c>
      <c r="B282" t="s">
        <v>173</v>
      </c>
      <c r="C282" t="s">
        <v>186</v>
      </c>
      <c r="D282" s="1">
        <v>45554</v>
      </c>
      <c r="E282" s="5">
        <v>0.54166666666666663</v>
      </c>
      <c r="F282" s="1">
        <v>45554</v>
      </c>
      <c r="G282" s="5">
        <v>0.55555555555555558</v>
      </c>
      <c r="H282">
        <v>20</v>
      </c>
      <c r="I282" t="s">
        <v>143</v>
      </c>
      <c r="J282" t="s">
        <v>152</v>
      </c>
      <c r="K282">
        <v>3</v>
      </c>
      <c r="L282">
        <v>3.5</v>
      </c>
      <c r="M282" t="s">
        <v>161</v>
      </c>
      <c r="N282" t="s">
        <v>145</v>
      </c>
      <c r="O282" t="b">
        <v>0</v>
      </c>
      <c r="P282" t="b">
        <v>0</v>
      </c>
      <c r="Q282" s="6">
        <v>5.7142857142857144</v>
      </c>
      <c r="R282" s="6">
        <v>0.8571428571428571</v>
      </c>
      <c r="S282" t="s">
        <v>442</v>
      </c>
      <c r="T282" t="s">
        <v>147</v>
      </c>
      <c r="U282" s="6">
        <v>8.4</v>
      </c>
      <c r="V282" s="6">
        <v>11.6</v>
      </c>
      <c r="W282" t="b">
        <v>0</v>
      </c>
      <c r="X282">
        <v>6</v>
      </c>
      <c r="Y282">
        <v>1</v>
      </c>
      <c r="Z282">
        <v>13</v>
      </c>
      <c r="AA282" s="6">
        <v>30.286458333333329</v>
      </c>
      <c r="AB282">
        <f>--PizzaDelivery[[#This Row],[Is Delayed]]</f>
        <v>0</v>
      </c>
    </row>
    <row r="283" spans="1:28">
      <c r="A283" t="s">
        <v>476</v>
      </c>
      <c r="B283" t="s">
        <v>142</v>
      </c>
      <c r="C283" t="s">
        <v>166</v>
      </c>
      <c r="D283" s="1">
        <v>45555</v>
      </c>
      <c r="E283" s="5">
        <v>0.78125</v>
      </c>
      <c r="F283" s="1">
        <v>45555</v>
      </c>
      <c r="G283" s="5">
        <v>0.80208333333333337</v>
      </c>
      <c r="H283">
        <v>30</v>
      </c>
      <c r="I283" t="s">
        <v>151</v>
      </c>
      <c r="J283" t="s">
        <v>144</v>
      </c>
      <c r="K283">
        <v>4</v>
      </c>
      <c r="L283">
        <v>6</v>
      </c>
      <c r="M283" t="s">
        <v>143</v>
      </c>
      <c r="N283" t="s">
        <v>342</v>
      </c>
      <c r="O283" t="b">
        <v>1</v>
      </c>
      <c r="P283" t="b">
        <v>0</v>
      </c>
      <c r="Q283" s="6">
        <v>5</v>
      </c>
      <c r="R283" s="6">
        <v>0.66666666666666663</v>
      </c>
      <c r="S283" t="s">
        <v>442</v>
      </c>
      <c r="T283" t="s">
        <v>171</v>
      </c>
      <c r="U283" s="6">
        <v>14.4</v>
      </c>
      <c r="V283" s="6">
        <v>15.6</v>
      </c>
      <c r="W283" t="b">
        <v>0</v>
      </c>
      <c r="X283">
        <v>12</v>
      </c>
      <c r="Y283">
        <v>2</v>
      </c>
      <c r="Z283">
        <v>18</v>
      </c>
      <c r="AA283" s="6">
        <v>30.259433962264151</v>
      </c>
      <c r="AB283">
        <f>--PizzaDelivery[[#This Row],[Is Delayed]]</f>
        <v>0</v>
      </c>
    </row>
    <row r="284" spans="1:28">
      <c r="A284" t="s">
        <v>477</v>
      </c>
      <c r="B284" t="s">
        <v>165</v>
      </c>
      <c r="C284" t="s">
        <v>192</v>
      </c>
      <c r="D284" s="1">
        <v>45556</v>
      </c>
      <c r="E284" s="5">
        <v>0.84375</v>
      </c>
      <c r="F284" s="1">
        <v>45556</v>
      </c>
      <c r="G284" s="5">
        <v>0.86111111111111116</v>
      </c>
      <c r="H284">
        <v>25</v>
      </c>
      <c r="I284" t="s">
        <v>167</v>
      </c>
      <c r="J284" t="s">
        <v>168</v>
      </c>
      <c r="K284">
        <v>5</v>
      </c>
      <c r="L284">
        <v>5</v>
      </c>
      <c r="M284" t="s">
        <v>161</v>
      </c>
      <c r="N284" t="s">
        <v>162</v>
      </c>
      <c r="O284" t="b">
        <v>1</v>
      </c>
      <c r="P284" t="b">
        <v>1</v>
      </c>
      <c r="Q284" s="6">
        <v>5</v>
      </c>
      <c r="R284" s="6">
        <v>1</v>
      </c>
      <c r="S284" t="s">
        <v>442</v>
      </c>
      <c r="T284" t="s">
        <v>147</v>
      </c>
      <c r="U284" s="6">
        <v>12</v>
      </c>
      <c r="V284" s="6">
        <v>13</v>
      </c>
      <c r="W284" t="b">
        <v>0</v>
      </c>
      <c r="X284">
        <v>20</v>
      </c>
      <c r="Y284">
        <v>1</v>
      </c>
      <c r="Z284">
        <v>20</v>
      </c>
      <c r="AA284" s="6">
        <v>29.948453608247419</v>
      </c>
      <c r="AB284">
        <f>--PizzaDelivery[[#This Row],[Is Delayed]]</f>
        <v>0</v>
      </c>
    </row>
    <row r="285" spans="1:28">
      <c r="A285" t="s">
        <v>478</v>
      </c>
      <c r="B285" t="s">
        <v>149</v>
      </c>
      <c r="C285" t="s">
        <v>194</v>
      </c>
      <c r="D285" s="1">
        <v>45557</v>
      </c>
      <c r="E285" s="5">
        <v>0.8125</v>
      </c>
      <c r="F285" s="1">
        <v>45557</v>
      </c>
      <c r="G285" s="5">
        <v>0.82986111111111116</v>
      </c>
      <c r="H285">
        <v>25</v>
      </c>
      <c r="I285" t="s">
        <v>159</v>
      </c>
      <c r="J285" t="s">
        <v>160</v>
      </c>
      <c r="K285">
        <v>2</v>
      </c>
      <c r="L285">
        <v>4</v>
      </c>
      <c r="M285" t="s">
        <v>153</v>
      </c>
      <c r="N285" t="s">
        <v>154</v>
      </c>
      <c r="O285" t="b">
        <v>1</v>
      </c>
      <c r="P285" t="b">
        <v>1</v>
      </c>
      <c r="Q285" s="6">
        <v>6.25</v>
      </c>
      <c r="R285" s="6">
        <v>0.5</v>
      </c>
      <c r="S285" t="s">
        <v>442</v>
      </c>
      <c r="T285" t="s">
        <v>147</v>
      </c>
      <c r="U285" s="6">
        <v>9.6</v>
      </c>
      <c r="V285" s="6">
        <v>15.4</v>
      </c>
      <c r="W285" t="b">
        <v>0</v>
      </c>
      <c r="X285">
        <v>2</v>
      </c>
      <c r="Y285">
        <v>3</v>
      </c>
      <c r="Z285">
        <v>19</v>
      </c>
      <c r="AA285" s="6">
        <v>28.186274509803919</v>
      </c>
      <c r="AB285">
        <f>--PizzaDelivery[[#This Row],[Is Delayed]]</f>
        <v>0</v>
      </c>
    </row>
    <row r="286" spans="1:28">
      <c r="A286" t="s">
        <v>479</v>
      </c>
      <c r="B286" t="s">
        <v>157</v>
      </c>
      <c r="C286" t="s">
        <v>174</v>
      </c>
      <c r="D286" s="1">
        <v>45558</v>
      </c>
      <c r="E286" s="5">
        <v>0.75</v>
      </c>
      <c r="F286" s="1">
        <v>45558</v>
      </c>
      <c r="G286" s="5">
        <v>0.76388888888888884</v>
      </c>
      <c r="H286">
        <v>20</v>
      </c>
      <c r="I286" t="s">
        <v>143</v>
      </c>
      <c r="J286" t="s">
        <v>152</v>
      </c>
      <c r="K286">
        <v>3</v>
      </c>
      <c r="L286">
        <v>3</v>
      </c>
      <c r="M286" t="s">
        <v>143</v>
      </c>
      <c r="N286" t="s">
        <v>145</v>
      </c>
      <c r="O286" t="b">
        <v>1</v>
      </c>
      <c r="P286" t="b">
        <v>0</v>
      </c>
      <c r="Q286" s="6">
        <v>6.666666666666667</v>
      </c>
      <c r="R286" s="6">
        <v>1</v>
      </c>
      <c r="S286" t="s">
        <v>442</v>
      </c>
      <c r="T286" t="s">
        <v>147</v>
      </c>
      <c r="U286" s="6">
        <v>7.1999999999999993</v>
      </c>
      <c r="V286" s="6">
        <v>12.8</v>
      </c>
      <c r="W286" t="b">
        <v>0</v>
      </c>
      <c r="X286">
        <v>6</v>
      </c>
      <c r="Y286">
        <v>2</v>
      </c>
      <c r="Z286">
        <v>18</v>
      </c>
      <c r="AA286" s="6">
        <v>28.844221105527641</v>
      </c>
      <c r="AB286">
        <f>--PizzaDelivery[[#This Row],[Is Delayed]]</f>
        <v>0</v>
      </c>
    </row>
    <row r="287" spans="1:28">
      <c r="A287" t="s">
        <v>480</v>
      </c>
      <c r="B287" t="s">
        <v>173</v>
      </c>
      <c r="C287" t="s">
        <v>190</v>
      </c>
      <c r="D287" s="1">
        <v>45559</v>
      </c>
      <c r="E287" s="5">
        <v>0.55208333333333337</v>
      </c>
      <c r="F287" s="1">
        <v>45559</v>
      </c>
      <c r="G287" s="5">
        <v>0.57291666666666663</v>
      </c>
      <c r="H287">
        <v>30</v>
      </c>
      <c r="I287" t="s">
        <v>143</v>
      </c>
      <c r="J287" t="s">
        <v>152</v>
      </c>
      <c r="K287">
        <v>3</v>
      </c>
      <c r="L287">
        <v>6</v>
      </c>
      <c r="M287" t="s">
        <v>153</v>
      </c>
      <c r="N287" t="s">
        <v>162</v>
      </c>
      <c r="O287" t="b">
        <v>0</v>
      </c>
      <c r="P287" t="b">
        <v>0</v>
      </c>
      <c r="Q287" s="6">
        <v>5</v>
      </c>
      <c r="R287" s="6">
        <v>0.5</v>
      </c>
      <c r="S287" t="s">
        <v>442</v>
      </c>
      <c r="T287" t="s">
        <v>147</v>
      </c>
      <c r="U287" s="6">
        <v>14.4</v>
      </c>
      <c r="V287" s="6">
        <v>15.6</v>
      </c>
      <c r="W287" t="b">
        <v>0</v>
      </c>
      <c r="X287">
        <v>6</v>
      </c>
      <c r="Y287">
        <v>3</v>
      </c>
      <c r="Z287">
        <v>13</v>
      </c>
      <c r="AA287" s="6">
        <v>30.286458333333329</v>
      </c>
      <c r="AB287">
        <f>--PizzaDelivery[[#This Row],[Is Delayed]]</f>
        <v>0</v>
      </c>
    </row>
    <row r="288" spans="1:28">
      <c r="A288" t="s">
        <v>481</v>
      </c>
      <c r="B288" t="s">
        <v>142</v>
      </c>
      <c r="C288" t="s">
        <v>40</v>
      </c>
      <c r="D288" s="1">
        <v>45560</v>
      </c>
      <c r="E288" s="5">
        <v>0.77083333333333337</v>
      </c>
      <c r="F288" s="1">
        <v>45560</v>
      </c>
      <c r="G288" s="5">
        <v>0.79166666666666663</v>
      </c>
      <c r="H288">
        <v>30</v>
      </c>
      <c r="I288" t="s">
        <v>151</v>
      </c>
      <c r="J288" t="s">
        <v>144</v>
      </c>
      <c r="K288">
        <v>4</v>
      </c>
      <c r="L288">
        <v>5.5</v>
      </c>
      <c r="M288" t="s">
        <v>153</v>
      </c>
      <c r="N288" t="s">
        <v>342</v>
      </c>
      <c r="O288" t="b">
        <v>1</v>
      </c>
      <c r="P288" t="b">
        <v>0</v>
      </c>
      <c r="Q288" s="6">
        <v>5.4545454545454541</v>
      </c>
      <c r="R288" s="6">
        <v>0.72727272727272729</v>
      </c>
      <c r="S288" t="s">
        <v>442</v>
      </c>
      <c r="T288" t="s">
        <v>171</v>
      </c>
      <c r="U288" s="6">
        <v>13.2</v>
      </c>
      <c r="V288" s="6">
        <v>16.8</v>
      </c>
      <c r="W288" t="b">
        <v>0</v>
      </c>
      <c r="X288">
        <v>12</v>
      </c>
      <c r="Y288">
        <v>3</v>
      </c>
      <c r="Z288">
        <v>18</v>
      </c>
      <c r="AA288" s="6">
        <v>30.259433962264151</v>
      </c>
      <c r="AB288">
        <f>--PizzaDelivery[[#This Row],[Is Delayed]]</f>
        <v>0</v>
      </c>
    </row>
    <row r="289" spans="1:28">
      <c r="A289" t="s">
        <v>482</v>
      </c>
      <c r="B289" t="s">
        <v>165</v>
      </c>
      <c r="C289" t="s">
        <v>150</v>
      </c>
      <c r="D289" s="1">
        <v>45561</v>
      </c>
      <c r="E289" s="5">
        <v>0.82291666666666663</v>
      </c>
      <c r="F289" s="1">
        <v>45561</v>
      </c>
      <c r="G289" s="5">
        <v>0.84027777777777779</v>
      </c>
      <c r="H289">
        <v>25</v>
      </c>
      <c r="I289" t="s">
        <v>167</v>
      </c>
      <c r="J289" t="s">
        <v>168</v>
      </c>
      <c r="K289">
        <v>5</v>
      </c>
      <c r="L289">
        <v>4.5</v>
      </c>
      <c r="M289" t="s">
        <v>161</v>
      </c>
      <c r="N289" t="s">
        <v>169</v>
      </c>
      <c r="O289" t="b">
        <v>1</v>
      </c>
      <c r="P289" t="b">
        <v>0</v>
      </c>
      <c r="Q289" s="6">
        <v>5.5555555555555554</v>
      </c>
      <c r="R289" s="6">
        <v>1.1111111111111109</v>
      </c>
      <c r="S289" t="s">
        <v>442</v>
      </c>
      <c r="T289" t="s">
        <v>171</v>
      </c>
      <c r="U289" s="6">
        <v>10.8</v>
      </c>
      <c r="V289" s="6">
        <v>14.2</v>
      </c>
      <c r="W289" t="b">
        <v>0</v>
      </c>
      <c r="X289">
        <v>20</v>
      </c>
      <c r="Y289">
        <v>1</v>
      </c>
      <c r="Z289">
        <v>19</v>
      </c>
      <c r="AA289" s="6">
        <v>29.948453608247419</v>
      </c>
      <c r="AB289">
        <f>--PizzaDelivery[[#This Row],[Is Delayed]]</f>
        <v>0</v>
      </c>
    </row>
    <row r="290" spans="1:28">
      <c r="A290" t="s">
        <v>483</v>
      </c>
      <c r="B290" t="s">
        <v>149</v>
      </c>
      <c r="C290" t="s">
        <v>158</v>
      </c>
      <c r="D290" s="1">
        <v>45562</v>
      </c>
      <c r="E290" s="5">
        <v>0.84375</v>
      </c>
      <c r="F290" s="1">
        <v>45562</v>
      </c>
      <c r="G290" s="5">
        <v>0.86111111111111116</v>
      </c>
      <c r="H290">
        <v>25</v>
      </c>
      <c r="I290" t="s">
        <v>143</v>
      </c>
      <c r="J290" t="s">
        <v>152</v>
      </c>
      <c r="K290">
        <v>4</v>
      </c>
      <c r="L290">
        <v>3.5</v>
      </c>
      <c r="M290" t="s">
        <v>143</v>
      </c>
      <c r="N290" t="s">
        <v>145</v>
      </c>
      <c r="O290" t="b">
        <v>1</v>
      </c>
      <c r="P290" t="b">
        <v>0</v>
      </c>
      <c r="Q290" s="6">
        <v>7.1428571428571432</v>
      </c>
      <c r="R290" s="6">
        <v>1.142857142857143</v>
      </c>
      <c r="S290" t="s">
        <v>442</v>
      </c>
      <c r="T290" t="s">
        <v>147</v>
      </c>
      <c r="U290" s="6">
        <v>8.4</v>
      </c>
      <c r="V290" s="6">
        <v>16.600000000000001</v>
      </c>
      <c r="W290" t="b">
        <v>0</v>
      </c>
      <c r="X290">
        <v>8</v>
      </c>
      <c r="Y290">
        <v>2</v>
      </c>
      <c r="Z290">
        <v>20</v>
      </c>
      <c r="AA290" s="6">
        <v>28.186274509803919</v>
      </c>
      <c r="AB290">
        <f>--PizzaDelivery[[#This Row],[Is Delayed]]</f>
        <v>0</v>
      </c>
    </row>
    <row r="291" spans="1:28">
      <c r="A291" t="s">
        <v>484</v>
      </c>
      <c r="B291" t="s">
        <v>157</v>
      </c>
      <c r="C291" t="s">
        <v>184</v>
      </c>
      <c r="D291" s="1">
        <v>45563</v>
      </c>
      <c r="E291" s="5">
        <v>0.77083333333333337</v>
      </c>
      <c r="F291" s="1">
        <v>45563</v>
      </c>
      <c r="G291" s="5">
        <v>0.78472222222222221</v>
      </c>
      <c r="H291">
        <v>20</v>
      </c>
      <c r="I291" t="s">
        <v>159</v>
      </c>
      <c r="J291" t="s">
        <v>160</v>
      </c>
      <c r="K291">
        <v>2</v>
      </c>
      <c r="L291">
        <v>2</v>
      </c>
      <c r="M291" t="s">
        <v>161</v>
      </c>
      <c r="N291" t="s">
        <v>154</v>
      </c>
      <c r="O291" t="b">
        <v>1</v>
      </c>
      <c r="P291" t="b">
        <v>1</v>
      </c>
      <c r="Q291" s="6">
        <v>10</v>
      </c>
      <c r="R291" s="6">
        <v>1</v>
      </c>
      <c r="S291" t="s">
        <v>442</v>
      </c>
      <c r="T291" t="s">
        <v>147</v>
      </c>
      <c r="U291" s="6">
        <v>4.8</v>
      </c>
      <c r="V291" s="6">
        <v>15.2</v>
      </c>
      <c r="W291" t="b">
        <v>0</v>
      </c>
      <c r="X291">
        <v>2</v>
      </c>
      <c r="Y291">
        <v>1</v>
      </c>
      <c r="Z291">
        <v>18</v>
      </c>
      <c r="AA291" s="6">
        <v>28.844221105527641</v>
      </c>
      <c r="AB291">
        <f>--PizzaDelivery[[#This Row],[Is Delayed]]</f>
        <v>0</v>
      </c>
    </row>
    <row r="292" spans="1:28">
      <c r="A292" t="s">
        <v>485</v>
      </c>
      <c r="B292" t="s">
        <v>173</v>
      </c>
      <c r="C292" t="s">
        <v>186</v>
      </c>
      <c r="D292" s="1">
        <v>45564</v>
      </c>
      <c r="E292" s="5">
        <v>0.54166666666666663</v>
      </c>
      <c r="F292" s="1">
        <v>45564</v>
      </c>
      <c r="G292" s="5">
        <v>0.55555555555555558</v>
      </c>
      <c r="H292">
        <v>20</v>
      </c>
      <c r="I292" t="s">
        <v>143</v>
      </c>
      <c r="J292" t="s">
        <v>152</v>
      </c>
      <c r="K292">
        <v>3</v>
      </c>
      <c r="L292">
        <v>3</v>
      </c>
      <c r="M292" t="s">
        <v>161</v>
      </c>
      <c r="N292" t="s">
        <v>162</v>
      </c>
      <c r="O292" t="b">
        <v>0</v>
      </c>
      <c r="P292" t="b">
        <v>1</v>
      </c>
      <c r="Q292" s="6">
        <v>6.666666666666667</v>
      </c>
      <c r="R292" s="6">
        <v>1</v>
      </c>
      <c r="S292" t="s">
        <v>442</v>
      </c>
      <c r="T292" t="s">
        <v>147</v>
      </c>
      <c r="U292" s="6">
        <v>7.1999999999999993</v>
      </c>
      <c r="V292" s="6">
        <v>12.8</v>
      </c>
      <c r="W292" t="b">
        <v>0</v>
      </c>
      <c r="X292">
        <v>6</v>
      </c>
      <c r="Y292">
        <v>1</v>
      </c>
      <c r="Z292">
        <v>13</v>
      </c>
      <c r="AA292" s="6">
        <v>30.286458333333329</v>
      </c>
      <c r="AB292">
        <f>--PizzaDelivery[[#This Row],[Is Delayed]]</f>
        <v>0</v>
      </c>
    </row>
    <row r="293" spans="1:28">
      <c r="A293" t="s">
        <v>486</v>
      </c>
      <c r="B293" t="s">
        <v>142</v>
      </c>
      <c r="C293" t="s">
        <v>166</v>
      </c>
      <c r="D293" s="1">
        <v>45565</v>
      </c>
      <c r="E293" s="5">
        <v>0.77083333333333337</v>
      </c>
      <c r="F293" s="1">
        <v>45565</v>
      </c>
      <c r="G293" s="5">
        <v>0.78819444444444442</v>
      </c>
      <c r="H293">
        <v>25</v>
      </c>
      <c r="I293" t="s">
        <v>151</v>
      </c>
      <c r="J293" t="s">
        <v>144</v>
      </c>
      <c r="K293">
        <v>4</v>
      </c>
      <c r="L293">
        <v>5</v>
      </c>
      <c r="M293" t="s">
        <v>153</v>
      </c>
      <c r="N293" t="s">
        <v>342</v>
      </c>
      <c r="O293" t="b">
        <v>1</v>
      </c>
      <c r="P293" t="b">
        <v>0</v>
      </c>
      <c r="Q293" s="6">
        <v>5</v>
      </c>
      <c r="R293" s="6">
        <v>0.8</v>
      </c>
      <c r="S293" t="s">
        <v>442</v>
      </c>
      <c r="T293" t="s">
        <v>171</v>
      </c>
      <c r="U293" s="6">
        <v>12</v>
      </c>
      <c r="V293" s="6">
        <v>13</v>
      </c>
      <c r="W293" t="b">
        <v>0</v>
      </c>
      <c r="X293">
        <v>12</v>
      </c>
      <c r="Y293">
        <v>3</v>
      </c>
      <c r="Z293">
        <v>18</v>
      </c>
      <c r="AA293" s="6">
        <v>30.259433962264151</v>
      </c>
      <c r="AB293">
        <f>--PizzaDelivery[[#This Row],[Is Delayed]]</f>
        <v>0</v>
      </c>
    </row>
    <row r="294" spans="1:28">
      <c r="A294" t="s">
        <v>487</v>
      </c>
      <c r="B294" t="s">
        <v>165</v>
      </c>
      <c r="C294" t="s">
        <v>192</v>
      </c>
      <c r="D294" s="1">
        <v>45566</v>
      </c>
      <c r="E294" s="5">
        <v>0.82291666666666663</v>
      </c>
      <c r="F294" s="1">
        <v>45566</v>
      </c>
      <c r="G294" s="5">
        <v>0.84027777777777779</v>
      </c>
      <c r="H294">
        <v>25</v>
      </c>
      <c r="I294" t="s">
        <v>167</v>
      </c>
      <c r="J294" t="s">
        <v>168</v>
      </c>
      <c r="K294">
        <v>5</v>
      </c>
      <c r="L294">
        <v>4</v>
      </c>
      <c r="M294" t="s">
        <v>153</v>
      </c>
      <c r="N294" t="s">
        <v>145</v>
      </c>
      <c r="O294" t="b">
        <v>1</v>
      </c>
      <c r="P294" t="b">
        <v>0</v>
      </c>
      <c r="Q294" s="6">
        <v>6.25</v>
      </c>
      <c r="R294" s="6">
        <v>1.25</v>
      </c>
      <c r="S294" t="s">
        <v>488</v>
      </c>
      <c r="T294" t="s">
        <v>147</v>
      </c>
      <c r="U294" s="6">
        <v>9.6</v>
      </c>
      <c r="V294" s="6">
        <v>15.4</v>
      </c>
      <c r="W294" t="b">
        <v>0</v>
      </c>
      <c r="X294">
        <v>20</v>
      </c>
      <c r="Y294">
        <v>3</v>
      </c>
      <c r="Z294">
        <v>19</v>
      </c>
      <c r="AA294" s="6">
        <v>29.948453608247419</v>
      </c>
      <c r="AB294">
        <f>--PizzaDelivery[[#This Row],[Is Delayed]]</f>
        <v>0</v>
      </c>
    </row>
    <row r="295" spans="1:28">
      <c r="A295" t="s">
        <v>489</v>
      </c>
      <c r="B295" t="s">
        <v>149</v>
      </c>
      <c r="C295" t="s">
        <v>194</v>
      </c>
      <c r="D295" s="1">
        <v>45567</v>
      </c>
      <c r="E295" s="5">
        <v>0.84375</v>
      </c>
      <c r="F295" s="1">
        <v>45567</v>
      </c>
      <c r="G295" s="5">
        <v>0.86111111111111116</v>
      </c>
      <c r="H295">
        <v>25</v>
      </c>
      <c r="I295" t="s">
        <v>159</v>
      </c>
      <c r="J295" t="s">
        <v>160</v>
      </c>
      <c r="K295">
        <v>2</v>
      </c>
      <c r="L295">
        <v>2.5</v>
      </c>
      <c r="M295" t="s">
        <v>143</v>
      </c>
      <c r="N295" t="s">
        <v>154</v>
      </c>
      <c r="O295" t="b">
        <v>1</v>
      </c>
      <c r="P295" t="b">
        <v>0</v>
      </c>
      <c r="Q295" s="6">
        <v>10</v>
      </c>
      <c r="R295" s="6">
        <v>0.8</v>
      </c>
      <c r="S295" t="s">
        <v>488</v>
      </c>
      <c r="T295" t="s">
        <v>147</v>
      </c>
      <c r="U295" s="6">
        <v>6</v>
      </c>
      <c r="V295" s="6">
        <v>19</v>
      </c>
      <c r="W295" t="b">
        <v>0</v>
      </c>
      <c r="X295">
        <v>2</v>
      </c>
      <c r="Y295">
        <v>2</v>
      </c>
      <c r="Z295">
        <v>20</v>
      </c>
      <c r="AA295" s="6">
        <v>28.186274509803919</v>
      </c>
      <c r="AB295">
        <f>--PizzaDelivery[[#This Row],[Is Delayed]]</f>
        <v>0</v>
      </c>
    </row>
    <row r="296" spans="1:28">
      <c r="A296" t="s">
        <v>490</v>
      </c>
      <c r="B296" t="s">
        <v>157</v>
      </c>
      <c r="C296" t="s">
        <v>174</v>
      </c>
      <c r="D296" s="1">
        <v>45568</v>
      </c>
      <c r="E296" s="5">
        <v>0.77083333333333337</v>
      </c>
      <c r="F296" s="1">
        <v>45568</v>
      </c>
      <c r="G296" s="5">
        <v>0.78472222222222221</v>
      </c>
      <c r="H296">
        <v>20</v>
      </c>
      <c r="I296" t="s">
        <v>143</v>
      </c>
      <c r="J296" t="s">
        <v>152</v>
      </c>
      <c r="K296">
        <v>3</v>
      </c>
      <c r="L296">
        <v>3.5</v>
      </c>
      <c r="M296" t="s">
        <v>161</v>
      </c>
      <c r="N296" t="s">
        <v>162</v>
      </c>
      <c r="O296" t="b">
        <v>1</v>
      </c>
      <c r="P296" t="b">
        <v>0</v>
      </c>
      <c r="Q296" s="6">
        <v>5.7142857142857144</v>
      </c>
      <c r="R296" s="6">
        <v>0.8571428571428571</v>
      </c>
      <c r="S296" t="s">
        <v>488</v>
      </c>
      <c r="T296" t="s">
        <v>147</v>
      </c>
      <c r="U296" s="6">
        <v>8.4</v>
      </c>
      <c r="V296" s="6">
        <v>11.6</v>
      </c>
      <c r="W296" t="b">
        <v>0</v>
      </c>
      <c r="X296">
        <v>6</v>
      </c>
      <c r="Y296">
        <v>1</v>
      </c>
      <c r="Z296">
        <v>18</v>
      </c>
      <c r="AA296" s="6">
        <v>28.844221105527641</v>
      </c>
      <c r="AB296">
        <f>--PizzaDelivery[[#This Row],[Is Delayed]]</f>
        <v>0</v>
      </c>
    </row>
    <row r="297" spans="1:28">
      <c r="A297" t="s">
        <v>491</v>
      </c>
      <c r="B297" t="s">
        <v>173</v>
      </c>
      <c r="C297" t="s">
        <v>190</v>
      </c>
      <c r="D297" s="1">
        <v>45569</v>
      </c>
      <c r="E297" s="5">
        <v>0.54166666666666663</v>
      </c>
      <c r="F297" s="1">
        <v>45569</v>
      </c>
      <c r="G297" s="5">
        <v>0.55555555555555558</v>
      </c>
      <c r="H297">
        <v>20</v>
      </c>
      <c r="I297" t="s">
        <v>143</v>
      </c>
      <c r="J297" t="s">
        <v>152</v>
      </c>
      <c r="K297">
        <v>3</v>
      </c>
      <c r="L297">
        <v>3.5</v>
      </c>
      <c r="M297" t="s">
        <v>161</v>
      </c>
      <c r="N297" t="s">
        <v>145</v>
      </c>
      <c r="O297" t="b">
        <v>0</v>
      </c>
      <c r="P297" t="b">
        <v>0</v>
      </c>
      <c r="Q297" s="6">
        <v>5.7142857142857144</v>
      </c>
      <c r="R297" s="6">
        <v>0.8571428571428571</v>
      </c>
      <c r="S297" t="s">
        <v>488</v>
      </c>
      <c r="T297" t="s">
        <v>147</v>
      </c>
      <c r="U297" s="6">
        <v>8.4</v>
      </c>
      <c r="V297" s="6">
        <v>11.6</v>
      </c>
      <c r="W297" t="b">
        <v>0</v>
      </c>
      <c r="X297">
        <v>6</v>
      </c>
      <c r="Y297">
        <v>1</v>
      </c>
      <c r="Z297">
        <v>13</v>
      </c>
      <c r="AA297" s="6">
        <v>30.286458333333329</v>
      </c>
      <c r="AB297">
        <f>--PizzaDelivery[[#This Row],[Is Delayed]]</f>
        <v>0</v>
      </c>
    </row>
    <row r="298" spans="1:28">
      <c r="A298" t="s">
        <v>492</v>
      </c>
      <c r="B298" t="s">
        <v>142</v>
      </c>
      <c r="C298" t="s">
        <v>40</v>
      </c>
      <c r="D298" s="1">
        <v>45570</v>
      </c>
      <c r="E298" s="5">
        <v>0.77083333333333337</v>
      </c>
      <c r="F298" s="1">
        <v>45570</v>
      </c>
      <c r="G298" s="5">
        <v>0.78819444444444442</v>
      </c>
      <c r="H298">
        <v>25</v>
      </c>
      <c r="I298" t="s">
        <v>151</v>
      </c>
      <c r="J298" t="s">
        <v>144</v>
      </c>
      <c r="K298">
        <v>4</v>
      </c>
      <c r="L298">
        <v>5</v>
      </c>
      <c r="M298" t="s">
        <v>153</v>
      </c>
      <c r="N298" t="s">
        <v>342</v>
      </c>
      <c r="O298" t="b">
        <v>1</v>
      </c>
      <c r="P298" t="b">
        <v>1</v>
      </c>
      <c r="Q298" s="6">
        <v>5</v>
      </c>
      <c r="R298" s="6">
        <v>0.8</v>
      </c>
      <c r="S298" t="s">
        <v>488</v>
      </c>
      <c r="T298" t="s">
        <v>171</v>
      </c>
      <c r="U298" s="6">
        <v>12</v>
      </c>
      <c r="V298" s="6">
        <v>13</v>
      </c>
      <c r="W298" t="b">
        <v>0</v>
      </c>
      <c r="X298">
        <v>12</v>
      </c>
      <c r="Y298">
        <v>3</v>
      </c>
      <c r="Z298">
        <v>18</v>
      </c>
      <c r="AA298" s="6">
        <v>30.259433962264151</v>
      </c>
      <c r="AB298">
        <f>--PizzaDelivery[[#This Row],[Is Delayed]]</f>
        <v>0</v>
      </c>
    </row>
    <row r="299" spans="1:28">
      <c r="A299" t="s">
        <v>493</v>
      </c>
      <c r="B299" t="s">
        <v>165</v>
      </c>
      <c r="C299" t="s">
        <v>150</v>
      </c>
      <c r="D299" s="1">
        <v>45571</v>
      </c>
      <c r="E299" s="5">
        <v>0.82291666666666663</v>
      </c>
      <c r="F299" s="1">
        <v>45571</v>
      </c>
      <c r="G299" s="5">
        <v>0.84027777777777779</v>
      </c>
      <c r="H299">
        <v>25</v>
      </c>
      <c r="I299" t="s">
        <v>167</v>
      </c>
      <c r="J299" t="s">
        <v>168</v>
      </c>
      <c r="K299">
        <v>5</v>
      </c>
      <c r="L299">
        <v>4.5</v>
      </c>
      <c r="M299" t="s">
        <v>161</v>
      </c>
      <c r="N299" t="s">
        <v>169</v>
      </c>
      <c r="O299" t="b">
        <v>1</v>
      </c>
      <c r="P299" t="b">
        <v>1</v>
      </c>
      <c r="Q299" s="6">
        <v>5.5555555555555554</v>
      </c>
      <c r="R299" s="6">
        <v>1.1111111111111109</v>
      </c>
      <c r="S299" t="s">
        <v>488</v>
      </c>
      <c r="T299" t="s">
        <v>171</v>
      </c>
      <c r="U299" s="6">
        <v>10.8</v>
      </c>
      <c r="V299" s="6">
        <v>14.2</v>
      </c>
      <c r="W299" t="b">
        <v>0</v>
      </c>
      <c r="X299">
        <v>20</v>
      </c>
      <c r="Y299">
        <v>1</v>
      </c>
      <c r="Z299">
        <v>19</v>
      </c>
      <c r="AA299" s="6">
        <v>29.948453608247419</v>
      </c>
      <c r="AB299">
        <f>--PizzaDelivery[[#This Row],[Is Delayed]]</f>
        <v>0</v>
      </c>
    </row>
    <row r="300" spans="1:28">
      <c r="A300" t="s">
        <v>494</v>
      </c>
      <c r="B300" t="s">
        <v>149</v>
      </c>
      <c r="C300" t="s">
        <v>158</v>
      </c>
      <c r="D300" s="1">
        <v>45572</v>
      </c>
      <c r="E300" s="5">
        <v>0.84375</v>
      </c>
      <c r="F300" s="1">
        <v>45572</v>
      </c>
      <c r="G300" s="5">
        <v>0.86111111111111116</v>
      </c>
      <c r="H300">
        <v>25</v>
      </c>
      <c r="I300" t="s">
        <v>143</v>
      </c>
      <c r="J300" t="s">
        <v>152</v>
      </c>
      <c r="K300">
        <v>4</v>
      </c>
      <c r="L300">
        <v>3.5</v>
      </c>
      <c r="M300" t="s">
        <v>143</v>
      </c>
      <c r="N300" t="s">
        <v>145</v>
      </c>
      <c r="O300" t="b">
        <v>1</v>
      </c>
      <c r="P300" t="b">
        <v>0</v>
      </c>
      <c r="Q300" s="6">
        <v>7.1428571428571432</v>
      </c>
      <c r="R300" s="6">
        <v>1.142857142857143</v>
      </c>
      <c r="S300" t="s">
        <v>488</v>
      </c>
      <c r="T300" t="s">
        <v>147</v>
      </c>
      <c r="U300" s="6">
        <v>8.4</v>
      </c>
      <c r="V300" s="6">
        <v>16.600000000000001</v>
      </c>
      <c r="W300" t="b">
        <v>0</v>
      </c>
      <c r="X300">
        <v>8</v>
      </c>
      <c r="Y300">
        <v>2</v>
      </c>
      <c r="Z300">
        <v>20</v>
      </c>
      <c r="AA300" s="6">
        <v>28.186274509803919</v>
      </c>
      <c r="AB300">
        <f>--PizzaDelivery[[#This Row],[Is Delayed]]</f>
        <v>0</v>
      </c>
    </row>
    <row r="301" spans="1:28">
      <c r="A301" t="s">
        <v>495</v>
      </c>
      <c r="B301" t="s">
        <v>157</v>
      </c>
      <c r="C301" t="s">
        <v>184</v>
      </c>
      <c r="D301" s="1">
        <v>45573</v>
      </c>
      <c r="E301" s="5">
        <v>0.77083333333333337</v>
      </c>
      <c r="F301" s="1">
        <v>45573</v>
      </c>
      <c r="G301" s="5">
        <v>0.78472222222222221</v>
      </c>
      <c r="H301">
        <v>20</v>
      </c>
      <c r="I301" t="s">
        <v>159</v>
      </c>
      <c r="J301" t="s">
        <v>160</v>
      </c>
      <c r="K301">
        <v>2</v>
      </c>
      <c r="L301">
        <v>2</v>
      </c>
      <c r="M301" t="s">
        <v>161</v>
      </c>
      <c r="N301" t="s">
        <v>154</v>
      </c>
      <c r="O301" t="b">
        <v>1</v>
      </c>
      <c r="P301" t="b">
        <v>0</v>
      </c>
      <c r="Q301" s="6">
        <v>10</v>
      </c>
      <c r="R301" s="6">
        <v>1</v>
      </c>
      <c r="S301" t="s">
        <v>488</v>
      </c>
      <c r="T301" t="s">
        <v>147</v>
      </c>
      <c r="U301" s="6">
        <v>4.8</v>
      </c>
      <c r="V301" s="6">
        <v>15.2</v>
      </c>
      <c r="W301" t="b">
        <v>0</v>
      </c>
      <c r="X301">
        <v>2</v>
      </c>
      <c r="Y301">
        <v>1</v>
      </c>
      <c r="Z301">
        <v>18</v>
      </c>
      <c r="AA301" s="6">
        <v>28.844221105527641</v>
      </c>
      <c r="AB301">
        <f>--PizzaDelivery[[#This Row],[Is Delayed]]</f>
        <v>0</v>
      </c>
    </row>
    <row r="302" spans="1:28">
      <c r="A302" t="s">
        <v>496</v>
      </c>
      <c r="B302" t="s">
        <v>173</v>
      </c>
      <c r="C302" t="s">
        <v>186</v>
      </c>
      <c r="D302" s="1">
        <v>45574</v>
      </c>
      <c r="E302" s="5">
        <v>0.54166666666666663</v>
      </c>
      <c r="F302" s="1">
        <v>45574</v>
      </c>
      <c r="G302" s="5">
        <v>0.55555555555555558</v>
      </c>
      <c r="H302">
        <v>20</v>
      </c>
      <c r="I302" t="s">
        <v>143</v>
      </c>
      <c r="J302" t="s">
        <v>152</v>
      </c>
      <c r="K302">
        <v>3</v>
      </c>
      <c r="L302">
        <v>3</v>
      </c>
      <c r="M302" t="s">
        <v>161</v>
      </c>
      <c r="N302" t="s">
        <v>162</v>
      </c>
      <c r="O302" t="b">
        <v>0</v>
      </c>
      <c r="P302" t="b">
        <v>0</v>
      </c>
      <c r="Q302" s="6">
        <v>6.666666666666667</v>
      </c>
      <c r="R302" s="6">
        <v>1</v>
      </c>
      <c r="S302" t="s">
        <v>488</v>
      </c>
      <c r="T302" t="s">
        <v>147</v>
      </c>
      <c r="U302" s="6">
        <v>7.1999999999999993</v>
      </c>
      <c r="V302" s="6">
        <v>12.8</v>
      </c>
      <c r="W302" t="b">
        <v>0</v>
      </c>
      <c r="X302">
        <v>6</v>
      </c>
      <c r="Y302">
        <v>1</v>
      </c>
      <c r="Z302">
        <v>13</v>
      </c>
      <c r="AA302" s="6">
        <v>30.286458333333329</v>
      </c>
      <c r="AB302">
        <f>--PizzaDelivery[[#This Row],[Is Delayed]]</f>
        <v>0</v>
      </c>
    </row>
    <row r="303" spans="1:28">
      <c r="A303" t="s">
        <v>497</v>
      </c>
      <c r="B303" t="s">
        <v>142</v>
      </c>
      <c r="C303" t="s">
        <v>166</v>
      </c>
      <c r="D303" s="1">
        <v>45575</v>
      </c>
      <c r="E303" s="5">
        <v>0.77083333333333337</v>
      </c>
      <c r="F303" s="1">
        <v>45575</v>
      </c>
      <c r="G303" s="5">
        <v>0.78819444444444442</v>
      </c>
      <c r="H303">
        <v>25</v>
      </c>
      <c r="I303" t="s">
        <v>151</v>
      </c>
      <c r="J303" t="s">
        <v>144</v>
      </c>
      <c r="K303">
        <v>4</v>
      </c>
      <c r="L303">
        <v>5</v>
      </c>
      <c r="M303" t="s">
        <v>153</v>
      </c>
      <c r="N303" t="s">
        <v>342</v>
      </c>
      <c r="O303" t="b">
        <v>1</v>
      </c>
      <c r="P303" t="b">
        <v>0</v>
      </c>
      <c r="Q303" s="6">
        <v>5</v>
      </c>
      <c r="R303" s="6">
        <v>0.8</v>
      </c>
      <c r="S303" t="s">
        <v>488</v>
      </c>
      <c r="T303" t="s">
        <v>171</v>
      </c>
      <c r="U303" s="6">
        <v>12</v>
      </c>
      <c r="V303" s="6">
        <v>13</v>
      </c>
      <c r="W303" t="b">
        <v>0</v>
      </c>
      <c r="X303">
        <v>12</v>
      </c>
      <c r="Y303">
        <v>3</v>
      </c>
      <c r="Z303">
        <v>18</v>
      </c>
      <c r="AA303" s="6">
        <v>30.259433962264151</v>
      </c>
      <c r="AB303">
        <f>--PizzaDelivery[[#This Row],[Is Delayed]]</f>
        <v>0</v>
      </c>
    </row>
    <row r="304" spans="1:28">
      <c r="A304" t="s">
        <v>498</v>
      </c>
      <c r="B304" t="s">
        <v>165</v>
      </c>
      <c r="C304" t="s">
        <v>192</v>
      </c>
      <c r="D304" s="1">
        <v>45576</v>
      </c>
      <c r="E304" s="5">
        <v>0.82291666666666663</v>
      </c>
      <c r="F304" s="1">
        <v>45576</v>
      </c>
      <c r="G304" s="5">
        <v>0.84027777777777779</v>
      </c>
      <c r="H304">
        <v>25</v>
      </c>
      <c r="I304" t="s">
        <v>167</v>
      </c>
      <c r="J304" t="s">
        <v>168</v>
      </c>
      <c r="K304">
        <v>5</v>
      </c>
      <c r="L304">
        <v>4.5</v>
      </c>
      <c r="M304" t="s">
        <v>161</v>
      </c>
      <c r="N304" t="s">
        <v>145</v>
      </c>
      <c r="O304" t="b">
        <v>1</v>
      </c>
      <c r="P304" t="b">
        <v>0</v>
      </c>
      <c r="Q304" s="6">
        <v>5.5555555555555554</v>
      </c>
      <c r="R304" s="6">
        <v>1.1111111111111109</v>
      </c>
      <c r="S304" t="s">
        <v>488</v>
      </c>
      <c r="T304" t="s">
        <v>147</v>
      </c>
      <c r="U304" s="6">
        <v>10.8</v>
      </c>
      <c r="V304" s="6">
        <v>14.2</v>
      </c>
      <c r="W304" t="b">
        <v>0</v>
      </c>
      <c r="X304">
        <v>20</v>
      </c>
      <c r="Y304">
        <v>1</v>
      </c>
      <c r="Z304">
        <v>19</v>
      </c>
      <c r="AA304" s="6">
        <v>29.948453608247419</v>
      </c>
      <c r="AB304">
        <f>--PizzaDelivery[[#This Row],[Is Delayed]]</f>
        <v>0</v>
      </c>
    </row>
    <row r="305" spans="1:28">
      <c r="A305" t="s">
        <v>499</v>
      </c>
      <c r="B305" t="s">
        <v>149</v>
      </c>
      <c r="C305" t="s">
        <v>194</v>
      </c>
      <c r="D305" s="1">
        <v>45577</v>
      </c>
      <c r="E305" s="5">
        <v>0.84375</v>
      </c>
      <c r="F305" s="1">
        <v>45577</v>
      </c>
      <c r="G305" s="5">
        <v>0.86111111111111116</v>
      </c>
      <c r="H305">
        <v>25</v>
      </c>
      <c r="I305" t="s">
        <v>159</v>
      </c>
      <c r="J305" t="s">
        <v>160</v>
      </c>
      <c r="K305">
        <v>2</v>
      </c>
      <c r="L305">
        <v>2.5</v>
      </c>
      <c r="M305" t="s">
        <v>143</v>
      </c>
      <c r="N305" t="s">
        <v>154</v>
      </c>
      <c r="O305" t="b">
        <v>1</v>
      </c>
      <c r="P305" t="b">
        <v>1</v>
      </c>
      <c r="Q305" s="6">
        <v>10</v>
      </c>
      <c r="R305" s="6">
        <v>0.8</v>
      </c>
      <c r="S305" t="s">
        <v>488</v>
      </c>
      <c r="T305" t="s">
        <v>147</v>
      </c>
      <c r="U305" s="6">
        <v>6</v>
      </c>
      <c r="V305" s="6">
        <v>19</v>
      </c>
      <c r="W305" t="b">
        <v>0</v>
      </c>
      <c r="X305">
        <v>2</v>
      </c>
      <c r="Y305">
        <v>2</v>
      </c>
      <c r="Z305">
        <v>20</v>
      </c>
      <c r="AA305" s="6">
        <v>28.186274509803919</v>
      </c>
      <c r="AB305">
        <f>--PizzaDelivery[[#This Row],[Is Delayed]]</f>
        <v>0</v>
      </c>
    </row>
    <row r="306" spans="1:28">
      <c r="A306" t="s">
        <v>500</v>
      </c>
      <c r="B306" t="s">
        <v>157</v>
      </c>
      <c r="C306" t="s">
        <v>174</v>
      </c>
      <c r="D306" s="1">
        <v>45578</v>
      </c>
      <c r="E306" s="5">
        <v>0.77083333333333337</v>
      </c>
      <c r="F306" s="1">
        <v>45578</v>
      </c>
      <c r="G306" s="5">
        <v>0.78472222222222221</v>
      </c>
      <c r="H306">
        <v>20</v>
      </c>
      <c r="I306" t="s">
        <v>143</v>
      </c>
      <c r="J306" t="s">
        <v>152</v>
      </c>
      <c r="K306">
        <v>3</v>
      </c>
      <c r="L306">
        <v>3.5</v>
      </c>
      <c r="M306" t="s">
        <v>161</v>
      </c>
      <c r="N306" t="s">
        <v>162</v>
      </c>
      <c r="O306" t="b">
        <v>1</v>
      </c>
      <c r="P306" t="b">
        <v>1</v>
      </c>
      <c r="Q306" s="6">
        <v>5.7142857142857144</v>
      </c>
      <c r="R306" s="6">
        <v>0.8571428571428571</v>
      </c>
      <c r="S306" t="s">
        <v>488</v>
      </c>
      <c r="T306" t="s">
        <v>147</v>
      </c>
      <c r="U306" s="6">
        <v>8.4</v>
      </c>
      <c r="V306" s="6">
        <v>11.6</v>
      </c>
      <c r="W306" t="b">
        <v>0</v>
      </c>
      <c r="X306">
        <v>6</v>
      </c>
      <c r="Y306">
        <v>1</v>
      </c>
      <c r="Z306">
        <v>18</v>
      </c>
      <c r="AA306" s="6">
        <v>28.844221105527641</v>
      </c>
      <c r="AB306">
        <f>--PizzaDelivery[[#This Row],[Is Delayed]]</f>
        <v>0</v>
      </c>
    </row>
    <row r="307" spans="1:28">
      <c r="A307" t="s">
        <v>501</v>
      </c>
      <c r="B307" t="s">
        <v>142</v>
      </c>
      <c r="C307" t="s">
        <v>40</v>
      </c>
      <c r="D307" s="1">
        <v>45530</v>
      </c>
      <c r="E307" s="5">
        <v>0.75</v>
      </c>
      <c r="F307" s="1">
        <v>45530</v>
      </c>
      <c r="G307" s="5">
        <v>0.76388888888888884</v>
      </c>
      <c r="H307">
        <v>20</v>
      </c>
      <c r="I307" t="s">
        <v>143</v>
      </c>
      <c r="J307" t="s">
        <v>144</v>
      </c>
      <c r="K307">
        <v>2</v>
      </c>
      <c r="L307">
        <v>3</v>
      </c>
      <c r="M307" t="s">
        <v>161</v>
      </c>
      <c r="N307" t="s">
        <v>145</v>
      </c>
      <c r="O307" t="b">
        <v>1</v>
      </c>
      <c r="P307" t="b">
        <v>0</v>
      </c>
      <c r="Q307" s="6">
        <v>6.666666666666667</v>
      </c>
      <c r="R307" s="6">
        <v>0.66666666666666663</v>
      </c>
      <c r="S307" t="s">
        <v>304</v>
      </c>
      <c r="T307" t="s">
        <v>147</v>
      </c>
      <c r="U307" s="6">
        <v>7.1999999999999993</v>
      </c>
      <c r="V307" s="6">
        <v>12.8</v>
      </c>
      <c r="W307" t="b">
        <v>0</v>
      </c>
      <c r="X307">
        <v>4</v>
      </c>
      <c r="Y307">
        <v>1</v>
      </c>
      <c r="Z307">
        <v>18</v>
      </c>
      <c r="AA307" s="6">
        <v>30.259433962264151</v>
      </c>
      <c r="AB307">
        <f>--PizzaDelivery[[#This Row],[Is Delayed]]</f>
        <v>0</v>
      </c>
    </row>
    <row r="308" spans="1:28">
      <c r="A308" t="s">
        <v>502</v>
      </c>
      <c r="B308" t="s">
        <v>149</v>
      </c>
      <c r="C308" t="s">
        <v>158</v>
      </c>
      <c r="D308" s="1">
        <v>45531</v>
      </c>
      <c r="E308" s="5">
        <v>0.80208333333333337</v>
      </c>
      <c r="F308" s="1">
        <v>45531</v>
      </c>
      <c r="G308" s="5">
        <v>0.82291666666666663</v>
      </c>
      <c r="H308">
        <v>30</v>
      </c>
      <c r="I308" t="s">
        <v>151</v>
      </c>
      <c r="J308" t="s">
        <v>152</v>
      </c>
      <c r="K308">
        <v>4</v>
      </c>
      <c r="L308">
        <v>6</v>
      </c>
      <c r="M308" t="s">
        <v>143</v>
      </c>
      <c r="N308" t="s">
        <v>162</v>
      </c>
      <c r="O308" t="b">
        <v>1</v>
      </c>
      <c r="P308" t="b">
        <v>0</v>
      </c>
      <c r="Q308" s="6">
        <v>5</v>
      </c>
      <c r="R308" s="6">
        <v>0.66666666666666663</v>
      </c>
      <c r="S308" t="s">
        <v>304</v>
      </c>
      <c r="T308" t="s">
        <v>147</v>
      </c>
      <c r="U308" s="6">
        <v>14.4</v>
      </c>
      <c r="V308" s="6">
        <v>15.6</v>
      </c>
      <c r="W308" t="b">
        <v>0</v>
      </c>
      <c r="X308">
        <v>12</v>
      </c>
      <c r="Y308">
        <v>2</v>
      </c>
      <c r="Z308">
        <v>19</v>
      </c>
      <c r="AA308" s="6">
        <v>28.186274509803919</v>
      </c>
      <c r="AB308">
        <f>--PizzaDelivery[[#This Row],[Is Delayed]]</f>
        <v>0</v>
      </c>
    </row>
    <row r="309" spans="1:28">
      <c r="A309" t="s">
        <v>503</v>
      </c>
      <c r="B309" t="s">
        <v>165</v>
      </c>
      <c r="C309" t="s">
        <v>150</v>
      </c>
      <c r="D309" s="1">
        <v>45532</v>
      </c>
      <c r="E309" s="5">
        <v>0.85416666666666663</v>
      </c>
      <c r="F309" s="1">
        <v>45532</v>
      </c>
      <c r="G309" s="5">
        <v>0.88194444444444442</v>
      </c>
      <c r="H309">
        <v>40</v>
      </c>
      <c r="I309" t="s">
        <v>167</v>
      </c>
      <c r="J309" t="s">
        <v>168</v>
      </c>
      <c r="K309">
        <v>5</v>
      </c>
      <c r="L309">
        <v>8</v>
      </c>
      <c r="M309" t="s">
        <v>153</v>
      </c>
      <c r="N309" t="s">
        <v>504</v>
      </c>
      <c r="O309" t="b">
        <v>1</v>
      </c>
      <c r="P309" t="b">
        <v>0</v>
      </c>
      <c r="Q309" s="6">
        <v>5</v>
      </c>
      <c r="R309" s="6">
        <v>0.625</v>
      </c>
      <c r="S309" t="s">
        <v>304</v>
      </c>
      <c r="T309" t="s">
        <v>171</v>
      </c>
      <c r="U309" s="6">
        <v>19.2</v>
      </c>
      <c r="V309" s="6">
        <v>20.8</v>
      </c>
      <c r="W309" t="b">
        <v>1</v>
      </c>
      <c r="X309">
        <v>20</v>
      </c>
      <c r="Y309">
        <v>3</v>
      </c>
      <c r="Z309">
        <v>20</v>
      </c>
      <c r="AA309" s="6">
        <v>29.948453608247419</v>
      </c>
      <c r="AB309">
        <f>--PizzaDelivery[[#This Row],[Is Delayed]]</f>
        <v>1</v>
      </c>
    </row>
    <row r="310" spans="1:28">
      <c r="A310" t="s">
        <v>505</v>
      </c>
      <c r="B310" t="s">
        <v>157</v>
      </c>
      <c r="C310" t="s">
        <v>184</v>
      </c>
      <c r="D310" s="1">
        <v>45533</v>
      </c>
      <c r="E310" s="5">
        <v>0.78125</v>
      </c>
      <c r="F310" s="1">
        <v>45533</v>
      </c>
      <c r="G310" s="5">
        <v>0.79513888888888884</v>
      </c>
      <c r="H310">
        <v>20</v>
      </c>
      <c r="I310" t="s">
        <v>159</v>
      </c>
      <c r="J310" t="s">
        <v>160</v>
      </c>
      <c r="K310">
        <v>1</v>
      </c>
      <c r="L310">
        <v>2.5</v>
      </c>
      <c r="M310" t="s">
        <v>161</v>
      </c>
      <c r="N310" t="s">
        <v>169</v>
      </c>
      <c r="O310" t="b">
        <v>1</v>
      </c>
      <c r="P310" t="b">
        <v>0</v>
      </c>
      <c r="Q310" s="6">
        <v>8</v>
      </c>
      <c r="R310" s="6">
        <v>0.4</v>
      </c>
      <c r="S310" t="s">
        <v>304</v>
      </c>
      <c r="T310" t="s">
        <v>171</v>
      </c>
      <c r="U310" s="6">
        <v>6</v>
      </c>
      <c r="V310" s="6">
        <v>14</v>
      </c>
      <c r="W310" t="b">
        <v>0</v>
      </c>
      <c r="X310">
        <v>1</v>
      </c>
      <c r="Y310">
        <v>1</v>
      </c>
      <c r="Z310">
        <v>18</v>
      </c>
      <c r="AA310" s="6">
        <v>28.844221105527641</v>
      </c>
      <c r="AB310">
        <f>--PizzaDelivery[[#This Row],[Is Delayed]]</f>
        <v>0</v>
      </c>
    </row>
    <row r="311" spans="1:28">
      <c r="A311" t="s">
        <v>506</v>
      </c>
      <c r="B311" t="s">
        <v>173</v>
      </c>
      <c r="C311" t="s">
        <v>186</v>
      </c>
      <c r="D311" s="1">
        <v>45534</v>
      </c>
      <c r="E311" s="5">
        <v>0.79166666666666663</v>
      </c>
      <c r="F311" s="1">
        <v>45534</v>
      </c>
      <c r="G311" s="5">
        <v>0.82638888888888884</v>
      </c>
      <c r="H311">
        <v>50</v>
      </c>
      <c r="I311" t="s">
        <v>151</v>
      </c>
      <c r="J311" t="s">
        <v>152</v>
      </c>
      <c r="K311">
        <v>4</v>
      </c>
      <c r="L311">
        <v>10</v>
      </c>
      <c r="M311" t="s">
        <v>153</v>
      </c>
      <c r="N311" t="s">
        <v>145</v>
      </c>
      <c r="O311" t="b">
        <v>1</v>
      </c>
      <c r="P311" t="b">
        <v>0</v>
      </c>
      <c r="Q311" s="6">
        <v>5</v>
      </c>
      <c r="R311" s="6">
        <v>0.4</v>
      </c>
      <c r="S311" t="s">
        <v>304</v>
      </c>
      <c r="T311" t="s">
        <v>147</v>
      </c>
      <c r="U311" s="6">
        <v>24</v>
      </c>
      <c r="V311" s="6">
        <v>26</v>
      </c>
      <c r="W311" t="b">
        <v>1</v>
      </c>
      <c r="X311">
        <v>12</v>
      </c>
      <c r="Y311">
        <v>3</v>
      </c>
      <c r="Z311">
        <v>19</v>
      </c>
      <c r="AA311" s="6">
        <v>30.286458333333329</v>
      </c>
      <c r="AB311">
        <f>--PizzaDelivery[[#This Row],[Is Delayed]]</f>
        <v>1</v>
      </c>
    </row>
    <row r="312" spans="1:28">
      <c r="A312" t="s">
        <v>507</v>
      </c>
      <c r="B312" t="s">
        <v>142</v>
      </c>
      <c r="C312" t="s">
        <v>166</v>
      </c>
      <c r="D312" s="1">
        <v>45535</v>
      </c>
      <c r="E312" s="5">
        <v>0.83333333333333337</v>
      </c>
      <c r="F312" s="1">
        <v>45535</v>
      </c>
      <c r="G312" s="5">
        <v>0.85763888888888884</v>
      </c>
      <c r="H312">
        <v>35</v>
      </c>
      <c r="I312" t="s">
        <v>143</v>
      </c>
      <c r="J312" t="s">
        <v>144</v>
      </c>
      <c r="K312">
        <v>3</v>
      </c>
      <c r="L312">
        <v>5.5</v>
      </c>
      <c r="M312" t="s">
        <v>143</v>
      </c>
      <c r="N312" t="s">
        <v>154</v>
      </c>
      <c r="O312" t="b">
        <v>1</v>
      </c>
      <c r="P312" t="b">
        <v>1</v>
      </c>
      <c r="Q312" s="6">
        <v>6.3636363636363633</v>
      </c>
      <c r="R312" s="6">
        <v>0.54545454545454541</v>
      </c>
      <c r="S312" t="s">
        <v>304</v>
      </c>
      <c r="T312" t="s">
        <v>147</v>
      </c>
      <c r="U312" s="6">
        <v>13.2</v>
      </c>
      <c r="V312" s="6">
        <v>21.8</v>
      </c>
      <c r="W312" t="b">
        <v>1</v>
      </c>
      <c r="X312">
        <v>6</v>
      </c>
      <c r="Y312">
        <v>2</v>
      </c>
      <c r="Z312">
        <v>20</v>
      </c>
      <c r="AA312" s="6">
        <v>30.259433962264151</v>
      </c>
      <c r="AB312">
        <f>--PizzaDelivery[[#This Row],[Is Delayed]]</f>
        <v>1</v>
      </c>
    </row>
    <row r="313" spans="1:28">
      <c r="A313" t="s">
        <v>508</v>
      </c>
      <c r="B313" t="s">
        <v>149</v>
      </c>
      <c r="C313" t="s">
        <v>192</v>
      </c>
      <c r="D313" s="1">
        <v>45536</v>
      </c>
      <c r="E313" s="5">
        <v>0.77083333333333337</v>
      </c>
      <c r="F313" s="1">
        <v>45536</v>
      </c>
      <c r="G313" s="5">
        <v>0.78472222222222221</v>
      </c>
      <c r="H313">
        <v>20</v>
      </c>
      <c r="I313" t="s">
        <v>159</v>
      </c>
      <c r="J313" t="s">
        <v>160</v>
      </c>
      <c r="K313">
        <v>2</v>
      </c>
      <c r="L313">
        <v>2</v>
      </c>
      <c r="M313" t="s">
        <v>161</v>
      </c>
      <c r="N313" t="s">
        <v>162</v>
      </c>
      <c r="O313" t="b">
        <v>1</v>
      </c>
      <c r="P313" t="b">
        <v>1</v>
      </c>
      <c r="Q313" s="6">
        <v>10</v>
      </c>
      <c r="R313" s="6">
        <v>1</v>
      </c>
      <c r="S313" t="s">
        <v>442</v>
      </c>
      <c r="T313" t="s">
        <v>147</v>
      </c>
      <c r="U313" s="6">
        <v>4.8</v>
      </c>
      <c r="V313" s="6">
        <v>15.2</v>
      </c>
      <c r="W313" t="b">
        <v>0</v>
      </c>
      <c r="X313">
        <v>2</v>
      </c>
      <c r="Y313">
        <v>1</v>
      </c>
      <c r="Z313">
        <v>18</v>
      </c>
      <c r="AA313" s="6">
        <v>28.186274509803919</v>
      </c>
      <c r="AB313">
        <f>--PizzaDelivery[[#This Row],[Is Delayed]]</f>
        <v>0</v>
      </c>
    </row>
    <row r="314" spans="1:28">
      <c r="A314" t="s">
        <v>509</v>
      </c>
      <c r="B314" t="s">
        <v>165</v>
      </c>
      <c r="C314" t="s">
        <v>194</v>
      </c>
      <c r="D314" s="1">
        <v>45537</v>
      </c>
      <c r="E314" s="5">
        <v>0.82291666666666663</v>
      </c>
      <c r="F314" s="1">
        <v>45537</v>
      </c>
      <c r="G314" s="5">
        <v>0.85069444444444442</v>
      </c>
      <c r="H314">
        <v>40</v>
      </c>
      <c r="I314" t="s">
        <v>167</v>
      </c>
      <c r="J314" t="s">
        <v>168</v>
      </c>
      <c r="K314">
        <v>5</v>
      </c>
      <c r="L314">
        <v>7.5</v>
      </c>
      <c r="M314" t="s">
        <v>153</v>
      </c>
      <c r="N314" t="s">
        <v>504</v>
      </c>
      <c r="O314" t="b">
        <v>1</v>
      </c>
      <c r="P314" t="b">
        <v>0</v>
      </c>
      <c r="Q314" s="6">
        <v>5.333333333333333</v>
      </c>
      <c r="R314" s="6">
        <v>0.66666666666666663</v>
      </c>
      <c r="S314" t="s">
        <v>442</v>
      </c>
      <c r="T314" t="s">
        <v>171</v>
      </c>
      <c r="U314" s="6">
        <v>18</v>
      </c>
      <c r="V314" s="6">
        <v>22</v>
      </c>
      <c r="W314" t="b">
        <v>1</v>
      </c>
      <c r="X314">
        <v>20</v>
      </c>
      <c r="Y314">
        <v>3</v>
      </c>
      <c r="Z314">
        <v>19</v>
      </c>
      <c r="AA314" s="6">
        <v>29.948453608247419</v>
      </c>
      <c r="AB314">
        <f>--PizzaDelivery[[#This Row],[Is Delayed]]</f>
        <v>1</v>
      </c>
    </row>
    <row r="315" spans="1:28">
      <c r="A315" t="s">
        <v>510</v>
      </c>
      <c r="B315" t="s">
        <v>157</v>
      </c>
      <c r="C315" t="s">
        <v>174</v>
      </c>
      <c r="D315" s="1">
        <v>45538</v>
      </c>
      <c r="E315" s="5">
        <v>0.75</v>
      </c>
      <c r="F315" s="1">
        <v>45538</v>
      </c>
      <c r="G315" s="5">
        <v>0.77083333333333337</v>
      </c>
      <c r="H315">
        <v>30</v>
      </c>
      <c r="I315" t="s">
        <v>143</v>
      </c>
      <c r="J315" t="s">
        <v>152</v>
      </c>
      <c r="K315">
        <v>3</v>
      </c>
      <c r="L315">
        <v>4</v>
      </c>
      <c r="M315" t="s">
        <v>143</v>
      </c>
      <c r="N315" t="s">
        <v>169</v>
      </c>
      <c r="O315" t="b">
        <v>1</v>
      </c>
      <c r="P315" t="b">
        <v>0</v>
      </c>
      <c r="Q315" s="6">
        <v>7.5</v>
      </c>
      <c r="R315" s="6">
        <v>0.75</v>
      </c>
      <c r="S315" t="s">
        <v>442</v>
      </c>
      <c r="T315" t="s">
        <v>171</v>
      </c>
      <c r="U315" s="6">
        <v>9.6</v>
      </c>
      <c r="V315" s="6">
        <v>20.399999999999999</v>
      </c>
      <c r="W315" t="b">
        <v>0</v>
      </c>
      <c r="X315">
        <v>6</v>
      </c>
      <c r="Y315">
        <v>2</v>
      </c>
      <c r="Z315">
        <v>18</v>
      </c>
      <c r="AA315" s="6">
        <v>28.844221105527641</v>
      </c>
      <c r="AB315">
        <f>--PizzaDelivery[[#This Row],[Is Delayed]]</f>
        <v>0</v>
      </c>
    </row>
    <row r="316" spans="1:28">
      <c r="A316" t="s">
        <v>511</v>
      </c>
      <c r="B316" t="s">
        <v>173</v>
      </c>
      <c r="C316" t="s">
        <v>190</v>
      </c>
      <c r="D316" s="1">
        <v>45539</v>
      </c>
      <c r="E316" s="5">
        <v>0.84375</v>
      </c>
      <c r="F316" s="1">
        <v>45539</v>
      </c>
      <c r="G316" s="5">
        <v>0.875</v>
      </c>
      <c r="H316">
        <v>45</v>
      </c>
      <c r="I316" t="s">
        <v>151</v>
      </c>
      <c r="J316" t="s">
        <v>144</v>
      </c>
      <c r="K316">
        <v>4</v>
      </c>
      <c r="L316">
        <v>9</v>
      </c>
      <c r="M316" t="s">
        <v>153</v>
      </c>
      <c r="N316" t="s">
        <v>154</v>
      </c>
      <c r="O316" t="b">
        <v>1</v>
      </c>
      <c r="P316" t="b">
        <v>0</v>
      </c>
      <c r="Q316" s="6">
        <v>5</v>
      </c>
      <c r="R316" s="6">
        <v>0.44444444444444442</v>
      </c>
      <c r="S316" t="s">
        <v>442</v>
      </c>
      <c r="T316" t="s">
        <v>147</v>
      </c>
      <c r="U316" s="6">
        <v>21.6</v>
      </c>
      <c r="V316" s="6">
        <v>23.4</v>
      </c>
      <c r="W316" t="b">
        <v>1</v>
      </c>
      <c r="X316">
        <v>12</v>
      </c>
      <c r="Y316">
        <v>3</v>
      </c>
      <c r="Z316">
        <v>20</v>
      </c>
      <c r="AA316" s="6">
        <v>30.286458333333329</v>
      </c>
      <c r="AB316">
        <f>--PizzaDelivery[[#This Row],[Is Delayed]]</f>
        <v>1</v>
      </c>
    </row>
    <row r="317" spans="1:28">
      <c r="A317" t="s">
        <v>512</v>
      </c>
      <c r="B317" t="s">
        <v>142</v>
      </c>
      <c r="C317" t="s">
        <v>315</v>
      </c>
      <c r="D317" s="1">
        <v>45540</v>
      </c>
      <c r="E317" s="5">
        <v>0.75</v>
      </c>
      <c r="F317" s="1">
        <v>45540</v>
      </c>
      <c r="G317" s="5">
        <v>0.76388888888888884</v>
      </c>
      <c r="H317">
        <v>20</v>
      </c>
      <c r="I317" t="s">
        <v>143</v>
      </c>
      <c r="J317" t="s">
        <v>144</v>
      </c>
      <c r="K317">
        <v>2</v>
      </c>
      <c r="L317">
        <v>3</v>
      </c>
      <c r="M317" t="s">
        <v>161</v>
      </c>
      <c r="N317" t="s">
        <v>145</v>
      </c>
      <c r="O317" t="b">
        <v>1</v>
      </c>
      <c r="P317" t="b">
        <v>0</v>
      </c>
      <c r="Q317" s="6">
        <v>6.666666666666667</v>
      </c>
      <c r="R317" s="6">
        <v>0.66666666666666663</v>
      </c>
      <c r="S317" t="s">
        <v>442</v>
      </c>
      <c r="T317" t="s">
        <v>147</v>
      </c>
      <c r="U317" s="6">
        <v>7.1999999999999993</v>
      </c>
      <c r="V317" s="6">
        <v>12.8</v>
      </c>
      <c r="W317" t="b">
        <v>0</v>
      </c>
      <c r="X317">
        <v>4</v>
      </c>
      <c r="Y317">
        <v>1</v>
      </c>
      <c r="Z317">
        <v>18</v>
      </c>
      <c r="AA317" s="6">
        <v>30.259433962264151</v>
      </c>
      <c r="AB317">
        <f>--PizzaDelivery[[#This Row],[Is Delayed]]</f>
        <v>0</v>
      </c>
    </row>
    <row r="318" spans="1:28">
      <c r="A318" t="s">
        <v>513</v>
      </c>
      <c r="B318" t="s">
        <v>149</v>
      </c>
      <c r="C318" t="s">
        <v>317</v>
      </c>
      <c r="D318" s="1">
        <v>45541</v>
      </c>
      <c r="E318" s="5">
        <v>0.80208333333333337</v>
      </c>
      <c r="F318" s="1">
        <v>45541</v>
      </c>
      <c r="G318" s="5">
        <v>0.82291666666666663</v>
      </c>
      <c r="H318">
        <v>30</v>
      </c>
      <c r="I318" t="s">
        <v>151</v>
      </c>
      <c r="J318" t="s">
        <v>152</v>
      </c>
      <c r="K318">
        <v>4</v>
      </c>
      <c r="L318">
        <v>6</v>
      </c>
      <c r="M318" t="s">
        <v>143</v>
      </c>
      <c r="N318" t="s">
        <v>169</v>
      </c>
      <c r="O318" t="b">
        <v>1</v>
      </c>
      <c r="P318" t="b">
        <v>0</v>
      </c>
      <c r="Q318" s="6">
        <v>5</v>
      </c>
      <c r="R318" s="6">
        <v>0.66666666666666663</v>
      </c>
      <c r="S318" t="s">
        <v>442</v>
      </c>
      <c r="T318" t="s">
        <v>171</v>
      </c>
      <c r="U318" s="6">
        <v>14.4</v>
      </c>
      <c r="V318" s="6">
        <v>15.6</v>
      </c>
      <c r="W318" t="b">
        <v>0</v>
      </c>
      <c r="X318">
        <v>12</v>
      </c>
      <c r="Y318">
        <v>2</v>
      </c>
      <c r="Z318">
        <v>19</v>
      </c>
      <c r="AA318" s="6">
        <v>28.186274509803919</v>
      </c>
      <c r="AB318">
        <f>--PizzaDelivery[[#This Row],[Is Delayed]]</f>
        <v>0</v>
      </c>
    </row>
    <row r="319" spans="1:28">
      <c r="A319" t="s">
        <v>514</v>
      </c>
      <c r="B319" t="s">
        <v>165</v>
      </c>
      <c r="C319" t="s">
        <v>319</v>
      </c>
      <c r="D319" s="1">
        <v>45542</v>
      </c>
      <c r="E319" s="5">
        <v>0.85416666666666663</v>
      </c>
      <c r="F319" s="1">
        <v>45542</v>
      </c>
      <c r="G319" s="5">
        <v>0.88194444444444442</v>
      </c>
      <c r="H319">
        <v>40</v>
      </c>
      <c r="I319" t="s">
        <v>167</v>
      </c>
      <c r="J319" t="s">
        <v>168</v>
      </c>
      <c r="K319">
        <v>5</v>
      </c>
      <c r="L319">
        <v>8</v>
      </c>
      <c r="M319" t="s">
        <v>153</v>
      </c>
      <c r="N319" t="s">
        <v>504</v>
      </c>
      <c r="O319" t="b">
        <v>1</v>
      </c>
      <c r="P319" t="b">
        <v>1</v>
      </c>
      <c r="Q319" s="6">
        <v>5</v>
      </c>
      <c r="R319" s="6">
        <v>0.625</v>
      </c>
      <c r="S319" t="s">
        <v>442</v>
      </c>
      <c r="T319" t="s">
        <v>171</v>
      </c>
      <c r="U319" s="6">
        <v>19.2</v>
      </c>
      <c r="V319" s="6">
        <v>20.8</v>
      </c>
      <c r="W319" t="b">
        <v>1</v>
      </c>
      <c r="X319">
        <v>20</v>
      </c>
      <c r="Y319">
        <v>3</v>
      </c>
      <c r="Z319">
        <v>20</v>
      </c>
      <c r="AA319" s="6">
        <v>29.948453608247419</v>
      </c>
      <c r="AB319">
        <f>--PizzaDelivery[[#This Row],[Is Delayed]]</f>
        <v>1</v>
      </c>
    </row>
    <row r="320" spans="1:28">
      <c r="A320" t="s">
        <v>515</v>
      </c>
      <c r="B320" t="s">
        <v>157</v>
      </c>
      <c r="C320" t="s">
        <v>321</v>
      </c>
      <c r="D320" s="1">
        <v>45543</v>
      </c>
      <c r="E320" s="5">
        <v>0.78125</v>
      </c>
      <c r="F320" s="1">
        <v>45543</v>
      </c>
      <c r="G320" s="5">
        <v>0.79513888888888884</v>
      </c>
      <c r="H320">
        <v>20</v>
      </c>
      <c r="I320" t="s">
        <v>159</v>
      </c>
      <c r="J320" t="s">
        <v>160</v>
      </c>
      <c r="K320">
        <v>1</v>
      </c>
      <c r="L320">
        <v>2.5</v>
      </c>
      <c r="M320" t="s">
        <v>161</v>
      </c>
      <c r="N320" t="s">
        <v>154</v>
      </c>
      <c r="O320" t="b">
        <v>1</v>
      </c>
      <c r="P320" t="b">
        <v>1</v>
      </c>
      <c r="Q320" s="6">
        <v>8</v>
      </c>
      <c r="R320" s="6">
        <v>0.4</v>
      </c>
      <c r="S320" t="s">
        <v>442</v>
      </c>
      <c r="T320" t="s">
        <v>147</v>
      </c>
      <c r="U320" s="6">
        <v>6</v>
      </c>
      <c r="V320" s="6">
        <v>14</v>
      </c>
      <c r="W320" t="b">
        <v>0</v>
      </c>
      <c r="X320">
        <v>1</v>
      </c>
      <c r="Y320">
        <v>1</v>
      </c>
      <c r="Z320">
        <v>18</v>
      </c>
      <c r="AA320" s="6">
        <v>28.844221105527641</v>
      </c>
      <c r="AB320">
        <f>--PizzaDelivery[[#This Row],[Is Delayed]]</f>
        <v>0</v>
      </c>
    </row>
    <row r="321" spans="1:28">
      <c r="A321" t="s">
        <v>516</v>
      </c>
      <c r="B321" t="s">
        <v>173</v>
      </c>
      <c r="C321" t="s">
        <v>323</v>
      </c>
      <c r="D321" s="1">
        <v>45544</v>
      </c>
      <c r="E321" s="5">
        <v>0.79166666666666663</v>
      </c>
      <c r="F321" s="1">
        <v>45544</v>
      </c>
      <c r="G321" s="5">
        <v>0.82638888888888884</v>
      </c>
      <c r="H321">
        <v>50</v>
      </c>
      <c r="I321" t="s">
        <v>151</v>
      </c>
      <c r="J321" t="s">
        <v>152</v>
      </c>
      <c r="K321">
        <v>4</v>
      </c>
      <c r="L321">
        <v>10</v>
      </c>
      <c r="M321" t="s">
        <v>153</v>
      </c>
      <c r="N321" t="s">
        <v>145</v>
      </c>
      <c r="O321" t="b">
        <v>1</v>
      </c>
      <c r="P321" t="b">
        <v>0</v>
      </c>
      <c r="Q321" s="6">
        <v>5</v>
      </c>
      <c r="R321" s="6">
        <v>0.4</v>
      </c>
      <c r="S321" t="s">
        <v>442</v>
      </c>
      <c r="T321" t="s">
        <v>147</v>
      </c>
      <c r="U321" s="6">
        <v>24</v>
      </c>
      <c r="V321" s="6">
        <v>26</v>
      </c>
      <c r="W321" t="b">
        <v>1</v>
      </c>
      <c r="X321">
        <v>12</v>
      </c>
      <c r="Y321">
        <v>3</v>
      </c>
      <c r="Z321">
        <v>19</v>
      </c>
      <c r="AA321" s="6">
        <v>30.286458333333329</v>
      </c>
      <c r="AB321">
        <f>--PizzaDelivery[[#This Row],[Is Delayed]]</f>
        <v>1</v>
      </c>
    </row>
    <row r="322" spans="1:28">
      <c r="A322" t="s">
        <v>517</v>
      </c>
      <c r="B322" t="s">
        <v>142</v>
      </c>
      <c r="C322" t="s">
        <v>325</v>
      </c>
      <c r="D322" s="1">
        <v>45545</v>
      </c>
      <c r="E322" s="5">
        <v>0.83333333333333337</v>
      </c>
      <c r="F322" s="1">
        <v>45545</v>
      </c>
      <c r="G322" s="5">
        <v>0.85763888888888884</v>
      </c>
      <c r="H322">
        <v>35</v>
      </c>
      <c r="I322" t="s">
        <v>143</v>
      </c>
      <c r="J322" t="s">
        <v>144</v>
      </c>
      <c r="K322">
        <v>3</v>
      </c>
      <c r="L322">
        <v>5.5</v>
      </c>
      <c r="M322" t="s">
        <v>143</v>
      </c>
      <c r="N322" t="s">
        <v>154</v>
      </c>
      <c r="O322" t="b">
        <v>1</v>
      </c>
      <c r="P322" t="b">
        <v>0</v>
      </c>
      <c r="Q322" s="6">
        <v>6.3636363636363633</v>
      </c>
      <c r="R322" s="6">
        <v>0.54545454545454541</v>
      </c>
      <c r="S322" t="s">
        <v>442</v>
      </c>
      <c r="T322" t="s">
        <v>147</v>
      </c>
      <c r="U322" s="6">
        <v>13.2</v>
      </c>
      <c r="V322" s="6">
        <v>21.8</v>
      </c>
      <c r="W322" t="b">
        <v>1</v>
      </c>
      <c r="X322">
        <v>6</v>
      </c>
      <c r="Y322">
        <v>2</v>
      </c>
      <c r="Z322">
        <v>20</v>
      </c>
      <c r="AA322" s="6">
        <v>30.259433962264151</v>
      </c>
      <c r="AB322">
        <f>--PizzaDelivery[[#This Row],[Is Delayed]]</f>
        <v>1</v>
      </c>
    </row>
    <row r="323" spans="1:28">
      <c r="A323" t="s">
        <v>518</v>
      </c>
      <c r="B323" t="s">
        <v>149</v>
      </c>
      <c r="C323" t="s">
        <v>327</v>
      </c>
      <c r="D323" s="1">
        <v>45546</v>
      </c>
      <c r="E323" s="5">
        <v>0.77083333333333337</v>
      </c>
      <c r="F323" s="1">
        <v>45546</v>
      </c>
      <c r="G323" s="5">
        <v>0.78472222222222221</v>
      </c>
      <c r="H323">
        <v>20</v>
      </c>
      <c r="I323" t="s">
        <v>159</v>
      </c>
      <c r="J323" t="s">
        <v>160</v>
      </c>
      <c r="K323">
        <v>2</v>
      </c>
      <c r="L323">
        <v>2</v>
      </c>
      <c r="M323" t="s">
        <v>161</v>
      </c>
      <c r="N323" t="s">
        <v>162</v>
      </c>
      <c r="O323" t="b">
        <v>1</v>
      </c>
      <c r="P323" t="b">
        <v>0</v>
      </c>
      <c r="Q323" s="6">
        <v>10</v>
      </c>
      <c r="R323" s="6">
        <v>1</v>
      </c>
      <c r="S323" t="s">
        <v>442</v>
      </c>
      <c r="T323" t="s">
        <v>147</v>
      </c>
      <c r="U323" s="6">
        <v>4.8</v>
      </c>
      <c r="V323" s="6">
        <v>15.2</v>
      </c>
      <c r="W323" t="b">
        <v>0</v>
      </c>
      <c r="X323">
        <v>2</v>
      </c>
      <c r="Y323">
        <v>1</v>
      </c>
      <c r="Z323">
        <v>18</v>
      </c>
      <c r="AA323" s="6">
        <v>28.186274509803919</v>
      </c>
      <c r="AB323">
        <f>--PizzaDelivery[[#This Row],[Is Delayed]]</f>
        <v>0</v>
      </c>
    </row>
    <row r="324" spans="1:28">
      <c r="A324" t="s">
        <v>519</v>
      </c>
      <c r="B324" t="s">
        <v>165</v>
      </c>
      <c r="C324" t="s">
        <v>329</v>
      </c>
      <c r="D324" s="1">
        <v>45547</v>
      </c>
      <c r="E324" s="5">
        <v>0.82291666666666663</v>
      </c>
      <c r="F324" s="1">
        <v>45547</v>
      </c>
      <c r="G324" s="5">
        <v>0.85069444444444442</v>
      </c>
      <c r="H324">
        <v>40</v>
      </c>
      <c r="I324" t="s">
        <v>167</v>
      </c>
      <c r="J324" t="s">
        <v>168</v>
      </c>
      <c r="K324">
        <v>5</v>
      </c>
      <c r="L324">
        <v>7.5</v>
      </c>
      <c r="M324" t="s">
        <v>153</v>
      </c>
      <c r="N324" t="s">
        <v>504</v>
      </c>
      <c r="O324" t="b">
        <v>1</v>
      </c>
      <c r="P324" t="b">
        <v>0</v>
      </c>
      <c r="Q324" s="6">
        <v>5.333333333333333</v>
      </c>
      <c r="R324" s="6">
        <v>0.66666666666666663</v>
      </c>
      <c r="S324" t="s">
        <v>442</v>
      </c>
      <c r="T324" t="s">
        <v>171</v>
      </c>
      <c r="U324" s="6">
        <v>18</v>
      </c>
      <c r="V324" s="6">
        <v>22</v>
      </c>
      <c r="W324" t="b">
        <v>1</v>
      </c>
      <c r="X324">
        <v>20</v>
      </c>
      <c r="Y324">
        <v>3</v>
      </c>
      <c r="Z324">
        <v>19</v>
      </c>
      <c r="AA324" s="6">
        <v>29.948453608247419</v>
      </c>
      <c r="AB324">
        <f>--PizzaDelivery[[#This Row],[Is Delayed]]</f>
        <v>1</v>
      </c>
    </row>
    <row r="325" spans="1:28">
      <c r="A325" t="s">
        <v>520</v>
      </c>
      <c r="B325" t="s">
        <v>157</v>
      </c>
      <c r="C325" t="s">
        <v>182</v>
      </c>
      <c r="D325" s="1">
        <v>45548</v>
      </c>
      <c r="E325" s="5">
        <v>0.75</v>
      </c>
      <c r="F325" s="1">
        <v>45548</v>
      </c>
      <c r="G325" s="5">
        <v>0.77083333333333337</v>
      </c>
      <c r="H325">
        <v>30</v>
      </c>
      <c r="I325" t="s">
        <v>143</v>
      </c>
      <c r="J325" t="s">
        <v>152</v>
      </c>
      <c r="K325">
        <v>3</v>
      </c>
      <c r="L325">
        <v>4</v>
      </c>
      <c r="M325" t="s">
        <v>143</v>
      </c>
      <c r="N325" t="s">
        <v>169</v>
      </c>
      <c r="O325" t="b">
        <v>1</v>
      </c>
      <c r="P325" t="b">
        <v>0</v>
      </c>
      <c r="Q325" s="6">
        <v>7.5</v>
      </c>
      <c r="R325" s="6">
        <v>0.75</v>
      </c>
      <c r="S325" t="s">
        <v>442</v>
      </c>
      <c r="T325" t="s">
        <v>171</v>
      </c>
      <c r="U325" s="6">
        <v>9.6</v>
      </c>
      <c r="V325" s="6">
        <v>20.399999999999999</v>
      </c>
      <c r="W325" t="b">
        <v>0</v>
      </c>
      <c r="X325">
        <v>6</v>
      </c>
      <c r="Y325">
        <v>2</v>
      </c>
      <c r="Z325">
        <v>18</v>
      </c>
      <c r="AA325" s="6">
        <v>28.844221105527641</v>
      </c>
      <c r="AB325">
        <f>--PizzaDelivery[[#This Row],[Is Delayed]]</f>
        <v>0</v>
      </c>
    </row>
    <row r="326" spans="1:28">
      <c r="A326" t="s">
        <v>521</v>
      </c>
      <c r="B326" t="s">
        <v>173</v>
      </c>
      <c r="C326" t="s">
        <v>327</v>
      </c>
      <c r="D326" s="1">
        <v>45549</v>
      </c>
      <c r="E326" s="5">
        <v>0.84375</v>
      </c>
      <c r="F326" s="1">
        <v>45549</v>
      </c>
      <c r="G326" s="5">
        <v>0.875</v>
      </c>
      <c r="H326">
        <v>45</v>
      </c>
      <c r="I326" t="s">
        <v>151</v>
      </c>
      <c r="J326" t="s">
        <v>144</v>
      </c>
      <c r="K326">
        <v>4</v>
      </c>
      <c r="L326">
        <v>9</v>
      </c>
      <c r="M326" t="s">
        <v>153</v>
      </c>
      <c r="N326" t="s">
        <v>154</v>
      </c>
      <c r="O326" t="b">
        <v>1</v>
      </c>
      <c r="P326" t="b">
        <v>1</v>
      </c>
      <c r="Q326" s="6">
        <v>5</v>
      </c>
      <c r="R326" s="6">
        <v>0.44444444444444442</v>
      </c>
      <c r="S326" t="s">
        <v>442</v>
      </c>
      <c r="T326" t="s">
        <v>147</v>
      </c>
      <c r="U326" s="6">
        <v>21.6</v>
      </c>
      <c r="V326" s="6">
        <v>23.4</v>
      </c>
      <c r="W326" t="b">
        <v>1</v>
      </c>
      <c r="X326">
        <v>12</v>
      </c>
      <c r="Y326">
        <v>3</v>
      </c>
      <c r="Z326">
        <v>20</v>
      </c>
      <c r="AA326" s="6">
        <v>30.286458333333329</v>
      </c>
      <c r="AB326">
        <f>--PizzaDelivery[[#This Row],[Is Delayed]]</f>
        <v>1</v>
      </c>
    </row>
    <row r="327" spans="1:28">
      <c r="A327" t="s">
        <v>522</v>
      </c>
      <c r="B327" t="s">
        <v>142</v>
      </c>
      <c r="C327" t="s">
        <v>333</v>
      </c>
      <c r="D327" s="1">
        <v>45550</v>
      </c>
      <c r="E327" s="5">
        <v>0.75</v>
      </c>
      <c r="F327" s="1">
        <v>45550</v>
      </c>
      <c r="G327" s="5">
        <v>0.76388888888888884</v>
      </c>
      <c r="H327">
        <v>20</v>
      </c>
      <c r="I327" t="s">
        <v>143</v>
      </c>
      <c r="J327" t="s">
        <v>144</v>
      </c>
      <c r="K327">
        <v>2</v>
      </c>
      <c r="L327">
        <v>3</v>
      </c>
      <c r="M327" t="s">
        <v>161</v>
      </c>
      <c r="N327" t="s">
        <v>145</v>
      </c>
      <c r="O327" t="b">
        <v>1</v>
      </c>
      <c r="P327" t="b">
        <v>1</v>
      </c>
      <c r="Q327" s="6">
        <v>6.666666666666667</v>
      </c>
      <c r="R327" s="6">
        <v>0.66666666666666663</v>
      </c>
      <c r="S327" t="s">
        <v>442</v>
      </c>
      <c r="T327" t="s">
        <v>147</v>
      </c>
      <c r="U327" s="6">
        <v>7.1999999999999993</v>
      </c>
      <c r="V327" s="6">
        <v>12.8</v>
      </c>
      <c r="W327" t="b">
        <v>0</v>
      </c>
      <c r="X327">
        <v>4</v>
      </c>
      <c r="Y327">
        <v>1</v>
      </c>
      <c r="Z327">
        <v>18</v>
      </c>
      <c r="AA327" s="6">
        <v>30.259433962264151</v>
      </c>
      <c r="AB327">
        <f>--PizzaDelivery[[#This Row],[Is Delayed]]</f>
        <v>0</v>
      </c>
    </row>
    <row r="328" spans="1:28">
      <c r="A328" t="s">
        <v>523</v>
      </c>
      <c r="B328" t="s">
        <v>149</v>
      </c>
      <c r="C328" t="s">
        <v>335</v>
      </c>
      <c r="D328" s="1">
        <v>45551</v>
      </c>
      <c r="E328" s="5">
        <v>0.80208333333333337</v>
      </c>
      <c r="F328" s="1">
        <v>45551</v>
      </c>
      <c r="G328" s="5">
        <v>0.82291666666666663</v>
      </c>
      <c r="H328">
        <v>30</v>
      </c>
      <c r="I328" t="s">
        <v>151</v>
      </c>
      <c r="J328" t="s">
        <v>152</v>
      </c>
      <c r="K328">
        <v>4</v>
      </c>
      <c r="L328">
        <v>6</v>
      </c>
      <c r="M328" t="s">
        <v>143</v>
      </c>
      <c r="N328" t="s">
        <v>169</v>
      </c>
      <c r="O328" t="b">
        <v>1</v>
      </c>
      <c r="P328" t="b">
        <v>0</v>
      </c>
      <c r="Q328" s="6">
        <v>5</v>
      </c>
      <c r="R328" s="6">
        <v>0.66666666666666663</v>
      </c>
      <c r="S328" t="s">
        <v>442</v>
      </c>
      <c r="T328" t="s">
        <v>171</v>
      </c>
      <c r="U328" s="6">
        <v>14.4</v>
      </c>
      <c r="V328" s="6">
        <v>15.6</v>
      </c>
      <c r="W328" t="b">
        <v>0</v>
      </c>
      <c r="X328">
        <v>12</v>
      </c>
      <c r="Y328">
        <v>2</v>
      </c>
      <c r="Z328">
        <v>19</v>
      </c>
      <c r="AA328" s="6">
        <v>28.186274509803919</v>
      </c>
      <c r="AB328">
        <f>--PizzaDelivery[[#This Row],[Is Delayed]]</f>
        <v>0</v>
      </c>
    </row>
    <row r="329" spans="1:28">
      <c r="A329" t="s">
        <v>524</v>
      </c>
      <c r="B329" t="s">
        <v>165</v>
      </c>
      <c r="C329" t="s">
        <v>337</v>
      </c>
      <c r="D329" s="1">
        <v>45552</v>
      </c>
      <c r="E329" s="5">
        <v>0.85416666666666663</v>
      </c>
      <c r="F329" s="1">
        <v>45552</v>
      </c>
      <c r="G329" s="5">
        <v>0.88194444444444442</v>
      </c>
      <c r="H329">
        <v>40</v>
      </c>
      <c r="I329" t="s">
        <v>167</v>
      </c>
      <c r="J329" t="s">
        <v>168</v>
      </c>
      <c r="K329">
        <v>5</v>
      </c>
      <c r="L329">
        <v>8</v>
      </c>
      <c r="M329" t="s">
        <v>153</v>
      </c>
      <c r="N329" t="s">
        <v>504</v>
      </c>
      <c r="O329" t="b">
        <v>1</v>
      </c>
      <c r="P329" t="b">
        <v>0</v>
      </c>
      <c r="Q329" s="6">
        <v>5</v>
      </c>
      <c r="R329" s="6">
        <v>0.625</v>
      </c>
      <c r="S329" t="s">
        <v>442</v>
      </c>
      <c r="T329" t="s">
        <v>171</v>
      </c>
      <c r="U329" s="6">
        <v>19.2</v>
      </c>
      <c r="V329" s="6">
        <v>20.8</v>
      </c>
      <c r="W329" t="b">
        <v>1</v>
      </c>
      <c r="X329">
        <v>20</v>
      </c>
      <c r="Y329">
        <v>3</v>
      </c>
      <c r="Z329">
        <v>20</v>
      </c>
      <c r="AA329" s="6">
        <v>29.948453608247419</v>
      </c>
      <c r="AB329">
        <f>--PizzaDelivery[[#This Row],[Is Delayed]]</f>
        <v>1</v>
      </c>
    </row>
    <row r="330" spans="1:28">
      <c r="A330" t="s">
        <v>525</v>
      </c>
      <c r="B330" t="s">
        <v>157</v>
      </c>
      <c r="C330" t="s">
        <v>339</v>
      </c>
      <c r="D330" s="1">
        <v>45553</v>
      </c>
      <c r="E330" s="5">
        <v>0.78125</v>
      </c>
      <c r="F330" s="1">
        <v>45553</v>
      </c>
      <c r="G330" s="5">
        <v>0.79513888888888884</v>
      </c>
      <c r="H330">
        <v>20</v>
      </c>
      <c r="I330" t="s">
        <v>159</v>
      </c>
      <c r="J330" t="s">
        <v>160</v>
      </c>
      <c r="K330">
        <v>1</v>
      </c>
      <c r="L330">
        <v>2.5</v>
      </c>
      <c r="M330" t="s">
        <v>161</v>
      </c>
      <c r="N330" t="s">
        <v>154</v>
      </c>
      <c r="O330" t="b">
        <v>1</v>
      </c>
      <c r="P330" t="b">
        <v>0</v>
      </c>
      <c r="Q330" s="6">
        <v>8</v>
      </c>
      <c r="R330" s="6">
        <v>0.4</v>
      </c>
      <c r="S330" t="s">
        <v>442</v>
      </c>
      <c r="T330" t="s">
        <v>147</v>
      </c>
      <c r="U330" s="6">
        <v>6</v>
      </c>
      <c r="V330" s="6">
        <v>14</v>
      </c>
      <c r="W330" t="b">
        <v>0</v>
      </c>
      <c r="X330">
        <v>1</v>
      </c>
      <c r="Y330">
        <v>1</v>
      </c>
      <c r="Z330">
        <v>18</v>
      </c>
      <c r="AA330" s="6">
        <v>28.844221105527641</v>
      </c>
      <c r="AB330">
        <f>--PizzaDelivery[[#This Row],[Is Delayed]]</f>
        <v>0</v>
      </c>
    </row>
    <row r="331" spans="1:28">
      <c r="A331" t="s">
        <v>526</v>
      </c>
      <c r="B331" t="s">
        <v>173</v>
      </c>
      <c r="C331" t="s">
        <v>194</v>
      </c>
      <c r="D331" s="1">
        <v>45554</v>
      </c>
      <c r="E331" s="5">
        <v>0.79166666666666663</v>
      </c>
      <c r="F331" s="1">
        <v>45554</v>
      </c>
      <c r="G331" s="5">
        <v>0.82638888888888884</v>
      </c>
      <c r="H331">
        <v>50</v>
      </c>
      <c r="I331" t="s">
        <v>151</v>
      </c>
      <c r="J331" t="s">
        <v>152</v>
      </c>
      <c r="K331">
        <v>4</v>
      </c>
      <c r="L331">
        <v>10</v>
      </c>
      <c r="M331" t="s">
        <v>153</v>
      </c>
      <c r="N331" t="s">
        <v>145</v>
      </c>
      <c r="O331" t="b">
        <v>1</v>
      </c>
      <c r="P331" t="b">
        <v>0</v>
      </c>
      <c r="Q331" s="6">
        <v>5</v>
      </c>
      <c r="R331" s="6">
        <v>0.4</v>
      </c>
      <c r="S331" t="s">
        <v>442</v>
      </c>
      <c r="T331" t="s">
        <v>147</v>
      </c>
      <c r="U331" s="6">
        <v>24</v>
      </c>
      <c r="V331" s="6">
        <v>26</v>
      </c>
      <c r="W331" t="b">
        <v>1</v>
      </c>
      <c r="X331">
        <v>12</v>
      </c>
      <c r="Y331">
        <v>3</v>
      </c>
      <c r="Z331">
        <v>19</v>
      </c>
      <c r="AA331" s="6">
        <v>30.286458333333329</v>
      </c>
      <c r="AB331">
        <f>--PizzaDelivery[[#This Row],[Is Delayed]]</f>
        <v>1</v>
      </c>
    </row>
    <row r="332" spans="1:28">
      <c r="A332" t="s">
        <v>527</v>
      </c>
      <c r="B332" t="s">
        <v>142</v>
      </c>
      <c r="C332" t="s">
        <v>40</v>
      </c>
      <c r="D332" s="1">
        <v>45555</v>
      </c>
      <c r="E332" s="5">
        <v>0.75</v>
      </c>
      <c r="F332" s="1">
        <v>45555</v>
      </c>
      <c r="G332" s="5">
        <v>0.76388888888888884</v>
      </c>
      <c r="H332">
        <v>20</v>
      </c>
      <c r="I332" t="s">
        <v>143</v>
      </c>
      <c r="J332" t="s">
        <v>144</v>
      </c>
      <c r="K332">
        <v>2</v>
      </c>
      <c r="L332">
        <v>3</v>
      </c>
      <c r="M332" t="s">
        <v>161</v>
      </c>
      <c r="N332" t="s">
        <v>342</v>
      </c>
      <c r="O332" t="b">
        <v>1</v>
      </c>
      <c r="P332" t="b">
        <v>0</v>
      </c>
      <c r="Q332" s="6">
        <v>6.666666666666667</v>
      </c>
      <c r="R332" s="6">
        <v>0.66666666666666663</v>
      </c>
      <c r="S332" t="s">
        <v>442</v>
      </c>
      <c r="T332" t="s">
        <v>171</v>
      </c>
      <c r="U332" s="6">
        <v>7.1999999999999993</v>
      </c>
      <c r="V332" s="6">
        <v>12.8</v>
      </c>
      <c r="W332" t="b">
        <v>0</v>
      </c>
      <c r="X332">
        <v>4</v>
      </c>
      <c r="Y332">
        <v>1</v>
      </c>
      <c r="Z332">
        <v>18</v>
      </c>
      <c r="AA332" s="6">
        <v>30.259433962264151</v>
      </c>
      <c r="AB332">
        <f>--PizzaDelivery[[#This Row],[Is Delayed]]</f>
        <v>0</v>
      </c>
    </row>
    <row r="333" spans="1:28">
      <c r="A333" t="s">
        <v>528</v>
      </c>
      <c r="B333" t="s">
        <v>149</v>
      </c>
      <c r="C333" t="s">
        <v>158</v>
      </c>
      <c r="D333" s="1">
        <v>45556</v>
      </c>
      <c r="E333" s="5">
        <v>0.80208333333333337</v>
      </c>
      <c r="F333" s="1">
        <v>45556</v>
      </c>
      <c r="G333" s="5">
        <v>0.82291666666666663</v>
      </c>
      <c r="H333">
        <v>30</v>
      </c>
      <c r="I333" t="s">
        <v>151</v>
      </c>
      <c r="J333" t="s">
        <v>152</v>
      </c>
      <c r="K333">
        <v>4</v>
      </c>
      <c r="L333">
        <v>6</v>
      </c>
      <c r="M333" t="s">
        <v>143</v>
      </c>
      <c r="N333" t="s">
        <v>162</v>
      </c>
      <c r="O333" t="b">
        <v>1</v>
      </c>
      <c r="P333" t="b">
        <v>1</v>
      </c>
      <c r="Q333" s="6">
        <v>5</v>
      </c>
      <c r="R333" s="6">
        <v>0.66666666666666663</v>
      </c>
      <c r="S333" t="s">
        <v>442</v>
      </c>
      <c r="T333" t="s">
        <v>147</v>
      </c>
      <c r="U333" s="6">
        <v>14.4</v>
      </c>
      <c r="V333" s="6">
        <v>15.6</v>
      </c>
      <c r="W333" t="b">
        <v>0</v>
      </c>
      <c r="X333">
        <v>12</v>
      </c>
      <c r="Y333">
        <v>2</v>
      </c>
      <c r="Z333">
        <v>19</v>
      </c>
      <c r="AA333" s="6">
        <v>28.186274509803919</v>
      </c>
      <c r="AB333">
        <f>--PizzaDelivery[[#This Row],[Is Delayed]]</f>
        <v>0</v>
      </c>
    </row>
    <row r="334" spans="1:28">
      <c r="A334" t="s">
        <v>529</v>
      </c>
      <c r="B334" t="s">
        <v>165</v>
      </c>
      <c r="C334" t="s">
        <v>150</v>
      </c>
      <c r="D334" s="1">
        <v>45557</v>
      </c>
      <c r="E334" s="5">
        <v>0.85416666666666663</v>
      </c>
      <c r="F334" s="1">
        <v>45557</v>
      </c>
      <c r="G334" s="5">
        <v>0.88194444444444442</v>
      </c>
      <c r="H334">
        <v>40</v>
      </c>
      <c r="I334" t="s">
        <v>167</v>
      </c>
      <c r="J334" t="s">
        <v>168</v>
      </c>
      <c r="K334">
        <v>5</v>
      </c>
      <c r="L334">
        <v>8</v>
      </c>
      <c r="M334" t="s">
        <v>153</v>
      </c>
      <c r="N334" t="s">
        <v>504</v>
      </c>
      <c r="O334" t="b">
        <v>1</v>
      </c>
      <c r="P334" t="b">
        <v>1</v>
      </c>
      <c r="Q334" s="6">
        <v>5</v>
      </c>
      <c r="R334" s="6">
        <v>0.625</v>
      </c>
      <c r="S334" t="s">
        <v>442</v>
      </c>
      <c r="T334" t="s">
        <v>171</v>
      </c>
      <c r="U334" s="6">
        <v>19.2</v>
      </c>
      <c r="V334" s="6">
        <v>20.8</v>
      </c>
      <c r="W334" t="b">
        <v>1</v>
      </c>
      <c r="X334">
        <v>20</v>
      </c>
      <c r="Y334">
        <v>3</v>
      </c>
      <c r="Z334">
        <v>20</v>
      </c>
      <c r="AA334" s="6">
        <v>29.948453608247419</v>
      </c>
      <c r="AB334">
        <f>--PizzaDelivery[[#This Row],[Is Delayed]]</f>
        <v>1</v>
      </c>
    </row>
    <row r="335" spans="1:28">
      <c r="A335" t="s">
        <v>530</v>
      </c>
      <c r="B335" t="s">
        <v>157</v>
      </c>
      <c r="C335" t="s">
        <v>184</v>
      </c>
      <c r="D335" s="1">
        <v>45558</v>
      </c>
      <c r="E335" s="5">
        <v>0.78125</v>
      </c>
      <c r="F335" s="1">
        <v>45558</v>
      </c>
      <c r="G335" s="5">
        <v>0.79513888888888884</v>
      </c>
      <c r="H335">
        <v>20</v>
      </c>
      <c r="I335" t="s">
        <v>159</v>
      </c>
      <c r="J335" t="s">
        <v>160</v>
      </c>
      <c r="K335">
        <v>1</v>
      </c>
      <c r="L335">
        <v>2.5</v>
      </c>
      <c r="M335" t="s">
        <v>161</v>
      </c>
      <c r="N335" t="s">
        <v>169</v>
      </c>
      <c r="O335" t="b">
        <v>1</v>
      </c>
      <c r="P335" t="b">
        <v>0</v>
      </c>
      <c r="Q335" s="6">
        <v>8</v>
      </c>
      <c r="R335" s="6">
        <v>0.4</v>
      </c>
      <c r="S335" t="s">
        <v>442</v>
      </c>
      <c r="T335" t="s">
        <v>171</v>
      </c>
      <c r="U335" s="6">
        <v>6</v>
      </c>
      <c r="V335" s="6">
        <v>14</v>
      </c>
      <c r="W335" t="b">
        <v>0</v>
      </c>
      <c r="X335">
        <v>1</v>
      </c>
      <c r="Y335">
        <v>1</v>
      </c>
      <c r="Z335">
        <v>18</v>
      </c>
      <c r="AA335" s="6">
        <v>28.844221105527641</v>
      </c>
      <c r="AB335">
        <f>--PizzaDelivery[[#This Row],[Is Delayed]]</f>
        <v>0</v>
      </c>
    </row>
    <row r="336" spans="1:28">
      <c r="A336" t="s">
        <v>531</v>
      </c>
      <c r="B336" t="s">
        <v>173</v>
      </c>
      <c r="C336" t="s">
        <v>186</v>
      </c>
      <c r="D336" s="1">
        <v>45559</v>
      </c>
      <c r="E336" s="5">
        <v>0.79166666666666663</v>
      </c>
      <c r="F336" s="1">
        <v>45559</v>
      </c>
      <c r="G336" s="5">
        <v>0.82638888888888884</v>
      </c>
      <c r="H336">
        <v>50</v>
      </c>
      <c r="I336" t="s">
        <v>151</v>
      </c>
      <c r="J336" t="s">
        <v>152</v>
      </c>
      <c r="K336">
        <v>4</v>
      </c>
      <c r="L336">
        <v>10</v>
      </c>
      <c r="M336" t="s">
        <v>153</v>
      </c>
      <c r="N336" t="s">
        <v>145</v>
      </c>
      <c r="O336" t="b">
        <v>1</v>
      </c>
      <c r="P336" t="b">
        <v>0</v>
      </c>
      <c r="Q336" s="6">
        <v>5</v>
      </c>
      <c r="R336" s="6">
        <v>0.4</v>
      </c>
      <c r="S336" t="s">
        <v>442</v>
      </c>
      <c r="T336" t="s">
        <v>147</v>
      </c>
      <c r="U336" s="6">
        <v>24</v>
      </c>
      <c r="V336" s="6">
        <v>26</v>
      </c>
      <c r="W336" t="b">
        <v>1</v>
      </c>
      <c r="X336">
        <v>12</v>
      </c>
      <c r="Y336">
        <v>3</v>
      </c>
      <c r="Z336">
        <v>19</v>
      </c>
      <c r="AA336" s="6">
        <v>30.286458333333329</v>
      </c>
      <c r="AB336">
        <f>--PizzaDelivery[[#This Row],[Is Delayed]]</f>
        <v>1</v>
      </c>
    </row>
    <row r="337" spans="1:28">
      <c r="A337" t="s">
        <v>532</v>
      </c>
      <c r="B337" t="s">
        <v>142</v>
      </c>
      <c r="C337" t="s">
        <v>166</v>
      </c>
      <c r="D337" s="1">
        <v>45560</v>
      </c>
      <c r="E337" s="5">
        <v>0.83333333333333337</v>
      </c>
      <c r="F337" s="1">
        <v>45560</v>
      </c>
      <c r="G337" s="5">
        <v>0.84722222222222221</v>
      </c>
      <c r="H337">
        <v>20</v>
      </c>
      <c r="I337" t="s">
        <v>143</v>
      </c>
      <c r="J337" t="s">
        <v>144</v>
      </c>
      <c r="K337">
        <v>2</v>
      </c>
      <c r="L337">
        <v>3</v>
      </c>
      <c r="M337" t="s">
        <v>161</v>
      </c>
      <c r="N337" t="s">
        <v>145</v>
      </c>
      <c r="O337" t="b">
        <v>1</v>
      </c>
      <c r="P337" t="b">
        <v>0</v>
      </c>
      <c r="Q337" s="6">
        <v>6.666666666666667</v>
      </c>
      <c r="R337" s="6">
        <v>0.66666666666666663</v>
      </c>
      <c r="S337" t="s">
        <v>442</v>
      </c>
      <c r="T337" t="s">
        <v>147</v>
      </c>
      <c r="U337" s="6">
        <v>7.1999999999999993</v>
      </c>
      <c r="V337" s="6">
        <v>12.8</v>
      </c>
      <c r="W337" t="b">
        <v>0</v>
      </c>
      <c r="X337">
        <v>4</v>
      </c>
      <c r="Y337">
        <v>1</v>
      </c>
      <c r="Z337">
        <v>20</v>
      </c>
      <c r="AA337" s="6">
        <v>30.259433962264151</v>
      </c>
      <c r="AB337">
        <f>--PizzaDelivery[[#This Row],[Is Delayed]]</f>
        <v>0</v>
      </c>
    </row>
    <row r="338" spans="1:28">
      <c r="A338" t="s">
        <v>533</v>
      </c>
      <c r="B338" t="s">
        <v>149</v>
      </c>
      <c r="C338" t="s">
        <v>158</v>
      </c>
      <c r="D338" s="1">
        <v>45561</v>
      </c>
      <c r="E338" s="5">
        <v>0.80208333333333337</v>
      </c>
      <c r="F338" s="1">
        <v>45561</v>
      </c>
      <c r="G338" s="5">
        <v>0.82291666666666663</v>
      </c>
      <c r="H338">
        <v>30</v>
      </c>
      <c r="I338" t="s">
        <v>151</v>
      </c>
      <c r="J338" t="s">
        <v>152</v>
      </c>
      <c r="K338">
        <v>4</v>
      </c>
      <c r="L338">
        <v>6</v>
      </c>
      <c r="M338" t="s">
        <v>143</v>
      </c>
      <c r="N338" t="s">
        <v>162</v>
      </c>
      <c r="O338" t="b">
        <v>1</v>
      </c>
      <c r="P338" t="b">
        <v>0</v>
      </c>
      <c r="Q338" s="6">
        <v>5</v>
      </c>
      <c r="R338" s="6">
        <v>0.66666666666666663</v>
      </c>
      <c r="S338" t="s">
        <v>442</v>
      </c>
      <c r="T338" t="s">
        <v>147</v>
      </c>
      <c r="U338" s="6">
        <v>14.4</v>
      </c>
      <c r="V338" s="6">
        <v>15.6</v>
      </c>
      <c r="W338" t="b">
        <v>0</v>
      </c>
      <c r="X338">
        <v>12</v>
      </c>
      <c r="Y338">
        <v>2</v>
      </c>
      <c r="Z338">
        <v>19</v>
      </c>
      <c r="AA338" s="6">
        <v>28.186274509803919</v>
      </c>
      <c r="AB338">
        <f>--PizzaDelivery[[#This Row],[Is Delayed]]</f>
        <v>0</v>
      </c>
    </row>
    <row r="339" spans="1:28">
      <c r="A339" t="s">
        <v>534</v>
      </c>
      <c r="B339" t="s">
        <v>165</v>
      </c>
      <c r="C339" t="s">
        <v>150</v>
      </c>
      <c r="D339" s="1">
        <v>45562</v>
      </c>
      <c r="E339" s="5">
        <v>0.85416666666666663</v>
      </c>
      <c r="F339" s="1">
        <v>45562</v>
      </c>
      <c r="G339" s="5">
        <v>0.88194444444444442</v>
      </c>
      <c r="H339">
        <v>40</v>
      </c>
      <c r="I339" t="s">
        <v>167</v>
      </c>
      <c r="J339" t="s">
        <v>168</v>
      </c>
      <c r="K339">
        <v>5</v>
      </c>
      <c r="L339">
        <v>8</v>
      </c>
      <c r="M339" t="s">
        <v>153</v>
      </c>
      <c r="N339" t="s">
        <v>504</v>
      </c>
      <c r="O339" t="b">
        <v>1</v>
      </c>
      <c r="P339" t="b">
        <v>0</v>
      </c>
      <c r="Q339" s="6">
        <v>5</v>
      </c>
      <c r="R339" s="6">
        <v>0.625</v>
      </c>
      <c r="S339" t="s">
        <v>442</v>
      </c>
      <c r="T339" t="s">
        <v>171</v>
      </c>
      <c r="U339" s="6">
        <v>19.2</v>
      </c>
      <c r="V339" s="6">
        <v>20.8</v>
      </c>
      <c r="W339" t="b">
        <v>1</v>
      </c>
      <c r="X339">
        <v>20</v>
      </c>
      <c r="Y339">
        <v>3</v>
      </c>
      <c r="Z339">
        <v>20</v>
      </c>
      <c r="AA339" s="6">
        <v>29.948453608247419</v>
      </c>
      <c r="AB339">
        <f>--PizzaDelivery[[#This Row],[Is Delayed]]</f>
        <v>1</v>
      </c>
    </row>
    <row r="340" spans="1:28">
      <c r="A340" t="s">
        <v>535</v>
      </c>
      <c r="B340" t="s">
        <v>157</v>
      </c>
      <c r="C340" t="s">
        <v>184</v>
      </c>
      <c r="D340" s="1">
        <v>45563</v>
      </c>
      <c r="E340" s="5">
        <v>0.78125</v>
      </c>
      <c r="F340" s="1">
        <v>45563</v>
      </c>
      <c r="G340" s="5">
        <v>0.79513888888888884</v>
      </c>
      <c r="H340">
        <v>20</v>
      </c>
      <c r="I340" t="s">
        <v>159</v>
      </c>
      <c r="J340" t="s">
        <v>160</v>
      </c>
      <c r="K340">
        <v>1</v>
      </c>
      <c r="L340">
        <v>2.5</v>
      </c>
      <c r="M340" t="s">
        <v>161</v>
      </c>
      <c r="N340" t="s">
        <v>169</v>
      </c>
      <c r="O340" t="b">
        <v>1</v>
      </c>
      <c r="P340" t="b">
        <v>1</v>
      </c>
      <c r="Q340" s="6">
        <v>8</v>
      </c>
      <c r="R340" s="6">
        <v>0.4</v>
      </c>
      <c r="S340" t="s">
        <v>442</v>
      </c>
      <c r="T340" t="s">
        <v>171</v>
      </c>
      <c r="U340" s="6">
        <v>6</v>
      </c>
      <c r="V340" s="6">
        <v>14</v>
      </c>
      <c r="W340" t="b">
        <v>0</v>
      </c>
      <c r="X340">
        <v>1</v>
      </c>
      <c r="Y340">
        <v>1</v>
      </c>
      <c r="Z340">
        <v>18</v>
      </c>
      <c r="AA340" s="6">
        <v>28.844221105527641</v>
      </c>
      <c r="AB340">
        <f>--PizzaDelivery[[#This Row],[Is Delayed]]</f>
        <v>0</v>
      </c>
    </row>
    <row r="341" spans="1:28">
      <c r="A341" t="s">
        <v>536</v>
      </c>
      <c r="B341" t="s">
        <v>173</v>
      </c>
      <c r="C341" t="s">
        <v>186</v>
      </c>
      <c r="D341" s="1">
        <v>45564</v>
      </c>
      <c r="E341" s="5">
        <v>0.79166666666666663</v>
      </c>
      <c r="F341" s="1">
        <v>45564</v>
      </c>
      <c r="G341" s="5">
        <v>0.82638888888888884</v>
      </c>
      <c r="H341">
        <v>50</v>
      </c>
      <c r="I341" t="s">
        <v>151</v>
      </c>
      <c r="J341" t="s">
        <v>152</v>
      </c>
      <c r="K341">
        <v>4</v>
      </c>
      <c r="L341">
        <v>10</v>
      </c>
      <c r="M341" t="s">
        <v>153</v>
      </c>
      <c r="N341" t="s">
        <v>145</v>
      </c>
      <c r="O341" t="b">
        <v>1</v>
      </c>
      <c r="P341" t="b">
        <v>1</v>
      </c>
      <c r="Q341" s="6">
        <v>5</v>
      </c>
      <c r="R341" s="6">
        <v>0.4</v>
      </c>
      <c r="S341" t="s">
        <v>442</v>
      </c>
      <c r="T341" t="s">
        <v>147</v>
      </c>
      <c r="U341" s="6">
        <v>24</v>
      </c>
      <c r="V341" s="6">
        <v>26</v>
      </c>
      <c r="W341" t="b">
        <v>1</v>
      </c>
      <c r="X341">
        <v>12</v>
      </c>
      <c r="Y341">
        <v>3</v>
      </c>
      <c r="Z341">
        <v>19</v>
      </c>
      <c r="AA341" s="6">
        <v>30.286458333333329</v>
      </c>
      <c r="AB341">
        <f>--PizzaDelivery[[#This Row],[Is Delayed]]</f>
        <v>1</v>
      </c>
    </row>
    <row r="342" spans="1:28">
      <c r="A342" t="s">
        <v>537</v>
      </c>
      <c r="B342" t="s">
        <v>142</v>
      </c>
      <c r="C342" t="s">
        <v>166</v>
      </c>
      <c r="D342" s="1">
        <v>45565</v>
      </c>
      <c r="E342" s="5">
        <v>0.83333333333333337</v>
      </c>
      <c r="F342" s="1">
        <v>45565</v>
      </c>
      <c r="G342" s="5">
        <v>0.85763888888888884</v>
      </c>
      <c r="H342">
        <v>35</v>
      </c>
      <c r="I342" t="s">
        <v>143</v>
      </c>
      <c r="J342" t="s">
        <v>144</v>
      </c>
      <c r="K342">
        <v>3</v>
      </c>
      <c r="L342">
        <v>5.5</v>
      </c>
      <c r="M342" t="s">
        <v>143</v>
      </c>
      <c r="N342" t="s">
        <v>154</v>
      </c>
      <c r="O342" t="b">
        <v>1</v>
      </c>
      <c r="P342" t="b">
        <v>0</v>
      </c>
      <c r="Q342" s="6">
        <v>6.3636363636363633</v>
      </c>
      <c r="R342" s="6">
        <v>0.54545454545454541</v>
      </c>
      <c r="S342" t="s">
        <v>442</v>
      </c>
      <c r="T342" t="s">
        <v>147</v>
      </c>
      <c r="U342" s="6">
        <v>13.2</v>
      </c>
      <c r="V342" s="6">
        <v>21.8</v>
      </c>
      <c r="W342" t="b">
        <v>1</v>
      </c>
      <c r="X342">
        <v>6</v>
      </c>
      <c r="Y342">
        <v>2</v>
      </c>
      <c r="Z342">
        <v>20</v>
      </c>
      <c r="AA342" s="6">
        <v>30.259433962264151</v>
      </c>
      <c r="AB342">
        <f>--PizzaDelivery[[#This Row],[Is Delayed]]</f>
        <v>1</v>
      </c>
    </row>
    <row r="343" spans="1:28">
      <c r="A343" t="s">
        <v>538</v>
      </c>
      <c r="B343" t="s">
        <v>149</v>
      </c>
      <c r="C343" t="s">
        <v>192</v>
      </c>
      <c r="D343" s="1">
        <v>45566</v>
      </c>
      <c r="E343" s="5">
        <v>0.77083333333333337</v>
      </c>
      <c r="F343" s="1">
        <v>45566</v>
      </c>
      <c r="G343" s="5">
        <v>0.78472222222222221</v>
      </c>
      <c r="H343">
        <v>20</v>
      </c>
      <c r="I343" t="s">
        <v>159</v>
      </c>
      <c r="J343" t="s">
        <v>160</v>
      </c>
      <c r="K343">
        <v>2</v>
      </c>
      <c r="L343">
        <v>2</v>
      </c>
      <c r="M343" t="s">
        <v>161</v>
      </c>
      <c r="N343" t="s">
        <v>162</v>
      </c>
      <c r="O343" t="b">
        <v>1</v>
      </c>
      <c r="P343" t="b">
        <v>0</v>
      </c>
      <c r="Q343" s="6">
        <v>10</v>
      </c>
      <c r="R343" s="6">
        <v>1</v>
      </c>
      <c r="S343" t="s">
        <v>488</v>
      </c>
      <c r="T343" t="s">
        <v>147</v>
      </c>
      <c r="U343" s="6">
        <v>4.8</v>
      </c>
      <c r="V343" s="6">
        <v>15.2</v>
      </c>
      <c r="W343" t="b">
        <v>0</v>
      </c>
      <c r="X343">
        <v>2</v>
      </c>
      <c r="Y343">
        <v>1</v>
      </c>
      <c r="Z343">
        <v>18</v>
      </c>
      <c r="AA343" s="6">
        <v>28.186274509803919</v>
      </c>
      <c r="AB343">
        <f>--PizzaDelivery[[#This Row],[Is Delayed]]</f>
        <v>0</v>
      </c>
    </row>
    <row r="344" spans="1:28">
      <c r="A344" t="s">
        <v>539</v>
      </c>
      <c r="B344" t="s">
        <v>165</v>
      </c>
      <c r="C344" t="s">
        <v>194</v>
      </c>
      <c r="D344" s="1">
        <v>45567</v>
      </c>
      <c r="E344" s="5">
        <v>0.82291666666666663</v>
      </c>
      <c r="F344" s="1">
        <v>45567</v>
      </c>
      <c r="G344" s="5">
        <v>0.85069444444444442</v>
      </c>
      <c r="H344">
        <v>40</v>
      </c>
      <c r="I344" t="s">
        <v>167</v>
      </c>
      <c r="J344" t="s">
        <v>168</v>
      </c>
      <c r="K344">
        <v>5</v>
      </c>
      <c r="L344">
        <v>7.5</v>
      </c>
      <c r="M344" t="s">
        <v>153</v>
      </c>
      <c r="N344" t="s">
        <v>504</v>
      </c>
      <c r="O344" t="b">
        <v>1</v>
      </c>
      <c r="P344" t="b">
        <v>0</v>
      </c>
      <c r="Q344" s="6">
        <v>5.333333333333333</v>
      </c>
      <c r="R344" s="6">
        <v>0.66666666666666663</v>
      </c>
      <c r="S344" t="s">
        <v>488</v>
      </c>
      <c r="T344" t="s">
        <v>171</v>
      </c>
      <c r="U344" s="6">
        <v>18</v>
      </c>
      <c r="V344" s="6">
        <v>22</v>
      </c>
      <c r="W344" t="b">
        <v>1</v>
      </c>
      <c r="X344">
        <v>20</v>
      </c>
      <c r="Y344">
        <v>3</v>
      </c>
      <c r="Z344">
        <v>19</v>
      </c>
      <c r="AA344" s="6">
        <v>29.948453608247419</v>
      </c>
      <c r="AB344">
        <f>--PizzaDelivery[[#This Row],[Is Delayed]]</f>
        <v>1</v>
      </c>
    </row>
    <row r="345" spans="1:28">
      <c r="A345" t="s">
        <v>540</v>
      </c>
      <c r="B345" t="s">
        <v>157</v>
      </c>
      <c r="C345" t="s">
        <v>174</v>
      </c>
      <c r="D345" s="1">
        <v>45568</v>
      </c>
      <c r="E345" s="5">
        <v>0.75</v>
      </c>
      <c r="F345" s="1">
        <v>45568</v>
      </c>
      <c r="G345" s="5">
        <v>0.77083333333333337</v>
      </c>
      <c r="H345">
        <v>30</v>
      </c>
      <c r="I345" t="s">
        <v>143</v>
      </c>
      <c r="J345" t="s">
        <v>152</v>
      </c>
      <c r="K345">
        <v>3</v>
      </c>
      <c r="L345">
        <v>4</v>
      </c>
      <c r="M345" t="s">
        <v>143</v>
      </c>
      <c r="N345" t="s">
        <v>169</v>
      </c>
      <c r="O345" t="b">
        <v>1</v>
      </c>
      <c r="P345" t="b">
        <v>0</v>
      </c>
      <c r="Q345" s="6">
        <v>7.5</v>
      </c>
      <c r="R345" s="6">
        <v>0.75</v>
      </c>
      <c r="S345" t="s">
        <v>488</v>
      </c>
      <c r="T345" t="s">
        <v>171</v>
      </c>
      <c r="U345" s="6">
        <v>9.6</v>
      </c>
      <c r="V345" s="6">
        <v>20.399999999999999</v>
      </c>
      <c r="W345" t="b">
        <v>0</v>
      </c>
      <c r="X345">
        <v>6</v>
      </c>
      <c r="Y345">
        <v>2</v>
      </c>
      <c r="Z345">
        <v>18</v>
      </c>
      <c r="AA345" s="6">
        <v>28.844221105527641</v>
      </c>
      <c r="AB345">
        <f>--PizzaDelivery[[#This Row],[Is Delayed]]</f>
        <v>0</v>
      </c>
    </row>
    <row r="346" spans="1:28">
      <c r="A346" t="s">
        <v>541</v>
      </c>
      <c r="B346" t="s">
        <v>173</v>
      </c>
      <c r="C346" t="s">
        <v>190</v>
      </c>
      <c r="D346" s="1">
        <v>45569</v>
      </c>
      <c r="E346" s="5">
        <v>0.84375</v>
      </c>
      <c r="F346" s="1">
        <v>45569</v>
      </c>
      <c r="G346" s="5">
        <v>0.875</v>
      </c>
      <c r="H346">
        <v>45</v>
      </c>
      <c r="I346" t="s">
        <v>151</v>
      </c>
      <c r="J346" t="s">
        <v>144</v>
      </c>
      <c r="K346">
        <v>4</v>
      </c>
      <c r="L346">
        <v>9</v>
      </c>
      <c r="M346" t="s">
        <v>153</v>
      </c>
      <c r="N346" t="s">
        <v>154</v>
      </c>
      <c r="O346" t="b">
        <v>1</v>
      </c>
      <c r="P346" t="b">
        <v>0</v>
      </c>
      <c r="Q346" s="6">
        <v>5</v>
      </c>
      <c r="R346" s="6">
        <v>0.44444444444444442</v>
      </c>
      <c r="S346" t="s">
        <v>488</v>
      </c>
      <c r="T346" t="s">
        <v>147</v>
      </c>
      <c r="U346" s="6">
        <v>21.6</v>
      </c>
      <c r="V346" s="6">
        <v>23.4</v>
      </c>
      <c r="W346" t="b">
        <v>1</v>
      </c>
      <c r="X346">
        <v>12</v>
      </c>
      <c r="Y346">
        <v>3</v>
      </c>
      <c r="Z346">
        <v>20</v>
      </c>
      <c r="AA346" s="6">
        <v>30.286458333333329</v>
      </c>
      <c r="AB346">
        <f>--PizzaDelivery[[#This Row],[Is Delayed]]</f>
        <v>1</v>
      </c>
    </row>
    <row r="347" spans="1:28">
      <c r="A347" t="s">
        <v>542</v>
      </c>
      <c r="B347" t="s">
        <v>142</v>
      </c>
      <c r="C347" t="s">
        <v>315</v>
      </c>
      <c r="D347" s="1">
        <v>45570</v>
      </c>
      <c r="E347" s="5">
        <v>0.75</v>
      </c>
      <c r="F347" s="1">
        <v>45570</v>
      </c>
      <c r="G347" s="5">
        <v>0.76388888888888884</v>
      </c>
      <c r="H347">
        <v>20</v>
      </c>
      <c r="I347" t="s">
        <v>143</v>
      </c>
      <c r="J347" t="s">
        <v>144</v>
      </c>
      <c r="K347">
        <v>2</v>
      </c>
      <c r="L347">
        <v>3</v>
      </c>
      <c r="M347" t="s">
        <v>161</v>
      </c>
      <c r="N347" t="s">
        <v>145</v>
      </c>
      <c r="O347" t="b">
        <v>1</v>
      </c>
      <c r="P347" t="b">
        <v>1</v>
      </c>
      <c r="Q347" s="6">
        <v>6.666666666666667</v>
      </c>
      <c r="R347" s="6">
        <v>0.66666666666666663</v>
      </c>
      <c r="S347" t="s">
        <v>488</v>
      </c>
      <c r="T347" t="s">
        <v>147</v>
      </c>
      <c r="U347" s="6">
        <v>7.1999999999999993</v>
      </c>
      <c r="V347" s="6">
        <v>12.8</v>
      </c>
      <c r="W347" t="b">
        <v>0</v>
      </c>
      <c r="X347">
        <v>4</v>
      </c>
      <c r="Y347">
        <v>1</v>
      </c>
      <c r="Z347">
        <v>18</v>
      </c>
      <c r="AA347" s="6">
        <v>30.259433962264151</v>
      </c>
      <c r="AB347">
        <f>--PizzaDelivery[[#This Row],[Is Delayed]]</f>
        <v>0</v>
      </c>
    </row>
    <row r="348" spans="1:28">
      <c r="A348" t="s">
        <v>543</v>
      </c>
      <c r="B348" t="s">
        <v>149</v>
      </c>
      <c r="C348" t="s">
        <v>317</v>
      </c>
      <c r="D348" s="1">
        <v>45571</v>
      </c>
      <c r="E348" s="5">
        <v>0.80208333333333337</v>
      </c>
      <c r="F348" s="1">
        <v>45571</v>
      </c>
      <c r="G348" s="5">
        <v>0.82291666666666663</v>
      </c>
      <c r="H348">
        <v>30</v>
      </c>
      <c r="I348" t="s">
        <v>151</v>
      </c>
      <c r="J348" t="s">
        <v>152</v>
      </c>
      <c r="K348">
        <v>4</v>
      </c>
      <c r="L348">
        <v>6</v>
      </c>
      <c r="M348" t="s">
        <v>143</v>
      </c>
      <c r="N348" t="s">
        <v>169</v>
      </c>
      <c r="O348" t="b">
        <v>1</v>
      </c>
      <c r="P348" t="b">
        <v>1</v>
      </c>
      <c r="Q348" s="6">
        <v>5</v>
      </c>
      <c r="R348" s="6">
        <v>0.66666666666666663</v>
      </c>
      <c r="S348" t="s">
        <v>488</v>
      </c>
      <c r="T348" t="s">
        <v>171</v>
      </c>
      <c r="U348" s="6">
        <v>14.4</v>
      </c>
      <c r="V348" s="6">
        <v>15.6</v>
      </c>
      <c r="W348" t="b">
        <v>0</v>
      </c>
      <c r="X348">
        <v>12</v>
      </c>
      <c r="Y348">
        <v>2</v>
      </c>
      <c r="Z348">
        <v>19</v>
      </c>
      <c r="AA348" s="6">
        <v>28.186274509803919</v>
      </c>
      <c r="AB348">
        <f>--PizzaDelivery[[#This Row],[Is Delayed]]</f>
        <v>0</v>
      </c>
    </row>
    <row r="349" spans="1:28">
      <c r="A349" t="s">
        <v>544</v>
      </c>
      <c r="B349" t="s">
        <v>165</v>
      </c>
      <c r="C349" t="s">
        <v>319</v>
      </c>
      <c r="D349" s="1">
        <v>45572</v>
      </c>
      <c r="E349" s="5">
        <v>0.85416666666666663</v>
      </c>
      <c r="F349" s="1">
        <v>45572</v>
      </c>
      <c r="G349" s="5">
        <v>0.88194444444444442</v>
      </c>
      <c r="H349">
        <v>40</v>
      </c>
      <c r="I349" t="s">
        <v>167</v>
      </c>
      <c r="J349" t="s">
        <v>168</v>
      </c>
      <c r="K349">
        <v>5</v>
      </c>
      <c r="L349">
        <v>8</v>
      </c>
      <c r="M349" t="s">
        <v>153</v>
      </c>
      <c r="N349" t="s">
        <v>504</v>
      </c>
      <c r="O349" t="b">
        <v>1</v>
      </c>
      <c r="P349" t="b">
        <v>0</v>
      </c>
      <c r="Q349" s="6">
        <v>5</v>
      </c>
      <c r="R349" s="6">
        <v>0.625</v>
      </c>
      <c r="S349" t="s">
        <v>488</v>
      </c>
      <c r="T349" t="s">
        <v>171</v>
      </c>
      <c r="U349" s="6">
        <v>19.2</v>
      </c>
      <c r="V349" s="6">
        <v>20.8</v>
      </c>
      <c r="W349" t="b">
        <v>1</v>
      </c>
      <c r="X349">
        <v>20</v>
      </c>
      <c r="Y349">
        <v>3</v>
      </c>
      <c r="Z349">
        <v>20</v>
      </c>
      <c r="AA349" s="6">
        <v>29.948453608247419</v>
      </c>
      <c r="AB349">
        <f>--PizzaDelivery[[#This Row],[Is Delayed]]</f>
        <v>1</v>
      </c>
    </row>
    <row r="350" spans="1:28">
      <c r="A350" t="s">
        <v>545</v>
      </c>
      <c r="B350" t="s">
        <v>157</v>
      </c>
      <c r="C350" t="s">
        <v>321</v>
      </c>
      <c r="D350" s="1">
        <v>45573</v>
      </c>
      <c r="E350" s="5">
        <v>0.78125</v>
      </c>
      <c r="F350" s="1">
        <v>45573</v>
      </c>
      <c r="G350" s="5">
        <v>0.79513888888888884</v>
      </c>
      <c r="H350">
        <v>20</v>
      </c>
      <c r="I350" t="s">
        <v>159</v>
      </c>
      <c r="J350" t="s">
        <v>160</v>
      </c>
      <c r="K350">
        <v>1</v>
      </c>
      <c r="L350">
        <v>2.5</v>
      </c>
      <c r="M350" t="s">
        <v>161</v>
      </c>
      <c r="N350" t="s">
        <v>154</v>
      </c>
      <c r="O350" t="b">
        <v>1</v>
      </c>
      <c r="P350" t="b">
        <v>0</v>
      </c>
      <c r="Q350" s="6">
        <v>8</v>
      </c>
      <c r="R350" s="6">
        <v>0.4</v>
      </c>
      <c r="S350" t="s">
        <v>488</v>
      </c>
      <c r="T350" t="s">
        <v>147</v>
      </c>
      <c r="U350" s="6">
        <v>6</v>
      </c>
      <c r="V350" s="6">
        <v>14</v>
      </c>
      <c r="W350" t="b">
        <v>0</v>
      </c>
      <c r="X350">
        <v>1</v>
      </c>
      <c r="Y350">
        <v>1</v>
      </c>
      <c r="Z350">
        <v>18</v>
      </c>
      <c r="AA350" s="6">
        <v>28.844221105527641</v>
      </c>
      <c r="AB350">
        <f>--PizzaDelivery[[#This Row],[Is Delayed]]</f>
        <v>0</v>
      </c>
    </row>
    <row r="351" spans="1:28">
      <c r="A351" t="s">
        <v>546</v>
      </c>
      <c r="B351" t="s">
        <v>173</v>
      </c>
      <c r="C351" t="s">
        <v>323</v>
      </c>
      <c r="D351" s="1">
        <v>45574</v>
      </c>
      <c r="E351" s="5">
        <v>0.79166666666666663</v>
      </c>
      <c r="F351" s="1">
        <v>45574</v>
      </c>
      <c r="G351" s="5">
        <v>0.82638888888888884</v>
      </c>
      <c r="H351">
        <v>50</v>
      </c>
      <c r="I351" t="s">
        <v>151</v>
      </c>
      <c r="J351" t="s">
        <v>152</v>
      </c>
      <c r="K351">
        <v>4</v>
      </c>
      <c r="L351">
        <v>10</v>
      </c>
      <c r="M351" t="s">
        <v>153</v>
      </c>
      <c r="N351" t="s">
        <v>145</v>
      </c>
      <c r="O351" t="b">
        <v>1</v>
      </c>
      <c r="P351" t="b">
        <v>0</v>
      </c>
      <c r="Q351" s="6">
        <v>5</v>
      </c>
      <c r="R351" s="6">
        <v>0.4</v>
      </c>
      <c r="S351" t="s">
        <v>488</v>
      </c>
      <c r="T351" t="s">
        <v>147</v>
      </c>
      <c r="U351" s="6">
        <v>24</v>
      </c>
      <c r="V351" s="6">
        <v>26</v>
      </c>
      <c r="W351" t="b">
        <v>1</v>
      </c>
      <c r="X351">
        <v>12</v>
      </c>
      <c r="Y351">
        <v>3</v>
      </c>
      <c r="Z351">
        <v>19</v>
      </c>
      <c r="AA351" s="6">
        <v>30.286458333333329</v>
      </c>
      <c r="AB351">
        <f>--PizzaDelivery[[#This Row],[Is Delayed]]</f>
        <v>1</v>
      </c>
    </row>
    <row r="352" spans="1:28">
      <c r="A352" t="s">
        <v>547</v>
      </c>
      <c r="B352" t="s">
        <v>142</v>
      </c>
      <c r="C352" t="s">
        <v>325</v>
      </c>
      <c r="D352" s="1">
        <v>45575</v>
      </c>
      <c r="E352" s="5">
        <v>0.83333333333333337</v>
      </c>
      <c r="F352" s="1">
        <v>45575</v>
      </c>
      <c r="G352" s="5">
        <v>0.85763888888888884</v>
      </c>
      <c r="H352">
        <v>35</v>
      </c>
      <c r="I352" t="s">
        <v>143</v>
      </c>
      <c r="J352" t="s">
        <v>144</v>
      </c>
      <c r="K352">
        <v>3</v>
      </c>
      <c r="L352">
        <v>5.5</v>
      </c>
      <c r="M352" t="s">
        <v>143</v>
      </c>
      <c r="N352" t="s">
        <v>154</v>
      </c>
      <c r="O352" t="b">
        <v>1</v>
      </c>
      <c r="P352" t="b">
        <v>0</v>
      </c>
      <c r="Q352" s="6">
        <v>6.3636363636363633</v>
      </c>
      <c r="R352" s="6">
        <v>0.54545454545454541</v>
      </c>
      <c r="S352" t="s">
        <v>488</v>
      </c>
      <c r="T352" t="s">
        <v>147</v>
      </c>
      <c r="U352" s="6">
        <v>13.2</v>
      </c>
      <c r="V352" s="6">
        <v>21.8</v>
      </c>
      <c r="W352" t="b">
        <v>1</v>
      </c>
      <c r="X352">
        <v>6</v>
      </c>
      <c r="Y352">
        <v>2</v>
      </c>
      <c r="Z352">
        <v>20</v>
      </c>
      <c r="AA352" s="6">
        <v>30.259433962264151</v>
      </c>
      <c r="AB352">
        <f>--PizzaDelivery[[#This Row],[Is Delayed]]</f>
        <v>1</v>
      </c>
    </row>
    <row r="353" spans="1:28">
      <c r="A353" t="s">
        <v>548</v>
      </c>
      <c r="B353" t="s">
        <v>149</v>
      </c>
      <c r="C353" t="s">
        <v>327</v>
      </c>
      <c r="D353" s="1">
        <v>45576</v>
      </c>
      <c r="E353" s="5">
        <v>0.77083333333333337</v>
      </c>
      <c r="F353" s="1">
        <v>45576</v>
      </c>
      <c r="G353" s="5">
        <v>0.78472222222222221</v>
      </c>
      <c r="H353">
        <v>20</v>
      </c>
      <c r="I353" t="s">
        <v>159</v>
      </c>
      <c r="J353" t="s">
        <v>160</v>
      </c>
      <c r="K353">
        <v>2</v>
      </c>
      <c r="L353">
        <v>2</v>
      </c>
      <c r="M353" t="s">
        <v>161</v>
      </c>
      <c r="N353" t="s">
        <v>162</v>
      </c>
      <c r="O353" t="b">
        <v>1</v>
      </c>
      <c r="P353" t="b">
        <v>0</v>
      </c>
      <c r="Q353" s="6">
        <v>10</v>
      </c>
      <c r="R353" s="6">
        <v>1</v>
      </c>
      <c r="S353" t="s">
        <v>488</v>
      </c>
      <c r="T353" t="s">
        <v>147</v>
      </c>
      <c r="U353" s="6">
        <v>4.8</v>
      </c>
      <c r="V353" s="6">
        <v>15.2</v>
      </c>
      <c r="W353" t="b">
        <v>0</v>
      </c>
      <c r="X353">
        <v>2</v>
      </c>
      <c r="Y353">
        <v>1</v>
      </c>
      <c r="Z353">
        <v>18</v>
      </c>
      <c r="AA353" s="6">
        <v>28.186274509803919</v>
      </c>
      <c r="AB353">
        <f>--PizzaDelivery[[#This Row],[Is Delayed]]</f>
        <v>0</v>
      </c>
    </row>
    <row r="354" spans="1:28">
      <c r="A354" t="s">
        <v>549</v>
      </c>
      <c r="B354" t="s">
        <v>165</v>
      </c>
      <c r="C354" t="s">
        <v>329</v>
      </c>
      <c r="D354" s="1">
        <v>45577</v>
      </c>
      <c r="E354" s="5">
        <v>0.82291666666666663</v>
      </c>
      <c r="F354" s="1">
        <v>45577</v>
      </c>
      <c r="G354" s="5">
        <v>0.85069444444444442</v>
      </c>
      <c r="H354">
        <v>40</v>
      </c>
      <c r="I354" t="s">
        <v>167</v>
      </c>
      <c r="J354" t="s">
        <v>168</v>
      </c>
      <c r="K354">
        <v>5</v>
      </c>
      <c r="L354">
        <v>7.5</v>
      </c>
      <c r="M354" t="s">
        <v>153</v>
      </c>
      <c r="N354" t="s">
        <v>504</v>
      </c>
      <c r="O354" t="b">
        <v>1</v>
      </c>
      <c r="P354" t="b">
        <v>1</v>
      </c>
      <c r="Q354" s="6">
        <v>5.333333333333333</v>
      </c>
      <c r="R354" s="6">
        <v>0.66666666666666663</v>
      </c>
      <c r="S354" t="s">
        <v>488</v>
      </c>
      <c r="T354" t="s">
        <v>171</v>
      </c>
      <c r="U354" s="6">
        <v>18</v>
      </c>
      <c r="V354" s="6">
        <v>22</v>
      </c>
      <c r="W354" t="b">
        <v>1</v>
      </c>
      <c r="X354">
        <v>20</v>
      </c>
      <c r="Y354">
        <v>3</v>
      </c>
      <c r="Z354">
        <v>19</v>
      </c>
      <c r="AA354" s="6">
        <v>29.948453608247419</v>
      </c>
      <c r="AB354">
        <f>--PizzaDelivery[[#This Row],[Is Delayed]]</f>
        <v>1</v>
      </c>
    </row>
    <row r="355" spans="1:28">
      <c r="A355" t="s">
        <v>550</v>
      </c>
      <c r="B355" t="s">
        <v>157</v>
      </c>
      <c r="C355" t="s">
        <v>182</v>
      </c>
      <c r="D355" s="1">
        <v>45578</v>
      </c>
      <c r="E355" s="5">
        <v>0.75</v>
      </c>
      <c r="F355" s="1">
        <v>45578</v>
      </c>
      <c r="G355" s="5">
        <v>0.77083333333333337</v>
      </c>
      <c r="H355">
        <v>30</v>
      </c>
      <c r="I355" t="s">
        <v>143</v>
      </c>
      <c r="J355" t="s">
        <v>152</v>
      </c>
      <c r="K355">
        <v>3</v>
      </c>
      <c r="L355">
        <v>4</v>
      </c>
      <c r="M355" t="s">
        <v>143</v>
      </c>
      <c r="N355" t="s">
        <v>169</v>
      </c>
      <c r="O355" t="b">
        <v>1</v>
      </c>
      <c r="P355" t="b">
        <v>1</v>
      </c>
      <c r="Q355" s="6">
        <v>7.5</v>
      </c>
      <c r="R355" s="6">
        <v>0.75</v>
      </c>
      <c r="S355" t="s">
        <v>488</v>
      </c>
      <c r="T355" t="s">
        <v>171</v>
      </c>
      <c r="U355" s="6">
        <v>9.6</v>
      </c>
      <c r="V355" s="6">
        <v>20.399999999999999</v>
      </c>
      <c r="W355" t="b">
        <v>0</v>
      </c>
      <c r="X355">
        <v>6</v>
      </c>
      <c r="Y355">
        <v>2</v>
      </c>
      <c r="Z355">
        <v>18</v>
      </c>
      <c r="AA355" s="6">
        <v>28.844221105527641</v>
      </c>
      <c r="AB355">
        <f>--PizzaDelivery[[#This Row],[Is Delayed]]</f>
        <v>0</v>
      </c>
    </row>
    <row r="356" spans="1:28">
      <c r="A356" t="s">
        <v>551</v>
      </c>
      <c r="B356" t="s">
        <v>173</v>
      </c>
      <c r="C356" t="s">
        <v>327</v>
      </c>
      <c r="D356" s="1">
        <v>45579</v>
      </c>
      <c r="E356" s="5">
        <v>0.84375</v>
      </c>
      <c r="F356" s="1">
        <v>45579</v>
      </c>
      <c r="G356" s="5">
        <v>0.875</v>
      </c>
      <c r="H356">
        <v>45</v>
      </c>
      <c r="I356" t="s">
        <v>151</v>
      </c>
      <c r="J356" t="s">
        <v>144</v>
      </c>
      <c r="K356">
        <v>4</v>
      </c>
      <c r="L356">
        <v>9</v>
      </c>
      <c r="M356" t="s">
        <v>153</v>
      </c>
      <c r="N356" t="s">
        <v>154</v>
      </c>
      <c r="O356" t="b">
        <v>1</v>
      </c>
      <c r="P356" t="b">
        <v>0</v>
      </c>
      <c r="Q356" s="6">
        <v>5</v>
      </c>
      <c r="R356" s="6">
        <v>0.44444444444444442</v>
      </c>
      <c r="S356" t="s">
        <v>488</v>
      </c>
      <c r="T356" t="s">
        <v>147</v>
      </c>
      <c r="U356" s="6">
        <v>21.6</v>
      </c>
      <c r="V356" s="6">
        <v>23.4</v>
      </c>
      <c r="W356" t="b">
        <v>1</v>
      </c>
      <c r="X356">
        <v>12</v>
      </c>
      <c r="Y356">
        <v>3</v>
      </c>
      <c r="Z356">
        <v>20</v>
      </c>
      <c r="AA356" s="6">
        <v>30.286458333333329</v>
      </c>
      <c r="AB356">
        <f>--PizzaDelivery[[#This Row],[Is Delayed]]</f>
        <v>1</v>
      </c>
    </row>
    <row r="357" spans="1:28">
      <c r="A357" t="s">
        <v>552</v>
      </c>
      <c r="B357" t="s">
        <v>142</v>
      </c>
      <c r="C357" t="s">
        <v>333</v>
      </c>
      <c r="D357" s="1">
        <v>45580</v>
      </c>
      <c r="E357" s="5">
        <v>0.75</v>
      </c>
      <c r="F357" s="1">
        <v>45580</v>
      </c>
      <c r="G357" s="5">
        <v>0.76388888888888884</v>
      </c>
      <c r="H357">
        <v>20</v>
      </c>
      <c r="I357" t="s">
        <v>143</v>
      </c>
      <c r="J357" t="s">
        <v>144</v>
      </c>
      <c r="K357">
        <v>2</v>
      </c>
      <c r="L357">
        <v>3</v>
      </c>
      <c r="M357" t="s">
        <v>161</v>
      </c>
      <c r="N357" t="s">
        <v>145</v>
      </c>
      <c r="O357" t="b">
        <v>1</v>
      </c>
      <c r="P357" t="b">
        <v>0</v>
      </c>
      <c r="Q357" s="6">
        <v>6.666666666666667</v>
      </c>
      <c r="R357" s="6">
        <v>0.66666666666666663</v>
      </c>
      <c r="S357" t="s">
        <v>488</v>
      </c>
      <c r="T357" t="s">
        <v>147</v>
      </c>
      <c r="U357" s="6">
        <v>7.1999999999999993</v>
      </c>
      <c r="V357" s="6">
        <v>12.8</v>
      </c>
      <c r="W357" t="b">
        <v>0</v>
      </c>
      <c r="X357">
        <v>4</v>
      </c>
      <c r="Y357">
        <v>1</v>
      </c>
      <c r="Z357">
        <v>18</v>
      </c>
      <c r="AA357" s="6">
        <v>30.259433962264151</v>
      </c>
      <c r="AB357">
        <f>--PizzaDelivery[[#This Row],[Is Delayed]]</f>
        <v>0</v>
      </c>
    </row>
    <row r="358" spans="1:28">
      <c r="A358" t="s">
        <v>553</v>
      </c>
      <c r="B358" t="s">
        <v>149</v>
      </c>
      <c r="C358" t="s">
        <v>335</v>
      </c>
      <c r="D358" s="1">
        <v>45581</v>
      </c>
      <c r="E358" s="5">
        <v>0.80208333333333337</v>
      </c>
      <c r="F358" s="1">
        <v>45581</v>
      </c>
      <c r="G358" s="5">
        <v>0.82291666666666663</v>
      </c>
      <c r="H358">
        <v>30</v>
      </c>
      <c r="I358" t="s">
        <v>151</v>
      </c>
      <c r="J358" t="s">
        <v>152</v>
      </c>
      <c r="K358">
        <v>4</v>
      </c>
      <c r="L358">
        <v>6</v>
      </c>
      <c r="M358" t="s">
        <v>143</v>
      </c>
      <c r="N358" t="s">
        <v>154</v>
      </c>
      <c r="O358" t="b">
        <v>1</v>
      </c>
      <c r="P358" t="b">
        <v>0</v>
      </c>
      <c r="Q358" s="6">
        <v>5</v>
      </c>
      <c r="R358" s="6">
        <v>0.66666666666666663</v>
      </c>
      <c r="S358" t="s">
        <v>488</v>
      </c>
      <c r="T358" t="s">
        <v>147</v>
      </c>
      <c r="U358" s="6">
        <v>14.4</v>
      </c>
      <c r="V358" s="6">
        <v>15.6</v>
      </c>
      <c r="W358" t="b">
        <v>0</v>
      </c>
      <c r="X358">
        <v>12</v>
      </c>
      <c r="Y358">
        <v>2</v>
      </c>
      <c r="Z358">
        <v>19</v>
      </c>
      <c r="AA358" s="6">
        <v>28.186274509803919</v>
      </c>
      <c r="AB358">
        <f>--PizzaDelivery[[#This Row],[Is Delayed]]</f>
        <v>0</v>
      </c>
    </row>
    <row r="359" spans="1:28">
      <c r="A359" t="s">
        <v>554</v>
      </c>
      <c r="B359" t="s">
        <v>165</v>
      </c>
      <c r="C359" t="s">
        <v>337</v>
      </c>
      <c r="D359" s="1">
        <v>45582</v>
      </c>
      <c r="E359" s="5">
        <v>0.85416666666666663</v>
      </c>
      <c r="F359" s="1">
        <v>45582</v>
      </c>
      <c r="G359" s="5">
        <v>0.88194444444444442</v>
      </c>
      <c r="H359">
        <v>40</v>
      </c>
      <c r="I359" t="s">
        <v>167</v>
      </c>
      <c r="J359" t="s">
        <v>168</v>
      </c>
      <c r="K359">
        <v>5</v>
      </c>
      <c r="L359">
        <v>8</v>
      </c>
      <c r="M359" t="s">
        <v>153</v>
      </c>
      <c r="N359" t="s">
        <v>504</v>
      </c>
      <c r="O359" t="b">
        <v>1</v>
      </c>
      <c r="P359" t="b">
        <v>0</v>
      </c>
      <c r="Q359" s="6">
        <v>5</v>
      </c>
      <c r="R359" s="6">
        <v>0.625</v>
      </c>
      <c r="S359" t="s">
        <v>488</v>
      </c>
      <c r="T359" t="s">
        <v>171</v>
      </c>
      <c r="U359" s="6">
        <v>19.2</v>
      </c>
      <c r="V359" s="6">
        <v>20.8</v>
      </c>
      <c r="W359" t="b">
        <v>1</v>
      </c>
      <c r="X359">
        <v>20</v>
      </c>
      <c r="Y359">
        <v>3</v>
      </c>
      <c r="Z359">
        <v>20</v>
      </c>
      <c r="AA359" s="6">
        <v>29.948453608247419</v>
      </c>
      <c r="AB359">
        <f>--PizzaDelivery[[#This Row],[Is Delayed]]</f>
        <v>1</v>
      </c>
    </row>
    <row r="360" spans="1:28">
      <c r="A360" t="s">
        <v>555</v>
      </c>
      <c r="B360" t="s">
        <v>157</v>
      </c>
      <c r="C360" t="s">
        <v>339</v>
      </c>
      <c r="D360" s="1">
        <v>45583</v>
      </c>
      <c r="E360" s="5">
        <v>0.78125</v>
      </c>
      <c r="F360" s="1">
        <v>45583</v>
      </c>
      <c r="G360" s="5">
        <v>0.79513888888888884</v>
      </c>
      <c r="H360">
        <v>20</v>
      </c>
      <c r="I360" t="s">
        <v>159</v>
      </c>
      <c r="J360" t="s">
        <v>160</v>
      </c>
      <c r="K360">
        <v>1</v>
      </c>
      <c r="L360">
        <v>2.5</v>
      </c>
      <c r="M360" t="s">
        <v>161</v>
      </c>
      <c r="N360" t="s">
        <v>169</v>
      </c>
      <c r="O360" t="b">
        <v>1</v>
      </c>
      <c r="P360" t="b">
        <v>0</v>
      </c>
      <c r="Q360" s="6">
        <v>8</v>
      </c>
      <c r="R360" s="6">
        <v>0.4</v>
      </c>
      <c r="S360" t="s">
        <v>488</v>
      </c>
      <c r="T360" t="s">
        <v>171</v>
      </c>
      <c r="U360" s="6">
        <v>6</v>
      </c>
      <c r="V360" s="6">
        <v>14</v>
      </c>
      <c r="W360" t="b">
        <v>0</v>
      </c>
      <c r="X360">
        <v>1</v>
      </c>
      <c r="Y360">
        <v>1</v>
      </c>
      <c r="Z360">
        <v>18</v>
      </c>
      <c r="AA360" s="6">
        <v>28.844221105527641</v>
      </c>
      <c r="AB360">
        <f>--PizzaDelivery[[#This Row],[Is Delayed]]</f>
        <v>0</v>
      </c>
    </row>
    <row r="361" spans="1:28">
      <c r="A361" t="s">
        <v>556</v>
      </c>
      <c r="B361" t="s">
        <v>173</v>
      </c>
      <c r="C361" t="s">
        <v>194</v>
      </c>
      <c r="D361" s="1">
        <v>45584</v>
      </c>
      <c r="E361" s="5">
        <v>0.79166666666666663</v>
      </c>
      <c r="F361" s="1">
        <v>45584</v>
      </c>
      <c r="G361" s="5">
        <v>0.82638888888888884</v>
      </c>
      <c r="H361">
        <v>50</v>
      </c>
      <c r="I361" t="s">
        <v>151</v>
      </c>
      <c r="J361" t="s">
        <v>152</v>
      </c>
      <c r="K361">
        <v>4</v>
      </c>
      <c r="L361">
        <v>10</v>
      </c>
      <c r="M361" t="s">
        <v>153</v>
      </c>
      <c r="N361" t="s">
        <v>145</v>
      </c>
      <c r="O361" t="b">
        <v>1</v>
      </c>
      <c r="P361" t="b">
        <v>1</v>
      </c>
      <c r="Q361" s="6">
        <v>5</v>
      </c>
      <c r="R361" s="6">
        <v>0.4</v>
      </c>
      <c r="S361" t="s">
        <v>488</v>
      </c>
      <c r="T361" t="s">
        <v>147</v>
      </c>
      <c r="U361" s="6">
        <v>24</v>
      </c>
      <c r="V361" s="6">
        <v>26</v>
      </c>
      <c r="W361" t="b">
        <v>1</v>
      </c>
      <c r="X361">
        <v>12</v>
      </c>
      <c r="Y361">
        <v>3</v>
      </c>
      <c r="Z361">
        <v>19</v>
      </c>
      <c r="AA361" s="6">
        <v>30.286458333333329</v>
      </c>
      <c r="AB361">
        <f>--PizzaDelivery[[#This Row],[Is Delayed]]</f>
        <v>1</v>
      </c>
    </row>
    <row r="362" spans="1:28">
      <c r="A362" t="s">
        <v>557</v>
      </c>
      <c r="B362" t="s">
        <v>142</v>
      </c>
      <c r="C362" t="s">
        <v>40</v>
      </c>
      <c r="D362" s="1">
        <v>45585</v>
      </c>
      <c r="E362" s="5">
        <v>0.75</v>
      </c>
      <c r="F362" s="1">
        <v>45585</v>
      </c>
      <c r="G362" s="5">
        <v>0.76388888888888884</v>
      </c>
      <c r="H362">
        <v>20</v>
      </c>
      <c r="I362" t="s">
        <v>143</v>
      </c>
      <c r="J362" t="s">
        <v>144</v>
      </c>
      <c r="K362">
        <v>2</v>
      </c>
      <c r="L362">
        <v>3</v>
      </c>
      <c r="M362" t="s">
        <v>161</v>
      </c>
      <c r="N362" t="s">
        <v>342</v>
      </c>
      <c r="O362" t="b">
        <v>1</v>
      </c>
      <c r="P362" t="b">
        <v>1</v>
      </c>
      <c r="Q362" s="6">
        <v>6.666666666666667</v>
      </c>
      <c r="R362" s="6">
        <v>0.66666666666666663</v>
      </c>
      <c r="S362" t="s">
        <v>488</v>
      </c>
      <c r="T362" t="s">
        <v>171</v>
      </c>
      <c r="U362" s="6">
        <v>7.1999999999999993</v>
      </c>
      <c r="V362" s="6">
        <v>12.8</v>
      </c>
      <c r="W362" t="b">
        <v>0</v>
      </c>
      <c r="X362">
        <v>4</v>
      </c>
      <c r="Y362">
        <v>1</v>
      </c>
      <c r="Z362">
        <v>18</v>
      </c>
      <c r="AA362" s="6">
        <v>30.259433962264151</v>
      </c>
      <c r="AB362">
        <f>--PizzaDelivery[[#This Row],[Is Delayed]]</f>
        <v>0</v>
      </c>
    </row>
    <row r="363" spans="1:28">
      <c r="A363" t="s">
        <v>558</v>
      </c>
      <c r="B363" t="s">
        <v>142</v>
      </c>
      <c r="C363" t="s">
        <v>166</v>
      </c>
      <c r="D363" s="1">
        <v>45586</v>
      </c>
      <c r="E363" s="5">
        <v>0.83333333333333337</v>
      </c>
      <c r="F363" s="1">
        <v>45586</v>
      </c>
      <c r="G363" s="5">
        <v>0.84722222222222221</v>
      </c>
      <c r="H363">
        <v>20</v>
      </c>
      <c r="I363" t="s">
        <v>143</v>
      </c>
      <c r="J363" t="s">
        <v>144</v>
      </c>
      <c r="K363">
        <v>2</v>
      </c>
      <c r="L363">
        <v>3</v>
      </c>
      <c r="M363" t="s">
        <v>161</v>
      </c>
      <c r="N363" t="s">
        <v>145</v>
      </c>
      <c r="O363" t="b">
        <v>1</v>
      </c>
      <c r="P363" t="b">
        <v>0</v>
      </c>
      <c r="Q363" s="6">
        <v>6.666666666666667</v>
      </c>
      <c r="R363" s="6">
        <v>0.66666666666666663</v>
      </c>
      <c r="S363" t="s">
        <v>488</v>
      </c>
      <c r="T363" t="s">
        <v>147</v>
      </c>
      <c r="U363" s="6">
        <v>7.1999999999999993</v>
      </c>
      <c r="V363" s="6">
        <v>12.8</v>
      </c>
      <c r="W363" t="b">
        <v>0</v>
      </c>
      <c r="X363">
        <v>4</v>
      </c>
      <c r="Y363">
        <v>1</v>
      </c>
      <c r="Z363">
        <v>20</v>
      </c>
      <c r="AA363" s="6">
        <v>30.259433962264151</v>
      </c>
      <c r="AB363">
        <f>--PizzaDelivery[[#This Row],[Is Delayed]]</f>
        <v>0</v>
      </c>
    </row>
    <row r="364" spans="1:28">
      <c r="A364" t="s">
        <v>559</v>
      </c>
      <c r="B364" t="s">
        <v>149</v>
      </c>
      <c r="C364" t="s">
        <v>158</v>
      </c>
      <c r="D364" s="1">
        <v>45587</v>
      </c>
      <c r="E364" s="5">
        <v>0.80208333333333337</v>
      </c>
      <c r="F364" s="1">
        <v>45587</v>
      </c>
      <c r="G364" s="5">
        <v>0.82291666666666663</v>
      </c>
      <c r="H364">
        <v>30</v>
      </c>
      <c r="I364" t="s">
        <v>151</v>
      </c>
      <c r="J364" t="s">
        <v>152</v>
      </c>
      <c r="K364">
        <v>4</v>
      </c>
      <c r="L364">
        <v>6</v>
      </c>
      <c r="M364" t="s">
        <v>143</v>
      </c>
      <c r="N364" t="s">
        <v>162</v>
      </c>
      <c r="O364" t="b">
        <v>1</v>
      </c>
      <c r="P364" t="b">
        <v>0</v>
      </c>
      <c r="Q364" s="6">
        <v>5</v>
      </c>
      <c r="R364" s="6">
        <v>0.66666666666666663</v>
      </c>
      <c r="S364" t="s">
        <v>488</v>
      </c>
      <c r="T364" t="s">
        <v>147</v>
      </c>
      <c r="U364" s="6">
        <v>14.4</v>
      </c>
      <c r="V364" s="6">
        <v>15.6</v>
      </c>
      <c r="W364" t="b">
        <v>0</v>
      </c>
      <c r="X364">
        <v>12</v>
      </c>
      <c r="Y364">
        <v>2</v>
      </c>
      <c r="Z364">
        <v>19</v>
      </c>
      <c r="AA364" s="6">
        <v>28.186274509803919</v>
      </c>
      <c r="AB364">
        <f>--PizzaDelivery[[#This Row],[Is Delayed]]</f>
        <v>0</v>
      </c>
    </row>
    <row r="365" spans="1:28">
      <c r="A365" t="s">
        <v>560</v>
      </c>
      <c r="B365" t="s">
        <v>165</v>
      </c>
      <c r="C365" t="s">
        <v>150</v>
      </c>
      <c r="D365" s="1">
        <v>45588</v>
      </c>
      <c r="E365" s="5">
        <v>0.85416666666666663</v>
      </c>
      <c r="F365" s="1">
        <v>45588</v>
      </c>
      <c r="G365" s="5">
        <v>0.88194444444444442</v>
      </c>
      <c r="H365">
        <v>40</v>
      </c>
      <c r="I365" t="s">
        <v>167</v>
      </c>
      <c r="J365" t="s">
        <v>168</v>
      </c>
      <c r="K365">
        <v>5</v>
      </c>
      <c r="L365">
        <v>8</v>
      </c>
      <c r="M365" t="s">
        <v>153</v>
      </c>
      <c r="N365" t="s">
        <v>504</v>
      </c>
      <c r="O365" t="b">
        <v>1</v>
      </c>
      <c r="P365" t="b">
        <v>0</v>
      </c>
      <c r="Q365" s="6">
        <v>5</v>
      </c>
      <c r="R365" s="6">
        <v>0.625</v>
      </c>
      <c r="S365" t="s">
        <v>488</v>
      </c>
      <c r="T365" t="s">
        <v>171</v>
      </c>
      <c r="U365" s="6">
        <v>19.2</v>
      </c>
      <c r="V365" s="6">
        <v>20.8</v>
      </c>
      <c r="W365" t="b">
        <v>1</v>
      </c>
      <c r="X365">
        <v>20</v>
      </c>
      <c r="Y365">
        <v>3</v>
      </c>
      <c r="Z365">
        <v>20</v>
      </c>
      <c r="AA365" s="6">
        <v>29.948453608247419</v>
      </c>
      <c r="AB365">
        <f>--PizzaDelivery[[#This Row],[Is Delayed]]</f>
        <v>1</v>
      </c>
    </row>
    <row r="366" spans="1:28">
      <c r="A366" t="s">
        <v>561</v>
      </c>
      <c r="B366" t="s">
        <v>157</v>
      </c>
      <c r="C366" t="s">
        <v>184</v>
      </c>
      <c r="D366" s="1">
        <v>45589</v>
      </c>
      <c r="E366" s="5">
        <v>0.78125</v>
      </c>
      <c r="F366" s="1">
        <v>45589</v>
      </c>
      <c r="G366" s="5">
        <v>0.79513888888888884</v>
      </c>
      <c r="H366">
        <v>20</v>
      </c>
      <c r="I366" t="s">
        <v>159</v>
      </c>
      <c r="J366" t="s">
        <v>160</v>
      </c>
      <c r="K366">
        <v>1</v>
      </c>
      <c r="L366">
        <v>2.5</v>
      </c>
      <c r="M366" t="s">
        <v>161</v>
      </c>
      <c r="N366" t="s">
        <v>169</v>
      </c>
      <c r="O366" t="b">
        <v>1</v>
      </c>
      <c r="P366" t="b">
        <v>0</v>
      </c>
      <c r="Q366" s="6">
        <v>8</v>
      </c>
      <c r="R366" s="6">
        <v>0.4</v>
      </c>
      <c r="S366" t="s">
        <v>488</v>
      </c>
      <c r="T366" t="s">
        <v>171</v>
      </c>
      <c r="U366" s="6">
        <v>6</v>
      </c>
      <c r="V366" s="6">
        <v>14</v>
      </c>
      <c r="W366" t="b">
        <v>0</v>
      </c>
      <c r="X366">
        <v>1</v>
      </c>
      <c r="Y366">
        <v>1</v>
      </c>
      <c r="Z366">
        <v>18</v>
      </c>
      <c r="AA366" s="6">
        <v>28.844221105527641</v>
      </c>
      <c r="AB366">
        <f>--PizzaDelivery[[#This Row],[Is Delayed]]</f>
        <v>0</v>
      </c>
    </row>
    <row r="367" spans="1:28">
      <c r="A367" t="s">
        <v>562</v>
      </c>
      <c r="B367" t="s">
        <v>173</v>
      </c>
      <c r="C367" t="s">
        <v>186</v>
      </c>
      <c r="D367" s="1">
        <v>45590</v>
      </c>
      <c r="E367" s="5">
        <v>0.79166666666666663</v>
      </c>
      <c r="F367" s="1">
        <v>45590</v>
      </c>
      <c r="G367" s="5">
        <v>0.82638888888888884</v>
      </c>
      <c r="H367">
        <v>50</v>
      </c>
      <c r="I367" t="s">
        <v>151</v>
      </c>
      <c r="J367" t="s">
        <v>152</v>
      </c>
      <c r="K367">
        <v>4</v>
      </c>
      <c r="L367">
        <v>10</v>
      </c>
      <c r="M367" t="s">
        <v>153</v>
      </c>
      <c r="N367" t="s">
        <v>145</v>
      </c>
      <c r="O367" t="b">
        <v>1</v>
      </c>
      <c r="P367" t="b">
        <v>0</v>
      </c>
      <c r="Q367" s="6">
        <v>5</v>
      </c>
      <c r="R367" s="6">
        <v>0.4</v>
      </c>
      <c r="S367" t="s">
        <v>488</v>
      </c>
      <c r="T367" t="s">
        <v>147</v>
      </c>
      <c r="U367" s="6">
        <v>24</v>
      </c>
      <c r="V367" s="6">
        <v>26</v>
      </c>
      <c r="W367" t="b">
        <v>1</v>
      </c>
      <c r="X367">
        <v>12</v>
      </c>
      <c r="Y367">
        <v>3</v>
      </c>
      <c r="Z367">
        <v>19</v>
      </c>
      <c r="AA367" s="6">
        <v>30.286458333333329</v>
      </c>
      <c r="AB367">
        <f>--PizzaDelivery[[#This Row],[Is Delayed]]</f>
        <v>1</v>
      </c>
    </row>
    <row r="368" spans="1:28">
      <c r="A368" t="s">
        <v>563</v>
      </c>
      <c r="B368" t="s">
        <v>142</v>
      </c>
      <c r="C368" t="s">
        <v>166</v>
      </c>
      <c r="D368" s="1">
        <v>45591</v>
      </c>
      <c r="E368" s="5">
        <v>0.83333333333333337</v>
      </c>
      <c r="F368" s="1">
        <v>45591</v>
      </c>
      <c r="G368" s="5">
        <v>0.85763888888888884</v>
      </c>
      <c r="H368">
        <v>35</v>
      </c>
      <c r="I368" t="s">
        <v>143</v>
      </c>
      <c r="J368" t="s">
        <v>144</v>
      </c>
      <c r="K368">
        <v>3</v>
      </c>
      <c r="L368">
        <v>5.5</v>
      </c>
      <c r="M368" t="s">
        <v>143</v>
      </c>
      <c r="N368" t="s">
        <v>154</v>
      </c>
      <c r="O368" t="b">
        <v>1</v>
      </c>
      <c r="P368" t="b">
        <v>1</v>
      </c>
      <c r="Q368" s="6">
        <v>6.3636363636363633</v>
      </c>
      <c r="R368" s="6">
        <v>0.54545454545454541</v>
      </c>
      <c r="S368" t="s">
        <v>488</v>
      </c>
      <c r="T368" t="s">
        <v>147</v>
      </c>
      <c r="U368" s="6">
        <v>13.2</v>
      </c>
      <c r="V368" s="6">
        <v>21.8</v>
      </c>
      <c r="W368" t="b">
        <v>1</v>
      </c>
      <c r="X368">
        <v>6</v>
      </c>
      <c r="Y368">
        <v>2</v>
      </c>
      <c r="Z368">
        <v>20</v>
      </c>
      <c r="AA368" s="6">
        <v>30.259433962264151</v>
      </c>
      <c r="AB368">
        <f>--PizzaDelivery[[#This Row],[Is Delayed]]</f>
        <v>1</v>
      </c>
    </row>
    <row r="369" spans="1:28">
      <c r="A369" t="s">
        <v>564</v>
      </c>
      <c r="B369" t="s">
        <v>149</v>
      </c>
      <c r="C369" t="s">
        <v>192</v>
      </c>
      <c r="D369" s="1">
        <v>45592</v>
      </c>
      <c r="E369" s="5">
        <v>0.77083333333333337</v>
      </c>
      <c r="F369" s="1">
        <v>45592</v>
      </c>
      <c r="G369" s="5">
        <v>0.78472222222222221</v>
      </c>
      <c r="H369">
        <v>20</v>
      </c>
      <c r="I369" t="s">
        <v>159</v>
      </c>
      <c r="J369" t="s">
        <v>160</v>
      </c>
      <c r="K369">
        <v>2</v>
      </c>
      <c r="L369">
        <v>2</v>
      </c>
      <c r="M369" t="s">
        <v>161</v>
      </c>
      <c r="N369" t="s">
        <v>162</v>
      </c>
      <c r="O369" t="b">
        <v>1</v>
      </c>
      <c r="P369" t="b">
        <v>1</v>
      </c>
      <c r="Q369" s="6">
        <v>10</v>
      </c>
      <c r="R369" s="6">
        <v>1</v>
      </c>
      <c r="S369" t="s">
        <v>488</v>
      </c>
      <c r="T369" t="s">
        <v>147</v>
      </c>
      <c r="U369" s="6">
        <v>4.8</v>
      </c>
      <c r="V369" s="6">
        <v>15.2</v>
      </c>
      <c r="W369" t="b">
        <v>0</v>
      </c>
      <c r="X369">
        <v>2</v>
      </c>
      <c r="Y369">
        <v>1</v>
      </c>
      <c r="Z369">
        <v>18</v>
      </c>
      <c r="AA369" s="6">
        <v>28.186274509803919</v>
      </c>
      <c r="AB369">
        <f>--PizzaDelivery[[#This Row],[Is Delayed]]</f>
        <v>0</v>
      </c>
    </row>
    <row r="370" spans="1:28">
      <c r="A370" t="s">
        <v>565</v>
      </c>
      <c r="B370" t="s">
        <v>165</v>
      </c>
      <c r="C370" t="s">
        <v>194</v>
      </c>
      <c r="D370" s="1">
        <v>45593</v>
      </c>
      <c r="E370" s="5">
        <v>0.82291666666666663</v>
      </c>
      <c r="F370" s="1">
        <v>45593</v>
      </c>
      <c r="G370" s="5">
        <v>0.85069444444444442</v>
      </c>
      <c r="H370">
        <v>40</v>
      </c>
      <c r="I370" t="s">
        <v>167</v>
      </c>
      <c r="J370" t="s">
        <v>168</v>
      </c>
      <c r="K370">
        <v>5</v>
      </c>
      <c r="L370">
        <v>7.5</v>
      </c>
      <c r="M370" t="s">
        <v>153</v>
      </c>
      <c r="N370" t="s">
        <v>504</v>
      </c>
      <c r="O370" t="b">
        <v>1</v>
      </c>
      <c r="P370" t="b">
        <v>0</v>
      </c>
      <c r="Q370" s="6">
        <v>5.333333333333333</v>
      </c>
      <c r="R370" s="6">
        <v>0.66666666666666663</v>
      </c>
      <c r="S370" t="s">
        <v>488</v>
      </c>
      <c r="T370" t="s">
        <v>171</v>
      </c>
      <c r="U370" s="6">
        <v>18</v>
      </c>
      <c r="V370" s="6">
        <v>22</v>
      </c>
      <c r="W370" t="b">
        <v>1</v>
      </c>
      <c r="X370">
        <v>20</v>
      </c>
      <c r="Y370">
        <v>3</v>
      </c>
      <c r="Z370">
        <v>19</v>
      </c>
      <c r="AA370" s="6">
        <v>29.948453608247419</v>
      </c>
      <c r="AB370">
        <f>--PizzaDelivery[[#This Row],[Is Delayed]]</f>
        <v>1</v>
      </c>
    </row>
    <row r="371" spans="1:28">
      <c r="A371" t="s">
        <v>566</v>
      </c>
      <c r="B371" t="s">
        <v>157</v>
      </c>
      <c r="C371" t="s">
        <v>174</v>
      </c>
      <c r="D371" s="1">
        <v>45594</v>
      </c>
      <c r="E371" s="5">
        <v>0.75</v>
      </c>
      <c r="F371" s="1">
        <v>45594</v>
      </c>
      <c r="G371" s="5">
        <v>0.77083333333333337</v>
      </c>
      <c r="H371">
        <v>30</v>
      </c>
      <c r="I371" t="s">
        <v>143</v>
      </c>
      <c r="J371" t="s">
        <v>152</v>
      </c>
      <c r="K371">
        <v>3</v>
      </c>
      <c r="L371">
        <v>4</v>
      </c>
      <c r="M371" t="s">
        <v>143</v>
      </c>
      <c r="N371" t="s">
        <v>145</v>
      </c>
      <c r="O371" t="b">
        <v>1</v>
      </c>
      <c r="P371" t="b">
        <v>0</v>
      </c>
      <c r="Q371" s="6">
        <v>7.5</v>
      </c>
      <c r="R371" s="6">
        <v>0.75</v>
      </c>
      <c r="S371" t="s">
        <v>488</v>
      </c>
      <c r="T371" t="s">
        <v>147</v>
      </c>
      <c r="U371" s="6">
        <v>9.6</v>
      </c>
      <c r="V371" s="6">
        <v>20.399999999999999</v>
      </c>
      <c r="W371" t="b">
        <v>0</v>
      </c>
      <c r="X371">
        <v>6</v>
      </c>
      <c r="Y371">
        <v>2</v>
      </c>
      <c r="Z371">
        <v>18</v>
      </c>
      <c r="AA371" s="6">
        <v>28.844221105527641</v>
      </c>
      <c r="AB371">
        <f>--PizzaDelivery[[#This Row],[Is Delayed]]</f>
        <v>0</v>
      </c>
    </row>
    <row r="372" spans="1:28">
      <c r="A372" t="s">
        <v>567</v>
      </c>
      <c r="B372" t="s">
        <v>173</v>
      </c>
      <c r="C372" t="s">
        <v>190</v>
      </c>
      <c r="D372" s="1">
        <v>45595</v>
      </c>
      <c r="E372" s="5">
        <v>0.84375</v>
      </c>
      <c r="F372" s="1">
        <v>45595</v>
      </c>
      <c r="G372" s="5">
        <v>0.875</v>
      </c>
      <c r="H372">
        <v>45</v>
      </c>
      <c r="I372" t="s">
        <v>151</v>
      </c>
      <c r="J372" t="s">
        <v>144</v>
      </c>
      <c r="K372">
        <v>4</v>
      </c>
      <c r="L372">
        <v>9</v>
      </c>
      <c r="M372" t="s">
        <v>153</v>
      </c>
      <c r="N372" t="s">
        <v>154</v>
      </c>
      <c r="O372" t="b">
        <v>1</v>
      </c>
      <c r="P372" t="b">
        <v>0</v>
      </c>
      <c r="Q372" s="6">
        <v>5</v>
      </c>
      <c r="R372" s="6">
        <v>0.44444444444444442</v>
      </c>
      <c r="S372" t="s">
        <v>488</v>
      </c>
      <c r="T372" t="s">
        <v>147</v>
      </c>
      <c r="U372" s="6">
        <v>21.6</v>
      </c>
      <c r="V372" s="6">
        <v>23.4</v>
      </c>
      <c r="W372" t="b">
        <v>1</v>
      </c>
      <c r="X372">
        <v>12</v>
      </c>
      <c r="Y372">
        <v>3</v>
      </c>
      <c r="Z372">
        <v>20</v>
      </c>
      <c r="AA372" s="6">
        <v>30.286458333333329</v>
      </c>
      <c r="AB372">
        <f>--PizzaDelivery[[#This Row],[Is Delayed]]</f>
        <v>1</v>
      </c>
    </row>
    <row r="373" spans="1:28">
      <c r="A373" t="s">
        <v>568</v>
      </c>
      <c r="B373" t="s">
        <v>142</v>
      </c>
      <c r="C373" t="s">
        <v>315</v>
      </c>
      <c r="D373" s="1">
        <v>45596</v>
      </c>
      <c r="E373" s="5">
        <v>0.75</v>
      </c>
      <c r="F373" s="1">
        <v>45596</v>
      </c>
      <c r="G373" s="5">
        <v>0.76388888888888884</v>
      </c>
      <c r="H373">
        <v>20</v>
      </c>
      <c r="I373" t="s">
        <v>143</v>
      </c>
      <c r="J373" t="s">
        <v>144</v>
      </c>
      <c r="K373">
        <v>2</v>
      </c>
      <c r="L373">
        <v>3</v>
      </c>
      <c r="M373" t="s">
        <v>161</v>
      </c>
      <c r="N373" t="s">
        <v>145</v>
      </c>
      <c r="O373" t="b">
        <v>1</v>
      </c>
      <c r="P373" t="b">
        <v>0</v>
      </c>
      <c r="Q373" s="6">
        <v>6.666666666666667</v>
      </c>
      <c r="R373" s="6">
        <v>0.66666666666666663</v>
      </c>
      <c r="S373" t="s">
        <v>488</v>
      </c>
      <c r="T373" t="s">
        <v>147</v>
      </c>
      <c r="U373" s="6">
        <v>7.1999999999999993</v>
      </c>
      <c r="V373" s="6">
        <v>12.8</v>
      </c>
      <c r="W373" t="b">
        <v>0</v>
      </c>
      <c r="X373">
        <v>4</v>
      </c>
      <c r="Y373">
        <v>1</v>
      </c>
      <c r="Z373">
        <v>18</v>
      </c>
      <c r="AA373" s="6">
        <v>30.259433962264151</v>
      </c>
      <c r="AB373">
        <f>--PizzaDelivery[[#This Row],[Is Delayed]]</f>
        <v>0</v>
      </c>
    </row>
    <row r="374" spans="1:28">
      <c r="A374" t="s">
        <v>569</v>
      </c>
      <c r="B374" t="s">
        <v>149</v>
      </c>
      <c r="C374" t="s">
        <v>317</v>
      </c>
      <c r="D374" s="1">
        <v>45597</v>
      </c>
      <c r="E374" s="5">
        <v>0.80208333333333337</v>
      </c>
      <c r="F374" s="1">
        <v>45597</v>
      </c>
      <c r="G374" s="5">
        <v>0.82291666666666663</v>
      </c>
      <c r="H374">
        <v>30</v>
      </c>
      <c r="I374" t="s">
        <v>151</v>
      </c>
      <c r="J374" t="s">
        <v>152</v>
      </c>
      <c r="K374">
        <v>4</v>
      </c>
      <c r="L374">
        <v>6</v>
      </c>
      <c r="M374" t="s">
        <v>143</v>
      </c>
      <c r="N374" t="s">
        <v>169</v>
      </c>
      <c r="O374" t="b">
        <v>1</v>
      </c>
      <c r="P374" t="b">
        <v>0</v>
      </c>
      <c r="Q374" s="6">
        <v>5</v>
      </c>
      <c r="R374" s="6">
        <v>0.66666666666666663</v>
      </c>
      <c r="S374" t="s">
        <v>570</v>
      </c>
      <c r="T374" t="s">
        <v>171</v>
      </c>
      <c r="U374" s="6">
        <v>14.4</v>
      </c>
      <c r="V374" s="6">
        <v>15.6</v>
      </c>
      <c r="W374" t="b">
        <v>0</v>
      </c>
      <c r="X374">
        <v>12</v>
      </c>
      <c r="Y374">
        <v>2</v>
      </c>
      <c r="Z374">
        <v>19</v>
      </c>
      <c r="AA374" s="6">
        <v>28.186274509803919</v>
      </c>
      <c r="AB374">
        <f>--PizzaDelivery[[#This Row],[Is Delayed]]</f>
        <v>0</v>
      </c>
    </row>
    <row r="375" spans="1:28">
      <c r="A375" t="s">
        <v>571</v>
      </c>
      <c r="B375" t="s">
        <v>165</v>
      </c>
      <c r="C375" t="s">
        <v>319</v>
      </c>
      <c r="D375" s="1">
        <v>45598</v>
      </c>
      <c r="E375" s="5">
        <v>0.85416666666666663</v>
      </c>
      <c r="F375" s="1">
        <v>45598</v>
      </c>
      <c r="G375" s="5">
        <v>0.88194444444444442</v>
      </c>
      <c r="H375">
        <v>40</v>
      </c>
      <c r="I375" t="s">
        <v>167</v>
      </c>
      <c r="J375" t="s">
        <v>168</v>
      </c>
      <c r="K375">
        <v>5</v>
      </c>
      <c r="L375">
        <v>8</v>
      </c>
      <c r="M375" t="s">
        <v>153</v>
      </c>
      <c r="N375" t="s">
        <v>504</v>
      </c>
      <c r="O375" t="b">
        <v>1</v>
      </c>
      <c r="P375" t="b">
        <v>1</v>
      </c>
      <c r="Q375" s="6">
        <v>5</v>
      </c>
      <c r="R375" s="6">
        <v>0.625</v>
      </c>
      <c r="S375" t="s">
        <v>570</v>
      </c>
      <c r="T375" t="s">
        <v>171</v>
      </c>
      <c r="U375" s="6">
        <v>19.2</v>
      </c>
      <c r="V375" s="6">
        <v>20.8</v>
      </c>
      <c r="W375" t="b">
        <v>1</v>
      </c>
      <c r="X375">
        <v>20</v>
      </c>
      <c r="Y375">
        <v>3</v>
      </c>
      <c r="Z375">
        <v>20</v>
      </c>
      <c r="AA375" s="6">
        <v>29.948453608247419</v>
      </c>
      <c r="AB375">
        <f>--PizzaDelivery[[#This Row],[Is Delayed]]</f>
        <v>1</v>
      </c>
    </row>
    <row r="376" spans="1:28">
      <c r="A376" t="s">
        <v>572</v>
      </c>
      <c r="B376" t="s">
        <v>157</v>
      </c>
      <c r="C376" t="s">
        <v>321</v>
      </c>
      <c r="D376" s="1">
        <v>45599</v>
      </c>
      <c r="E376" s="5">
        <v>0.78125</v>
      </c>
      <c r="F376" s="1">
        <v>45599</v>
      </c>
      <c r="G376" s="5">
        <v>0.79513888888888884</v>
      </c>
      <c r="H376">
        <v>20</v>
      </c>
      <c r="I376" t="s">
        <v>159</v>
      </c>
      <c r="J376" t="s">
        <v>160</v>
      </c>
      <c r="K376">
        <v>1</v>
      </c>
      <c r="L376">
        <v>2.5</v>
      </c>
      <c r="M376" t="s">
        <v>161</v>
      </c>
      <c r="N376" t="s">
        <v>154</v>
      </c>
      <c r="O376" t="b">
        <v>1</v>
      </c>
      <c r="P376" t="b">
        <v>1</v>
      </c>
      <c r="Q376" s="6">
        <v>8</v>
      </c>
      <c r="R376" s="6">
        <v>0.4</v>
      </c>
      <c r="S376" t="s">
        <v>570</v>
      </c>
      <c r="T376" t="s">
        <v>147</v>
      </c>
      <c r="U376" s="6">
        <v>6</v>
      </c>
      <c r="V376" s="6">
        <v>14</v>
      </c>
      <c r="W376" t="b">
        <v>0</v>
      </c>
      <c r="X376">
        <v>1</v>
      </c>
      <c r="Y376">
        <v>1</v>
      </c>
      <c r="Z376">
        <v>18</v>
      </c>
      <c r="AA376" s="6">
        <v>28.844221105527641</v>
      </c>
      <c r="AB376">
        <f>--PizzaDelivery[[#This Row],[Is Delayed]]</f>
        <v>0</v>
      </c>
    </row>
    <row r="377" spans="1:28">
      <c r="A377" t="s">
        <v>573</v>
      </c>
      <c r="B377" t="s">
        <v>173</v>
      </c>
      <c r="C377" t="s">
        <v>323</v>
      </c>
      <c r="D377" s="1">
        <v>45600</v>
      </c>
      <c r="E377" s="5">
        <v>0.79166666666666663</v>
      </c>
      <c r="F377" s="1">
        <v>45600</v>
      </c>
      <c r="G377" s="5">
        <v>0.82638888888888884</v>
      </c>
      <c r="H377">
        <v>50</v>
      </c>
      <c r="I377" t="s">
        <v>151</v>
      </c>
      <c r="J377" t="s">
        <v>152</v>
      </c>
      <c r="K377">
        <v>4</v>
      </c>
      <c r="L377">
        <v>10</v>
      </c>
      <c r="M377" t="s">
        <v>153</v>
      </c>
      <c r="N377" t="s">
        <v>145</v>
      </c>
      <c r="O377" t="b">
        <v>1</v>
      </c>
      <c r="P377" t="b">
        <v>0</v>
      </c>
      <c r="Q377" s="6">
        <v>5</v>
      </c>
      <c r="R377" s="6">
        <v>0.4</v>
      </c>
      <c r="S377" t="s">
        <v>570</v>
      </c>
      <c r="T377" t="s">
        <v>147</v>
      </c>
      <c r="U377" s="6">
        <v>24</v>
      </c>
      <c r="V377" s="6">
        <v>26</v>
      </c>
      <c r="W377" t="b">
        <v>1</v>
      </c>
      <c r="X377">
        <v>12</v>
      </c>
      <c r="Y377">
        <v>3</v>
      </c>
      <c r="Z377">
        <v>19</v>
      </c>
      <c r="AA377" s="6">
        <v>30.286458333333329</v>
      </c>
      <c r="AB377">
        <f>--PizzaDelivery[[#This Row],[Is Delayed]]</f>
        <v>1</v>
      </c>
    </row>
    <row r="378" spans="1:28">
      <c r="A378" t="s">
        <v>574</v>
      </c>
      <c r="B378" t="s">
        <v>142</v>
      </c>
      <c r="C378" t="s">
        <v>325</v>
      </c>
      <c r="D378" s="1">
        <v>45601</v>
      </c>
      <c r="E378" s="5">
        <v>0.83333333333333337</v>
      </c>
      <c r="F378" s="1">
        <v>45601</v>
      </c>
      <c r="G378" s="5">
        <v>0.85763888888888884</v>
      </c>
      <c r="H378">
        <v>35</v>
      </c>
      <c r="I378" t="s">
        <v>143</v>
      </c>
      <c r="J378" t="s">
        <v>144</v>
      </c>
      <c r="K378">
        <v>3</v>
      </c>
      <c r="L378">
        <v>5.5</v>
      </c>
      <c r="M378" t="s">
        <v>143</v>
      </c>
      <c r="N378" t="s">
        <v>154</v>
      </c>
      <c r="O378" t="b">
        <v>1</v>
      </c>
      <c r="P378" t="b">
        <v>0</v>
      </c>
      <c r="Q378" s="6">
        <v>6.3636363636363633</v>
      </c>
      <c r="R378" s="6">
        <v>0.54545454545454541</v>
      </c>
      <c r="S378" t="s">
        <v>570</v>
      </c>
      <c r="T378" t="s">
        <v>147</v>
      </c>
      <c r="U378" s="6">
        <v>13.2</v>
      </c>
      <c r="V378" s="6">
        <v>21.8</v>
      </c>
      <c r="W378" t="b">
        <v>1</v>
      </c>
      <c r="X378">
        <v>6</v>
      </c>
      <c r="Y378">
        <v>2</v>
      </c>
      <c r="Z378">
        <v>20</v>
      </c>
      <c r="AA378" s="6">
        <v>30.259433962264151</v>
      </c>
      <c r="AB378">
        <f>--PizzaDelivery[[#This Row],[Is Delayed]]</f>
        <v>1</v>
      </c>
    </row>
    <row r="379" spans="1:28">
      <c r="A379" t="s">
        <v>575</v>
      </c>
      <c r="B379" t="s">
        <v>149</v>
      </c>
      <c r="C379" t="s">
        <v>327</v>
      </c>
      <c r="D379" s="1">
        <v>45602</v>
      </c>
      <c r="E379" s="5">
        <v>0.77083333333333337</v>
      </c>
      <c r="F379" s="1">
        <v>45602</v>
      </c>
      <c r="G379" s="5">
        <v>0.78472222222222221</v>
      </c>
      <c r="H379">
        <v>20</v>
      </c>
      <c r="I379" t="s">
        <v>159</v>
      </c>
      <c r="J379" t="s">
        <v>160</v>
      </c>
      <c r="K379">
        <v>2</v>
      </c>
      <c r="L379">
        <v>2</v>
      </c>
      <c r="M379" t="s">
        <v>161</v>
      </c>
      <c r="N379" t="s">
        <v>162</v>
      </c>
      <c r="O379" t="b">
        <v>1</v>
      </c>
      <c r="P379" t="b">
        <v>0</v>
      </c>
      <c r="Q379" s="6">
        <v>10</v>
      </c>
      <c r="R379" s="6">
        <v>1</v>
      </c>
      <c r="S379" t="s">
        <v>570</v>
      </c>
      <c r="T379" t="s">
        <v>147</v>
      </c>
      <c r="U379" s="6">
        <v>4.8</v>
      </c>
      <c r="V379" s="6">
        <v>15.2</v>
      </c>
      <c r="W379" t="b">
        <v>0</v>
      </c>
      <c r="X379">
        <v>2</v>
      </c>
      <c r="Y379">
        <v>1</v>
      </c>
      <c r="Z379">
        <v>18</v>
      </c>
      <c r="AA379" s="6">
        <v>28.186274509803919</v>
      </c>
      <c r="AB379">
        <f>--PizzaDelivery[[#This Row],[Is Delayed]]</f>
        <v>0</v>
      </c>
    </row>
    <row r="380" spans="1:28">
      <c r="A380" t="s">
        <v>576</v>
      </c>
      <c r="B380" t="s">
        <v>165</v>
      </c>
      <c r="C380" t="s">
        <v>329</v>
      </c>
      <c r="D380" s="1">
        <v>45603</v>
      </c>
      <c r="E380" s="5">
        <v>0.82291666666666663</v>
      </c>
      <c r="F380" s="1">
        <v>45603</v>
      </c>
      <c r="G380" s="5">
        <v>0.85069444444444442</v>
      </c>
      <c r="H380">
        <v>40</v>
      </c>
      <c r="I380" t="s">
        <v>167</v>
      </c>
      <c r="J380" t="s">
        <v>168</v>
      </c>
      <c r="K380">
        <v>5</v>
      </c>
      <c r="L380">
        <v>7.5</v>
      </c>
      <c r="M380" t="s">
        <v>153</v>
      </c>
      <c r="N380" t="s">
        <v>504</v>
      </c>
      <c r="O380" t="b">
        <v>1</v>
      </c>
      <c r="P380" t="b">
        <v>0</v>
      </c>
      <c r="Q380" s="6">
        <v>5.333333333333333</v>
      </c>
      <c r="R380" s="6">
        <v>0.66666666666666663</v>
      </c>
      <c r="S380" t="s">
        <v>570</v>
      </c>
      <c r="T380" t="s">
        <v>171</v>
      </c>
      <c r="U380" s="6">
        <v>18</v>
      </c>
      <c r="V380" s="6">
        <v>22</v>
      </c>
      <c r="W380" t="b">
        <v>1</v>
      </c>
      <c r="X380">
        <v>20</v>
      </c>
      <c r="Y380">
        <v>3</v>
      </c>
      <c r="Z380">
        <v>19</v>
      </c>
      <c r="AA380" s="6">
        <v>29.948453608247419</v>
      </c>
      <c r="AB380">
        <f>--PizzaDelivery[[#This Row],[Is Delayed]]</f>
        <v>1</v>
      </c>
    </row>
    <row r="381" spans="1:28">
      <c r="A381" t="s">
        <v>577</v>
      </c>
      <c r="B381" t="s">
        <v>157</v>
      </c>
      <c r="C381" t="s">
        <v>182</v>
      </c>
      <c r="D381" s="1">
        <v>45604</v>
      </c>
      <c r="E381" s="5">
        <v>0.75</v>
      </c>
      <c r="F381" s="1">
        <v>45604</v>
      </c>
      <c r="G381" s="5">
        <v>0.77083333333333337</v>
      </c>
      <c r="H381">
        <v>30</v>
      </c>
      <c r="I381" t="s">
        <v>143</v>
      </c>
      <c r="J381" t="s">
        <v>152</v>
      </c>
      <c r="K381">
        <v>3</v>
      </c>
      <c r="L381">
        <v>4</v>
      </c>
      <c r="M381" t="s">
        <v>143</v>
      </c>
      <c r="N381" t="s">
        <v>162</v>
      </c>
      <c r="O381" t="b">
        <v>1</v>
      </c>
      <c r="P381" t="b">
        <v>0</v>
      </c>
      <c r="Q381" s="6">
        <v>7.5</v>
      </c>
      <c r="R381" s="6">
        <v>0.75</v>
      </c>
      <c r="S381" t="s">
        <v>570</v>
      </c>
      <c r="T381" t="s">
        <v>147</v>
      </c>
      <c r="U381" s="6">
        <v>9.6</v>
      </c>
      <c r="V381" s="6">
        <v>20.399999999999999</v>
      </c>
      <c r="W381" t="b">
        <v>0</v>
      </c>
      <c r="X381">
        <v>6</v>
      </c>
      <c r="Y381">
        <v>2</v>
      </c>
      <c r="Z381">
        <v>18</v>
      </c>
      <c r="AA381" s="6">
        <v>28.844221105527641</v>
      </c>
      <c r="AB381">
        <f>--PizzaDelivery[[#This Row],[Is Delayed]]</f>
        <v>0</v>
      </c>
    </row>
    <row r="382" spans="1:28">
      <c r="A382" t="s">
        <v>578</v>
      </c>
      <c r="B382" t="s">
        <v>173</v>
      </c>
      <c r="C382" t="s">
        <v>327</v>
      </c>
      <c r="D382" s="1">
        <v>45605</v>
      </c>
      <c r="E382" s="5">
        <v>0.84375</v>
      </c>
      <c r="F382" s="1">
        <v>45605</v>
      </c>
      <c r="G382" s="5">
        <v>0.875</v>
      </c>
      <c r="H382">
        <v>45</v>
      </c>
      <c r="I382" t="s">
        <v>151</v>
      </c>
      <c r="J382" t="s">
        <v>144</v>
      </c>
      <c r="K382">
        <v>4</v>
      </c>
      <c r="L382">
        <v>9</v>
      </c>
      <c r="M382" t="s">
        <v>153</v>
      </c>
      <c r="N382" t="s">
        <v>169</v>
      </c>
      <c r="O382" t="b">
        <v>1</v>
      </c>
      <c r="P382" t="b">
        <v>1</v>
      </c>
      <c r="Q382" s="6">
        <v>5</v>
      </c>
      <c r="R382" s="6">
        <v>0.44444444444444442</v>
      </c>
      <c r="S382" t="s">
        <v>570</v>
      </c>
      <c r="T382" t="s">
        <v>171</v>
      </c>
      <c r="U382" s="6">
        <v>21.6</v>
      </c>
      <c r="V382" s="6">
        <v>23.4</v>
      </c>
      <c r="W382" t="b">
        <v>1</v>
      </c>
      <c r="X382">
        <v>12</v>
      </c>
      <c r="Y382">
        <v>3</v>
      </c>
      <c r="Z382">
        <v>20</v>
      </c>
      <c r="AA382" s="6">
        <v>30.286458333333329</v>
      </c>
      <c r="AB382">
        <f>--PizzaDelivery[[#This Row],[Is Delayed]]</f>
        <v>1</v>
      </c>
    </row>
    <row r="383" spans="1:28">
      <c r="A383" t="s">
        <v>579</v>
      </c>
      <c r="B383" t="s">
        <v>142</v>
      </c>
      <c r="C383" t="s">
        <v>333</v>
      </c>
      <c r="D383" s="1">
        <v>45606</v>
      </c>
      <c r="E383" s="5">
        <v>0.75</v>
      </c>
      <c r="F383" s="1">
        <v>45606</v>
      </c>
      <c r="G383" s="5">
        <v>0.76388888888888884</v>
      </c>
      <c r="H383">
        <v>20</v>
      </c>
      <c r="I383" t="s">
        <v>143</v>
      </c>
      <c r="J383" t="s">
        <v>144</v>
      </c>
      <c r="K383">
        <v>2</v>
      </c>
      <c r="L383">
        <v>3</v>
      </c>
      <c r="M383" t="s">
        <v>161</v>
      </c>
      <c r="N383" t="s">
        <v>145</v>
      </c>
      <c r="O383" t="b">
        <v>1</v>
      </c>
      <c r="P383" t="b">
        <v>1</v>
      </c>
      <c r="Q383" s="6">
        <v>6.666666666666667</v>
      </c>
      <c r="R383" s="6">
        <v>0.66666666666666663</v>
      </c>
      <c r="S383" t="s">
        <v>570</v>
      </c>
      <c r="T383" t="s">
        <v>147</v>
      </c>
      <c r="U383" s="6">
        <v>7.1999999999999993</v>
      </c>
      <c r="V383" s="6">
        <v>12.8</v>
      </c>
      <c r="W383" t="b">
        <v>0</v>
      </c>
      <c r="X383">
        <v>4</v>
      </c>
      <c r="Y383">
        <v>1</v>
      </c>
      <c r="Z383">
        <v>18</v>
      </c>
      <c r="AA383" s="6">
        <v>30.259433962264151</v>
      </c>
      <c r="AB383">
        <f>--PizzaDelivery[[#This Row],[Is Delayed]]</f>
        <v>0</v>
      </c>
    </row>
    <row r="384" spans="1:28">
      <c r="A384" t="s">
        <v>580</v>
      </c>
      <c r="B384" t="s">
        <v>149</v>
      </c>
      <c r="C384" t="s">
        <v>335</v>
      </c>
      <c r="D384" s="1">
        <v>45607</v>
      </c>
      <c r="E384" s="5">
        <v>0.80208333333333337</v>
      </c>
      <c r="F384" s="1">
        <v>45607</v>
      </c>
      <c r="G384" s="5">
        <v>0.82291666666666663</v>
      </c>
      <c r="H384">
        <v>30</v>
      </c>
      <c r="I384" t="s">
        <v>151</v>
      </c>
      <c r="J384" t="s">
        <v>152</v>
      </c>
      <c r="K384">
        <v>4</v>
      </c>
      <c r="L384">
        <v>6</v>
      </c>
      <c r="M384" t="s">
        <v>143</v>
      </c>
      <c r="N384" t="s">
        <v>154</v>
      </c>
      <c r="O384" t="b">
        <v>1</v>
      </c>
      <c r="P384" t="b">
        <v>0</v>
      </c>
      <c r="Q384" s="6">
        <v>5</v>
      </c>
      <c r="R384" s="6">
        <v>0.66666666666666663</v>
      </c>
      <c r="S384" t="s">
        <v>570</v>
      </c>
      <c r="T384" t="s">
        <v>147</v>
      </c>
      <c r="U384" s="6">
        <v>14.4</v>
      </c>
      <c r="V384" s="6">
        <v>15.6</v>
      </c>
      <c r="W384" t="b">
        <v>0</v>
      </c>
      <c r="X384">
        <v>12</v>
      </c>
      <c r="Y384">
        <v>2</v>
      </c>
      <c r="Z384">
        <v>19</v>
      </c>
      <c r="AA384" s="6">
        <v>28.186274509803919</v>
      </c>
      <c r="AB384">
        <f>--PizzaDelivery[[#This Row],[Is Delayed]]</f>
        <v>0</v>
      </c>
    </row>
    <row r="385" spans="1:28">
      <c r="A385" t="s">
        <v>581</v>
      </c>
      <c r="B385" t="s">
        <v>165</v>
      </c>
      <c r="C385" t="s">
        <v>337</v>
      </c>
      <c r="D385" s="1">
        <v>45608</v>
      </c>
      <c r="E385" s="5">
        <v>0.85416666666666663</v>
      </c>
      <c r="F385" s="1">
        <v>45608</v>
      </c>
      <c r="G385" s="5">
        <v>0.88194444444444442</v>
      </c>
      <c r="H385">
        <v>40</v>
      </c>
      <c r="I385" t="s">
        <v>167</v>
      </c>
      <c r="J385" t="s">
        <v>168</v>
      </c>
      <c r="K385">
        <v>5</v>
      </c>
      <c r="L385">
        <v>8</v>
      </c>
      <c r="M385" t="s">
        <v>153</v>
      </c>
      <c r="N385" t="s">
        <v>504</v>
      </c>
      <c r="O385" t="b">
        <v>1</v>
      </c>
      <c r="P385" t="b">
        <v>0</v>
      </c>
      <c r="Q385" s="6">
        <v>5</v>
      </c>
      <c r="R385" s="6">
        <v>0.625</v>
      </c>
      <c r="S385" t="s">
        <v>570</v>
      </c>
      <c r="T385" t="s">
        <v>171</v>
      </c>
      <c r="U385" s="6">
        <v>19.2</v>
      </c>
      <c r="V385" s="6">
        <v>20.8</v>
      </c>
      <c r="W385" t="b">
        <v>1</v>
      </c>
      <c r="X385">
        <v>20</v>
      </c>
      <c r="Y385">
        <v>3</v>
      </c>
      <c r="Z385">
        <v>20</v>
      </c>
      <c r="AA385" s="6">
        <v>29.948453608247419</v>
      </c>
      <c r="AB385">
        <f>--PizzaDelivery[[#This Row],[Is Delayed]]</f>
        <v>1</v>
      </c>
    </row>
    <row r="386" spans="1:28">
      <c r="A386" t="s">
        <v>582</v>
      </c>
      <c r="B386" t="s">
        <v>157</v>
      </c>
      <c r="C386" t="s">
        <v>339</v>
      </c>
      <c r="D386" s="1">
        <v>45609</v>
      </c>
      <c r="E386" s="5">
        <v>0.78125</v>
      </c>
      <c r="F386" s="1">
        <v>45609</v>
      </c>
      <c r="G386" s="5">
        <v>0.79513888888888884</v>
      </c>
      <c r="H386">
        <v>20</v>
      </c>
      <c r="I386" t="s">
        <v>159</v>
      </c>
      <c r="J386" t="s">
        <v>160</v>
      </c>
      <c r="K386">
        <v>1</v>
      </c>
      <c r="L386">
        <v>2.5</v>
      </c>
      <c r="M386" t="s">
        <v>161</v>
      </c>
      <c r="N386" t="s">
        <v>169</v>
      </c>
      <c r="O386" t="b">
        <v>1</v>
      </c>
      <c r="P386" t="b">
        <v>0</v>
      </c>
      <c r="Q386" s="6">
        <v>8</v>
      </c>
      <c r="R386" s="6">
        <v>0.4</v>
      </c>
      <c r="S386" t="s">
        <v>570</v>
      </c>
      <c r="T386" t="s">
        <v>171</v>
      </c>
      <c r="U386" s="6">
        <v>6</v>
      </c>
      <c r="V386" s="6">
        <v>14</v>
      </c>
      <c r="W386" t="b">
        <v>0</v>
      </c>
      <c r="X386">
        <v>1</v>
      </c>
      <c r="Y386">
        <v>1</v>
      </c>
      <c r="Z386">
        <v>18</v>
      </c>
      <c r="AA386" s="6">
        <v>28.844221105527641</v>
      </c>
      <c r="AB386">
        <f>--PizzaDelivery[[#This Row],[Is Delayed]]</f>
        <v>0</v>
      </c>
    </row>
    <row r="387" spans="1:28">
      <c r="A387" t="s">
        <v>583</v>
      </c>
      <c r="B387" t="s">
        <v>173</v>
      </c>
      <c r="C387" t="s">
        <v>194</v>
      </c>
      <c r="D387" s="1">
        <v>45610</v>
      </c>
      <c r="E387" s="5">
        <v>0.79166666666666663</v>
      </c>
      <c r="F387" s="1">
        <v>45610</v>
      </c>
      <c r="G387" s="5">
        <v>0.82638888888888884</v>
      </c>
      <c r="H387">
        <v>50</v>
      </c>
      <c r="I387" t="s">
        <v>151</v>
      </c>
      <c r="J387" t="s">
        <v>152</v>
      </c>
      <c r="K387">
        <v>4</v>
      </c>
      <c r="L387">
        <v>10</v>
      </c>
      <c r="M387" t="s">
        <v>153</v>
      </c>
      <c r="N387" t="s">
        <v>145</v>
      </c>
      <c r="O387" t="b">
        <v>1</v>
      </c>
      <c r="P387" t="b">
        <v>0</v>
      </c>
      <c r="Q387" s="6">
        <v>5</v>
      </c>
      <c r="R387" s="6">
        <v>0.4</v>
      </c>
      <c r="S387" t="s">
        <v>570</v>
      </c>
      <c r="T387" t="s">
        <v>147</v>
      </c>
      <c r="U387" s="6">
        <v>24</v>
      </c>
      <c r="V387" s="6">
        <v>26</v>
      </c>
      <c r="W387" t="b">
        <v>1</v>
      </c>
      <c r="X387">
        <v>12</v>
      </c>
      <c r="Y387">
        <v>3</v>
      </c>
      <c r="Z387">
        <v>19</v>
      </c>
      <c r="AA387" s="6">
        <v>30.286458333333329</v>
      </c>
      <c r="AB387">
        <f>--PizzaDelivery[[#This Row],[Is Delayed]]</f>
        <v>1</v>
      </c>
    </row>
    <row r="388" spans="1:28">
      <c r="A388" t="s">
        <v>584</v>
      </c>
      <c r="B388" t="s">
        <v>142</v>
      </c>
      <c r="C388" t="s">
        <v>40</v>
      </c>
      <c r="D388" s="1">
        <v>45611</v>
      </c>
      <c r="E388" s="5">
        <v>0.75</v>
      </c>
      <c r="F388" s="1">
        <v>45611</v>
      </c>
      <c r="G388" s="5">
        <v>0.76388888888888884</v>
      </c>
      <c r="H388">
        <v>20</v>
      </c>
      <c r="I388" t="s">
        <v>143</v>
      </c>
      <c r="J388" t="s">
        <v>144</v>
      </c>
      <c r="K388">
        <v>2</v>
      </c>
      <c r="L388">
        <v>3</v>
      </c>
      <c r="M388" t="s">
        <v>161</v>
      </c>
      <c r="N388" t="s">
        <v>342</v>
      </c>
      <c r="O388" t="b">
        <v>1</v>
      </c>
      <c r="P388" t="b">
        <v>0</v>
      </c>
      <c r="Q388" s="6">
        <v>6.666666666666667</v>
      </c>
      <c r="R388" s="6">
        <v>0.66666666666666663</v>
      </c>
      <c r="S388" t="s">
        <v>570</v>
      </c>
      <c r="T388" t="s">
        <v>171</v>
      </c>
      <c r="U388" s="6">
        <v>7.1999999999999993</v>
      </c>
      <c r="V388" s="6">
        <v>12.8</v>
      </c>
      <c r="W388" t="b">
        <v>0</v>
      </c>
      <c r="X388">
        <v>4</v>
      </c>
      <c r="Y388">
        <v>1</v>
      </c>
      <c r="Z388">
        <v>18</v>
      </c>
      <c r="AA388" s="6">
        <v>30.259433962264151</v>
      </c>
      <c r="AB388">
        <f>--PizzaDelivery[[#This Row],[Is Delayed]]</f>
        <v>0</v>
      </c>
    </row>
    <row r="389" spans="1:28">
      <c r="A389" t="s">
        <v>585</v>
      </c>
      <c r="B389" t="s">
        <v>142</v>
      </c>
      <c r="C389" t="s">
        <v>166</v>
      </c>
      <c r="D389" s="1">
        <v>45612</v>
      </c>
      <c r="E389" s="5">
        <v>0.83333333333333337</v>
      </c>
      <c r="F389" s="1">
        <v>45612</v>
      </c>
      <c r="G389" s="5">
        <v>0.84722222222222221</v>
      </c>
      <c r="H389">
        <v>20</v>
      </c>
      <c r="I389" t="s">
        <v>143</v>
      </c>
      <c r="J389" t="s">
        <v>144</v>
      </c>
      <c r="K389">
        <v>2</v>
      </c>
      <c r="L389">
        <v>3</v>
      </c>
      <c r="M389" t="s">
        <v>161</v>
      </c>
      <c r="N389" t="s">
        <v>145</v>
      </c>
      <c r="O389" t="b">
        <v>1</v>
      </c>
      <c r="P389" t="b">
        <v>1</v>
      </c>
      <c r="Q389" s="6">
        <v>6.666666666666667</v>
      </c>
      <c r="R389" s="6">
        <v>0.66666666666666663</v>
      </c>
      <c r="S389" t="s">
        <v>570</v>
      </c>
      <c r="T389" t="s">
        <v>147</v>
      </c>
      <c r="U389" s="6">
        <v>7.1999999999999993</v>
      </c>
      <c r="V389" s="6">
        <v>12.8</v>
      </c>
      <c r="W389" t="b">
        <v>0</v>
      </c>
      <c r="X389">
        <v>4</v>
      </c>
      <c r="Y389">
        <v>1</v>
      </c>
      <c r="Z389">
        <v>20</v>
      </c>
      <c r="AA389" s="6">
        <v>30.259433962264151</v>
      </c>
      <c r="AB389">
        <f>--PizzaDelivery[[#This Row],[Is Delayed]]</f>
        <v>0</v>
      </c>
    </row>
    <row r="390" spans="1:28">
      <c r="A390" t="s">
        <v>586</v>
      </c>
      <c r="B390" t="s">
        <v>149</v>
      </c>
      <c r="C390" t="s">
        <v>158</v>
      </c>
      <c r="D390" s="1">
        <v>45613</v>
      </c>
      <c r="E390" s="5">
        <v>0.80208333333333337</v>
      </c>
      <c r="F390" s="1">
        <v>45613</v>
      </c>
      <c r="G390" s="5">
        <v>0.82291666666666663</v>
      </c>
      <c r="H390">
        <v>30</v>
      </c>
      <c r="I390" t="s">
        <v>151</v>
      </c>
      <c r="J390" t="s">
        <v>152</v>
      </c>
      <c r="K390">
        <v>4</v>
      </c>
      <c r="L390">
        <v>6</v>
      </c>
      <c r="M390" t="s">
        <v>143</v>
      </c>
      <c r="N390" t="s">
        <v>162</v>
      </c>
      <c r="O390" t="b">
        <v>1</v>
      </c>
      <c r="P390" t="b">
        <v>1</v>
      </c>
      <c r="Q390" s="6">
        <v>5</v>
      </c>
      <c r="R390" s="6">
        <v>0.66666666666666663</v>
      </c>
      <c r="S390" t="s">
        <v>570</v>
      </c>
      <c r="T390" t="s">
        <v>147</v>
      </c>
      <c r="U390" s="6">
        <v>14.4</v>
      </c>
      <c r="V390" s="6">
        <v>15.6</v>
      </c>
      <c r="W390" t="b">
        <v>0</v>
      </c>
      <c r="X390">
        <v>12</v>
      </c>
      <c r="Y390">
        <v>2</v>
      </c>
      <c r="Z390">
        <v>19</v>
      </c>
      <c r="AA390" s="6">
        <v>28.186274509803919</v>
      </c>
      <c r="AB390">
        <f>--PizzaDelivery[[#This Row],[Is Delayed]]</f>
        <v>0</v>
      </c>
    </row>
    <row r="391" spans="1:28">
      <c r="A391" t="s">
        <v>587</v>
      </c>
      <c r="B391" t="s">
        <v>165</v>
      </c>
      <c r="C391" t="s">
        <v>150</v>
      </c>
      <c r="D391" s="1">
        <v>45614</v>
      </c>
      <c r="E391" s="5">
        <v>0.85416666666666663</v>
      </c>
      <c r="F391" s="1">
        <v>45614</v>
      </c>
      <c r="G391" s="5">
        <v>0.88194444444444442</v>
      </c>
      <c r="H391">
        <v>40</v>
      </c>
      <c r="I391" t="s">
        <v>167</v>
      </c>
      <c r="J391" t="s">
        <v>168</v>
      </c>
      <c r="K391">
        <v>5</v>
      </c>
      <c r="L391">
        <v>8</v>
      </c>
      <c r="M391" t="s">
        <v>153</v>
      </c>
      <c r="N391" t="s">
        <v>504</v>
      </c>
      <c r="O391" t="b">
        <v>1</v>
      </c>
      <c r="P391" t="b">
        <v>0</v>
      </c>
      <c r="Q391" s="6">
        <v>5</v>
      </c>
      <c r="R391" s="6">
        <v>0.625</v>
      </c>
      <c r="S391" t="s">
        <v>570</v>
      </c>
      <c r="T391" t="s">
        <v>171</v>
      </c>
      <c r="U391" s="6">
        <v>19.2</v>
      </c>
      <c r="V391" s="6">
        <v>20.8</v>
      </c>
      <c r="W391" t="b">
        <v>1</v>
      </c>
      <c r="X391">
        <v>20</v>
      </c>
      <c r="Y391">
        <v>3</v>
      </c>
      <c r="Z391">
        <v>20</v>
      </c>
      <c r="AA391" s="6">
        <v>29.948453608247419</v>
      </c>
      <c r="AB391">
        <f>--PizzaDelivery[[#This Row],[Is Delayed]]</f>
        <v>1</v>
      </c>
    </row>
    <row r="392" spans="1:28">
      <c r="A392" t="s">
        <v>588</v>
      </c>
      <c r="B392" t="s">
        <v>157</v>
      </c>
      <c r="C392" t="s">
        <v>184</v>
      </c>
      <c r="D392" s="1">
        <v>45615</v>
      </c>
      <c r="E392" s="5">
        <v>0.78125</v>
      </c>
      <c r="F392" s="1">
        <v>45615</v>
      </c>
      <c r="G392" s="5">
        <v>0.79513888888888884</v>
      </c>
      <c r="H392">
        <v>20</v>
      </c>
      <c r="I392" t="s">
        <v>159</v>
      </c>
      <c r="J392" t="s">
        <v>160</v>
      </c>
      <c r="K392">
        <v>1</v>
      </c>
      <c r="L392">
        <v>2.5</v>
      </c>
      <c r="M392" t="s">
        <v>161</v>
      </c>
      <c r="N392" t="s">
        <v>169</v>
      </c>
      <c r="O392" t="b">
        <v>1</v>
      </c>
      <c r="P392" t="b">
        <v>0</v>
      </c>
      <c r="Q392" s="6">
        <v>8</v>
      </c>
      <c r="R392" s="6">
        <v>0.4</v>
      </c>
      <c r="S392" t="s">
        <v>570</v>
      </c>
      <c r="T392" t="s">
        <v>171</v>
      </c>
      <c r="U392" s="6">
        <v>6</v>
      </c>
      <c r="V392" s="6">
        <v>14</v>
      </c>
      <c r="W392" t="b">
        <v>0</v>
      </c>
      <c r="X392">
        <v>1</v>
      </c>
      <c r="Y392">
        <v>1</v>
      </c>
      <c r="Z392">
        <v>18</v>
      </c>
      <c r="AA392" s="6">
        <v>28.844221105527641</v>
      </c>
      <c r="AB392">
        <f>--PizzaDelivery[[#This Row],[Is Delayed]]</f>
        <v>0</v>
      </c>
    </row>
    <row r="393" spans="1:28">
      <c r="A393" t="s">
        <v>589</v>
      </c>
      <c r="B393" t="s">
        <v>173</v>
      </c>
      <c r="C393" t="s">
        <v>186</v>
      </c>
      <c r="D393" s="1">
        <v>45616</v>
      </c>
      <c r="E393" s="5">
        <v>0.79166666666666663</v>
      </c>
      <c r="F393" s="1">
        <v>45616</v>
      </c>
      <c r="G393" s="5">
        <v>0.82638888888888884</v>
      </c>
      <c r="H393">
        <v>50</v>
      </c>
      <c r="I393" t="s">
        <v>151</v>
      </c>
      <c r="J393" t="s">
        <v>152</v>
      </c>
      <c r="K393">
        <v>4</v>
      </c>
      <c r="L393">
        <v>10</v>
      </c>
      <c r="M393" t="s">
        <v>153</v>
      </c>
      <c r="N393" t="s">
        <v>145</v>
      </c>
      <c r="O393" t="b">
        <v>1</v>
      </c>
      <c r="P393" t="b">
        <v>0</v>
      </c>
      <c r="Q393" s="6">
        <v>5</v>
      </c>
      <c r="R393" s="6">
        <v>0.4</v>
      </c>
      <c r="S393" t="s">
        <v>570</v>
      </c>
      <c r="T393" t="s">
        <v>147</v>
      </c>
      <c r="U393" s="6">
        <v>24</v>
      </c>
      <c r="V393" s="6">
        <v>26</v>
      </c>
      <c r="W393" t="b">
        <v>1</v>
      </c>
      <c r="X393">
        <v>12</v>
      </c>
      <c r="Y393">
        <v>3</v>
      </c>
      <c r="Z393">
        <v>19</v>
      </c>
      <c r="AA393" s="6">
        <v>30.286458333333329</v>
      </c>
      <c r="AB393">
        <f>--PizzaDelivery[[#This Row],[Is Delayed]]</f>
        <v>1</v>
      </c>
    </row>
    <row r="394" spans="1:28">
      <c r="A394" t="s">
        <v>590</v>
      </c>
      <c r="B394" t="s">
        <v>142</v>
      </c>
      <c r="C394" t="s">
        <v>166</v>
      </c>
      <c r="D394" s="1">
        <v>45617</v>
      </c>
      <c r="E394" s="5">
        <v>0.83333333333333337</v>
      </c>
      <c r="F394" s="1">
        <v>45617</v>
      </c>
      <c r="G394" s="5">
        <v>0.85763888888888884</v>
      </c>
      <c r="H394">
        <v>35</v>
      </c>
      <c r="I394" t="s">
        <v>143</v>
      </c>
      <c r="J394" t="s">
        <v>591</v>
      </c>
      <c r="K394">
        <v>3</v>
      </c>
      <c r="L394">
        <v>5.5</v>
      </c>
      <c r="M394" t="s">
        <v>143</v>
      </c>
      <c r="N394" t="s">
        <v>154</v>
      </c>
      <c r="O394" t="b">
        <v>1</v>
      </c>
      <c r="P394" t="b">
        <v>0</v>
      </c>
      <c r="Q394" s="6">
        <v>6.3636363636363633</v>
      </c>
      <c r="R394" s="6">
        <v>0.54545454545454541</v>
      </c>
      <c r="S394" t="s">
        <v>570</v>
      </c>
      <c r="T394" t="s">
        <v>147</v>
      </c>
      <c r="U394" s="6">
        <v>13.2</v>
      </c>
      <c r="V394" s="6">
        <v>21.8</v>
      </c>
      <c r="W394" t="b">
        <v>1</v>
      </c>
      <c r="X394">
        <v>6</v>
      </c>
      <c r="Y394">
        <v>2</v>
      </c>
      <c r="Z394">
        <v>20</v>
      </c>
      <c r="AA394" s="6">
        <v>30.259433962264151</v>
      </c>
      <c r="AB394">
        <f>--PizzaDelivery[[#This Row],[Is Delayed]]</f>
        <v>1</v>
      </c>
    </row>
    <row r="395" spans="1:28">
      <c r="A395" t="s">
        <v>592</v>
      </c>
      <c r="B395" t="s">
        <v>149</v>
      </c>
      <c r="C395" t="s">
        <v>192</v>
      </c>
      <c r="D395" s="1">
        <v>45618</v>
      </c>
      <c r="E395" s="5">
        <v>0.77083333333333337</v>
      </c>
      <c r="F395" s="1">
        <v>45618</v>
      </c>
      <c r="G395" s="5">
        <v>0.78472222222222221</v>
      </c>
      <c r="H395">
        <v>20</v>
      </c>
      <c r="I395" t="s">
        <v>159</v>
      </c>
      <c r="J395" t="s">
        <v>160</v>
      </c>
      <c r="K395">
        <v>2</v>
      </c>
      <c r="L395">
        <v>2</v>
      </c>
      <c r="M395" t="s">
        <v>161</v>
      </c>
      <c r="N395" t="s">
        <v>162</v>
      </c>
      <c r="O395" t="b">
        <v>1</v>
      </c>
      <c r="P395" t="b">
        <v>0</v>
      </c>
      <c r="Q395" s="6">
        <v>10</v>
      </c>
      <c r="R395" s="6">
        <v>1</v>
      </c>
      <c r="S395" t="s">
        <v>570</v>
      </c>
      <c r="T395" t="s">
        <v>147</v>
      </c>
      <c r="U395" s="6">
        <v>4.8</v>
      </c>
      <c r="V395" s="6">
        <v>15.2</v>
      </c>
      <c r="W395" t="b">
        <v>0</v>
      </c>
      <c r="X395">
        <v>2</v>
      </c>
      <c r="Y395">
        <v>1</v>
      </c>
      <c r="Z395">
        <v>18</v>
      </c>
      <c r="AA395" s="6">
        <v>28.186274509803919</v>
      </c>
      <c r="AB395">
        <f>--PizzaDelivery[[#This Row],[Is Delayed]]</f>
        <v>0</v>
      </c>
    </row>
    <row r="396" spans="1:28">
      <c r="A396" t="s">
        <v>593</v>
      </c>
      <c r="B396" t="s">
        <v>165</v>
      </c>
      <c r="C396" t="s">
        <v>194</v>
      </c>
      <c r="D396" s="1">
        <v>45619</v>
      </c>
      <c r="E396" s="5">
        <v>0.82291666666666663</v>
      </c>
      <c r="F396" s="1">
        <v>45619</v>
      </c>
      <c r="G396" s="5">
        <v>0.85069444444444442</v>
      </c>
      <c r="H396">
        <v>40</v>
      </c>
      <c r="I396" t="s">
        <v>167</v>
      </c>
      <c r="J396" t="s">
        <v>594</v>
      </c>
      <c r="K396">
        <v>5</v>
      </c>
      <c r="L396">
        <v>7.5</v>
      </c>
      <c r="M396" t="s">
        <v>153</v>
      </c>
      <c r="N396" t="s">
        <v>504</v>
      </c>
      <c r="O396" t="b">
        <v>1</v>
      </c>
      <c r="P396" t="b">
        <v>1</v>
      </c>
      <c r="Q396" s="6">
        <v>5.333333333333333</v>
      </c>
      <c r="R396" s="6">
        <v>0.66666666666666663</v>
      </c>
      <c r="S396" t="s">
        <v>570</v>
      </c>
      <c r="T396" t="s">
        <v>171</v>
      </c>
      <c r="U396" s="6">
        <v>18</v>
      </c>
      <c r="V396" s="6">
        <v>22</v>
      </c>
      <c r="W396" t="b">
        <v>1</v>
      </c>
      <c r="X396">
        <v>20</v>
      </c>
      <c r="Y396">
        <v>3</v>
      </c>
      <c r="Z396">
        <v>19</v>
      </c>
      <c r="AA396" s="6">
        <v>29.948453608247419</v>
      </c>
      <c r="AB396">
        <f>--PizzaDelivery[[#This Row],[Is Delayed]]</f>
        <v>1</v>
      </c>
    </row>
    <row r="397" spans="1:28">
      <c r="A397" t="s">
        <v>595</v>
      </c>
      <c r="B397" t="s">
        <v>157</v>
      </c>
      <c r="C397" t="s">
        <v>174</v>
      </c>
      <c r="D397" s="1">
        <v>45620</v>
      </c>
      <c r="E397" s="5">
        <v>0.75</v>
      </c>
      <c r="F397" s="1">
        <v>45620</v>
      </c>
      <c r="G397" s="5">
        <v>0.77083333333333337</v>
      </c>
      <c r="H397">
        <v>30</v>
      </c>
      <c r="I397" t="s">
        <v>143</v>
      </c>
      <c r="J397" t="s">
        <v>152</v>
      </c>
      <c r="K397">
        <v>3</v>
      </c>
      <c r="L397">
        <v>4</v>
      </c>
      <c r="M397" t="s">
        <v>143</v>
      </c>
      <c r="N397" t="s">
        <v>145</v>
      </c>
      <c r="O397" t="b">
        <v>1</v>
      </c>
      <c r="P397" t="b">
        <v>1</v>
      </c>
      <c r="Q397" s="6">
        <v>7.5</v>
      </c>
      <c r="R397" s="6">
        <v>0.75</v>
      </c>
      <c r="S397" t="s">
        <v>570</v>
      </c>
      <c r="T397" t="s">
        <v>147</v>
      </c>
      <c r="U397" s="6">
        <v>9.6</v>
      </c>
      <c r="V397" s="6">
        <v>20.399999999999999</v>
      </c>
      <c r="W397" t="b">
        <v>0</v>
      </c>
      <c r="X397">
        <v>6</v>
      </c>
      <c r="Y397">
        <v>2</v>
      </c>
      <c r="Z397">
        <v>18</v>
      </c>
      <c r="AA397" s="6">
        <v>28.844221105527641</v>
      </c>
      <c r="AB397">
        <f>--PizzaDelivery[[#This Row],[Is Delayed]]</f>
        <v>0</v>
      </c>
    </row>
    <row r="398" spans="1:28">
      <c r="A398" t="s">
        <v>596</v>
      </c>
      <c r="B398" t="s">
        <v>173</v>
      </c>
      <c r="C398" t="s">
        <v>190</v>
      </c>
      <c r="D398" s="1">
        <v>45621</v>
      </c>
      <c r="E398" s="5">
        <v>0.84375</v>
      </c>
      <c r="F398" s="1">
        <v>45621</v>
      </c>
      <c r="G398" s="5">
        <v>0.875</v>
      </c>
      <c r="H398">
        <v>45</v>
      </c>
      <c r="I398" t="s">
        <v>151</v>
      </c>
      <c r="J398" t="s">
        <v>144</v>
      </c>
      <c r="K398">
        <v>4</v>
      </c>
      <c r="L398">
        <v>9</v>
      </c>
      <c r="M398" t="s">
        <v>153</v>
      </c>
      <c r="N398" t="s">
        <v>154</v>
      </c>
      <c r="O398" t="b">
        <v>1</v>
      </c>
      <c r="P398" t="b">
        <v>0</v>
      </c>
      <c r="Q398" s="6">
        <v>5</v>
      </c>
      <c r="R398" s="6">
        <v>0.44444444444444442</v>
      </c>
      <c r="S398" t="s">
        <v>570</v>
      </c>
      <c r="T398" t="s">
        <v>147</v>
      </c>
      <c r="U398" s="6">
        <v>21.6</v>
      </c>
      <c r="V398" s="6">
        <v>23.4</v>
      </c>
      <c r="W398" t="b">
        <v>1</v>
      </c>
      <c r="X398">
        <v>12</v>
      </c>
      <c r="Y398">
        <v>3</v>
      </c>
      <c r="Z398">
        <v>20</v>
      </c>
      <c r="AA398" s="6">
        <v>30.286458333333329</v>
      </c>
      <c r="AB398">
        <f>--PizzaDelivery[[#This Row],[Is Delayed]]</f>
        <v>1</v>
      </c>
    </row>
    <row r="399" spans="1:28">
      <c r="A399" t="s">
        <v>597</v>
      </c>
      <c r="B399" t="s">
        <v>142</v>
      </c>
      <c r="C399" t="s">
        <v>315</v>
      </c>
      <c r="D399" s="1">
        <v>45622</v>
      </c>
      <c r="E399" s="5">
        <v>0.75</v>
      </c>
      <c r="F399" s="1">
        <v>45622</v>
      </c>
      <c r="G399" s="5">
        <v>0.76388888888888884</v>
      </c>
      <c r="H399">
        <v>20</v>
      </c>
      <c r="I399" t="s">
        <v>143</v>
      </c>
      <c r="J399" t="s">
        <v>144</v>
      </c>
      <c r="K399">
        <v>2</v>
      </c>
      <c r="L399">
        <v>3</v>
      </c>
      <c r="M399" t="s">
        <v>161</v>
      </c>
      <c r="N399" t="s">
        <v>145</v>
      </c>
      <c r="O399" t="b">
        <v>1</v>
      </c>
      <c r="P399" t="b">
        <v>0</v>
      </c>
      <c r="Q399" s="6">
        <v>6.666666666666667</v>
      </c>
      <c r="R399" s="6">
        <v>0.66666666666666663</v>
      </c>
      <c r="S399" t="s">
        <v>570</v>
      </c>
      <c r="T399" t="s">
        <v>147</v>
      </c>
      <c r="U399" s="6">
        <v>7.1999999999999993</v>
      </c>
      <c r="V399" s="6">
        <v>12.8</v>
      </c>
      <c r="W399" t="b">
        <v>0</v>
      </c>
      <c r="X399">
        <v>4</v>
      </c>
      <c r="Y399">
        <v>1</v>
      </c>
      <c r="Z399">
        <v>18</v>
      </c>
      <c r="AA399" s="6">
        <v>30.259433962264151</v>
      </c>
      <c r="AB399">
        <f>--PizzaDelivery[[#This Row],[Is Delayed]]</f>
        <v>0</v>
      </c>
    </row>
    <row r="400" spans="1:28">
      <c r="A400" t="s">
        <v>598</v>
      </c>
      <c r="B400" t="s">
        <v>149</v>
      </c>
      <c r="C400" t="s">
        <v>317</v>
      </c>
      <c r="D400" s="1">
        <v>45623</v>
      </c>
      <c r="E400" s="5">
        <v>0.80208333333333337</v>
      </c>
      <c r="F400" s="1">
        <v>45623</v>
      </c>
      <c r="G400" s="5">
        <v>0.82291666666666663</v>
      </c>
      <c r="H400">
        <v>30</v>
      </c>
      <c r="I400" t="s">
        <v>151</v>
      </c>
      <c r="J400" t="s">
        <v>152</v>
      </c>
      <c r="K400">
        <v>4</v>
      </c>
      <c r="L400">
        <v>6</v>
      </c>
      <c r="M400" t="s">
        <v>143</v>
      </c>
      <c r="N400" t="s">
        <v>169</v>
      </c>
      <c r="O400" t="b">
        <v>1</v>
      </c>
      <c r="P400" t="b">
        <v>0</v>
      </c>
      <c r="Q400" s="6">
        <v>5</v>
      </c>
      <c r="R400" s="6">
        <v>0.66666666666666663</v>
      </c>
      <c r="S400" t="s">
        <v>570</v>
      </c>
      <c r="T400" t="s">
        <v>171</v>
      </c>
      <c r="U400" s="6">
        <v>14.4</v>
      </c>
      <c r="V400" s="6">
        <v>15.6</v>
      </c>
      <c r="W400" t="b">
        <v>0</v>
      </c>
      <c r="X400">
        <v>12</v>
      </c>
      <c r="Y400">
        <v>2</v>
      </c>
      <c r="Z400">
        <v>19</v>
      </c>
      <c r="AA400" s="6">
        <v>28.186274509803919</v>
      </c>
      <c r="AB400">
        <f>--PizzaDelivery[[#This Row],[Is Delayed]]</f>
        <v>0</v>
      </c>
    </row>
    <row r="401" spans="1:28">
      <c r="A401" t="s">
        <v>599</v>
      </c>
      <c r="B401" t="s">
        <v>165</v>
      </c>
      <c r="C401" t="s">
        <v>319</v>
      </c>
      <c r="D401" s="1">
        <v>45624</v>
      </c>
      <c r="E401" s="5">
        <v>0.85416666666666663</v>
      </c>
      <c r="F401" s="1">
        <v>45624</v>
      </c>
      <c r="G401" s="5">
        <v>0.88194444444444442</v>
      </c>
      <c r="H401">
        <v>40</v>
      </c>
      <c r="I401" t="s">
        <v>167</v>
      </c>
      <c r="J401" t="s">
        <v>168</v>
      </c>
      <c r="K401">
        <v>5</v>
      </c>
      <c r="L401">
        <v>8</v>
      </c>
      <c r="M401" t="s">
        <v>153</v>
      </c>
      <c r="N401" t="s">
        <v>504</v>
      </c>
      <c r="O401" t="b">
        <v>1</v>
      </c>
      <c r="P401" t="b">
        <v>0</v>
      </c>
      <c r="Q401" s="6">
        <v>5</v>
      </c>
      <c r="R401" s="6">
        <v>0.625</v>
      </c>
      <c r="S401" t="s">
        <v>570</v>
      </c>
      <c r="T401" t="s">
        <v>171</v>
      </c>
      <c r="U401" s="6">
        <v>19.2</v>
      </c>
      <c r="V401" s="6">
        <v>20.8</v>
      </c>
      <c r="W401" t="b">
        <v>1</v>
      </c>
      <c r="X401">
        <v>20</v>
      </c>
      <c r="Y401">
        <v>3</v>
      </c>
      <c r="Z401">
        <v>20</v>
      </c>
      <c r="AA401" s="6">
        <v>29.948453608247419</v>
      </c>
      <c r="AB401">
        <f>--PizzaDelivery[[#This Row],[Is Delayed]]</f>
        <v>1</v>
      </c>
    </row>
    <row r="402" spans="1:28">
      <c r="A402" t="s">
        <v>600</v>
      </c>
      <c r="B402" t="s">
        <v>157</v>
      </c>
      <c r="C402" t="s">
        <v>321</v>
      </c>
      <c r="D402" s="1">
        <v>45625</v>
      </c>
      <c r="E402" s="5">
        <v>0.78125</v>
      </c>
      <c r="F402" s="1">
        <v>45625</v>
      </c>
      <c r="G402" s="5">
        <v>0.79513888888888884</v>
      </c>
      <c r="H402">
        <v>20</v>
      </c>
      <c r="I402" t="s">
        <v>159</v>
      </c>
      <c r="J402" t="s">
        <v>160</v>
      </c>
      <c r="K402">
        <v>1</v>
      </c>
      <c r="L402">
        <v>2.5</v>
      </c>
      <c r="M402" t="s">
        <v>161</v>
      </c>
      <c r="N402" t="s">
        <v>154</v>
      </c>
      <c r="O402" t="b">
        <v>1</v>
      </c>
      <c r="P402" t="b">
        <v>0</v>
      </c>
      <c r="Q402" s="6">
        <v>8</v>
      </c>
      <c r="R402" s="6">
        <v>0.4</v>
      </c>
      <c r="S402" t="s">
        <v>570</v>
      </c>
      <c r="T402" t="s">
        <v>147</v>
      </c>
      <c r="U402" s="6">
        <v>6</v>
      </c>
      <c r="V402" s="6">
        <v>14</v>
      </c>
      <c r="W402" t="b">
        <v>0</v>
      </c>
      <c r="X402">
        <v>1</v>
      </c>
      <c r="Y402">
        <v>1</v>
      </c>
      <c r="Z402">
        <v>18</v>
      </c>
      <c r="AA402" s="6">
        <v>28.844221105527641</v>
      </c>
      <c r="AB402">
        <f>--PizzaDelivery[[#This Row],[Is Delayed]]</f>
        <v>0</v>
      </c>
    </row>
    <row r="403" spans="1:28">
      <c r="A403" t="s">
        <v>601</v>
      </c>
      <c r="B403" t="s">
        <v>173</v>
      </c>
      <c r="C403" t="s">
        <v>323</v>
      </c>
      <c r="D403" s="1">
        <v>45626</v>
      </c>
      <c r="E403" s="5">
        <v>0.79166666666666663</v>
      </c>
      <c r="F403" s="1">
        <v>45626</v>
      </c>
      <c r="G403" s="5">
        <v>0.82638888888888884</v>
      </c>
      <c r="H403">
        <v>50</v>
      </c>
      <c r="I403" t="s">
        <v>151</v>
      </c>
      <c r="J403" t="s">
        <v>152</v>
      </c>
      <c r="K403">
        <v>4</v>
      </c>
      <c r="L403">
        <v>10</v>
      </c>
      <c r="M403" t="s">
        <v>153</v>
      </c>
      <c r="N403" t="s">
        <v>145</v>
      </c>
      <c r="O403" t="b">
        <v>1</v>
      </c>
      <c r="P403" t="b">
        <v>1</v>
      </c>
      <c r="Q403" s="6">
        <v>5</v>
      </c>
      <c r="R403" s="6">
        <v>0.4</v>
      </c>
      <c r="S403" t="s">
        <v>570</v>
      </c>
      <c r="T403" t="s">
        <v>147</v>
      </c>
      <c r="U403" s="6">
        <v>24</v>
      </c>
      <c r="V403" s="6">
        <v>26</v>
      </c>
      <c r="W403" t="b">
        <v>1</v>
      </c>
      <c r="X403">
        <v>12</v>
      </c>
      <c r="Y403">
        <v>3</v>
      </c>
      <c r="Z403">
        <v>19</v>
      </c>
      <c r="AA403" s="6">
        <v>30.286458333333329</v>
      </c>
      <c r="AB403">
        <f>--PizzaDelivery[[#This Row],[Is Delayed]]</f>
        <v>1</v>
      </c>
    </row>
    <row r="404" spans="1:28">
      <c r="A404" t="s">
        <v>602</v>
      </c>
      <c r="B404" t="s">
        <v>142</v>
      </c>
      <c r="C404" t="s">
        <v>325</v>
      </c>
      <c r="D404" s="1">
        <v>45627</v>
      </c>
      <c r="E404" s="5">
        <v>0.83333333333333337</v>
      </c>
      <c r="F404" s="1">
        <v>45627</v>
      </c>
      <c r="G404" s="5">
        <v>0.85763888888888884</v>
      </c>
      <c r="H404">
        <v>35</v>
      </c>
      <c r="I404" t="s">
        <v>143</v>
      </c>
      <c r="J404" t="s">
        <v>144</v>
      </c>
      <c r="K404">
        <v>3</v>
      </c>
      <c r="L404">
        <v>5.5</v>
      </c>
      <c r="M404" t="s">
        <v>143</v>
      </c>
      <c r="N404" t="s">
        <v>154</v>
      </c>
      <c r="O404" t="b">
        <v>1</v>
      </c>
      <c r="P404" t="b">
        <v>1</v>
      </c>
      <c r="Q404" s="6">
        <v>6.3636363636363633</v>
      </c>
      <c r="R404" s="6">
        <v>0.54545454545454541</v>
      </c>
      <c r="S404" t="s">
        <v>603</v>
      </c>
      <c r="T404" t="s">
        <v>147</v>
      </c>
      <c r="U404" s="6">
        <v>13.2</v>
      </c>
      <c r="V404" s="6">
        <v>21.8</v>
      </c>
      <c r="W404" t="b">
        <v>1</v>
      </c>
      <c r="X404">
        <v>6</v>
      </c>
      <c r="Y404">
        <v>2</v>
      </c>
      <c r="Z404">
        <v>20</v>
      </c>
      <c r="AA404" s="6">
        <v>30.259433962264151</v>
      </c>
      <c r="AB404">
        <f>--PizzaDelivery[[#This Row],[Is Delayed]]</f>
        <v>1</v>
      </c>
    </row>
    <row r="405" spans="1:28">
      <c r="A405" t="s">
        <v>604</v>
      </c>
      <c r="B405" t="s">
        <v>149</v>
      </c>
      <c r="C405" t="s">
        <v>327</v>
      </c>
      <c r="D405" s="1">
        <v>45628</v>
      </c>
      <c r="E405" s="5">
        <v>0.77083333333333337</v>
      </c>
      <c r="F405" s="1">
        <v>45628</v>
      </c>
      <c r="G405" s="5">
        <v>0.78472222222222221</v>
      </c>
      <c r="H405">
        <v>20</v>
      </c>
      <c r="I405" t="s">
        <v>159</v>
      </c>
      <c r="J405" t="s">
        <v>160</v>
      </c>
      <c r="K405">
        <v>2</v>
      </c>
      <c r="L405">
        <v>2</v>
      </c>
      <c r="M405" t="s">
        <v>161</v>
      </c>
      <c r="N405" t="s">
        <v>162</v>
      </c>
      <c r="O405" t="b">
        <v>1</v>
      </c>
      <c r="P405" t="b">
        <v>0</v>
      </c>
      <c r="Q405" s="6">
        <v>10</v>
      </c>
      <c r="R405" s="6">
        <v>1</v>
      </c>
      <c r="S405" t="s">
        <v>603</v>
      </c>
      <c r="T405" t="s">
        <v>147</v>
      </c>
      <c r="U405" s="6">
        <v>4.8</v>
      </c>
      <c r="V405" s="6">
        <v>15.2</v>
      </c>
      <c r="W405" t="b">
        <v>0</v>
      </c>
      <c r="X405">
        <v>2</v>
      </c>
      <c r="Y405">
        <v>1</v>
      </c>
      <c r="Z405">
        <v>18</v>
      </c>
      <c r="AA405" s="6">
        <v>28.186274509803919</v>
      </c>
      <c r="AB405">
        <f>--PizzaDelivery[[#This Row],[Is Delayed]]</f>
        <v>0</v>
      </c>
    </row>
    <row r="406" spans="1:28">
      <c r="A406" t="s">
        <v>605</v>
      </c>
      <c r="B406" t="s">
        <v>165</v>
      </c>
      <c r="C406" t="s">
        <v>329</v>
      </c>
      <c r="D406" s="1">
        <v>45629</v>
      </c>
      <c r="E406" s="5">
        <v>0.82291666666666663</v>
      </c>
      <c r="F406" s="1">
        <v>45629</v>
      </c>
      <c r="G406" s="5">
        <v>0.85069444444444442</v>
      </c>
      <c r="H406">
        <v>40</v>
      </c>
      <c r="I406" t="s">
        <v>167</v>
      </c>
      <c r="J406" t="s">
        <v>594</v>
      </c>
      <c r="K406">
        <v>5</v>
      </c>
      <c r="L406">
        <v>7.5</v>
      </c>
      <c r="M406" t="s">
        <v>153</v>
      </c>
      <c r="N406" t="s">
        <v>504</v>
      </c>
      <c r="O406" t="b">
        <v>1</v>
      </c>
      <c r="P406" t="b">
        <v>0</v>
      </c>
      <c r="Q406" s="6">
        <v>5.333333333333333</v>
      </c>
      <c r="R406" s="6">
        <v>0.66666666666666663</v>
      </c>
      <c r="S406" t="s">
        <v>603</v>
      </c>
      <c r="T406" t="s">
        <v>171</v>
      </c>
      <c r="U406" s="6">
        <v>18</v>
      </c>
      <c r="V406" s="6">
        <v>22</v>
      </c>
      <c r="W406" t="b">
        <v>1</v>
      </c>
      <c r="X406">
        <v>20</v>
      </c>
      <c r="Y406">
        <v>3</v>
      </c>
      <c r="Z406">
        <v>19</v>
      </c>
      <c r="AA406" s="6">
        <v>29.948453608247419</v>
      </c>
      <c r="AB406">
        <f>--PizzaDelivery[[#This Row],[Is Delayed]]</f>
        <v>1</v>
      </c>
    </row>
    <row r="407" spans="1:28">
      <c r="A407" t="s">
        <v>606</v>
      </c>
      <c r="B407" t="s">
        <v>157</v>
      </c>
      <c r="C407" t="s">
        <v>182</v>
      </c>
      <c r="D407" s="1">
        <v>45630</v>
      </c>
      <c r="E407" s="5">
        <v>0.75</v>
      </c>
      <c r="F407" s="1">
        <v>45630</v>
      </c>
      <c r="G407" s="5">
        <v>0.77083333333333337</v>
      </c>
      <c r="H407">
        <v>30</v>
      </c>
      <c r="I407" t="s">
        <v>143</v>
      </c>
      <c r="J407" t="s">
        <v>152</v>
      </c>
      <c r="K407">
        <v>3</v>
      </c>
      <c r="L407">
        <v>4</v>
      </c>
      <c r="M407" t="s">
        <v>143</v>
      </c>
      <c r="N407" t="s">
        <v>162</v>
      </c>
      <c r="O407" t="b">
        <v>1</v>
      </c>
      <c r="P407" t="b">
        <v>0</v>
      </c>
      <c r="Q407" s="6">
        <v>7.5</v>
      </c>
      <c r="R407" s="6">
        <v>0.75</v>
      </c>
      <c r="S407" t="s">
        <v>603</v>
      </c>
      <c r="T407" t="s">
        <v>147</v>
      </c>
      <c r="U407" s="6">
        <v>9.6</v>
      </c>
      <c r="V407" s="6">
        <v>20.399999999999999</v>
      </c>
      <c r="W407" t="b">
        <v>0</v>
      </c>
      <c r="X407">
        <v>6</v>
      </c>
      <c r="Y407">
        <v>2</v>
      </c>
      <c r="Z407">
        <v>18</v>
      </c>
      <c r="AA407" s="6">
        <v>28.844221105527641</v>
      </c>
      <c r="AB407">
        <f>--PizzaDelivery[[#This Row],[Is Delayed]]</f>
        <v>0</v>
      </c>
    </row>
    <row r="408" spans="1:28">
      <c r="A408" t="s">
        <v>607</v>
      </c>
      <c r="B408" t="s">
        <v>173</v>
      </c>
      <c r="C408" t="s">
        <v>327</v>
      </c>
      <c r="D408" s="1">
        <v>45631</v>
      </c>
      <c r="E408" s="5">
        <v>0.84375</v>
      </c>
      <c r="F408" s="1">
        <v>45631</v>
      </c>
      <c r="G408" s="5">
        <v>0.875</v>
      </c>
      <c r="H408">
        <v>45</v>
      </c>
      <c r="I408" t="s">
        <v>151</v>
      </c>
      <c r="J408" t="s">
        <v>144</v>
      </c>
      <c r="K408">
        <v>4</v>
      </c>
      <c r="L408">
        <v>9</v>
      </c>
      <c r="M408" t="s">
        <v>153</v>
      </c>
      <c r="N408" t="s">
        <v>169</v>
      </c>
      <c r="O408" t="b">
        <v>1</v>
      </c>
      <c r="P408" t="b">
        <v>0</v>
      </c>
      <c r="Q408" s="6">
        <v>5</v>
      </c>
      <c r="R408" s="6">
        <v>0.44444444444444442</v>
      </c>
      <c r="S408" t="s">
        <v>603</v>
      </c>
      <c r="T408" t="s">
        <v>171</v>
      </c>
      <c r="U408" s="6">
        <v>21.6</v>
      </c>
      <c r="V408" s="6">
        <v>23.4</v>
      </c>
      <c r="W408" t="b">
        <v>1</v>
      </c>
      <c r="X408">
        <v>12</v>
      </c>
      <c r="Y408">
        <v>3</v>
      </c>
      <c r="Z408">
        <v>20</v>
      </c>
      <c r="AA408" s="6">
        <v>30.286458333333329</v>
      </c>
      <c r="AB408">
        <f>--PizzaDelivery[[#This Row],[Is Delayed]]</f>
        <v>1</v>
      </c>
    </row>
    <row r="409" spans="1:28">
      <c r="A409" t="s">
        <v>608</v>
      </c>
      <c r="B409" t="s">
        <v>142</v>
      </c>
      <c r="C409" t="s">
        <v>333</v>
      </c>
      <c r="D409" s="1">
        <v>45632</v>
      </c>
      <c r="E409" s="5">
        <v>0.75</v>
      </c>
      <c r="F409" s="1">
        <v>45632</v>
      </c>
      <c r="G409" s="5">
        <v>0.76388888888888884</v>
      </c>
      <c r="H409">
        <v>20</v>
      </c>
      <c r="I409" t="s">
        <v>143</v>
      </c>
      <c r="J409" t="s">
        <v>144</v>
      </c>
      <c r="K409">
        <v>2</v>
      </c>
      <c r="L409">
        <v>3</v>
      </c>
      <c r="M409" t="s">
        <v>161</v>
      </c>
      <c r="N409" t="s">
        <v>145</v>
      </c>
      <c r="O409" t="b">
        <v>1</v>
      </c>
      <c r="P409" t="b">
        <v>0</v>
      </c>
      <c r="Q409" s="6">
        <v>6.666666666666667</v>
      </c>
      <c r="R409" s="6">
        <v>0.66666666666666663</v>
      </c>
      <c r="S409" t="s">
        <v>603</v>
      </c>
      <c r="T409" t="s">
        <v>147</v>
      </c>
      <c r="U409" s="6">
        <v>7.1999999999999993</v>
      </c>
      <c r="V409" s="6">
        <v>12.8</v>
      </c>
      <c r="W409" t="b">
        <v>0</v>
      </c>
      <c r="X409">
        <v>4</v>
      </c>
      <c r="Y409">
        <v>1</v>
      </c>
      <c r="Z409">
        <v>18</v>
      </c>
      <c r="AA409" s="6">
        <v>30.259433962264151</v>
      </c>
      <c r="AB409">
        <f>--PizzaDelivery[[#This Row],[Is Delayed]]</f>
        <v>0</v>
      </c>
    </row>
    <row r="410" spans="1:28">
      <c r="A410" t="s">
        <v>609</v>
      </c>
      <c r="B410" t="s">
        <v>149</v>
      </c>
      <c r="C410" t="s">
        <v>335</v>
      </c>
      <c r="D410" s="1">
        <v>45633</v>
      </c>
      <c r="E410" s="5">
        <v>0.80208333333333337</v>
      </c>
      <c r="F410" s="1">
        <v>45633</v>
      </c>
      <c r="G410" s="5">
        <v>0.82291666666666663</v>
      </c>
      <c r="H410">
        <v>30</v>
      </c>
      <c r="I410" t="s">
        <v>151</v>
      </c>
      <c r="J410" t="s">
        <v>152</v>
      </c>
      <c r="K410">
        <v>4</v>
      </c>
      <c r="L410">
        <v>6</v>
      </c>
      <c r="M410" t="s">
        <v>143</v>
      </c>
      <c r="N410" t="s">
        <v>154</v>
      </c>
      <c r="O410" t="b">
        <v>1</v>
      </c>
      <c r="P410" t="b">
        <v>1</v>
      </c>
      <c r="Q410" s="6">
        <v>5</v>
      </c>
      <c r="R410" s="6">
        <v>0.66666666666666663</v>
      </c>
      <c r="S410" t="s">
        <v>603</v>
      </c>
      <c r="T410" t="s">
        <v>147</v>
      </c>
      <c r="U410" s="6">
        <v>14.4</v>
      </c>
      <c r="V410" s="6">
        <v>15.6</v>
      </c>
      <c r="W410" t="b">
        <v>0</v>
      </c>
      <c r="X410">
        <v>12</v>
      </c>
      <c r="Y410">
        <v>2</v>
      </c>
      <c r="Z410">
        <v>19</v>
      </c>
      <c r="AA410" s="6">
        <v>28.186274509803919</v>
      </c>
      <c r="AB410">
        <f>--PizzaDelivery[[#This Row],[Is Delayed]]</f>
        <v>0</v>
      </c>
    </row>
    <row r="411" spans="1:28">
      <c r="A411" t="s">
        <v>610</v>
      </c>
      <c r="B411" t="s">
        <v>165</v>
      </c>
      <c r="C411" t="s">
        <v>337</v>
      </c>
      <c r="D411" s="1">
        <v>45634</v>
      </c>
      <c r="E411" s="5">
        <v>0.85416666666666663</v>
      </c>
      <c r="F411" s="1">
        <v>45634</v>
      </c>
      <c r="G411" s="5">
        <v>0.88194444444444442</v>
      </c>
      <c r="H411">
        <v>40</v>
      </c>
      <c r="I411" t="s">
        <v>167</v>
      </c>
      <c r="J411" t="s">
        <v>168</v>
      </c>
      <c r="K411">
        <v>5</v>
      </c>
      <c r="L411">
        <v>8</v>
      </c>
      <c r="M411" t="s">
        <v>153</v>
      </c>
      <c r="N411" t="s">
        <v>504</v>
      </c>
      <c r="O411" t="b">
        <v>1</v>
      </c>
      <c r="P411" t="b">
        <v>1</v>
      </c>
      <c r="Q411" s="6">
        <v>5</v>
      </c>
      <c r="R411" s="6">
        <v>0.625</v>
      </c>
      <c r="S411" t="s">
        <v>603</v>
      </c>
      <c r="T411" t="s">
        <v>171</v>
      </c>
      <c r="U411" s="6">
        <v>19.2</v>
      </c>
      <c r="V411" s="6">
        <v>20.8</v>
      </c>
      <c r="W411" t="b">
        <v>1</v>
      </c>
      <c r="X411">
        <v>20</v>
      </c>
      <c r="Y411">
        <v>3</v>
      </c>
      <c r="Z411">
        <v>20</v>
      </c>
      <c r="AA411" s="6">
        <v>29.948453608247419</v>
      </c>
      <c r="AB411">
        <f>--PizzaDelivery[[#This Row],[Is Delayed]]</f>
        <v>1</v>
      </c>
    </row>
    <row r="412" spans="1:28">
      <c r="A412" t="s">
        <v>611</v>
      </c>
      <c r="B412" t="s">
        <v>157</v>
      </c>
      <c r="C412" t="s">
        <v>339</v>
      </c>
      <c r="D412" s="1">
        <v>45635</v>
      </c>
      <c r="E412" s="5">
        <v>0.78125</v>
      </c>
      <c r="F412" s="1">
        <v>45635</v>
      </c>
      <c r="G412" s="5">
        <v>0.79513888888888884</v>
      </c>
      <c r="H412">
        <v>20</v>
      </c>
      <c r="I412" t="s">
        <v>159</v>
      </c>
      <c r="J412" t="s">
        <v>160</v>
      </c>
      <c r="K412">
        <v>1</v>
      </c>
      <c r="L412">
        <v>2.5</v>
      </c>
      <c r="M412" t="s">
        <v>161</v>
      </c>
      <c r="N412" t="s">
        <v>169</v>
      </c>
      <c r="O412" t="b">
        <v>1</v>
      </c>
      <c r="P412" t="b">
        <v>0</v>
      </c>
      <c r="Q412" s="6">
        <v>8</v>
      </c>
      <c r="R412" s="6">
        <v>0.4</v>
      </c>
      <c r="S412" t="s">
        <v>603</v>
      </c>
      <c r="T412" t="s">
        <v>171</v>
      </c>
      <c r="U412" s="6">
        <v>6</v>
      </c>
      <c r="V412" s="6">
        <v>14</v>
      </c>
      <c r="W412" t="b">
        <v>0</v>
      </c>
      <c r="X412">
        <v>1</v>
      </c>
      <c r="Y412">
        <v>1</v>
      </c>
      <c r="Z412">
        <v>18</v>
      </c>
      <c r="AA412" s="6">
        <v>28.844221105527641</v>
      </c>
      <c r="AB412">
        <f>--PizzaDelivery[[#This Row],[Is Delayed]]</f>
        <v>0</v>
      </c>
    </row>
    <row r="413" spans="1:28">
      <c r="A413" t="s">
        <v>612</v>
      </c>
      <c r="B413" t="s">
        <v>173</v>
      </c>
      <c r="C413" t="s">
        <v>194</v>
      </c>
      <c r="D413" s="1">
        <v>45636</v>
      </c>
      <c r="E413" s="5">
        <v>0.79166666666666663</v>
      </c>
      <c r="F413" s="1">
        <v>45636</v>
      </c>
      <c r="G413" s="5">
        <v>0.82638888888888884</v>
      </c>
      <c r="H413">
        <v>50</v>
      </c>
      <c r="I413" t="s">
        <v>151</v>
      </c>
      <c r="J413" t="s">
        <v>152</v>
      </c>
      <c r="K413">
        <v>4</v>
      </c>
      <c r="L413">
        <v>10</v>
      </c>
      <c r="M413" t="s">
        <v>153</v>
      </c>
      <c r="N413" t="s">
        <v>145</v>
      </c>
      <c r="O413" t="b">
        <v>1</v>
      </c>
      <c r="P413" t="b">
        <v>0</v>
      </c>
      <c r="Q413" s="6">
        <v>5</v>
      </c>
      <c r="R413" s="6">
        <v>0.4</v>
      </c>
      <c r="S413" t="s">
        <v>603</v>
      </c>
      <c r="T413" t="s">
        <v>147</v>
      </c>
      <c r="U413" s="6">
        <v>24</v>
      </c>
      <c r="V413" s="6">
        <v>26</v>
      </c>
      <c r="W413" t="b">
        <v>1</v>
      </c>
      <c r="X413">
        <v>12</v>
      </c>
      <c r="Y413">
        <v>3</v>
      </c>
      <c r="Z413">
        <v>19</v>
      </c>
      <c r="AA413" s="6">
        <v>30.286458333333329</v>
      </c>
      <c r="AB413">
        <f>--PizzaDelivery[[#This Row],[Is Delayed]]</f>
        <v>1</v>
      </c>
    </row>
    <row r="414" spans="1:28">
      <c r="A414" t="s">
        <v>613</v>
      </c>
      <c r="B414" t="s">
        <v>142</v>
      </c>
      <c r="C414" t="s">
        <v>40</v>
      </c>
      <c r="D414" s="1">
        <v>45637</v>
      </c>
      <c r="E414" s="5">
        <v>0.75</v>
      </c>
      <c r="F414" s="1">
        <v>45637</v>
      </c>
      <c r="G414" s="5">
        <v>0.76388888888888884</v>
      </c>
      <c r="H414">
        <v>20</v>
      </c>
      <c r="I414" t="s">
        <v>143</v>
      </c>
      <c r="J414" t="s">
        <v>144</v>
      </c>
      <c r="K414">
        <v>2</v>
      </c>
      <c r="L414">
        <v>3</v>
      </c>
      <c r="M414" t="s">
        <v>161</v>
      </c>
      <c r="N414" t="s">
        <v>342</v>
      </c>
      <c r="O414" t="b">
        <v>1</v>
      </c>
      <c r="P414" t="b">
        <v>0</v>
      </c>
      <c r="Q414" s="6">
        <v>6.666666666666667</v>
      </c>
      <c r="R414" s="6">
        <v>0.66666666666666663</v>
      </c>
      <c r="S414" t="s">
        <v>603</v>
      </c>
      <c r="T414" t="s">
        <v>171</v>
      </c>
      <c r="U414" s="6">
        <v>7.1999999999999993</v>
      </c>
      <c r="V414" s="6">
        <v>12.8</v>
      </c>
      <c r="W414" t="b">
        <v>0</v>
      </c>
      <c r="X414">
        <v>4</v>
      </c>
      <c r="Y414">
        <v>1</v>
      </c>
      <c r="Z414">
        <v>18</v>
      </c>
      <c r="AA414" s="6">
        <v>30.259433962264151</v>
      </c>
      <c r="AB414">
        <f>--PizzaDelivery[[#This Row],[Is Delayed]]</f>
        <v>0</v>
      </c>
    </row>
    <row r="415" spans="1:28">
      <c r="A415" t="s">
        <v>614</v>
      </c>
      <c r="B415" t="s">
        <v>142</v>
      </c>
      <c r="C415" t="s">
        <v>166</v>
      </c>
      <c r="D415" s="1">
        <v>45638</v>
      </c>
      <c r="E415" s="5">
        <v>0.83333333333333337</v>
      </c>
      <c r="F415" s="1">
        <v>45638</v>
      </c>
      <c r="G415" s="5">
        <v>0.84722222222222221</v>
      </c>
      <c r="H415">
        <v>20</v>
      </c>
      <c r="I415" t="s">
        <v>143</v>
      </c>
      <c r="J415" t="s">
        <v>615</v>
      </c>
      <c r="K415">
        <v>2</v>
      </c>
      <c r="L415">
        <v>3</v>
      </c>
      <c r="M415" t="s">
        <v>161</v>
      </c>
      <c r="N415" t="s">
        <v>145</v>
      </c>
      <c r="O415" t="b">
        <v>1</v>
      </c>
      <c r="P415" t="b">
        <v>0</v>
      </c>
      <c r="Q415" s="6">
        <v>6.666666666666667</v>
      </c>
      <c r="R415" s="6">
        <v>0.66666666666666663</v>
      </c>
      <c r="S415" t="s">
        <v>603</v>
      </c>
      <c r="T415" t="s">
        <v>147</v>
      </c>
      <c r="U415" s="6">
        <v>7.1999999999999993</v>
      </c>
      <c r="V415" s="6">
        <v>12.8</v>
      </c>
      <c r="W415" t="b">
        <v>0</v>
      </c>
      <c r="X415">
        <v>4</v>
      </c>
      <c r="Y415">
        <v>1</v>
      </c>
      <c r="Z415">
        <v>20</v>
      </c>
      <c r="AA415" s="6">
        <v>30.259433962264151</v>
      </c>
      <c r="AB415">
        <f>--PizzaDelivery[[#This Row],[Is Delayed]]</f>
        <v>0</v>
      </c>
    </row>
    <row r="416" spans="1:28">
      <c r="A416" t="s">
        <v>616</v>
      </c>
      <c r="B416" t="s">
        <v>149</v>
      </c>
      <c r="C416" t="s">
        <v>158</v>
      </c>
      <c r="D416" s="1">
        <v>45639</v>
      </c>
      <c r="E416" s="5">
        <v>0.80208333333333337</v>
      </c>
      <c r="F416" s="1">
        <v>45639</v>
      </c>
      <c r="G416" s="5">
        <v>0.82291666666666663</v>
      </c>
      <c r="H416">
        <v>30</v>
      </c>
      <c r="I416" t="s">
        <v>151</v>
      </c>
      <c r="J416" t="s">
        <v>617</v>
      </c>
      <c r="K416">
        <v>4</v>
      </c>
      <c r="L416">
        <v>6</v>
      </c>
      <c r="M416" t="s">
        <v>143</v>
      </c>
      <c r="N416" t="s">
        <v>162</v>
      </c>
      <c r="O416" t="b">
        <v>1</v>
      </c>
      <c r="P416" t="b">
        <v>0</v>
      </c>
      <c r="Q416" s="6">
        <v>5</v>
      </c>
      <c r="R416" s="6">
        <v>0.66666666666666663</v>
      </c>
      <c r="S416" t="s">
        <v>603</v>
      </c>
      <c r="T416" t="s">
        <v>147</v>
      </c>
      <c r="U416" s="6">
        <v>14.4</v>
      </c>
      <c r="V416" s="6">
        <v>15.6</v>
      </c>
      <c r="W416" t="b">
        <v>0</v>
      </c>
      <c r="X416">
        <v>12</v>
      </c>
      <c r="Y416">
        <v>2</v>
      </c>
      <c r="Z416">
        <v>19</v>
      </c>
      <c r="AA416" s="6">
        <v>28.186274509803919</v>
      </c>
      <c r="AB416">
        <f>--PizzaDelivery[[#This Row],[Is Delayed]]</f>
        <v>0</v>
      </c>
    </row>
    <row r="417" spans="1:28">
      <c r="A417" t="s">
        <v>618</v>
      </c>
      <c r="B417" t="s">
        <v>165</v>
      </c>
      <c r="C417" t="s">
        <v>150</v>
      </c>
      <c r="D417" s="1">
        <v>45640</v>
      </c>
      <c r="E417" s="5">
        <v>0.85416666666666663</v>
      </c>
      <c r="F417" s="1">
        <v>45640</v>
      </c>
      <c r="G417" s="5">
        <v>0.88194444444444442</v>
      </c>
      <c r="H417">
        <v>40</v>
      </c>
      <c r="I417" t="s">
        <v>167</v>
      </c>
      <c r="J417" t="s">
        <v>168</v>
      </c>
      <c r="K417">
        <v>5</v>
      </c>
      <c r="L417">
        <v>8</v>
      </c>
      <c r="M417" t="s">
        <v>153</v>
      </c>
      <c r="N417" t="s">
        <v>504</v>
      </c>
      <c r="O417" t="b">
        <v>1</v>
      </c>
      <c r="P417" t="b">
        <v>1</v>
      </c>
      <c r="Q417" s="6">
        <v>5</v>
      </c>
      <c r="R417" s="6">
        <v>0.625</v>
      </c>
      <c r="S417" t="s">
        <v>603</v>
      </c>
      <c r="T417" t="s">
        <v>171</v>
      </c>
      <c r="U417" s="6">
        <v>19.2</v>
      </c>
      <c r="V417" s="6">
        <v>20.8</v>
      </c>
      <c r="W417" t="b">
        <v>1</v>
      </c>
      <c r="X417">
        <v>20</v>
      </c>
      <c r="Y417">
        <v>3</v>
      </c>
      <c r="Z417">
        <v>20</v>
      </c>
      <c r="AA417" s="6">
        <v>29.948453608247419</v>
      </c>
      <c r="AB417">
        <f>--PizzaDelivery[[#This Row],[Is Delayed]]</f>
        <v>1</v>
      </c>
    </row>
    <row r="418" spans="1:28">
      <c r="A418" t="s">
        <v>619</v>
      </c>
      <c r="B418" t="s">
        <v>157</v>
      </c>
      <c r="C418" t="s">
        <v>184</v>
      </c>
      <c r="D418" s="1">
        <v>45641</v>
      </c>
      <c r="E418" s="5">
        <v>0.78125</v>
      </c>
      <c r="F418" s="1">
        <v>45641</v>
      </c>
      <c r="G418" s="5">
        <v>0.79513888888888884</v>
      </c>
      <c r="H418">
        <v>20</v>
      </c>
      <c r="I418" t="s">
        <v>159</v>
      </c>
      <c r="J418" t="s">
        <v>160</v>
      </c>
      <c r="K418">
        <v>1</v>
      </c>
      <c r="L418">
        <v>2.5</v>
      </c>
      <c r="M418" t="s">
        <v>161</v>
      </c>
      <c r="N418" t="s">
        <v>169</v>
      </c>
      <c r="O418" t="b">
        <v>1</v>
      </c>
      <c r="P418" t="b">
        <v>1</v>
      </c>
      <c r="Q418" s="6">
        <v>8</v>
      </c>
      <c r="R418" s="6">
        <v>0.4</v>
      </c>
      <c r="S418" t="s">
        <v>603</v>
      </c>
      <c r="T418" t="s">
        <v>171</v>
      </c>
      <c r="U418" s="6">
        <v>6</v>
      </c>
      <c r="V418" s="6">
        <v>14</v>
      </c>
      <c r="W418" t="b">
        <v>0</v>
      </c>
      <c r="X418">
        <v>1</v>
      </c>
      <c r="Y418">
        <v>1</v>
      </c>
      <c r="Z418">
        <v>18</v>
      </c>
      <c r="AA418" s="6">
        <v>28.844221105527641</v>
      </c>
      <c r="AB418">
        <f>--PizzaDelivery[[#This Row],[Is Delayed]]</f>
        <v>0</v>
      </c>
    </row>
    <row r="419" spans="1:28">
      <c r="A419" t="s">
        <v>620</v>
      </c>
      <c r="B419" t="s">
        <v>173</v>
      </c>
      <c r="C419" t="s">
        <v>186</v>
      </c>
      <c r="D419" s="1">
        <v>45642</v>
      </c>
      <c r="E419" s="5">
        <v>0.79166666666666663</v>
      </c>
      <c r="F419" s="1">
        <v>45642</v>
      </c>
      <c r="G419" s="5">
        <v>0.82638888888888884</v>
      </c>
      <c r="H419">
        <v>50</v>
      </c>
      <c r="I419" t="s">
        <v>151</v>
      </c>
      <c r="J419" t="s">
        <v>152</v>
      </c>
      <c r="K419">
        <v>4</v>
      </c>
      <c r="L419">
        <v>10</v>
      </c>
      <c r="M419" t="s">
        <v>153</v>
      </c>
      <c r="N419" t="s">
        <v>145</v>
      </c>
      <c r="O419" t="b">
        <v>1</v>
      </c>
      <c r="P419" t="b">
        <v>0</v>
      </c>
      <c r="Q419" s="6">
        <v>5</v>
      </c>
      <c r="R419" s="6">
        <v>0.4</v>
      </c>
      <c r="S419" t="s">
        <v>603</v>
      </c>
      <c r="T419" t="s">
        <v>147</v>
      </c>
      <c r="U419" s="6">
        <v>24</v>
      </c>
      <c r="V419" s="6">
        <v>26</v>
      </c>
      <c r="W419" t="b">
        <v>1</v>
      </c>
      <c r="X419">
        <v>12</v>
      </c>
      <c r="Y419">
        <v>3</v>
      </c>
      <c r="Z419">
        <v>19</v>
      </c>
      <c r="AA419" s="6">
        <v>30.286458333333329</v>
      </c>
      <c r="AB419">
        <f>--PizzaDelivery[[#This Row],[Is Delayed]]</f>
        <v>1</v>
      </c>
    </row>
    <row r="420" spans="1:28">
      <c r="A420" t="s">
        <v>621</v>
      </c>
      <c r="B420" t="s">
        <v>142</v>
      </c>
      <c r="C420" t="s">
        <v>166</v>
      </c>
      <c r="D420" s="1">
        <v>45643</v>
      </c>
      <c r="E420" s="5">
        <v>0.83333333333333337</v>
      </c>
      <c r="F420" s="1">
        <v>45643</v>
      </c>
      <c r="G420" s="5">
        <v>0.85763888888888884</v>
      </c>
      <c r="H420">
        <v>35</v>
      </c>
      <c r="I420" t="s">
        <v>143</v>
      </c>
      <c r="J420" t="s">
        <v>591</v>
      </c>
      <c r="K420">
        <v>3</v>
      </c>
      <c r="L420">
        <v>5.5</v>
      </c>
      <c r="M420" t="s">
        <v>143</v>
      </c>
      <c r="N420" t="s">
        <v>154</v>
      </c>
      <c r="O420" t="b">
        <v>1</v>
      </c>
      <c r="P420" t="b">
        <v>0</v>
      </c>
      <c r="Q420" s="6">
        <v>6.3636363636363633</v>
      </c>
      <c r="R420" s="6">
        <v>0.54545454545454541</v>
      </c>
      <c r="S420" t="s">
        <v>603</v>
      </c>
      <c r="T420" t="s">
        <v>147</v>
      </c>
      <c r="U420" s="6">
        <v>13.2</v>
      </c>
      <c r="V420" s="6">
        <v>21.8</v>
      </c>
      <c r="W420" t="b">
        <v>1</v>
      </c>
      <c r="X420">
        <v>6</v>
      </c>
      <c r="Y420">
        <v>2</v>
      </c>
      <c r="Z420">
        <v>20</v>
      </c>
      <c r="AA420" s="6">
        <v>30.259433962264151</v>
      </c>
      <c r="AB420">
        <f>--PizzaDelivery[[#This Row],[Is Delayed]]</f>
        <v>1</v>
      </c>
    </row>
    <row r="421" spans="1:28">
      <c r="A421" t="s">
        <v>622</v>
      </c>
      <c r="B421" t="s">
        <v>149</v>
      </c>
      <c r="C421" t="s">
        <v>192</v>
      </c>
      <c r="D421" s="1">
        <v>45644</v>
      </c>
      <c r="E421" s="5">
        <v>0.77083333333333337</v>
      </c>
      <c r="F421" s="1">
        <v>45644</v>
      </c>
      <c r="G421" s="5">
        <v>0.78472222222222221</v>
      </c>
      <c r="H421">
        <v>20</v>
      </c>
      <c r="I421" t="s">
        <v>159</v>
      </c>
      <c r="J421" t="s">
        <v>160</v>
      </c>
      <c r="K421">
        <v>2</v>
      </c>
      <c r="L421">
        <v>2</v>
      </c>
      <c r="M421" t="s">
        <v>161</v>
      </c>
      <c r="N421" t="s">
        <v>162</v>
      </c>
      <c r="O421" t="b">
        <v>1</v>
      </c>
      <c r="P421" t="b">
        <v>0</v>
      </c>
      <c r="Q421" s="6">
        <v>10</v>
      </c>
      <c r="R421" s="6">
        <v>1</v>
      </c>
      <c r="S421" t="s">
        <v>603</v>
      </c>
      <c r="T421" t="s">
        <v>147</v>
      </c>
      <c r="U421" s="6">
        <v>4.8</v>
      </c>
      <c r="V421" s="6">
        <v>15.2</v>
      </c>
      <c r="W421" t="b">
        <v>0</v>
      </c>
      <c r="X421">
        <v>2</v>
      </c>
      <c r="Y421">
        <v>1</v>
      </c>
      <c r="Z421">
        <v>18</v>
      </c>
      <c r="AA421" s="6">
        <v>28.186274509803919</v>
      </c>
      <c r="AB421">
        <f>--PizzaDelivery[[#This Row],[Is Delayed]]</f>
        <v>0</v>
      </c>
    </row>
    <row r="422" spans="1:28">
      <c r="A422" t="s">
        <v>623</v>
      </c>
      <c r="B422" t="s">
        <v>165</v>
      </c>
      <c r="C422" t="s">
        <v>194</v>
      </c>
      <c r="D422" s="1">
        <v>45645</v>
      </c>
      <c r="E422" s="5">
        <v>0.82291666666666663</v>
      </c>
      <c r="F422" s="1">
        <v>45645</v>
      </c>
      <c r="G422" s="5">
        <v>0.85069444444444442</v>
      </c>
      <c r="H422">
        <v>40</v>
      </c>
      <c r="I422" t="s">
        <v>167</v>
      </c>
      <c r="J422" t="s">
        <v>594</v>
      </c>
      <c r="K422">
        <v>5</v>
      </c>
      <c r="L422">
        <v>7.5</v>
      </c>
      <c r="M422" t="s">
        <v>153</v>
      </c>
      <c r="N422" t="s">
        <v>145</v>
      </c>
      <c r="O422" t="b">
        <v>1</v>
      </c>
      <c r="P422" t="b">
        <v>0</v>
      </c>
      <c r="Q422" s="6">
        <v>5.333333333333333</v>
      </c>
      <c r="R422" s="6">
        <v>0.66666666666666663</v>
      </c>
      <c r="S422" t="s">
        <v>603</v>
      </c>
      <c r="T422" t="s">
        <v>147</v>
      </c>
      <c r="U422" s="6">
        <v>18</v>
      </c>
      <c r="V422" s="6">
        <v>22</v>
      </c>
      <c r="W422" t="b">
        <v>1</v>
      </c>
      <c r="X422">
        <v>20</v>
      </c>
      <c r="Y422">
        <v>3</v>
      </c>
      <c r="Z422">
        <v>19</v>
      </c>
      <c r="AA422" s="6">
        <v>29.948453608247419</v>
      </c>
      <c r="AB422">
        <f>--PizzaDelivery[[#This Row],[Is Delayed]]</f>
        <v>1</v>
      </c>
    </row>
    <row r="423" spans="1:28">
      <c r="A423" t="s">
        <v>624</v>
      </c>
      <c r="B423" t="s">
        <v>157</v>
      </c>
      <c r="C423" t="s">
        <v>174</v>
      </c>
      <c r="D423" s="1">
        <v>45646</v>
      </c>
      <c r="E423" s="5">
        <v>0.75</v>
      </c>
      <c r="F423" s="1">
        <v>45646</v>
      </c>
      <c r="G423" s="5">
        <v>0.77083333333333337</v>
      </c>
      <c r="H423">
        <v>30</v>
      </c>
      <c r="I423" t="s">
        <v>143</v>
      </c>
      <c r="J423" t="s">
        <v>152</v>
      </c>
      <c r="K423">
        <v>3</v>
      </c>
      <c r="L423">
        <v>4</v>
      </c>
      <c r="M423" t="s">
        <v>143</v>
      </c>
      <c r="N423" t="s">
        <v>145</v>
      </c>
      <c r="O423" t="b">
        <v>1</v>
      </c>
      <c r="P423" t="b">
        <v>0</v>
      </c>
      <c r="Q423" s="6">
        <v>7.5</v>
      </c>
      <c r="R423" s="6">
        <v>0.75</v>
      </c>
      <c r="S423" t="s">
        <v>603</v>
      </c>
      <c r="T423" t="s">
        <v>147</v>
      </c>
      <c r="U423" s="6">
        <v>9.6</v>
      </c>
      <c r="V423" s="6">
        <v>20.399999999999999</v>
      </c>
      <c r="W423" t="b">
        <v>0</v>
      </c>
      <c r="X423">
        <v>6</v>
      </c>
      <c r="Y423">
        <v>2</v>
      </c>
      <c r="Z423">
        <v>18</v>
      </c>
      <c r="AA423" s="6">
        <v>28.844221105527641</v>
      </c>
      <c r="AB423">
        <f>--PizzaDelivery[[#This Row],[Is Delayed]]</f>
        <v>0</v>
      </c>
    </row>
    <row r="424" spans="1:28">
      <c r="A424" t="s">
        <v>625</v>
      </c>
      <c r="B424" t="s">
        <v>173</v>
      </c>
      <c r="C424" t="s">
        <v>190</v>
      </c>
      <c r="D424" s="1">
        <v>45647</v>
      </c>
      <c r="E424" s="5">
        <v>0.84375</v>
      </c>
      <c r="F424" s="1">
        <v>45647</v>
      </c>
      <c r="G424" s="5">
        <v>0.875</v>
      </c>
      <c r="H424">
        <v>45</v>
      </c>
      <c r="I424" t="s">
        <v>151</v>
      </c>
      <c r="J424" t="s">
        <v>144</v>
      </c>
      <c r="K424">
        <v>4</v>
      </c>
      <c r="L424">
        <v>9</v>
      </c>
      <c r="M424" t="s">
        <v>153</v>
      </c>
      <c r="N424" t="s">
        <v>154</v>
      </c>
      <c r="O424" t="b">
        <v>1</v>
      </c>
      <c r="P424" t="b">
        <v>1</v>
      </c>
      <c r="Q424" s="6">
        <v>5</v>
      </c>
      <c r="R424" s="6">
        <v>0.44444444444444442</v>
      </c>
      <c r="S424" t="s">
        <v>603</v>
      </c>
      <c r="T424" t="s">
        <v>147</v>
      </c>
      <c r="U424" s="6">
        <v>21.6</v>
      </c>
      <c r="V424" s="6">
        <v>23.4</v>
      </c>
      <c r="W424" t="b">
        <v>1</v>
      </c>
      <c r="X424">
        <v>12</v>
      </c>
      <c r="Y424">
        <v>3</v>
      </c>
      <c r="Z424">
        <v>20</v>
      </c>
      <c r="AA424" s="6">
        <v>30.286458333333329</v>
      </c>
      <c r="AB424">
        <f>--PizzaDelivery[[#This Row],[Is Delayed]]</f>
        <v>1</v>
      </c>
    </row>
    <row r="425" spans="1:28">
      <c r="A425" t="s">
        <v>626</v>
      </c>
      <c r="B425" t="s">
        <v>142</v>
      </c>
      <c r="C425" t="s">
        <v>166</v>
      </c>
      <c r="D425" s="1">
        <v>45638</v>
      </c>
      <c r="E425" s="5">
        <v>0.83333333333333337</v>
      </c>
      <c r="F425" s="1">
        <v>45638</v>
      </c>
      <c r="G425" s="5">
        <v>0.84722222222222221</v>
      </c>
      <c r="H425">
        <v>20</v>
      </c>
      <c r="I425" t="s">
        <v>143</v>
      </c>
      <c r="J425" t="s">
        <v>615</v>
      </c>
      <c r="K425">
        <v>2</v>
      </c>
      <c r="L425">
        <v>3</v>
      </c>
      <c r="M425" t="s">
        <v>161</v>
      </c>
      <c r="N425" t="s">
        <v>145</v>
      </c>
      <c r="O425" t="b">
        <v>1</v>
      </c>
      <c r="P425" t="b">
        <v>0</v>
      </c>
      <c r="Q425" s="6">
        <v>6.666666666666667</v>
      </c>
      <c r="R425" s="6">
        <v>0.66666666666666663</v>
      </c>
      <c r="S425" t="s">
        <v>603</v>
      </c>
      <c r="T425" t="s">
        <v>147</v>
      </c>
      <c r="U425" s="6">
        <v>7.1999999999999993</v>
      </c>
      <c r="V425" s="6">
        <v>12.8</v>
      </c>
      <c r="W425" t="b">
        <v>0</v>
      </c>
      <c r="X425">
        <v>4</v>
      </c>
      <c r="Y425">
        <v>1</v>
      </c>
      <c r="Z425">
        <v>20</v>
      </c>
      <c r="AA425" s="6">
        <v>30.259433962264151</v>
      </c>
      <c r="AB425">
        <f>--PizzaDelivery[[#This Row],[Is Delayed]]</f>
        <v>0</v>
      </c>
    </row>
    <row r="426" spans="1:28">
      <c r="A426" t="s">
        <v>627</v>
      </c>
      <c r="B426" t="s">
        <v>149</v>
      </c>
      <c r="C426" t="s">
        <v>158</v>
      </c>
      <c r="D426" s="1">
        <v>45639</v>
      </c>
      <c r="E426" s="5">
        <v>0.80208333333333337</v>
      </c>
      <c r="F426" s="1">
        <v>45639</v>
      </c>
      <c r="G426" s="5">
        <v>0.82291666666666663</v>
      </c>
      <c r="H426">
        <v>30</v>
      </c>
      <c r="I426" t="s">
        <v>151</v>
      </c>
      <c r="J426" t="s">
        <v>617</v>
      </c>
      <c r="K426">
        <v>4</v>
      </c>
      <c r="L426">
        <v>6</v>
      </c>
      <c r="M426" t="s">
        <v>143</v>
      </c>
      <c r="N426" t="s">
        <v>162</v>
      </c>
      <c r="O426" t="b">
        <v>1</v>
      </c>
      <c r="P426" t="b">
        <v>0</v>
      </c>
      <c r="Q426" s="6">
        <v>5</v>
      </c>
      <c r="R426" s="6">
        <v>0.66666666666666663</v>
      </c>
      <c r="S426" t="s">
        <v>603</v>
      </c>
      <c r="T426" t="s">
        <v>147</v>
      </c>
      <c r="U426" s="6">
        <v>14.4</v>
      </c>
      <c r="V426" s="6">
        <v>15.6</v>
      </c>
      <c r="W426" t="b">
        <v>0</v>
      </c>
      <c r="X426">
        <v>12</v>
      </c>
      <c r="Y426">
        <v>2</v>
      </c>
      <c r="Z426">
        <v>19</v>
      </c>
      <c r="AA426" s="6">
        <v>28.186274509803919</v>
      </c>
      <c r="AB426">
        <f>--PizzaDelivery[[#This Row],[Is Delayed]]</f>
        <v>0</v>
      </c>
    </row>
    <row r="427" spans="1:28">
      <c r="A427" t="s">
        <v>628</v>
      </c>
      <c r="B427" t="s">
        <v>165</v>
      </c>
      <c r="C427" t="s">
        <v>150</v>
      </c>
      <c r="D427" s="1">
        <v>45640</v>
      </c>
      <c r="E427" s="5">
        <v>0.85416666666666663</v>
      </c>
      <c r="F427" s="1">
        <v>45640</v>
      </c>
      <c r="G427" s="5">
        <v>0.88194444444444442</v>
      </c>
      <c r="H427">
        <v>40</v>
      </c>
      <c r="I427" t="s">
        <v>167</v>
      </c>
      <c r="J427" t="s">
        <v>168</v>
      </c>
      <c r="K427">
        <v>5</v>
      </c>
      <c r="L427">
        <v>8</v>
      </c>
      <c r="M427" t="s">
        <v>153</v>
      </c>
      <c r="N427" t="s">
        <v>504</v>
      </c>
      <c r="O427" t="b">
        <v>1</v>
      </c>
      <c r="P427" t="b">
        <v>1</v>
      </c>
      <c r="Q427" s="6">
        <v>5</v>
      </c>
      <c r="R427" s="6">
        <v>0.625</v>
      </c>
      <c r="S427" t="s">
        <v>603</v>
      </c>
      <c r="T427" t="s">
        <v>171</v>
      </c>
      <c r="U427" s="6">
        <v>19.2</v>
      </c>
      <c r="V427" s="6">
        <v>20.8</v>
      </c>
      <c r="W427" t="b">
        <v>1</v>
      </c>
      <c r="X427">
        <v>20</v>
      </c>
      <c r="Y427">
        <v>3</v>
      </c>
      <c r="Z427">
        <v>20</v>
      </c>
      <c r="AA427" s="6">
        <v>29.948453608247419</v>
      </c>
      <c r="AB427">
        <f>--PizzaDelivery[[#This Row],[Is Delayed]]</f>
        <v>1</v>
      </c>
    </row>
    <row r="428" spans="1:28">
      <c r="A428" t="s">
        <v>629</v>
      </c>
      <c r="B428" t="s">
        <v>157</v>
      </c>
      <c r="C428" t="s">
        <v>184</v>
      </c>
      <c r="D428" s="1">
        <v>45641</v>
      </c>
      <c r="E428" s="5">
        <v>0.78125</v>
      </c>
      <c r="F428" s="1">
        <v>45641</v>
      </c>
      <c r="G428" s="5">
        <v>0.79513888888888884</v>
      </c>
      <c r="H428">
        <v>20</v>
      </c>
      <c r="I428" t="s">
        <v>159</v>
      </c>
      <c r="J428" t="s">
        <v>160</v>
      </c>
      <c r="K428">
        <v>1</v>
      </c>
      <c r="L428">
        <v>2.5</v>
      </c>
      <c r="M428" t="s">
        <v>161</v>
      </c>
      <c r="N428" t="s">
        <v>169</v>
      </c>
      <c r="O428" t="b">
        <v>1</v>
      </c>
      <c r="P428" t="b">
        <v>1</v>
      </c>
      <c r="Q428" s="6">
        <v>8</v>
      </c>
      <c r="R428" s="6">
        <v>0.4</v>
      </c>
      <c r="S428" t="s">
        <v>603</v>
      </c>
      <c r="T428" t="s">
        <v>171</v>
      </c>
      <c r="U428" s="6">
        <v>6</v>
      </c>
      <c r="V428" s="6">
        <v>14</v>
      </c>
      <c r="W428" t="b">
        <v>0</v>
      </c>
      <c r="X428">
        <v>1</v>
      </c>
      <c r="Y428">
        <v>1</v>
      </c>
      <c r="Z428">
        <v>18</v>
      </c>
      <c r="AA428" s="6">
        <v>28.844221105527641</v>
      </c>
      <c r="AB428">
        <f>--PizzaDelivery[[#This Row],[Is Delayed]]</f>
        <v>0</v>
      </c>
    </row>
    <row r="429" spans="1:28">
      <c r="A429" t="s">
        <v>630</v>
      </c>
      <c r="B429" t="s">
        <v>173</v>
      </c>
      <c r="C429" t="s">
        <v>186</v>
      </c>
      <c r="D429" s="1">
        <v>45642</v>
      </c>
      <c r="E429" s="5">
        <v>0.79166666666666663</v>
      </c>
      <c r="F429" s="1">
        <v>45642</v>
      </c>
      <c r="G429" s="5">
        <v>0.82638888888888884</v>
      </c>
      <c r="H429">
        <v>50</v>
      </c>
      <c r="I429" t="s">
        <v>151</v>
      </c>
      <c r="J429" t="s">
        <v>152</v>
      </c>
      <c r="K429">
        <v>4</v>
      </c>
      <c r="L429">
        <v>10</v>
      </c>
      <c r="M429" t="s">
        <v>153</v>
      </c>
      <c r="N429" t="s">
        <v>145</v>
      </c>
      <c r="O429" t="b">
        <v>1</v>
      </c>
      <c r="P429" t="b">
        <v>0</v>
      </c>
      <c r="Q429" s="6">
        <v>5</v>
      </c>
      <c r="R429" s="6">
        <v>0.4</v>
      </c>
      <c r="S429" t="s">
        <v>603</v>
      </c>
      <c r="T429" t="s">
        <v>147</v>
      </c>
      <c r="U429" s="6">
        <v>24</v>
      </c>
      <c r="V429" s="6">
        <v>26</v>
      </c>
      <c r="W429" t="b">
        <v>1</v>
      </c>
      <c r="X429">
        <v>12</v>
      </c>
      <c r="Y429">
        <v>3</v>
      </c>
      <c r="Z429">
        <v>19</v>
      </c>
      <c r="AA429" s="6">
        <v>30.286458333333329</v>
      </c>
      <c r="AB429">
        <f>--PizzaDelivery[[#This Row],[Is Delayed]]</f>
        <v>1</v>
      </c>
    </row>
    <row r="430" spans="1:28">
      <c r="A430" t="s">
        <v>631</v>
      </c>
      <c r="B430" t="s">
        <v>142</v>
      </c>
      <c r="C430" t="s">
        <v>166</v>
      </c>
      <c r="D430" s="1">
        <v>45643</v>
      </c>
      <c r="E430" s="5">
        <v>0.83333333333333337</v>
      </c>
      <c r="F430" s="1">
        <v>45643</v>
      </c>
      <c r="G430" s="5">
        <v>0.85763888888888884</v>
      </c>
      <c r="H430">
        <v>35</v>
      </c>
      <c r="I430" t="s">
        <v>143</v>
      </c>
      <c r="J430" t="s">
        <v>591</v>
      </c>
      <c r="K430">
        <v>3</v>
      </c>
      <c r="L430">
        <v>5.5</v>
      </c>
      <c r="M430" t="s">
        <v>143</v>
      </c>
      <c r="N430" t="s">
        <v>154</v>
      </c>
      <c r="O430" t="b">
        <v>1</v>
      </c>
      <c r="P430" t="b">
        <v>0</v>
      </c>
      <c r="Q430" s="6">
        <v>6.3636363636363633</v>
      </c>
      <c r="R430" s="6">
        <v>0.54545454545454541</v>
      </c>
      <c r="S430" t="s">
        <v>603</v>
      </c>
      <c r="T430" t="s">
        <v>147</v>
      </c>
      <c r="U430" s="6">
        <v>13.2</v>
      </c>
      <c r="V430" s="6">
        <v>21.8</v>
      </c>
      <c r="W430" t="b">
        <v>1</v>
      </c>
      <c r="X430">
        <v>6</v>
      </c>
      <c r="Y430">
        <v>2</v>
      </c>
      <c r="Z430">
        <v>20</v>
      </c>
      <c r="AA430" s="6">
        <v>30.259433962264151</v>
      </c>
      <c r="AB430">
        <f>--PizzaDelivery[[#This Row],[Is Delayed]]</f>
        <v>1</v>
      </c>
    </row>
    <row r="431" spans="1:28">
      <c r="A431" t="s">
        <v>632</v>
      </c>
      <c r="B431" t="s">
        <v>149</v>
      </c>
      <c r="C431" t="s">
        <v>192</v>
      </c>
      <c r="D431" s="1">
        <v>45644</v>
      </c>
      <c r="E431" s="5">
        <v>0.77083333333333337</v>
      </c>
      <c r="F431" s="1">
        <v>45644</v>
      </c>
      <c r="G431" s="5">
        <v>0.78472222222222221</v>
      </c>
      <c r="H431">
        <v>20</v>
      </c>
      <c r="I431" t="s">
        <v>159</v>
      </c>
      <c r="J431" t="s">
        <v>160</v>
      </c>
      <c r="K431">
        <v>2</v>
      </c>
      <c r="L431">
        <v>2</v>
      </c>
      <c r="M431" t="s">
        <v>161</v>
      </c>
      <c r="N431" t="s">
        <v>162</v>
      </c>
      <c r="O431" t="b">
        <v>1</v>
      </c>
      <c r="P431" t="b">
        <v>0</v>
      </c>
      <c r="Q431" s="6">
        <v>10</v>
      </c>
      <c r="R431" s="6">
        <v>1</v>
      </c>
      <c r="S431" t="s">
        <v>603</v>
      </c>
      <c r="T431" t="s">
        <v>147</v>
      </c>
      <c r="U431" s="6">
        <v>4.8</v>
      </c>
      <c r="V431" s="6">
        <v>15.2</v>
      </c>
      <c r="W431" t="b">
        <v>0</v>
      </c>
      <c r="X431">
        <v>2</v>
      </c>
      <c r="Y431">
        <v>1</v>
      </c>
      <c r="Z431">
        <v>18</v>
      </c>
      <c r="AA431" s="6">
        <v>28.186274509803919</v>
      </c>
      <c r="AB431">
        <f>--PizzaDelivery[[#This Row],[Is Delayed]]</f>
        <v>0</v>
      </c>
    </row>
    <row r="432" spans="1:28">
      <c r="A432" t="s">
        <v>633</v>
      </c>
      <c r="B432" t="s">
        <v>165</v>
      </c>
      <c r="C432" t="s">
        <v>194</v>
      </c>
      <c r="D432" s="1">
        <v>45645</v>
      </c>
      <c r="E432" s="5">
        <v>0.82291666666666663</v>
      </c>
      <c r="F432" s="1">
        <v>45645</v>
      </c>
      <c r="G432" s="5">
        <v>0.85069444444444442</v>
      </c>
      <c r="H432">
        <v>40</v>
      </c>
      <c r="I432" t="s">
        <v>167</v>
      </c>
      <c r="J432" t="s">
        <v>594</v>
      </c>
      <c r="K432">
        <v>5</v>
      </c>
      <c r="L432">
        <v>7.5</v>
      </c>
      <c r="M432" t="s">
        <v>153</v>
      </c>
      <c r="N432" t="s">
        <v>145</v>
      </c>
      <c r="O432" t="b">
        <v>1</v>
      </c>
      <c r="P432" t="b">
        <v>0</v>
      </c>
      <c r="Q432" s="6">
        <v>5.333333333333333</v>
      </c>
      <c r="R432" s="6">
        <v>0.66666666666666663</v>
      </c>
      <c r="S432" t="s">
        <v>603</v>
      </c>
      <c r="T432" t="s">
        <v>147</v>
      </c>
      <c r="U432" s="6">
        <v>18</v>
      </c>
      <c r="V432" s="6">
        <v>22</v>
      </c>
      <c r="W432" t="b">
        <v>1</v>
      </c>
      <c r="X432">
        <v>20</v>
      </c>
      <c r="Y432">
        <v>3</v>
      </c>
      <c r="Z432">
        <v>19</v>
      </c>
      <c r="AA432" s="6">
        <v>29.948453608247419</v>
      </c>
      <c r="AB432">
        <f>--PizzaDelivery[[#This Row],[Is Delayed]]</f>
        <v>1</v>
      </c>
    </row>
    <row r="433" spans="1:28">
      <c r="A433" t="s">
        <v>634</v>
      </c>
      <c r="B433" t="s">
        <v>157</v>
      </c>
      <c r="C433" t="s">
        <v>174</v>
      </c>
      <c r="D433" s="1">
        <v>45646</v>
      </c>
      <c r="E433" s="5">
        <v>0.75</v>
      </c>
      <c r="F433" s="1">
        <v>45646</v>
      </c>
      <c r="G433" s="5">
        <v>0.77083333333333337</v>
      </c>
      <c r="H433">
        <v>30</v>
      </c>
      <c r="I433" t="s">
        <v>143</v>
      </c>
      <c r="J433" t="s">
        <v>152</v>
      </c>
      <c r="K433">
        <v>3</v>
      </c>
      <c r="L433">
        <v>4</v>
      </c>
      <c r="M433" t="s">
        <v>143</v>
      </c>
      <c r="N433" t="s">
        <v>145</v>
      </c>
      <c r="O433" t="b">
        <v>1</v>
      </c>
      <c r="P433" t="b">
        <v>0</v>
      </c>
      <c r="Q433" s="6">
        <v>7.5</v>
      </c>
      <c r="R433" s="6">
        <v>0.75</v>
      </c>
      <c r="S433" t="s">
        <v>603</v>
      </c>
      <c r="T433" t="s">
        <v>147</v>
      </c>
      <c r="U433" s="6">
        <v>9.6</v>
      </c>
      <c r="V433" s="6">
        <v>20.399999999999999</v>
      </c>
      <c r="W433" t="b">
        <v>0</v>
      </c>
      <c r="X433">
        <v>6</v>
      </c>
      <c r="Y433">
        <v>2</v>
      </c>
      <c r="Z433">
        <v>18</v>
      </c>
      <c r="AA433" s="6">
        <v>28.844221105527641</v>
      </c>
      <c r="AB433">
        <f>--PizzaDelivery[[#This Row],[Is Delayed]]</f>
        <v>0</v>
      </c>
    </row>
    <row r="434" spans="1:28">
      <c r="A434" t="s">
        <v>635</v>
      </c>
      <c r="B434" t="s">
        <v>173</v>
      </c>
      <c r="C434" t="s">
        <v>190</v>
      </c>
      <c r="D434" s="1">
        <v>45647</v>
      </c>
      <c r="E434" s="5">
        <v>0.84375</v>
      </c>
      <c r="F434" s="1">
        <v>45647</v>
      </c>
      <c r="G434" s="5">
        <v>0.875</v>
      </c>
      <c r="H434">
        <v>45</v>
      </c>
      <c r="I434" t="s">
        <v>151</v>
      </c>
      <c r="J434" t="s">
        <v>144</v>
      </c>
      <c r="K434">
        <v>4</v>
      </c>
      <c r="L434">
        <v>9</v>
      </c>
      <c r="M434" t="s">
        <v>153</v>
      </c>
      <c r="N434" t="s">
        <v>154</v>
      </c>
      <c r="O434" t="b">
        <v>1</v>
      </c>
      <c r="P434" t="b">
        <v>1</v>
      </c>
      <c r="Q434" s="6">
        <v>5</v>
      </c>
      <c r="R434" s="6">
        <v>0.44444444444444442</v>
      </c>
      <c r="S434" t="s">
        <v>603</v>
      </c>
      <c r="T434" t="s">
        <v>147</v>
      </c>
      <c r="U434" s="6">
        <v>21.6</v>
      </c>
      <c r="V434" s="6">
        <v>23.4</v>
      </c>
      <c r="W434" t="b">
        <v>1</v>
      </c>
      <c r="X434">
        <v>12</v>
      </c>
      <c r="Y434">
        <v>3</v>
      </c>
      <c r="Z434">
        <v>20</v>
      </c>
      <c r="AA434" s="6">
        <v>30.286458333333329</v>
      </c>
      <c r="AB434">
        <f>--PizzaDelivery[[#This Row],[Is Delayed]]</f>
        <v>1</v>
      </c>
    </row>
    <row r="435" spans="1:28">
      <c r="A435" t="s">
        <v>636</v>
      </c>
      <c r="B435" t="s">
        <v>142</v>
      </c>
      <c r="C435" t="s">
        <v>315</v>
      </c>
      <c r="D435" s="1">
        <v>45648</v>
      </c>
      <c r="E435" s="5">
        <v>0.75</v>
      </c>
      <c r="F435" s="1">
        <v>45648</v>
      </c>
      <c r="G435" s="5">
        <v>0.76388888888888884</v>
      </c>
      <c r="H435">
        <v>20</v>
      </c>
      <c r="I435" t="s">
        <v>143</v>
      </c>
      <c r="J435" t="s">
        <v>144</v>
      </c>
      <c r="K435">
        <v>2</v>
      </c>
      <c r="L435">
        <v>3</v>
      </c>
      <c r="M435" t="s">
        <v>161</v>
      </c>
      <c r="N435" t="s">
        <v>145</v>
      </c>
      <c r="O435" t="b">
        <v>1</v>
      </c>
      <c r="P435" t="b">
        <v>1</v>
      </c>
      <c r="Q435" s="6">
        <v>6.666666666666667</v>
      </c>
      <c r="R435" s="6">
        <v>0.66666666666666663</v>
      </c>
      <c r="S435" t="s">
        <v>603</v>
      </c>
      <c r="T435" t="s">
        <v>147</v>
      </c>
      <c r="U435" s="6">
        <v>7.1999999999999993</v>
      </c>
      <c r="V435" s="6">
        <v>12.8</v>
      </c>
      <c r="W435" t="b">
        <v>0</v>
      </c>
      <c r="X435">
        <v>4</v>
      </c>
      <c r="Y435">
        <v>1</v>
      </c>
      <c r="Z435">
        <v>18</v>
      </c>
      <c r="AA435" s="6">
        <v>30.259433962264151</v>
      </c>
      <c r="AB435">
        <f>--PizzaDelivery[[#This Row],[Is Delayed]]</f>
        <v>0</v>
      </c>
    </row>
    <row r="436" spans="1:28">
      <c r="A436" t="s">
        <v>637</v>
      </c>
      <c r="B436" t="s">
        <v>149</v>
      </c>
      <c r="C436" t="s">
        <v>317</v>
      </c>
      <c r="D436" s="1">
        <v>45649</v>
      </c>
      <c r="E436" s="5">
        <v>0.80208333333333337</v>
      </c>
      <c r="F436" s="1">
        <v>45649</v>
      </c>
      <c r="G436" s="5">
        <v>0.82291666666666663</v>
      </c>
      <c r="H436">
        <v>30</v>
      </c>
      <c r="I436" t="s">
        <v>151</v>
      </c>
      <c r="J436" t="s">
        <v>152</v>
      </c>
      <c r="K436">
        <v>4</v>
      </c>
      <c r="L436">
        <v>6</v>
      </c>
      <c r="M436" t="s">
        <v>143</v>
      </c>
      <c r="N436" t="s">
        <v>169</v>
      </c>
      <c r="O436" t="b">
        <v>1</v>
      </c>
      <c r="P436" t="b">
        <v>0</v>
      </c>
      <c r="Q436" s="6">
        <v>5</v>
      </c>
      <c r="R436" s="6">
        <v>0.66666666666666663</v>
      </c>
      <c r="S436" t="s">
        <v>603</v>
      </c>
      <c r="T436" t="s">
        <v>171</v>
      </c>
      <c r="U436" s="6">
        <v>14.4</v>
      </c>
      <c r="V436" s="6">
        <v>15.6</v>
      </c>
      <c r="W436" t="b">
        <v>0</v>
      </c>
      <c r="X436">
        <v>12</v>
      </c>
      <c r="Y436">
        <v>2</v>
      </c>
      <c r="Z436">
        <v>19</v>
      </c>
      <c r="AA436" s="6">
        <v>28.186274509803919</v>
      </c>
      <c r="AB436">
        <f>--PizzaDelivery[[#This Row],[Is Delayed]]</f>
        <v>0</v>
      </c>
    </row>
    <row r="437" spans="1:28">
      <c r="A437" t="s">
        <v>638</v>
      </c>
      <c r="B437" t="s">
        <v>165</v>
      </c>
      <c r="C437" t="s">
        <v>319</v>
      </c>
      <c r="D437" s="1">
        <v>45650</v>
      </c>
      <c r="E437" s="5">
        <v>0.85416666666666663</v>
      </c>
      <c r="F437" s="1">
        <v>45650</v>
      </c>
      <c r="G437" s="5">
        <v>0.88194444444444442</v>
      </c>
      <c r="H437">
        <v>40</v>
      </c>
      <c r="I437" t="s">
        <v>167</v>
      </c>
      <c r="J437" t="s">
        <v>168</v>
      </c>
      <c r="K437">
        <v>5</v>
      </c>
      <c r="L437">
        <v>8</v>
      </c>
      <c r="M437" t="s">
        <v>153</v>
      </c>
      <c r="N437" t="s">
        <v>145</v>
      </c>
      <c r="O437" t="b">
        <v>1</v>
      </c>
      <c r="P437" t="b">
        <v>0</v>
      </c>
      <c r="Q437" s="6">
        <v>5</v>
      </c>
      <c r="R437" s="6">
        <v>0.625</v>
      </c>
      <c r="S437" t="s">
        <v>603</v>
      </c>
      <c r="T437" t="s">
        <v>147</v>
      </c>
      <c r="U437" s="6">
        <v>19.2</v>
      </c>
      <c r="V437" s="6">
        <v>20.8</v>
      </c>
      <c r="W437" t="b">
        <v>1</v>
      </c>
      <c r="X437">
        <v>20</v>
      </c>
      <c r="Y437">
        <v>3</v>
      </c>
      <c r="Z437">
        <v>20</v>
      </c>
      <c r="AA437" s="6">
        <v>29.948453608247419</v>
      </c>
      <c r="AB437">
        <f>--PizzaDelivery[[#This Row],[Is Delayed]]</f>
        <v>1</v>
      </c>
    </row>
    <row r="438" spans="1:28">
      <c r="A438" t="s">
        <v>639</v>
      </c>
      <c r="B438" t="s">
        <v>157</v>
      </c>
      <c r="C438" t="s">
        <v>321</v>
      </c>
      <c r="D438" s="1">
        <v>45651</v>
      </c>
      <c r="E438" s="5">
        <v>0.78125</v>
      </c>
      <c r="F438" s="1">
        <v>45651</v>
      </c>
      <c r="G438" s="5">
        <v>0.79513888888888884</v>
      </c>
      <c r="H438">
        <v>20</v>
      </c>
      <c r="I438" t="s">
        <v>159</v>
      </c>
      <c r="J438" t="s">
        <v>160</v>
      </c>
      <c r="K438">
        <v>1</v>
      </c>
      <c r="L438">
        <v>2.5</v>
      </c>
      <c r="M438" t="s">
        <v>161</v>
      </c>
      <c r="N438" t="s">
        <v>154</v>
      </c>
      <c r="O438" t="b">
        <v>1</v>
      </c>
      <c r="P438" t="b">
        <v>0</v>
      </c>
      <c r="Q438" s="6">
        <v>8</v>
      </c>
      <c r="R438" s="6">
        <v>0.4</v>
      </c>
      <c r="S438" t="s">
        <v>603</v>
      </c>
      <c r="T438" t="s">
        <v>147</v>
      </c>
      <c r="U438" s="6">
        <v>6</v>
      </c>
      <c r="V438" s="6">
        <v>14</v>
      </c>
      <c r="W438" t="b">
        <v>0</v>
      </c>
      <c r="X438">
        <v>1</v>
      </c>
      <c r="Y438">
        <v>1</v>
      </c>
      <c r="Z438">
        <v>18</v>
      </c>
      <c r="AA438" s="6">
        <v>28.844221105527641</v>
      </c>
      <c r="AB438">
        <f>--PizzaDelivery[[#This Row],[Is Delayed]]</f>
        <v>0</v>
      </c>
    </row>
    <row r="439" spans="1:28">
      <c r="A439" t="s">
        <v>640</v>
      </c>
      <c r="B439" t="s">
        <v>173</v>
      </c>
      <c r="C439" t="s">
        <v>323</v>
      </c>
      <c r="D439" s="1">
        <v>45652</v>
      </c>
      <c r="E439" s="5">
        <v>0.79166666666666663</v>
      </c>
      <c r="F439" s="1">
        <v>45652</v>
      </c>
      <c r="G439" s="5">
        <v>0.82638888888888884</v>
      </c>
      <c r="H439">
        <v>50</v>
      </c>
      <c r="I439" t="s">
        <v>151</v>
      </c>
      <c r="J439" t="s">
        <v>152</v>
      </c>
      <c r="K439">
        <v>4</v>
      </c>
      <c r="L439">
        <v>10</v>
      </c>
      <c r="M439" t="s">
        <v>153</v>
      </c>
      <c r="N439" t="s">
        <v>145</v>
      </c>
      <c r="O439" t="b">
        <v>1</v>
      </c>
      <c r="P439" t="b">
        <v>0</v>
      </c>
      <c r="Q439" s="6">
        <v>5</v>
      </c>
      <c r="R439" s="6">
        <v>0.4</v>
      </c>
      <c r="S439" t="s">
        <v>603</v>
      </c>
      <c r="T439" t="s">
        <v>147</v>
      </c>
      <c r="U439" s="6">
        <v>24</v>
      </c>
      <c r="V439" s="6">
        <v>26</v>
      </c>
      <c r="W439" t="b">
        <v>1</v>
      </c>
      <c r="X439">
        <v>12</v>
      </c>
      <c r="Y439">
        <v>3</v>
      </c>
      <c r="Z439">
        <v>19</v>
      </c>
      <c r="AA439" s="6">
        <v>30.286458333333329</v>
      </c>
      <c r="AB439">
        <f>--PizzaDelivery[[#This Row],[Is Delayed]]</f>
        <v>1</v>
      </c>
    </row>
    <row r="440" spans="1:28">
      <c r="A440" t="s">
        <v>641</v>
      </c>
      <c r="B440" t="s">
        <v>142</v>
      </c>
      <c r="C440" t="s">
        <v>325</v>
      </c>
      <c r="D440" s="1">
        <v>45653</v>
      </c>
      <c r="E440" s="5">
        <v>0.83333333333333337</v>
      </c>
      <c r="F440" s="1">
        <v>45653</v>
      </c>
      <c r="G440" s="5">
        <v>0.85763888888888884</v>
      </c>
      <c r="H440">
        <v>35</v>
      </c>
      <c r="I440" t="s">
        <v>143</v>
      </c>
      <c r="J440" t="s">
        <v>144</v>
      </c>
      <c r="K440">
        <v>3</v>
      </c>
      <c r="L440">
        <v>5.5</v>
      </c>
      <c r="M440" t="s">
        <v>143</v>
      </c>
      <c r="N440" t="s">
        <v>154</v>
      </c>
      <c r="O440" t="b">
        <v>1</v>
      </c>
      <c r="P440" t="b">
        <v>0</v>
      </c>
      <c r="Q440" s="6">
        <v>6.3636363636363633</v>
      </c>
      <c r="R440" s="6">
        <v>0.54545454545454541</v>
      </c>
      <c r="S440" t="s">
        <v>603</v>
      </c>
      <c r="T440" t="s">
        <v>147</v>
      </c>
      <c r="U440" s="6">
        <v>13.2</v>
      </c>
      <c r="V440" s="6">
        <v>21.8</v>
      </c>
      <c r="W440" t="b">
        <v>1</v>
      </c>
      <c r="X440">
        <v>6</v>
      </c>
      <c r="Y440">
        <v>2</v>
      </c>
      <c r="Z440">
        <v>20</v>
      </c>
      <c r="AA440" s="6">
        <v>30.259433962264151</v>
      </c>
      <c r="AB440">
        <f>--PizzaDelivery[[#This Row],[Is Delayed]]</f>
        <v>1</v>
      </c>
    </row>
    <row r="441" spans="1:28">
      <c r="A441" t="s">
        <v>642</v>
      </c>
      <c r="B441" t="s">
        <v>149</v>
      </c>
      <c r="C441" t="s">
        <v>327</v>
      </c>
      <c r="D441" s="1">
        <v>45654</v>
      </c>
      <c r="E441" s="5">
        <v>0.77083333333333337</v>
      </c>
      <c r="F441" s="1">
        <v>45654</v>
      </c>
      <c r="G441" s="5">
        <v>0.78472222222222221</v>
      </c>
      <c r="H441">
        <v>20</v>
      </c>
      <c r="I441" t="s">
        <v>159</v>
      </c>
      <c r="J441" t="s">
        <v>160</v>
      </c>
      <c r="K441">
        <v>2</v>
      </c>
      <c r="L441">
        <v>2</v>
      </c>
      <c r="M441" t="s">
        <v>161</v>
      </c>
      <c r="N441" t="s">
        <v>162</v>
      </c>
      <c r="O441" t="b">
        <v>1</v>
      </c>
      <c r="P441" t="b">
        <v>1</v>
      </c>
      <c r="Q441" s="6">
        <v>10</v>
      </c>
      <c r="R441" s="6">
        <v>1</v>
      </c>
      <c r="S441" t="s">
        <v>603</v>
      </c>
      <c r="T441" t="s">
        <v>147</v>
      </c>
      <c r="U441" s="6">
        <v>4.8</v>
      </c>
      <c r="V441" s="6">
        <v>15.2</v>
      </c>
      <c r="W441" t="b">
        <v>0</v>
      </c>
      <c r="X441">
        <v>2</v>
      </c>
      <c r="Y441">
        <v>1</v>
      </c>
      <c r="Z441">
        <v>18</v>
      </c>
      <c r="AA441" s="6">
        <v>28.186274509803919</v>
      </c>
      <c r="AB441">
        <f>--PizzaDelivery[[#This Row],[Is Delayed]]</f>
        <v>0</v>
      </c>
    </row>
    <row r="442" spans="1:28">
      <c r="A442" t="s">
        <v>643</v>
      </c>
      <c r="B442" t="s">
        <v>165</v>
      </c>
      <c r="C442" t="s">
        <v>329</v>
      </c>
      <c r="D442" s="1">
        <v>45655</v>
      </c>
      <c r="E442" s="5">
        <v>0.82291666666666663</v>
      </c>
      <c r="F442" s="1">
        <v>45655</v>
      </c>
      <c r="G442" s="5">
        <v>0.85069444444444442</v>
      </c>
      <c r="H442">
        <v>40</v>
      </c>
      <c r="I442" t="s">
        <v>167</v>
      </c>
      <c r="J442" t="s">
        <v>594</v>
      </c>
      <c r="K442">
        <v>5</v>
      </c>
      <c r="L442">
        <v>7.5</v>
      </c>
      <c r="M442" t="s">
        <v>153</v>
      </c>
      <c r="N442" t="s">
        <v>145</v>
      </c>
      <c r="O442" t="b">
        <v>1</v>
      </c>
      <c r="P442" t="b">
        <v>1</v>
      </c>
      <c r="Q442" s="6">
        <v>5.333333333333333</v>
      </c>
      <c r="R442" s="6">
        <v>0.66666666666666663</v>
      </c>
      <c r="S442" t="s">
        <v>603</v>
      </c>
      <c r="T442" t="s">
        <v>147</v>
      </c>
      <c r="U442" s="6">
        <v>18</v>
      </c>
      <c r="V442" s="6">
        <v>22</v>
      </c>
      <c r="W442" t="b">
        <v>1</v>
      </c>
      <c r="X442">
        <v>20</v>
      </c>
      <c r="Y442">
        <v>3</v>
      </c>
      <c r="Z442">
        <v>19</v>
      </c>
      <c r="AA442" s="6">
        <v>29.948453608247419</v>
      </c>
      <c r="AB442">
        <f>--PizzaDelivery[[#This Row],[Is Delayed]]</f>
        <v>1</v>
      </c>
    </row>
    <row r="443" spans="1:28">
      <c r="A443" t="s">
        <v>644</v>
      </c>
      <c r="B443" t="s">
        <v>157</v>
      </c>
      <c r="C443" t="s">
        <v>182</v>
      </c>
      <c r="D443" s="1">
        <v>45656</v>
      </c>
      <c r="E443" s="5">
        <v>0.75</v>
      </c>
      <c r="F443" s="1">
        <v>45656</v>
      </c>
      <c r="G443" s="5">
        <v>0.77083333333333337</v>
      </c>
      <c r="H443">
        <v>30</v>
      </c>
      <c r="I443" t="s">
        <v>143</v>
      </c>
      <c r="J443" t="s">
        <v>152</v>
      </c>
      <c r="K443">
        <v>3</v>
      </c>
      <c r="L443">
        <v>4</v>
      </c>
      <c r="M443" t="s">
        <v>143</v>
      </c>
      <c r="N443" t="s">
        <v>162</v>
      </c>
      <c r="O443" t="b">
        <v>1</v>
      </c>
      <c r="P443" t="b">
        <v>0</v>
      </c>
      <c r="Q443" s="6">
        <v>7.5</v>
      </c>
      <c r="R443" s="6">
        <v>0.75</v>
      </c>
      <c r="S443" t="s">
        <v>603</v>
      </c>
      <c r="T443" t="s">
        <v>147</v>
      </c>
      <c r="U443" s="6">
        <v>9.6</v>
      </c>
      <c r="V443" s="6">
        <v>20.399999999999999</v>
      </c>
      <c r="W443" t="b">
        <v>0</v>
      </c>
      <c r="X443">
        <v>6</v>
      </c>
      <c r="Y443">
        <v>2</v>
      </c>
      <c r="Z443">
        <v>18</v>
      </c>
      <c r="AA443" s="6">
        <v>28.844221105527641</v>
      </c>
      <c r="AB443">
        <f>--PizzaDelivery[[#This Row],[Is Delayed]]</f>
        <v>0</v>
      </c>
    </row>
    <row r="444" spans="1:28">
      <c r="A444" t="s">
        <v>645</v>
      </c>
      <c r="B444" t="s">
        <v>173</v>
      </c>
      <c r="C444" t="s">
        <v>327</v>
      </c>
      <c r="D444" s="1">
        <v>45657</v>
      </c>
      <c r="E444" s="5">
        <v>0.84375</v>
      </c>
      <c r="F444" s="1">
        <v>45657</v>
      </c>
      <c r="G444" s="5">
        <v>0.875</v>
      </c>
      <c r="H444">
        <v>45</v>
      </c>
      <c r="I444" t="s">
        <v>151</v>
      </c>
      <c r="J444" t="s">
        <v>144</v>
      </c>
      <c r="K444">
        <v>4</v>
      </c>
      <c r="L444">
        <v>9</v>
      </c>
      <c r="M444" t="s">
        <v>153</v>
      </c>
      <c r="N444" t="s">
        <v>169</v>
      </c>
      <c r="O444" t="b">
        <v>1</v>
      </c>
      <c r="P444" t="b">
        <v>0</v>
      </c>
      <c r="Q444" s="6">
        <v>5</v>
      </c>
      <c r="R444" s="6">
        <v>0.44444444444444442</v>
      </c>
      <c r="S444" t="s">
        <v>603</v>
      </c>
      <c r="T444" t="s">
        <v>171</v>
      </c>
      <c r="U444" s="6">
        <v>21.6</v>
      </c>
      <c r="V444" s="6">
        <v>23.4</v>
      </c>
      <c r="W444" t="b">
        <v>1</v>
      </c>
      <c r="X444">
        <v>12</v>
      </c>
      <c r="Y444">
        <v>3</v>
      </c>
      <c r="Z444">
        <v>20</v>
      </c>
      <c r="AA444" s="6">
        <v>30.286458333333329</v>
      </c>
      <c r="AB444">
        <f>--PizzaDelivery[[#This Row],[Is Delayed]]</f>
        <v>1</v>
      </c>
    </row>
    <row r="445" spans="1:28">
      <c r="A445" t="s">
        <v>646</v>
      </c>
      <c r="B445" t="s">
        <v>142</v>
      </c>
      <c r="C445" t="s">
        <v>333</v>
      </c>
      <c r="D445" s="1">
        <v>45658</v>
      </c>
      <c r="E445" s="5">
        <v>0.75</v>
      </c>
      <c r="F445" s="1">
        <v>45658</v>
      </c>
      <c r="G445" s="5">
        <v>0.76388888888888884</v>
      </c>
      <c r="H445">
        <v>20</v>
      </c>
      <c r="I445" t="s">
        <v>143</v>
      </c>
      <c r="J445" t="s">
        <v>144</v>
      </c>
      <c r="K445">
        <v>2</v>
      </c>
      <c r="L445">
        <v>3</v>
      </c>
      <c r="M445" t="s">
        <v>161</v>
      </c>
      <c r="N445" t="s">
        <v>145</v>
      </c>
      <c r="O445" t="b">
        <v>1</v>
      </c>
      <c r="P445" t="b">
        <v>0</v>
      </c>
      <c r="Q445" s="6">
        <v>6.666666666666667</v>
      </c>
      <c r="R445" s="6">
        <v>0.66666666666666663</v>
      </c>
      <c r="S445" t="s">
        <v>146</v>
      </c>
      <c r="T445" t="s">
        <v>147</v>
      </c>
      <c r="U445" s="6">
        <v>7.1999999999999993</v>
      </c>
      <c r="V445" s="6">
        <v>12.8</v>
      </c>
      <c r="W445" t="b">
        <v>0</v>
      </c>
      <c r="X445">
        <v>4</v>
      </c>
      <c r="Y445">
        <v>1</v>
      </c>
      <c r="Z445">
        <v>18</v>
      </c>
      <c r="AA445" s="6">
        <v>30.259433962264151</v>
      </c>
      <c r="AB445">
        <f>--PizzaDelivery[[#This Row],[Is Delayed]]</f>
        <v>0</v>
      </c>
    </row>
    <row r="446" spans="1:28">
      <c r="A446" t="s">
        <v>647</v>
      </c>
      <c r="B446" t="s">
        <v>149</v>
      </c>
      <c r="C446" t="s">
        <v>335</v>
      </c>
      <c r="D446" s="1">
        <v>45659</v>
      </c>
      <c r="E446" s="5">
        <v>0.80208333333333337</v>
      </c>
      <c r="F446" s="1">
        <v>45659</v>
      </c>
      <c r="G446" s="5">
        <v>0.82291666666666663</v>
      </c>
      <c r="H446">
        <v>30</v>
      </c>
      <c r="I446" t="s">
        <v>151</v>
      </c>
      <c r="J446" t="s">
        <v>152</v>
      </c>
      <c r="K446">
        <v>4</v>
      </c>
      <c r="L446">
        <v>6</v>
      </c>
      <c r="M446" t="s">
        <v>143</v>
      </c>
      <c r="N446" t="s">
        <v>154</v>
      </c>
      <c r="O446" t="b">
        <v>1</v>
      </c>
      <c r="P446" t="b">
        <v>0</v>
      </c>
      <c r="Q446" s="6">
        <v>5</v>
      </c>
      <c r="R446" s="6">
        <v>0.66666666666666663</v>
      </c>
      <c r="S446" t="s">
        <v>146</v>
      </c>
      <c r="T446" t="s">
        <v>147</v>
      </c>
      <c r="U446" s="6">
        <v>14.4</v>
      </c>
      <c r="V446" s="6">
        <v>15.6</v>
      </c>
      <c r="W446" t="b">
        <v>0</v>
      </c>
      <c r="X446">
        <v>12</v>
      </c>
      <c r="Y446">
        <v>2</v>
      </c>
      <c r="Z446">
        <v>19</v>
      </c>
      <c r="AA446" s="6">
        <v>28.186274509803919</v>
      </c>
      <c r="AB446">
        <f>--PizzaDelivery[[#This Row],[Is Delayed]]</f>
        <v>0</v>
      </c>
    </row>
    <row r="447" spans="1:28">
      <c r="A447" t="s">
        <v>648</v>
      </c>
      <c r="B447" t="s">
        <v>165</v>
      </c>
      <c r="C447" t="s">
        <v>337</v>
      </c>
      <c r="D447" s="1">
        <v>45660</v>
      </c>
      <c r="E447" s="5">
        <v>0.85416666666666663</v>
      </c>
      <c r="F447" s="1">
        <v>45660</v>
      </c>
      <c r="G447" s="5">
        <v>0.88194444444444442</v>
      </c>
      <c r="H447">
        <v>40</v>
      </c>
      <c r="I447" t="s">
        <v>167</v>
      </c>
      <c r="J447" t="s">
        <v>168</v>
      </c>
      <c r="K447">
        <v>5</v>
      </c>
      <c r="L447">
        <v>8</v>
      </c>
      <c r="M447" t="s">
        <v>153</v>
      </c>
      <c r="N447" t="s">
        <v>145</v>
      </c>
      <c r="O447" t="b">
        <v>1</v>
      </c>
      <c r="P447" t="b">
        <v>0</v>
      </c>
      <c r="Q447" s="6">
        <v>5</v>
      </c>
      <c r="R447" s="6">
        <v>0.625</v>
      </c>
      <c r="S447" t="s">
        <v>146</v>
      </c>
      <c r="T447" t="s">
        <v>147</v>
      </c>
      <c r="U447" s="6">
        <v>19.2</v>
      </c>
      <c r="V447" s="6">
        <v>20.8</v>
      </c>
      <c r="W447" t="b">
        <v>1</v>
      </c>
      <c r="X447">
        <v>20</v>
      </c>
      <c r="Y447">
        <v>3</v>
      </c>
      <c r="Z447">
        <v>20</v>
      </c>
      <c r="AA447" s="6">
        <v>29.948453608247419</v>
      </c>
      <c r="AB447">
        <f>--PizzaDelivery[[#This Row],[Is Delayed]]</f>
        <v>1</v>
      </c>
    </row>
    <row r="448" spans="1:28">
      <c r="A448" t="s">
        <v>649</v>
      </c>
      <c r="B448" t="s">
        <v>157</v>
      </c>
      <c r="C448" t="s">
        <v>339</v>
      </c>
      <c r="D448" s="1">
        <v>45661</v>
      </c>
      <c r="E448" s="5">
        <v>0.78125</v>
      </c>
      <c r="F448" s="1">
        <v>45661</v>
      </c>
      <c r="G448" s="5">
        <v>0.79513888888888884</v>
      </c>
      <c r="H448">
        <v>20</v>
      </c>
      <c r="I448" t="s">
        <v>159</v>
      </c>
      <c r="J448" t="s">
        <v>160</v>
      </c>
      <c r="K448">
        <v>1</v>
      </c>
      <c r="L448">
        <v>2.5</v>
      </c>
      <c r="M448" t="s">
        <v>161</v>
      </c>
      <c r="N448" t="s">
        <v>169</v>
      </c>
      <c r="O448" t="b">
        <v>1</v>
      </c>
      <c r="P448" t="b">
        <v>1</v>
      </c>
      <c r="Q448" s="6">
        <v>8</v>
      </c>
      <c r="R448" s="6">
        <v>0.4</v>
      </c>
      <c r="S448" t="s">
        <v>146</v>
      </c>
      <c r="T448" t="s">
        <v>171</v>
      </c>
      <c r="U448" s="6">
        <v>6</v>
      </c>
      <c r="V448" s="6">
        <v>14</v>
      </c>
      <c r="W448" t="b">
        <v>0</v>
      </c>
      <c r="X448">
        <v>1</v>
      </c>
      <c r="Y448">
        <v>1</v>
      </c>
      <c r="Z448">
        <v>18</v>
      </c>
      <c r="AA448" s="6">
        <v>28.844221105527641</v>
      </c>
      <c r="AB448">
        <f>--PizzaDelivery[[#This Row],[Is Delayed]]</f>
        <v>0</v>
      </c>
    </row>
    <row r="449" spans="1:28">
      <c r="A449" t="s">
        <v>650</v>
      </c>
      <c r="B449" t="s">
        <v>173</v>
      </c>
      <c r="C449" t="s">
        <v>194</v>
      </c>
      <c r="D449" s="1">
        <v>45662</v>
      </c>
      <c r="E449" s="5">
        <v>0.79166666666666663</v>
      </c>
      <c r="F449" s="1">
        <v>45662</v>
      </c>
      <c r="G449" s="5">
        <v>0.82638888888888884</v>
      </c>
      <c r="H449">
        <v>50</v>
      </c>
      <c r="I449" t="s">
        <v>151</v>
      </c>
      <c r="J449" t="s">
        <v>152</v>
      </c>
      <c r="K449">
        <v>4</v>
      </c>
      <c r="L449">
        <v>10</v>
      </c>
      <c r="M449" t="s">
        <v>153</v>
      </c>
      <c r="N449" t="s">
        <v>145</v>
      </c>
      <c r="O449" t="b">
        <v>1</v>
      </c>
      <c r="P449" t="b">
        <v>1</v>
      </c>
      <c r="Q449" s="6">
        <v>5</v>
      </c>
      <c r="R449" s="6">
        <v>0.4</v>
      </c>
      <c r="S449" t="s">
        <v>146</v>
      </c>
      <c r="T449" t="s">
        <v>147</v>
      </c>
      <c r="U449" s="6">
        <v>24</v>
      </c>
      <c r="V449" s="6">
        <v>26</v>
      </c>
      <c r="W449" t="b">
        <v>1</v>
      </c>
      <c r="X449">
        <v>12</v>
      </c>
      <c r="Y449">
        <v>3</v>
      </c>
      <c r="Z449">
        <v>19</v>
      </c>
      <c r="AA449" s="6">
        <v>30.286458333333329</v>
      </c>
      <c r="AB449">
        <f>--PizzaDelivery[[#This Row],[Is Delayed]]</f>
        <v>1</v>
      </c>
    </row>
    <row r="450" spans="1:28">
      <c r="A450" t="s">
        <v>651</v>
      </c>
      <c r="B450" t="s">
        <v>142</v>
      </c>
      <c r="C450" t="s">
        <v>40</v>
      </c>
      <c r="D450" s="1">
        <v>45663</v>
      </c>
      <c r="E450" s="5">
        <v>0.75</v>
      </c>
      <c r="F450" s="1">
        <v>45663</v>
      </c>
      <c r="G450" s="5">
        <v>0.76388888888888884</v>
      </c>
      <c r="H450">
        <v>20</v>
      </c>
      <c r="I450" t="s">
        <v>143</v>
      </c>
      <c r="J450" t="s">
        <v>144</v>
      </c>
      <c r="K450">
        <v>2</v>
      </c>
      <c r="L450">
        <v>3</v>
      </c>
      <c r="M450" t="s">
        <v>161</v>
      </c>
      <c r="N450" t="s">
        <v>342</v>
      </c>
      <c r="O450" t="b">
        <v>1</v>
      </c>
      <c r="P450" t="b">
        <v>0</v>
      </c>
      <c r="Q450" s="6">
        <v>6.666666666666667</v>
      </c>
      <c r="R450" s="6">
        <v>0.66666666666666663</v>
      </c>
      <c r="S450" t="s">
        <v>146</v>
      </c>
      <c r="T450" t="s">
        <v>171</v>
      </c>
      <c r="U450" s="6">
        <v>7.1999999999999993</v>
      </c>
      <c r="V450" s="6">
        <v>12.8</v>
      </c>
      <c r="W450" t="b">
        <v>0</v>
      </c>
      <c r="X450">
        <v>4</v>
      </c>
      <c r="Y450">
        <v>1</v>
      </c>
      <c r="Z450">
        <v>18</v>
      </c>
      <c r="AA450" s="6">
        <v>30.259433962264151</v>
      </c>
      <c r="AB450">
        <f>--PizzaDelivery[[#This Row],[Is Delayed]]</f>
        <v>0</v>
      </c>
    </row>
    <row r="451" spans="1:28">
      <c r="A451" t="s">
        <v>652</v>
      </c>
      <c r="B451" t="s">
        <v>149</v>
      </c>
      <c r="C451" t="s">
        <v>158</v>
      </c>
      <c r="D451" s="1">
        <v>45664</v>
      </c>
      <c r="E451" s="5">
        <v>0.80208333333333337</v>
      </c>
      <c r="F451" s="1">
        <v>45664</v>
      </c>
      <c r="G451" s="5">
        <v>0.82291666666666663</v>
      </c>
      <c r="H451">
        <v>30</v>
      </c>
      <c r="I451" t="s">
        <v>151</v>
      </c>
      <c r="J451" t="s">
        <v>617</v>
      </c>
      <c r="K451">
        <v>4</v>
      </c>
      <c r="L451">
        <v>6</v>
      </c>
      <c r="M451" t="s">
        <v>143</v>
      </c>
      <c r="N451" t="s">
        <v>162</v>
      </c>
      <c r="O451" t="b">
        <v>1</v>
      </c>
      <c r="P451" t="b">
        <v>0</v>
      </c>
      <c r="Q451" s="6">
        <v>5</v>
      </c>
      <c r="R451" s="6">
        <v>0.66666666666666663</v>
      </c>
      <c r="S451" t="s">
        <v>146</v>
      </c>
      <c r="T451" t="s">
        <v>147</v>
      </c>
      <c r="U451" s="6">
        <v>14.4</v>
      </c>
      <c r="V451" s="6">
        <v>15.6</v>
      </c>
      <c r="W451" t="b">
        <v>0</v>
      </c>
      <c r="X451">
        <v>12</v>
      </c>
      <c r="Y451">
        <v>2</v>
      </c>
      <c r="Z451">
        <v>19</v>
      </c>
      <c r="AA451" s="6">
        <v>28.186274509803919</v>
      </c>
      <c r="AB451">
        <f>--PizzaDelivery[[#This Row],[Is Delayed]]</f>
        <v>0</v>
      </c>
    </row>
    <row r="452" spans="1:28">
      <c r="A452" t="s">
        <v>653</v>
      </c>
      <c r="B452" t="s">
        <v>165</v>
      </c>
      <c r="C452" t="s">
        <v>150</v>
      </c>
      <c r="D452" s="1">
        <v>45665</v>
      </c>
      <c r="E452" s="5">
        <v>0.85416666666666663</v>
      </c>
      <c r="F452" s="1">
        <v>45665</v>
      </c>
      <c r="G452" s="5">
        <v>0.88194444444444442</v>
      </c>
      <c r="H452">
        <v>40</v>
      </c>
      <c r="I452" t="s">
        <v>167</v>
      </c>
      <c r="J452" t="s">
        <v>168</v>
      </c>
      <c r="K452">
        <v>5</v>
      </c>
      <c r="L452">
        <v>8</v>
      </c>
      <c r="M452" t="s">
        <v>153</v>
      </c>
      <c r="N452" t="s">
        <v>145</v>
      </c>
      <c r="O452" t="b">
        <v>1</v>
      </c>
      <c r="P452" t="b">
        <v>0</v>
      </c>
      <c r="Q452" s="6">
        <v>5</v>
      </c>
      <c r="R452" s="6">
        <v>0.625</v>
      </c>
      <c r="S452" t="s">
        <v>146</v>
      </c>
      <c r="T452" t="s">
        <v>147</v>
      </c>
      <c r="U452" s="6">
        <v>19.2</v>
      </c>
      <c r="V452" s="6">
        <v>20.8</v>
      </c>
      <c r="W452" t="b">
        <v>1</v>
      </c>
      <c r="X452">
        <v>20</v>
      </c>
      <c r="Y452">
        <v>3</v>
      </c>
      <c r="Z452">
        <v>20</v>
      </c>
      <c r="AA452" s="6">
        <v>29.948453608247419</v>
      </c>
      <c r="AB452">
        <f>--PizzaDelivery[[#This Row],[Is Delayed]]</f>
        <v>1</v>
      </c>
    </row>
    <row r="453" spans="1:28">
      <c r="A453" t="s">
        <v>654</v>
      </c>
      <c r="B453" t="s">
        <v>157</v>
      </c>
      <c r="C453" t="s">
        <v>184</v>
      </c>
      <c r="D453" s="1">
        <v>45666</v>
      </c>
      <c r="E453" s="5">
        <v>0.75</v>
      </c>
      <c r="F453" s="1">
        <v>45666</v>
      </c>
      <c r="G453" s="5">
        <v>0.77083333333333337</v>
      </c>
      <c r="H453">
        <v>30</v>
      </c>
      <c r="I453" t="s">
        <v>143</v>
      </c>
      <c r="J453" t="s">
        <v>655</v>
      </c>
      <c r="K453">
        <v>3</v>
      </c>
      <c r="L453">
        <v>5</v>
      </c>
      <c r="M453" t="s">
        <v>143</v>
      </c>
      <c r="N453" t="s">
        <v>145</v>
      </c>
      <c r="O453" t="b">
        <v>1</v>
      </c>
      <c r="P453" t="b">
        <v>0</v>
      </c>
      <c r="Q453" s="6">
        <v>6</v>
      </c>
      <c r="R453" s="6">
        <v>0.6</v>
      </c>
      <c r="S453" t="s">
        <v>146</v>
      </c>
      <c r="T453" t="s">
        <v>147</v>
      </c>
      <c r="U453" s="6">
        <v>12</v>
      </c>
      <c r="V453" s="6">
        <v>18</v>
      </c>
      <c r="W453" t="b">
        <v>0</v>
      </c>
      <c r="X453">
        <v>6</v>
      </c>
      <c r="Y453">
        <v>2</v>
      </c>
      <c r="Z453">
        <v>18</v>
      </c>
      <c r="AA453" s="6">
        <v>28.844221105527641</v>
      </c>
      <c r="AB453">
        <f>--PizzaDelivery[[#This Row],[Is Delayed]]</f>
        <v>0</v>
      </c>
    </row>
    <row r="454" spans="1:28">
      <c r="A454" t="s">
        <v>656</v>
      </c>
      <c r="B454" t="s">
        <v>173</v>
      </c>
      <c r="C454" t="s">
        <v>188</v>
      </c>
      <c r="D454" s="1">
        <v>45667</v>
      </c>
      <c r="E454" s="5">
        <v>0.80208333333333337</v>
      </c>
      <c r="F454" s="1">
        <v>45667</v>
      </c>
      <c r="G454" s="5">
        <v>0.82638888888888884</v>
      </c>
      <c r="H454">
        <v>35</v>
      </c>
      <c r="I454" t="s">
        <v>151</v>
      </c>
      <c r="J454" t="s">
        <v>657</v>
      </c>
      <c r="K454">
        <v>4</v>
      </c>
      <c r="L454">
        <v>6.5</v>
      </c>
      <c r="M454" t="s">
        <v>153</v>
      </c>
      <c r="N454" t="s">
        <v>162</v>
      </c>
      <c r="O454" t="b">
        <v>1</v>
      </c>
      <c r="P454" t="b">
        <v>0</v>
      </c>
      <c r="Q454" s="6">
        <v>5.384615384615385</v>
      </c>
      <c r="R454" s="6">
        <v>0.61538461538461542</v>
      </c>
      <c r="S454" t="s">
        <v>146</v>
      </c>
      <c r="T454" t="s">
        <v>147</v>
      </c>
      <c r="U454" s="6">
        <v>15.6</v>
      </c>
      <c r="V454" s="6">
        <v>19.399999999999999</v>
      </c>
      <c r="W454" t="b">
        <v>1</v>
      </c>
      <c r="X454">
        <v>12</v>
      </c>
      <c r="Y454">
        <v>3</v>
      </c>
      <c r="Z454">
        <v>19</v>
      </c>
      <c r="AA454" s="6">
        <v>30.286458333333329</v>
      </c>
      <c r="AB454">
        <f>--PizzaDelivery[[#This Row],[Is Delayed]]</f>
        <v>1</v>
      </c>
    </row>
    <row r="455" spans="1:28">
      <c r="A455" t="s">
        <v>658</v>
      </c>
      <c r="B455" t="s">
        <v>142</v>
      </c>
      <c r="C455" t="s">
        <v>659</v>
      </c>
      <c r="D455" s="1">
        <v>45668</v>
      </c>
      <c r="E455" s="5">
        <v>0.85416666666666663</v>
      </c>
      <c r="F455" s="1">
        <v>45668</v>
      </c>
      <c r="G455" s="5">
        <v>0.88194444444444442</v>
      </c>
      <c r="H455">
        <v>40</v>
      </c>
      <c r="I455" t="s">
        <v>167</v>
      </c>
      <c r="J455" t="s">
        <v>168</v>
      </c>
      <c r="K455">
        <v>5</v>
      </c>
      <c r="L455">
        <v>8</v>
      </c>
      <c r="M455" t="s">
        <v>153</v>
      </c>
      <c r="N455" t="s">
        <v>154</v>
      </c>
      <c r="O455" t="b">
        <v>1</v>
      </c>
      <c r="P455" t="b">
        <v>1</v>
      </c>
      <c r="Q455" s="6">
        <v>5</v>
      </c>
      <c r="R455" s="6">
        <v>0.625</v>
      </c>
      <c r="S455" t="s">
        <v>146</v>
      </c>
      <c r="T455" t="s">
        <v>147</v>
      </c>
      <c r="U455" s="6">
        <v>19.2</v>
      </c>
      <c r="V455" s="6">
        <v>20.8</v>
      </c>
      <c r="W455" t="b">
        <v>1</v>
      </c>
      <c r="X455">
        <v>20</v>
      </c>
      <c r="Y455">
        <v>3</v>
      </c>
      <c r="Z455">
        <v>20</v>
      </c>
      <c r="AA455" s="6">
        <v>30.259433962264151</v>
      </c>
      <c r="AB455">
        <f>--PizzaDelivery[[#This Row],[Is Delayed]]</f>
        <v>1</v>
      </c>
    </row>
    <row r="456" spans="1:28">
      <c r="A456" t="s">
        <v>660</v>
      </c>
      <c r="B456" t="s">
        <v>149</v>
      </c>
      <c r="C456" t="s">
        <v>317</v>
      </c>
      <c r="D456" s="1">
        <v>45669</v>
      </c>
      <c r="E456" s="5">
        <v>0.78125</v>
      </c>
      <c r="F456" s="1">
        <v>45669</v>
      </c>
      <c r="G456" s="5">
        <v>0.79513888888888884</v>
      </c>
      <c r="H456">
        <v>20</v>
      </c>
      <c r="I456" t="s">
        <v>159</v>
      </c>
      <c r="J456" t="s">
        <v>160</v>
      </c>
      <c r="K456">
        <v>1</v>
      </c>
      <c r="L456">
        <v>2.5</v>
      </c>
      <c r="M456" t="s">
        <v>161</v>
      </c>
      <c r="N456" t="s">
        <v>169</v>
      </c>
      <c r="O456" t="b">
        <v>1</v>
      </c>
      <c r="P456" t="b">
        <v>1</v>
      </c>
      <c r="Q456" s="6">
        <v>8</v>
      </c>
      <c r="R456" s="6">
        <v>0.4</v>
      </c>
      <c r="S456" t="s">
        <v>146</v>
      </c>
      <c r="T456" t="s">
        <v>171</v>
      </c>
      <c r="U456" s="6">
        <v>6</v>
      </c>
      <c r="V456" s="6">
        <v>14</v>
      </c>
      <c r="W456" t="b">
        <v>0</v>
      </c>
      <c r="X456">
        <v>1</v>
      </c>
      <c r="Y456">
        <v>1</v>
      </c>
      <c r="Z456">
        <v>18</v>
      </c>
      <c r="AA456" s="6">
        <v>28.186274509803919</v>
      </c>
      <c r="AB456">
        <f>--PizzaDelivery[[#This Row],[Is Delayed]]</f>
        <v>0</v>
      </c>
    </row>
    <row r="457" spans="1:28">
      <c r="A457" t="s">
        <v>661</v>
      </c>
      <c r="B457" t="s">
        <v>165</v>
      </c>
      <c r="C457" t="s">
        <v>190</v>
      </c>
      <c r="D457" s="1">
        <v>45670</v>
      </c>
      <c r="E457" s="5">
        <v>0.79166666666666663</v>
      </c>
      <c r="F457" s="1">
        <v>45670</v>
      </c>
      <c r="G457" s="5">
        <v>0.82638888888888884</v>
      </c>
      <c r="H457">
        <v>50</v>
      </c>
      <c r="I457" t="s">
        <v>151</v>
      </c>
      <c r="J457" t="s">
        <v>152</v>
      </c>
      <c r="K457">
        <v>4</v>
      </c>
      <c r="L457">
        <v>10</v>
      </c>
      <c r="M457" t="s">
        <v>153</v>
      </c>
      <c r="N457" t="s">
        <v>145</v>
      </c>
      <c r="O457" t="b">
        <v>1</v>
      </c>
      <c r="P457" t="b">
        <v>0</v>
      </c>
      <c r="Q457" s="6">
        <v>5</v>
      </c>
      <c r="R457" s="6">
        <v>0.4</v>
      </c>
      <c r="S457" t="s">
        <v>146</v>
      </c>
      <c r="T457" t="s">
        <v>147</v>
      </c>
      <c r="U457" s="6">
        <v>24</v>
      </c>
      <c r="V457" s="6">
        <v>26</v>
      </c>
      <c r="W457" t="b">
        <v>1</v>
      </c>
      <c r="X457">
        <v>12</v>
      </c>
      <c r="Y457">
        <v>3</v>
      </c>
      <c r="Z457">
        <v>19</v>
      </c>
      <c r="AA457" s="6">
        <v>29.948453608247419</v>
      </c>
      <c r="AB457">
        <f>--PizzaDelivery[[#This Row],[Is Delayed]]</f>
        <v>1</v>
      </c>
    </row>
    <row r="458" spans="1:28">
      <c r="A458" t="s">
        <v>662</v>
      </c>
      <c r="B458" t="s">
        <v>142</v>
      </c>
      <c r="C458" t="s">
        <v>166</v>
      </c>
      <c r="D458" s="1">
        <v>45671</v>
      </c>
      <c r="E458" s="5">
        <v>0.83333333333333337</v>
      </c>
      <c r="F458" s="1">
        <v>45671</v>
      </c>
      <c r="G458" s="5">
        <v>0.85763888888888884</v>
      </c>
      <c r="H458">
        <v>35</v>
      </c>
      <c r="I458" t="s">
        <v>143</v>
      </c>
      <c r="J458" t="s">
        <v>591</v>
      </c>
      <c r="K458">
        <v>3</v>
      </c>
      <c r="L458">
        <v>5.5</v>
      </c>
      <c r="M458" t="s">
        <v>143</v>
      </c>
      <c r="N458" t="s">
        <v>342</v>
      </c>
      <c r="O458" t="b">
        <v>1</v>
      </c>
      <c r="P458" t="b">
        <v>0</v>
      </c>
      <c r="Q458" s="6">
        <v>6.3636363636363633</v>
      </c>
      <c r="R458" s="6">
        <v>0.54545454545454541</v>
      </c>
      <c r="S458" t="s">
        <v>146</v>
      </c>
      <c r="T458" t="s">
        <v>171</v>
      </c>
      <c r="U458" s="6">
        <v>13.2</v>
      </c>
      <c r="V458" s="6">
        <v>21.8</v>
      </c>
      <c r="W458" t="b">
        <v>1</v>
      </c>
      <c r="X458">
        <v>6</v>
      </c>
      <c r="Y458">
        <v>2</v>
      </c>
      <c r="Z458">
        <v>20</v>
      </c>
      <c r="AA458" s="6">
        <v>30.259433962264151</v>
      </c>
      <c r="AB458">
        <f>--PizzaDelivery[[#This Row],[Is Delayed]]</f>
        <v>1</v>
      </c>
    </row>
    <row r="459" spans="1:28">
      <c r="A459" t="s">
        <v>663</v>
      </c>
      <c r="B459" t="s">
        <v>149</v>
      </c>
      <c r="C459" t="s">
        <v>192</v>
      </c>
      <c r="D459" s="1">
        <v>45672</v>
      </c>
      <c r="E459" s="5">
        <v>0.77083333333333337</v>
      </c>
      <c r="F459" s="1">
        <v>45672</v>
      </c>
      <c r="G459" s="5">
        <v>0.78472222222222221</v>
      </c>
      <c r="H459">
        <v>20</v>
      </c>
      <c r="I459" t="s">
        <v>159</v>
      </c>
      <c r="J459" t="s">
        <v>160</v>
      </c>
      <c r="K459">
        <v>2</v>
      </c>
      <c r="L459">
        <v>2</v>
      </c>
      <c r="M459" t="s">
        <v>161</v>
      </c>
      <c r="N459" t="s">
        <v>162</v>
      </c>
      <c r="O459" t="b">
        <v>1</v>
      </c>
      <c r="P459" t="b">
        <v>0</v>
      </c>
      <c r="Q459" s="6">
        <v>10</v>
      </c>
      <c r="R459" s="6">
        <v>1</v>
      </c>
      <c r="S459" t="s">
        <v>146</v>
      </c>
      <c r="T459" t="s">
        <v>147</v>
      </c>
      <c r="U459" s="6">
        <v>4.8</v>
      </c>
      <c r="V459" s="6">
        <v>15.2</v>
      </c>
      <c r="W459" t="b">
        <v>0</v>
      </c>
      <c r="X459">
        <v>2</v>
      </c>
      <c r="Y459">
        <v>1</v>
      </c>
      <c r="Z459">
        <v>18</v>
      </c>
      <c r="AA459" s="6">
        <v>28.186274509803919</v>
      </c>
      <c r="AB459">
        <f>--PizzaDelivery[[#This Row],[Is Delayed]]</f>
        <v>0</v>
      </c>
    </row>
    <row r="460" spans="1:28">
      <c r="A460" t="s">
        <v>664</v>
      </c>
      <c r="B460" t="s">
        <v>165</v>
      </c>
      <c r="C460" t="s">
        <v>194</v>
      </c>
      <c r="D460" s="1">
        <v>45673</v>
      </c>
      <c r="E460" s="5">
        <v>0.82291666666666663</v>
      </c>
      <c r="F460" s="1">
        <v>45673</v>
      </c>
      <c r="G460" s="5">
        <v>0.85069444444444442</v>
      </c>
      <c r="H460">
        <v>40</v>
      </c>
      <c r="I460" t="s">
        <v>167</v>
      </c>
      <c r="J460" t="s">
        <v>594</v>
      </c>
      <c r="K460">
        <v>5</v>
      </c>
      <c r="L460">
        <v>7.5</v>
      </c>
      <c r="M460" t="s">
        <v>153</v>
      </c>
      <c r="N460" t="s">
        <v>145</v>
      </c>
      <c r="O460" t="b">
        <v>1</v>
      </c>
      <c r="P460" t="b">
        <v>0</v>
      </c>
      <c r="Q460" s="6">
        <v>5.333333333333333</v>
      </c>
      <c r="R460" s="6">
        <v>0.66666666666666663</v>
      </c>
      <c r="S460" t="s">
        <v>146</v>
      </c>
      <c r="T460" t="s">
        <v>147</v>
      </c>
      <c r="U460" s="6">
        <v>18</v>
      </c>
      <c r="V460" s="6">
        <v>22</v>
      </c>
      <c r="W460" t="b">
        <v>1</v>
      </c>
      <c r="X460">
        <v>20</v>
      </c>
      <c r="Y460">
        <v>3</v>
      </c>
      <c r="Z460">
        <v>19</v>
      </c>
      <c r="AA460" s="6">
        <v>29.948453608247419</v>
      </c>
      <c r="AB460">
        <f>--PizzaDelivery[[#This Row],[Is Delayed]]</f>
        <v>1</v>
      </c>
    </row>
    <row r="461" spans="1:28">
      <c r="A461" t="s">
        <v>665</v>
      </c>
      <c r="B461" t="s">
        <v>142</v>
      </c>
      <c r="C461" t="s">
        <v>40</v>
      </c>
      <c r="D461" s="1">
        <v>45674</v>
      </c>
      <c r="E461" s="5">
        <v>0.75</v>
      </c>
      <c r="F461" s="1">
        <v>45674</v>
      </c>
      <c r="G461" s="5">
        <v>0.76388888888888884</v>
      </c>
      <c r="H461">
        <v>20</v>
      </c>
      <c r="I461" t="s">
        <v>143</v>
      </c>
      <c r="J461" t="s">
        <v>144</v>
      </c>
      <c r="K461">
        <v>2</v>
      </c>
      <c r="L461">
        <v>3</v>
      </c>
      <c r="M461" t="s">
        <v>161</v>
      </c>
      <c r="N461" t="s">
        <v>145</v>
      </c>
      <c r="O461" t="b">
        <v>1</v>
      </c>
      <c r="P461" t="b">
        <v>0</v>
      </c>
      <c r="Q461" s="6">
        <v>6.666666666666667</v>
      </c>
      <c r="R461" s="6">
        <v>0.66666666666666663</v>
      </c>
      <c r="S461" t="s">
        <v>146</v>
      </c>
      <c r="T461" t="s">
        <v>147</v>
      </c>
      <c r="U461" s="6">
        <v>7.1999999999999993</v>
      </c>
      <c r="V461" s="6">
        <v>12.8</v>
      </c>
      <c r="W461" t="b">
        <v>0</v>
      </c>
      <c r="X461">
        <v>4</v>
      </c>
      <c r="Y461">
        <v>1</v>
      </c>
      <c r="Z461">
        <v>18</v>
      </c>
      <c r="AA461" s="6">
        <v>30.259433962264151</v>
      </c>
      <c r="AB461">
        <f>--PizzaDelivery[[#This Row],[Is Delayed]]</f>
        <v>0</v>
      </c>
    </row>
    <row r="462" spans="1:28">
      <c r="A462" t="s">
        <v>666</v>
      </c>
      <c r="B462" t="s">
        <v>149</v>
      </c>
      <c r="C462" t="s">
        <v>158</v>
      </c>
      <c r="D462" s="1">
        <v>45675</v>
      </c>
      <c r="E462" s="5">
        <v>0.80208333333333337</v>
      </c>
      <c r="F462" s="1">
        <v>45675</v>
      </c>
      <c r="G462" s="5">
        <v>0.82291666666666663</v>
      </c>
      <c r="H462">
        <v>30</v>
      </c>
      <c r="I462" t="s">
        <v>151</v>
      </c>
      <c r="J462" t="s">
        <v>617</v>
      </c>
      <c r="K462">
        <v>4</v>
      </c>
      <c r="L462">
        <v>6</v>
      </c>
      <c r="M462" t="s">
        <v>143</v>
      </c>
      <c r="N462" t="s">
        <v>162</v>
      </c>
      <c r="O462" t="b">
        <v>1</v>
      </c>
      <c r="P462" t="b">
        <v>1</v>
      </c>
      <c r="Q462" s="6">
        <v>5</v>
      </c>
      <c r="R462" s="6">
        <v>0.66666666666666663</v>
      </c>
      <c r="S462" t="s">
        <v>146</v>
      </c>
      <c r="T462" t="s">
        <v>147</v>
      </c>
      <c r="U462" s="6">
        <v>14.4</v>
      </c>
      <c r="V462" s="6">
        <v>15.6</v>
      </c>
      <c r="W462" t="b">
        <v>0</v>
      </c>
      <c r="X462">
        <v>12</v>
      </c>
      <c r="Y462">
        <v>2</v>
      </c>
      <c r="Z462">
        <v>19</v>
      </c>
      <c r="AA462" s="6">
        <v>28.186274509803919</v>
      </c>
      <c r="AB462">
        <f>--PizzaDelivery[[#This Row],[Is Delayed]]</f>
        <v>0</v>
      </c>
    </row>
    <row r="463" spans="1:28">
      <c r="A463" t="s">
        <v>667</v>
      </c>
      <c r="B463" t="s">
        <v>157</v>
      </c>
      <c r="C463" t="s">
        <v>150</v>
      </c>
      <c r="D463" s="1">
        <v>45676</v>
      </c>
      <c r="E463" s="5">
        <v>0.85416666666666663</v>
      </c>
      <c r="F463" s="1">
        <v>45676</v>
      </c>
      <c r="G463" s="5">
        <v>0.88194444444444442</v>
      </c>
      <c r="H463">
        <v>40</v>
      </c>
      <c r="I463" t="s">
        <v>167</v>
      </c>
      <c r="J463" t="s">
        <v>168</v>
      </c>
      <c r="K463">
        <v>5</v>
      </c>
      <c r="L463">
        <v>8</v>
      </c>
      <c r="M463" t="s">
        <v>153</v>
      </c>
      <c r="N463" t="s">
        <v>154</v>
      </c>
      <c r="O463" t="b">
        <v>1</v>
      </c>
      <c r="P463" t="b">
        <v>1</v>
      </c>
      <c r="Q463" s="6">
        <v>5</v>
      </c>
      <c r="R463" s="6">
        <v>0.625</v>
      </c>
      <c r="S463" t="s">
        <v>146</v>
      </c>
      <c r="T463" t="s">
        <v>147</v>
      </c>
      <c r="U463" s="6">
        <v>19.2</v>
      </c>
      <c r="V463" s="6">
        <v>20.8</v>
      </c>
      <c r="W463" t="b">
        <v>1</v>
      </c>
      <c r="X463">
        <v>20</v>
      </c>
      <c r="Y463">
        <v>3</v>
      </c>
      <c r="Z463">
        <v>20</v>
      </c>
      <c r="AA463" s="6">
        <v>28.844221105527641</v>
      </c>
      <c r="AB463">
        <f>--PizzaDelivery[[#This Row],[Is Delayed]]</f>
        <v>1</v>
      </c>
    </row>
    <row r="464" spans="1:28">
      <c r="A464" t="s">
        <v>668</v>
      </c>
      <c r="B464" t="s">
        <v>173</v>
      </c>
      <c r="C464" t="s">
        <v>184</v>
      </c>
      <c r="D464" s="1">
        <v>45677</v>
      </c>
      <c r="E464" s="5">
        <v>0.78125</v>
      </c>
      <c r="F464" s="1">
        <v>45677</v>
      </c>
      <c r="G464" s="5">
        <v>0.79513888888888884</v>
      </c>
      <c r="H464">
        <v>20</v>
      </c>
      <c r="I464" t="s">
        <v>159</v>
      </c>
      <c r="J464" t="s">
        <v>160</v>
      </c>
      <c r="K464">
        <v>1</v>
      </c>
      <c r="L464">
        <v>2.5</v>
      </c>
      <c r="M464" t="s">
        <v>161</v>
      </c>
      <c r="N464" t="s">
        <v>169</v>
      </c>
      <c r="O464" t="b">
        <v>1</v>
      </c>
      <c r="P464" t="b">
        <v>0</v>
      </c>
      <c r="Q464" s="6">
        <v>8</v>
      </c>
      <c r="R464" s="6">
        <v>0.4</v>
      </c>
      <c r="S464" t="s">
        <v>146</v>
      </c>
      <c r="T464" t="s">
        <v>171</v>
      </c>
      <c r="U464" s="6">
        <v>6</v>
      </c>
      <c r="V464" s="6">
        <v>14</v>
      </c>
      <c r="W464" t="b">
        <v>0</v>
      </c>
      <c r="X464">
        <v>1</v>
      </c>
      <c r="Y464">
        <v>1</v>
      </c>
      <c r="Z464">
        <v>18</v>
      </c>
      <c r="AA464" s="6">
        <v>30.286458333333329</v>
      </c>
      <c r="AB464">
        <f>--PizzaDelivery[[#This Row],[Is Delayed]]</f>
        <v>0</v>
      </c>
    </row>
    <row r="465" spans="1:28">
      <c r="A465" t="s">
        <v>669</v>
      </c>
      <c r="B465" t="s">
        <v>142</v>
      </c>
      <c r="C465" t="s">
        <v>186</v>
      </c>
      <c r="D465" s="1">
        <v>45678</v>
      </c>
      <c r="E465" s="5">
        <v>0.79166666666666663</v>
      </c>
      <c r="F465" s="1">
        <v>45678</v>
      </c>
      <c r="G465" s="5">
        <v>0.82638888888888884</v>
      </c>
      <c r="H465">
        <v>50</v>
      </c>
      <c r="I465" t="s">
        <v>151</v>
      </c>
      <c r="J465" t="s">
        <v>152</v>
      </c>
      <c r="K465">
        <v>4</v>
      </c>
      <c r="L465">
        <v>10</v>
      </c>
      <c r="M465" t="s">
        <v>153</v>
      </c>
      <c r="N465" t="s">
        <v>145</v>
      </c>
      <c r="O465" t="b">
        <v>1</v>
      </c>
      <c r="P465" t="b">
        <v>0</v>
      </c>
      <c r="Q465" s="6">
        <v>5</v>
      </c>
      <c r="R465" s="6">
        <v>0.4</v>
      </c>
      <c r="S465" t="s">
        <v>146</v>
      </c>
      <c r="T465" t="s">
        <v>147</v>
      </c>
      <c r="U465" s="6">
        <v>24</v>
      </c>
      <c r="V465" s="6">
        <v>26</v>
      </c>
      <c r="W465" t="b">
        <v>1</v>
      </c>
      <c r="X465">
        <v>12</v>
      </c>
      <c r="Y465">
        <v>3</v>
      </c>
      <c r="Z465">
        <v>19</v>
      </c>
      <c r="AA465" s="6">
        <v>30.259433962264151</v>
      </c>
      <c r="AB465">
        <f>--PizzaDelivery[[#This Row],[Is Delayed]]</f>
        <v>1</v>
      </c>
    </row>
    <row r="466" spans="1:28">
      <c r="A466" t="s">
        <v>670</v>
      </c>
      <c r="B466" t="s">
        <v>149</v>
      </c>
      <c r="C466" t="s">
        <v>671</v>
      </c>
      <c r="D466" s="1">
        <v>45679</v>
      </c>
      <c r="E466" s="5">
        <v>0.83333333333333337</v>
      </c>
      <c r="F466" s="1">
        <v>45679</v>
      </c>
      <c r="G466" s="5">
        <v>0.85763888888888884</v>
      </c>
      <c r="H466">
        <v>35</v>
      </c>
      <c r="I466" t="s">
        <v>143</v>
      </c>
      <c r="J466" t="s">
        <v>591</v>
      </c>
      <c r="K466">
        <v>3</v>
      </c>
      <c r="L466">
        <v>5.5</v>
      </c>
      <c r="M466" t="s">
        <v>143</v>
      </c>
      <c r="N466" t="s">
        <v>154</v>
      </c>
      <c r="O466" t="b">
        <v>1</v>
      </c>
      <c r="P466" t="b">
        <v>0</v>
      </c>
      <c r="Q466" s="6">
        <v>6.3636363636363633</v>
      </c>
      <c r="R466" s="6">
        <v>0.54545454545454541</v>
      </c>
      <c r="S466" t="s">
        <v>146</v>
      </c>
      <c r="T466" t="s">
        <v>147</v>
      </c>
      <c r="U466" s="6">
        <v>13.2</v>
      </c>
      <c r="V466" s="6">
        <v>21.8</v>
      </c>
      <c r="W466" t="b">
        <v>1</v>
      </c>
      <c r="X466">
        <v>6</v>
      </c>
      <c r="Y466">
        <v>2</v>
      </c>
      <c r="Z466">
        <v>20</v>
      </c>
      <c r="AA466" s="6">
        <v>28.186274509803919</v>
      </c>
      <c r="AB466">
        <f>--PizzaDelivery[[#This Row],[Is Delayed]]</f>
        <v>1</v>
      </c>
    </row>
    <row r="467" spans="1:28">
      <c r="A467" t="s">
        <v>672</v>
      </c>
      <c r="B467" t="s">
        <v>165</v>
      </c>
      <c r="C467" t="s">
        <v>673</v>
      </c>
      <c r="D467" s="1">
        <v>45680</v>
      </c>
      <c r="E467" s="5">
        <v>0.77083333333333337</v>
      </c>
      <c r="F467" s="1">
        <v>45680</v>
      </c>
      <c r="G467" s="5">
        <v>0.78472222222222221</v>
      </c>
      <c r="H467">
        <v>20</v>
      </c>
      <c r="I467" t="s">
        <v>159</v>
      </c>
      <c r="J467" t="s">
        <v>160</v>
      </c>
      <c r="K467">
        <v>2</v>
      </c>
      <c r="L467">
        <v>2</v>
      </c>
      <c r="M467" t="s">
        <v>161</v>
      </c>
      <c r="N467" t="s">
        <v>162</v>
      </c>
      <c r="O467" t="b">
        <v>1</v>
      </c>
      <c r="P467" t="b">
        <v>0</v>
      </c>
      <c r="Q467" s="6">
        <v>10</v>
      </c>
      <c r="R467" s="6">
        <v>1</v>
      </c>
      <c r="S467" t="s">
        <v>146</v>
      </c>
      <c r="T467" t="s">
        <v>147</v>
      </c>
      <c r="U467" s="6">
        <v>4.8</v>
      </c>
      <c r="V467" s="6">
        <v>15.2</v>
      </c>
      <c r="W467" t="b">
        <v>0</v>
      </c>
      <c r="X467">
        <v>2</v>
      </c>
      <c r="Y467">
        <v>1</v>
      </c>
      <c r="Z467">
        <v>18</v>
      </c>
      <c r="AA467" s="6">
        <v>29.948453608247419</v>
      </c>
      <c r="AB467">
        <f>--PizzaDelivery[[#This Row],[Is Delayed]]</f>
        <v>0</v>
      </c>
    </row>
    <row r="468" spans="1:28">
      <c r="A468" t="s">
        <v>674</v>
      </c>
      <c r="B468" t="s">
        <v>157</v>
      </c>
      <c r="C468" t="s">
        <v>319</v>
      </c>
      <c r="D468" s="1">
        <v>45681</v>
      </c>
      <c r="E468" s="5">
        <v>0.82291666666666663</v>
      </c>
      <c r="F468" s="1">
        <v>45681</v>
      </c>
      <c r="G468" s="5">
        <v>0.85069444444444442</v>
      </c>
      <c r="H468">
        <v>40</v>
      </c>
      <c r="I468" t="s">
        <v>167</v>
      </c>
      <c r="J468" t="s">
        <v>594</v>
      </c>
      <c r="K468">
        <v>5</v>
      </c>
      <c r="L468">
        <v>7.5</v>
      </c>
      <c r="M468" t="s">
        <v>153</v>
      </c>
      <c r="N468" t="s">
        <v>145</v>
      </c>
      <c r="O468" t="b">
        <v>1</v>
      </c>
      <c r="P468" t="b">
        <v>0</v>
      </c>
      <c r="Q468" s="6">
        <v>5.333333333333333</v>
      </c>
      <c r="R468" s="6">
        <v>0.66666666666666663</v>
      </c>
      <c r="S468" t="s">
        <v>146</v>
      </c>
      <c r="T468" t="s">
        <v>147</v>
      </c>
      <c r="U468" s="6">
        <v>18</v>
      </c>
      <c r="V468" s="6">
        <v>22</v>
      </c>
      <c r="W468" t="b">
        <v>1</v>
      </c>
      <c r="X468">
        <v>20</v>
      </c>
      <c r="Y468">
        <v>3</v>
      </c>
      <c r="Z468">
        <v>19</v>
      </c>
      <c r="AA468" s="6">
        <v>28.844221105527641</v>
      </c>
      <c r="AB468">
        <f>--PizzaDelivery[[#This Row],[Is Delayed]]</f>
        <v>1</v>
      </c>
    </row>
    <row r="469" spans="1:28">
      <c r="A469" t="s">
        <v>675</v>
      </c>
      <c r="B469" t="s">
        <v>173</v>
      </c>
      <c r="C469" t="s">
        <v>174</v>
      </c>
      <c r="D469" s="1">
        <v>45682</v>
      </c>
      <c r="E469" s="5">
        <v>0.75</v>
      </c>
      <c r="F469" s="1">
        <v>45682</v>
      </c>
      <c r="G469" s="5">
        <v>0.77083333333333337</v>
      </c>
      <c r="H469">
        <v>30</v>
      </c>
      <c r="I469" t="s">
        <v>143</v>
      </c>
      <c r="J469" t="s">
        <v>152</v>
      </c>
      <c r="K469">
        <v>3</v>
      </c>
      <c r="L469">
        <v>4</v>
      </c>
      <c r="M469" t="s">
        <v>143</v>
      </c>
      <c r="N469" t="s">
        <v>162</v>
      </c>
      <c r="O469" t="b">
        <v>1</v>
      </c>
      <c r="P469" t="b">
        <v>1</v>
      </c>
      <c r="Q469" s="6">
        <v>7.5</v>
      </c>
      <c r="R469" s="6">
        <v>0.75</v>
      </c>
      <c r="S469" t="s">
        <v>146</v>
      </c>
      <c r="T469" t="s">
        <v>147</v>
      </c>
      <c r="U469" s="6">
        <v>9.6</v>
      </c>
      <c r="V469" s="6">
        <v>20.399999999999999</v>
      </c>
      <c r="W469" t="b">
        <v>0</v>
      </c>
      <c r="X469">
        <v>6</v>
      </c>
      <c r="Y469">
        <v>2</v>
      </c>
      <c r="Z469">
        <v>18</v>
      </c>
      <c r="AA469" s="6">
        <v>30.286458333333329</v>
      </c>
      <c r="AB469">
        <f>--PizzaDelivery[[#This Row],[Is Delayed]]</f>
        <v>0</v>
      </c>
    </row>
    <row r="470" spans="1:28">
      <c r="A470" t="s">
        <v>676</v>
      </c>
      <c r="B470" t="s">
        <v>142</v>
      </c>
      <c r="C470" t="s">
        <v>315</v>
      </c>
      <c r="D470" s="1">
        <v>45683</v>
      </c>
      <c r="E470" s="5">
        <v>0.84375</v>
      </c>
      <c r="F470" s="1">
        <v>45683</v>
      </c>
      <c r="G470" s="5">
        <v>0.875</v>
      </c>
      <c r="H470">
        <v>45</v>
      </c>
      <c r="I470" t="s">
        <v>151</v>
      </c>
      <c r="J470" t="s">
        <v>144</v>
      </c>
      <c r="K470">
        <v>4</v>
      </c>
      <c r="L470">
        <v>9</v>
      </c>
      <c r="M470" t="s">
        <v>153</v>
      </c>
      <c r="N470" t="s">
        <v>169</v>
      </c>
      <c r="O470" t="b">
        <v>1</v>
      </c>
      <c r="P470" t="b">
        <v>1</v>
      </c>
      <c r="Q470" s="6">
        <v>5</v>
      </c>
      <c r="R470" s="6">
        <v>0.44444444444444442</v>
      </c>
      <c r="S470" t="s">
        <v>146</v>
      </c>
      <c r="T470" t="s">
        <v>171</v>
      </c>
      <c r="U470" s="6">
        <v>21.6</v>
      </c>
      <c r="V470" s="6">
        <v>23.4</v>
      </c>
      <c r="W470" t="b">
        <v>1</v>
      </c>
      <c r="X470">
        <v>12</v>
      </c>
      <c r="Y470">
        <v>3</v>
      </c>
      <c r="Z470">
        <v>20</v>
      </c>
      <c r="AA470" s="6">
        <v>30.259433962264151</v>
      </c>
      <c r="AB470">
        <f>--PizzaDelivery[[#This Row],[Is Delayed]]</f>
        <v>1</v>
      </c>
    </row>
    <row r="471" spans="1:28">
      <c r="A471" t="s">
        <v>677</v>
      </c>
      <c r="B471" t="s">
        <v>149</v>
      </c>
      <c r="C471" t="s">
        <v>317</v>
      </c>
      <c r="D471" s="1">
        <v>45684</v>
      </c>
      <c r="E471" s="5">
        <v>0.75</v>
      </c>
      <c r="F471" s="1">
        <v>45684</v>
      </c>
      <c r="G471" s="5">
        <v>0.76388888888888884</v>
      </c>
      <c r="H471">
        <v>20</v>
      </c>
      <c r="I471" t="s">
        <v>143</v>
      </c>
      <c r="J471" t="s">
        <v>144</v>
      </c>
      <c r="K471">
        <v>2</v>
      </c>
      <c r="L471">
        <v>3</v>
      </c>
      <c r="M471" t="s">
        <v>161</v>
      </c>
      <c r="N471" t="s">
        <v>145</v>
      </c>
      <c r="O471" t="b">
        <v>1</v>
      </c>
      <c r="P471" t="b">
        <v>0</v>
      </c>
      <c r="Q471" s="6">
        <v>6.666666666666667</v>
      </c>
      <c r="R471" s="6">
        <v>0.66666666666666663</v>
      </c>
      <c r="S471" t="s">
        <v>146</v>
      </c>
      <c r="T471" t="s">
        <v>147</v>
      </c>
      <c r="U471" s="6">
        <v>7.1999999999999993</v>
      </c>
      <c r="V471" s="6">
        <v>12.8</v>
      </c>
      <c r="W471" t="b">
        <v>0</v>
      </c>
      <c r="X471">
        <v>4</v>
      </c>
      <c r="Y471">
        <v>1</v>
      </c>
      <c r="Z471">
        <v>18</v>
      </c>
      <c r="AA471" s="6">
        <v>28.186274509803919</v>
      </c>
      <c r="AB471">
        <f>--PizzaDelivery[[#This Row],[Is Delayed]]</f>
        <v>0</v>
      </c>
    </row>
    <row r="472" spans="1:28">
      <c r="A472" t="s">
        <v>678</v>
      </c>
      <c r="B472" t="s">
        <v>165</v>
      </c>
      <c r="C472" t="s">
        <v>321</v>
      </c>
      <c r="D472" s="1">
        <v>45685</v>
      </c>
      <c r="E472" s="5">
        <v>0.80208333333333337</v>
      </c>
      <c r="F472" s="1">
        <v>45685</v>
      </c>
      <c r="G472" s="5">
        <v>0.82291666666666663</v>
      </c>
      <c r="H472">
        <v>30</v>
      </c>
      <c r="I472" t="s">
        <v>151</v>
      </c>
      <c r="J472" t="s">
        <v>152</v>
      </c>
      <c r="K472">
        <v>4</v>
      </c>
      <c r="L472">
        <v>6</v>
      </c>
      <c r="M472" t="s">
        <v>143</v>
      </c>
      <c r="N472" t="s">
        <v>154</v>
      </c>
      <c r="O472" t="b">
        <v>1</v>
      </c>
      <c r="P472" t="b">
        <v>0</v>
      </c>
      <c r="Q472" s="6">
        <v>5</v>
      </c>
      <c r="R472" s="6">
        <v>0.66666666666666663</v>
      </c>
      <c r="S472" t="s">
        <v>146</v>
      </c>
      <c r="T472" t="s">
        <v>147</v>
      </c>
      <c r="U472" s="6">
        <v>14.4</v>
      </c>
      <c r="V472" s="6">
        <v>15.6</v>
      </c>
      <c r="W472" t="b">
        <v>0</v>
      </c>
      <c r="X472">
        <v>12</v>
      </c>
      <c r="Y472">
        <v>2</v>
      </c>
      <c r="Z472">
        <v>19</v>
      </c>
      <c r="AA472" s="6">
        <v>29.948453608247419</v>
      </c>
      <c r="AB472">
        <f>--PizzaDelivery[[#This Row],[Is Delayed]]</f>
        <v>0</v>
      </c>
    </row>
    <row r="473" spans="1:28">
      <c r="A473" t="s">
        <v>679</v>
      </c>
      <c r="B473" t="s">
        <v>157</v>
      </c>
      <c r="C473" t="s">
        <v>323</v>
      </c>
      <c r="D473" s="1">
        <v>45686</v>
      </c>
      <c r="E473" s="5">
        <v>0.85416666666666663</v>
      </c>
      <c r="F473" s="1">
        <v>45686</v>
      </c>
      <c r="G473" s="5">
        <v>0.88194444444444442</v>
      </c>
      <c r="H473">
        <v>40</v>
      </c>
      <c r="I473" t="s">
        <v>167</v>
      </c>
      <c r="J473" t="s">
        <v>168</v>
      </c>
      <c r="K473">
        <v>5</v>
      </c>
      <c r="L473">
        <v>8</v>
      </c>
      <c r="M473" t="s">
        <v>153</v>
      </c>
      <c r="N473" t="s">
        <v>145</v>
      </c>
      <c r="O473" t="b">
        <v>1</v>
      </c>
      <c r="P473" t="b">
        <v>0</v>
      </c>
      <c r="Q473" s="6">
        <v>5</v>
      </c>
      <c r="R473" s="6">
        <v>0.625</v>
      </c>
      <c r="S473" t="s">
        <v>146</v>
      </c>
      <c r="T473" t="s">
        <v>147</v>
      </c>
      <c r="U473" s="6">
        <v>19.2</v>
      </c>
      <c r="V473" s="6">
        <v>20.8</v>
      </c>
      <c r="W473" t="b">
        <v>1</v>
      </c>
      <c r="X473">
        <v>20</v>
      </c>
      <c r="Y473">
        <v>3</v>
      </c>
      <c r="Z473">
        <v>20</v>
      </c>
      <c r="AA473" s="6">
        <v>28.844221105527641</v>
      </c>
      <c r="AB473">
        <f>--PizzaDelivery[[#This Row],[Is Delayed]]</f>
        <v>1</v>
      </c>
    </row>
    <row r="474" spans="1:28">
      <c r="A474" t="s">
        <v>680</v>
      </c>
      <c r="B474" t="s">
        <v>173</v>
      </c>
      <c r="C474" t="s">
        <v>325</v>
      </c>
      <c r="D474" s="1">
        <v>45687</v>
      </c>
      <c r="E474" s="5">
        <v>0.78125</v>
      </c>
      <c r="F474" s="1">
        <v>45687</v>
      </c>
      <c r="G474" s="5">
        <v>0.79513888888888884</v>
      </c>
      <c r="H474">
        <v>20</v>
      </c>
      <c r="I474" t="s">
        <v>159</v>
      </c>
      <c r="J474" t="s">
        <v>160</v>
      </c>
      <c r="K474">
        <v>1</v>
      </c>
      <c r="L474">
        <v>2.5</v>
      </c>
      <c r="M474" t="s">
        <v>161</v>
      </c>
      <c r="N474" t="s">
        <v>169</v>
      </c>
      <c r="O474" t="b">
        <v>1</v>
      </c>
      <c r="P474" t="b">
        <v>0</v>
      </c>
      <c r="Q474" s="6">
        <v>8</v>
      </c>
      <c r="R474" s="6">
        <v>0.4</v>
      </c>
      <c r="S474" t="s">
        <v>146</v>
      </c>
      <c r="T474" t="s">
        <v>171</v>
      </c>
      <c r="U474" s="6">
        <v>6</v>
      </c>
      <c r="V474" s="6">
        <v>14</v>
      </c>
      <c r="W474" t="b">
        <v>0</v>
      </c>
      <c r="X474">
        <v>1</v>
      </c>
      <c r="Y474">
        <v>1</v>
      </c>
      <c r="Z474">
        <v>18</v>
      </c>
      <c r="AA474" s="6">
        <v>30.286458333333329</v>
      </c>
      <c r="AB474">
        <f>--PizzaDelivery[[#This Row],[Is Delayed]]</f>
        <v>0</v>
      </c>
    </row>
    <row r="475" spans="1:28">
      <c r="A475" t="s">
        <v>681</v>
      </c>
      <c r="B475" t="s">
        <v>142</v>
      </c>
      <c r="C475" t="s">
        <v>327</v>
      </c>
      <c r="D475" s="1">
        <v>45688</v>
      </c>
      <c r="E475" s="5">
        <v>0.79166666666666663</v>
      </c>
      <c r="F475" s="1">
        <v>45688</v>
      </c>
      <c r="G475" s="5">
        <v>0.82638888888888884</v>
      </c>
      <c r="H475">
        <v>50</v>
      </c>
      <c r="I475" t="s">
        <v>151</v>
      </c>
      <c r="J475" t="s">
        <v>152</v>
      </c>
      <c r="K475">
        <v>4</v>
      </c>
      <c r="L475">
        <v>10</v>
      </c>
      <c r="M475" t="s">
        <v>153</v>
      </c>
      <c r="N475" t="s">
        <v>145</v>
      </c>
      <c r="O475" t="b">
        <v>1</v>
      </c>
      <c r="P475" t="b">
        <v>0</v>
      </c>
      <c r="Q475" s="6">
        <v>5</v>
      </c>
      <c r="R475" s="6">
        <v>0.4</v>
      </c>
      <c r="S475" t="s">
        <v>146</v>
      </c>
      <c r="T475" t="s">
        <v>147</v>
      </c>
      <c r="U475" s="6">
        <v>24</v>
      </c>
      <c r="V475" s="6">
        <v>26</v>
      </c>
      <c r="W475" t="b">
        <v>1</v>
      </c>
      <c r="X475">
        <v>12</v>
      </c>
      <c r="Y475">
        <v>3</v>
      </c>
      <c r="Z475">
        <v>19</v>
      </c>
      <c r="AA475" s="6">
        <v>30.259433962264151</v>
      </c>
      <c r="AB475">
        <f>--PizzaDelivery[[#This Row],[Is Delayed]]</f>
        <v>1</v>
      </c>
    </row>
    <row r="476" spans="1:28">
      <c r="A476" t="s">
        <v>682</v>
      </c>
      <c r="B476" t="s">
        <v>149</v>
      </c>
      <c r="C476" t="s">
        <v>182</v>
      </c>
      <c r="D476" s="1">
        <v>45689</v>
      </c>
      <c r="E476" s="5">
        <v>0.83333333333333337</v>
      </c>
      <c r="F476" s="1">
        <v>45689</v>
      </c>
      <c r="G476" s="5">
        <v>0.85763888888888884</v>
      </c>
      <c r="H476">
        <v>35</v>
      </c>
      <c r="I476" t="s">
        <v>143</v>
      </c>
      <c r="J476" t="s">
        <v>591</v>
      </c>
      <c r="K476">
        <v>3</v>
      </c>
      <c r="L476">
        <v>5.5</v>
      </c>
      <c r="M476" t="s">
        <v>143</v>
      </c>
      <c r="N476" t="s">
        <v>154</v>
      </c>
      <c r="O476" t="b">
        <v>1</v>
      </c>
      <c r="P476" t="b">
        <v>1</v>
      </c>
      <c r="Q476" s="6">
        <v>6.3636363636363633</v>
      </c>
      <c r="R476" s="6">
        <v>0.54545454545454541</v>
      </c>
      <c r="S476" t="s">
        <v>155</v>
      </c>
      <c r="T476" t="s">
        <v>147</v>
      </c>
      <c r="U476" s="6">
        <v>13.2</v>
      </c>
      <c r="V476" s="6">
        <v>21.8</v>
      </c>
      <c r="W476" t="b">
        <v>1</v>
      </c>
      <c r="X476">
        <v>6</v>
      </c>
      <c r="Y476">
        <v>2</v>
      </c>
      <c r="Z476">
        <v>20</v>
      </c>
      <c r="AA476" s="6">
        <v>28.186274509803919</v>
      </c>
      <c r="AB476">
        <f>--PizzaDelivery[[#This Row],[Is Delayed]]</f>
        <v>1</v>
      </c>
    </row>
    <row r="477" spans="1:28">
      <c r="A477" t="s">
        <v>683</v>
      </c>
      <c r="B477" t="s">
        <v>165</v>
      </c>
      <c r="C477" t="s">
        <v>329</v>
      </c>
      <c r="D477" s="1">
        <v>45690</v>
      </c>
      <c r="E477" s="5">
        <v>0.77083333333333337</v>
      </c>
      <c r="F477" s="1">
        <v>45690</v>
      </c>
      <c r="G477" s="5">
        <v>0.78472222222222221</v>
      </c>
      <c r="H477">
        <v>20</v>
      </c>
      <c r="I477" t="s">
        <v>159</v>
      </c>
      <c r="J477" t="s">
        <v>160</v>
      </c>
      <c r="K477">
        <v>2</v>
      </c>
      <c r="L477">
        <v>2</v>
      </c>
      <c r="M477" t="s">
        <v>161</v>
      </c>
      <c r="N477" t="s">
        <v>162</v>
      </c>
      <c r="O477" t="b">
        <v>1</v>
      </c>
      <c r="P477" t="b">
        <v>1</v>
      </c>
      <c r="Q477" s="6">
        <v>10</v>
      </c>
      <c r="R477" s="6">
        <v>1</v>
      </c>
      <c r="S477" t="s">
        <v>155</v>
      </c>
      <c r="T477" t="s">
        <v>147</v>
      </c>
      <c r="U477" s="6">
        <v>4.8</v>
      </c>
      <c r="V477" s="6">
        <v>15.2</v>
      </c>
      <c r="W477" t="b">
        <v>0</v>
      </c>
      <c r="X477">
        <v>2</v>
      </c>
      <c r="Y477">
        <v>1</v>
      </c>
      <c r="Z477">
        <v>18</v>
      </c>
      <c r="AA477" s="6">
        <v>29.948453608247419</v>
      </c>
      <c r="AB477">
        <f>--PizzaDelivery[[#This Row],[Is Delayed]]</f>
        <v>0</v>
      </c>
    </row>
    <row r="478" spans="1:28">
      <c r="A478" t="s">
        <v>684</v>
      </c>
      <c r="B478" t="s">
        <v>157</v>
      </c>
      <c r="C478" t="s">
        <v>190</v>
      </c>
      <c r="D478" s="1">
        <v>45691</v>
      </c>
      <c r="E478" s="5">
        <v>0.82291666666666663</v>
      </c>
      <c r="F478" s="1">
        <v>45691</v>
      </c>
      <c r="G478" s="5">
        <v>0.85069444444444442</v>
      </c>
      <c r="H478">
        <v>40</v>
      </c>
      <c r="I478" t="s">
        <v>167</v>
      </c>
      <c r="J478" t="s">
        <v>594</v>
      </c>
      <c r="K478">
        <v>5</v>
      </c>
      <c r="L478">
        <v>7.5</v>
      </c>
      <c r="M478" t="s">
        <v>153</v>
      </c>
      <c r="N478" t="s">
        <v>145</v>
      </c>
      <c r="O478" t="b">
        <v>1</v>
      </c>
      <c r="P478" t="b">
        <v>0</v>
      </c>
      <c r="Q478" s="6">
        <v>5.333333333333333</v>
      </c>
      <c r="R478" s="6">
        <v>0.66666666666666663</v>
      </c>
      <c r="S478" t="s">
        <v>155</v>
      </c>
      <c r="T478" t="s">
        <v>147</v>
      </c>
      <c r="U478" s="6">
        <v>18</v>
      </c>
      <c r="V478" s="6">
        <v>22</v>
      </c>
      <c r="W478" t="b">
        <v>1</v>
      </c>
      <c r="X478">
        <v>20</v>
      </c>
      <c r="Y478">
        <v>3</v>
      </c>
      <c r="Z478">
        <v>19</v>
      </c>
      <c r="AA478" s="6">
        <v>28.844221105527641</v>
      </c>
      <c r="AB478">
        <f>--PizzaDelivery[[#This Row],[Is Delayed]]</f>
        <v>1</v>
      </c>
    </row>
    <row r="479" spans="1:28">
      <c r="A479" t="s">
        <v>685</v>
      </c>
      <c r="B479" t="s">
        <v>173</v>
      </c>
      <c r="C479" t="s">
        <v>192</v>
      </c>
      <c r="D479" s="1">
        <v>45692</v>
      </c>
      <c r="E479" s="5">
        <v>0.75</v>
      </c>
      <c r="F479" s="1">
        <v>45692</v>
      </c>
      <c r="G479" s="5">
        <v>0.77083333333333337</v>
      </c>
      <c r="H479">
        <v>30</v>
      </c>
      <c r="I479" t="s">
        <v>143</v>
      </c>
      <c r="J479" t="s">
        <v>152</v>
      </c>
      <c r="K479">
        <v>3</v>
      </c>
      <c r="L479">
        <v>4</v>
      </c>
      <c r="M479" t="s">
        <v>143</v>
      </c>
      <c r="N479" t="s">
        <v>162</v>
      </c>
      <c r="O479" t="b">
        <v>1</v>
      </c>
      <c r="P479" t="b">
        <v>0</v>
      </c>
      <c r="Q479" s="6">
        <v>7.5</v>
      </c>
      <c r="R479" s="6">
        <v>0.75</v>
      </c>
      <c r="S479" t="s">
        <v>155</v>
      </c>
      <c r="T479" t="s">
        <v>147</v>
      </c>
      <c r="U479" s="6">
        <v>9.6</v>
      </c>
      <c r="V479" s="6">
        <v>20.399999999999999</v>
      </c>
      <c r="W479" t="b">
        <v>0</v>
      </c>
      <c r="X479">
        <v>6</v>
      </c>
      <c r="Y479">
        <v>2</v>
      </c>
      <c r="Z479">
        <v>18</v>
      </c>
      <c r="AA479" s="6">
        <v>30.286458333333329</v>
      </c>
      <c r="AB479">
        <f>--PizzaDelivery[[#This Row],[Is Delayed]]</f>
        <v>0</v>
      </c>
    </row>
    <row r="480" spans="1:28">
      <c r="A480" t="s">
        <v>686</v>
      </c>
      <c r="B480" t="s">
        <v>142</v>
      </c>
      <c r="C480" t="s">
        <v>687</v>
      </c>
      <c r="D480" s="1">
        <v>45693</v>
      </c>
      <c r="E480" s="5">
        <v>0.84375</v>
      </c>
      <c r="F480" s="1">
        <v>45693</v>
      </c>
      <c r="G480" s="5">
        <v>0.875</v>
      </c>
      <c r="H480">
        <v>45</v>
      </c>
      <c r="I480" t="s">
        <v>151</v>
      </c>
      <c r="J480" t="s">
        <v>144</v>
      </c>
      <c r="K480">
        <v>4</v>
      </c>
      <c r="L480">
        <v>9</v>
      </c>
      <c r="M480" t="s">
        <v>153</v>
      </c>
      <c r="N480" t="s">
        <v>169</v>
      </c>
      <c r="O480" t="b">
        <v>1</v>
      </c>
      <c r="P480" t="b">
        <v>0</v>
      </c>
      <c r="Q480" s="6">
        <v>5</v>
      </c>
      <c r="R480" s="6">
        <v>0.44444444444444442</v>
      </c>
      <c r="S480" t="s">
        <v>155</v>
      </c>
      <c r="T480" t="s">
        <v>171</v>
      </c>
      <c r="U480" s="6">
        <v>21.6</v>
      </c>
      <c r="V480" s="6">
        <v>23.4</v>
      </c>
      <c r="W480" t="b">
        <v>1</v>
      </c>
      <c r="X480">
        <v>12</v>
      </c>
      <c r="Y480">
        <v>3</v>
      </c>
      <c r="Z480">
        <v>20</v>
      </c>
      <c r="AA480" s="6">
        <v>30.259433962264151</v>
      </c>
      <c r="AB480">
        <f>--PizzaDelivery[[#This Row],[Is Delayed]]</f>
        <v>1</v>
      </c>
    </row>
    <row r="481" spans="1:28">
      <c r="A481" t="s">
        <v>688</v>
      </c>
      <c r="B481" t="s">
        <v>149</v>
      </c>
      <c r="C481" t="s">
        <v>194</v>
      </c>
      <c r="D481" s="1">
        <v>45694</v>
      </c>
      <c r="E481" s="5">
        <v>0.75</v>
      </c>
      <c r="F481" s="1">
        <v>45694</v>
      </c>
      <c r="G481" s="5">
        <v>0.76388888888888884</v>
      </c>
      <c r="H481">
        <v>20</v>
      </c>
      <c r="I481" t="s">
        <v>143</v>
      </c>
      <c r="J481" t="s">
        <v>144</v>
      </c>
      <c r="K481">
        <v>2</v>
      </c>
      <c r="L481">
        <v>3</v>
      </c>
      <c r="M481" t="s">
        <v>161</v>
      </c>
      <c r="N481" t="s">
        <v>145</v>
      </c>
      <c r="O481" t="b">
        <v>1</v>
      </c>
      <c r="P481" t="b">
        <v>0</v>
      </c>
      <c r="Q481" s="6">
        <v>6.666666666666667</v>
      </c>
      <c r="R481" s="6">
        <v>0.66666666666666663</v>
      </c>
      <c r="S481" t="s">
        <v>155</v>
      </c>
      <c r="T481" t="s">
        <v>147</v>
      </c>
      <c r="U481" s="6">
        <v>7.1999999999999993</v>
      </c>
      <c r="V481" s="6">
        <v>12.8</v>
      </c>
      <c r="W481" t="b">
        <v>0</v>
      </c>
      <c r="X481">
        <v>4</v>
      </c>
      <c r="Y481">
        <v>1</v>
      </c>
      <c r="Z481">
        <v>18</v>
      </c>
      <c r="AA481" s="6">
        <v>28.186274509803919</v>
      </c>
      <c r="AB481">
        <f>--PizzaDelivery[[#This Row],[Is Delayed]]</f>
        <v>0</v>
      </c>
    </row>
    <row r="482" spans="1:28">
      <c r="A482" t="s">
        <v>689</v>
      </c>
      <c r="B482" t="s">
        <v>165</v>
      </c>
      <c r="C482" t="s">
        <v>690</v>
      </c>
      <c r="D482" s="1">
        <v>45695</v>
      </c>
      <c r="E482" s="5">
        <v>0.80208333333333337</v>
      </c>
      <c r="F482" s="1">
        <v>45695</v>
      </c>
      <c r="G482" s="5">
        <v>0.82291666666666663</v>
      </c>
      <c r="H482">
        <v>30</v>
      </c>
      <c r="I482" t="s">
        <v>151</v>
      </c>
      <c r="J482" t="s">
        <v>152</v>
      </c>
      <c r="K482">
        <v>4</v>
      </c>
      <c r="L482">
        <v>6</v>
      </c>
      <c r="M482" t="s">
        <v>143</v>
      </c>
      <c r="N482" t="s">
        <v>154</v>
      </c>
      <c r="O482" t="b">
        <v>1</v>
      </c>
      <c r="P482" t="b">
        <v>0</v>
      </c>
      <c r="Q482" s="6">
        <v>5</v>
      </c>
      <c r="R482" s="6">
        <v>0.66666666666666663</v>
      </c>
      <c r="S482" t="s">
        <v>155</v>
      </c>
      <c r="T482" t="s">
        <v>147</v>
      </c>
      <c r="U482" s="6">
        <v>14.4</v>
      </c>
      <c r="V482" s="6">
        <v>15.6</v>
      </c>
      <c r="W482" t="b">
        <v>0</v>
      </c>
      <c r="X482">
        <v>12</v>
      </c>
      <c r="Y482">
        <v>2</v>
      </c>
      <c r="Z482">
        <v>19</v>
      </c>
      <c r="AA482" s="6">
        <v>29.948453608247419</v>
      </c>
      <c r="AB482">
        <f>--PizzaDelivery[[#This Row],[Is Delayed]]</f>
        <v>0</v>
      </c>
    </row>
    <row r="483" spans="1:28">
      <c r="A483" t="s">
        <v>691</v>
      </c>
      <c r="B483" t="s">
        <v>157</v>
      </c>
      <c r="C483" t="s">
        <v>339</v>
      </c>
      <c r="D483" s="1">
        <v>45696</v>
      </c>
      <c r="E483" s="5">
        <v>0.85416666666666663</v>
      </c>
      <c r="F483" s="1">
        <v>45696</v>
      </c>
      <c r="G483" s="5">
        <v>0.88194444444444442</v>
      </c>
      <c r="H483">
        <v>40</v>
      </c>
      <c r="I483" t="s">
        <v>167</v>
      </c>
      <c r="J483" t="s">
        <v>168</v>
      </c>
      <c r="K483">
        <v>5</v>
      </c>
      <c r="L483">
        <v>8</v>
      </c>
      <c r="M483" t="s">
        <v>153</v>
      </c>
      <c r="N483" t="s">
        <v>145</v>
      </c>
      <c r="O483" t="b">
        <v>1</v>
      </c>
      <c r="P483" t="b">
        <v>1</v>
      </c>
      <c r="Q483" s="6">
        <v>5</v>
      </c>
      <c r="R483" s="6">
        <v>0.625</v>
      </c>
      <c r="S483" t="s">
        <v>155</v>
      </c>
      <c r="T483" t="s">
        <v>147</v>
      </c>
      <c r="U483" s="6">
        <v>19.2</v>
      </c>
      <c r="V483" s="6">
        <v>20.8</v>
      </c>
      <c r="W483" t="b">
        <v>1</v>
      </c>
      <c r="X483">
        <v>20</v>
      </c>
      <c r="Y483">
        <v>3</v>
      </c>
      <c r="Z483">
        <v>20</v>
      </c>
      <c r="AA483" s="6">
        <v>28.844221105527641</v>
      </c>
      <c r="AB483">
        <f>--PizzaDelivery[[#This Row],[Is Delayed]]</f>
        <v>1</v>
      </c>
    </row>
    <row r="484" spans="1:28">
      <c r="A484" t="s">
        <v>692</v>
      </c>
      <c r="B484" t="s">
        <v>173</v>
      </c>
      <c r="C484" t="s">
        <v>693</v>
      </c>
      <c r="D484" s="1">
        <v>45697</v>
      </c>
      <c r="E484" s="5">
        <v>0.78125</v>
      </c>
      <c r="F484" s="1">
        <v>45697</v>
      </c>
      <c r="G484" s="5">
        <v>0.79513888888888884</v>
      </c>
      <c r="H484">
        <v>20</v>
      </c>
      <c r="I484" t="s">
        <v>159</v>
      </c>
      <c r="J484" t="s">
        <v>160</v>
      </c>
      <c r="K484">
        <v>1</v>
      </c>
      <c r="L484">
        <v>2.5</v>
      </c>
      <c r="M484" t="s">
        <v>161</v>
      </c>
      <c r="N484" t="s">
        <v>169</v>
      </c>
      <c r="O484" t="b">
        <v>1</v>
      </c>
      <c r="P484" t="b">
        <v>1</v>
      </c>
      <c r="Q484" s="6">
        <v>8</v>
      </c>
      <c r="R484" s="6">
        <v>0.4</v>
      </c>
      <c r="S484" t="s">
        <v>155</v>
      </c>
      <c r="T484" t="s">
        <v>171</v>
      </c>
      <c r="U484" s="6">
        <v>6</v>
      </c>
      <c r="V484" s="6">
        <v>14</v>
      </c>
      <c r="W484" t="b">
        <v>0</v>
      </c>
      <c r="X484">
        <v>1</v>
      </c>
      <c r="Y484">
        <v>1</v>
      </c>
      <c r="Z484">
        <v>18</v>
      </c>
      <c r="AA484" s="6">
        <v>30.286458333333329</v>
      </c>
      <c r="AB484">
        <f>--PizzaDelivery[[#This Row],[Is Delayed]]</f>
        <v>0</v>
      </c>
    </row>
    <row r="485" spans="1:28">
      <c r="A485" t="s">
        <v>694</v>
      </c>
      <c r="B485" t="s">
        <v>142</v>
      </c>
      <c r="C485" t="s">
        <v>695</v>
      </c>
      <c r="D485" s="1">
        <v>45698</v>
      </c>
      <c r="E485" s="5">
        <v>0.79166666666666663</v>
      </c>
      <c r="F485" s="1">
        <v>45698</v>
      </c>
      <c r="G485" s="5">
        <v>0.82638888888888884</v>
      </c>
      <c r="H485">
        <v>50</v>
      </c>
      <c r="I485" t="s">
        <v>151</v>
      </c>
      <c r="J485" t="s">
        <v>152</v>
      </c>
      <c r="K485">
        <v>4</v>
      </c>
      <c r="L485">
        <v>10</v>
      </c>
      <c r="M485" t="s">
        <v>153</v>
      </c>
      <c r="N485" t="s">
        <v>145</v>
      </c>
      <c r="O485" t="b">
        <v>1</v>
      </c>
      <c r="P485" t="b">
        <v>0</v>
      </c>
      <c r="Q485" s="6">
        <v>5</v>
      </c>
      <c r="R485" s="6">
        <v>0.4</v>
      </c>
      <c r="S485" t="s">
        <v>155</v>
      </c>
      <c r="T485" t="s">
        <v>147</v>
      </c>
      <c r="U485" s="6">
        <v>24</v>
      </c>
      <c r="V485" s="6">
        <v>26</v>
      </c>
      <c r="W485" t="b">
        <v>1</v>
      </c>
      <c r="X485">
        <v>12</v>
      </c>
      <c r="Y485">
        <v>3</v>
      </c>
      <c r="Z485">
        <v>19</v>
      </c>
      <c r="AA485" s="6">
        <v>30.259433962264151</v>
      </c>
      <c r="AB485">
        <f>--PizzaDelivery[[#This Row],[Is Delayed]]</f>
        <v>1</v>
      </c>
    </row>
    <row r="486" spans="1:28">
      <c r="A486" t="s">
        <v>696</v>
      </c>
      <c r="B486" t="s">
        <v>149</v>
      </c>
      <c r="C486" t="s">
        <v>697</v>
      </c>
      <c r="D486" s="1">
        <v>45699</v>
      </c>
      <c r="E486" s="5">
        <v>0.83333333333333337</v>
      </c>
      <c r="F486" s="1">
        <v>45699</v>
      </c>
      <c r="G486" s="5">
        <v>0.85763888888888884</v>
      </c>
      <c r="H486">
        <v>35</v>
      </c>
      <c r="I486" t="s">
        <v>143</v>
      </c>
      <c r="J486" t="s">
        <v>591</v>
      </c>
      <c r="K486">
        <v>3</v>
      </c>
      <c r="L486">
        <v>5.5</v>
      </c>
      <c r="M486" t="s">
        <v>143</v>
      </c>
      <c r="N486" t="s">
        <v>154</v>
      </c>
      <c r="O486" t="b">
        <v>1</v>
      </c>
      <c r="P486" t="b">
        <v>0</v>
      </c>
      <c r="Q486" s="6">
        <v>6.3636363636363633</v>
      </c>
      <c r="R486" s="6">
        <v>0.54545454545454541</v>
      </c>
      <c r="S486" t="s">
        <v>155</v>
      </c>
      <c r="T486" t="s">
        <v>147</v>
      </c>
      <c r="U486" s="6">
        <v>13.2</v>
      </c>
      <c r="V486" s="6">
        <v>21.8</v>
      </c>
      <c r="W486" t="b">
        <v>1</v>
      </c>
      <c r="X486">
        <v>6</v>
      </c>
      <c r="Y486">
        <v>2</v>
      </c>
      <c r="Z486">
        <v>20</v>
      </c>
      <c r="AA486" s="6">
        <v>28.186274509803919</v>
      </c>
      <c r="AB486">
        <f>--PizzaDelivery[[#This Row],[Is Delayed]]</f>
        <v>1</v>
      </c>
    </row>
    <row r="487" spans="1:28">
      <c r="A487" t="s">
        <v>698</v>
      </c>
      <c r="B487" t="s">
        <v>165</v>
      </c>
      <c r="C487" t="s">
        <v>699</v>
      </c>
      <c r="D487" s="1">
        <v>45700</v>
      </c>
      <c r="E487" s="5">
        <v>0.77083333333333337</v>
      </c>
      <c r="F487" s="1">
        <v>45700</v>
      </c>
      <c r="G487" s="5">
        <v>0.78472222222222221</v>
      </c>
      <c r="H487">
        <v>20</v>
      </c>
      <c r="I487" t="s">
        <v>159</v>
      </c>
      <c r="J487" t="s">
        <v>160</v>
      </c>
      <c r="K487">
        <v>2</v>
      </c>
      <c r="L487">
        <v>2</v>
      </c>
      <c r="M487" t="s">
        <v>161</v>
      </c>
      <c r="N487" t="s">
        <v>154</v>
      </c>
      <c r="O487" t="b">
        <v>1</v>
      </c>
      <c r="P487" t="b">
        <v>0</v>
      </c>
      <c r="Q487" s="6">
        <v>10</v>
      </c>
      <c r="R487" s="6">
        <v>1</v>
      </c>
      <c r="S487" t="s">
        <v>155</v>
      </c>
      <c r="T487" t="s">
        <v>147</v>
      </c>
      <c r="U487" s="6">
        <v>4.8</v>
      </c>
      <c r="V487" s="6">
        <v>15.2</v>
      </c>
      <c r="W487" t="b">
        <v>0</v>
      </c>
      <c r="X487">
        <v>2</v>
      </c>
      <c r="Y487">
        <v>1</v>
      </c>
      <c r="Z487">
        <v>18</v>
      </c>
      <c r="AA487" s="6">
        <v>29.948453608247419</v>
      </c>
      <c r="AB487">
        <f>--PizzaDelivery[[#This Row],[Is Delayed]]</f>
        <v>0</v>
      </c>
    </row>
    <row r="488" spans="1:28">
      <c r="A488" t="s">
        <v>700</v>
      </c>
      <c r="B488" t="s">
        <v>157</v>
      </c>
      <c r="C488" t="s">
        <v>701</v>
      </c>
      <c r="D488" s="1">
        <v>45701</v>
      </c>
      <c r="E488" s="5">
        <v>0.82291666666666663</v>
      </c>
      <c r="F488" s="1">
        <v>45701</v>
      </c>
      <c r="G488" s="5">
        <v>0.85069444444444442</v>
      </c>
      <c r="H488">
        <v>40</v>
      </c>
      <c r="I488" t="s">
        <v>167</v>
      </c>
      <c r="J488" t="s">
        <v>168</v>
      </c>
      <c r="K488">
        <v>5</v>
      </c>
      <c r="L488">
        <v>7.5</v>
      </c>
      <c r="M488" t="s">
        <v>153</v>
      </c>
      <c r="N488" t="s">
        <v>145</v>
      </c>
      <c r="O488" t="b">
        <v>1</v>
      </c>
      <c r="P488" t="b">
        <v>0</v>
      </c>
      <c r="Q488" s="6">
        <v>5.333333333333333</v>
      </c>
      <c r="R488" s="6">
        <v>0.66666666666666663</v>
      </c>
      <c r="S488" t="s">
        <v>155</v>
      </c>
      <c r="T488" t="s">
        <v>147</v>
      </c>
      <c r="U488" s="6">
        <v>18</v>
      </c>
      <c r="V488" s="6">
        <v>22</v>
      </c>
      <c r="W488" t="b">
        <v>1</v>
      </c>
      <c r="X488">
        <v>20</v>
      </c>
      <c r="Y488">
        <v>3</v>
      </c>
      <c r="Z488">
        <v>19</v>
      </c>
      <c r="AA488" s="6">
        <v>28.844221105527641</v>
      </c>
      <c r="AB488">
        <f>--PizzaDelivery[[#This Row],[Is Delayed]]</f>
        <v>1</v>
      </c>
    </row>
    <row r="489" spans="1:28">
      <c r="A489" t="s">
        <v>702</v>
      </c>
      <c r="B489" t="s">
        <v>173</v>
      </c>
      <c r="C489" t="s">
        <v>703</v>
      </c>
      <c r="D489" s="1">
        <v>45702</v>
      </c>
      <c r="E489" s="5">
        <v>0.75</v>
      </c>
      <c r="F489" s="1">
        <v>45702</v>
      </c>
      <c r="G489" s="5">
        <v>0.76388888888888884</v>
      </c>
      <c r="H489">
        <v>20</v>
      </c>
      <c r="I489" t="s">
        <v>143</v>
      </c>
      <c r="J489" t="s">
        <v>144</v>
      </c>
      <c r="K489">
        <v>2</v>
      </c>
      <c r="L489">
        <v>3</v>
      </c>
      <c r="M489" t="s">
        <v>161</v>
      </c>
      <c r="N489" t="s">
        <v>145</v>
      </c>
      <c r="O489" t="b">
        <v>1</v>
      </c>
      <c r="P489" t="b">
        <v>0</v>
      </c>
      <c r="Q489" s="6">
        <v>6.666666666666667</v>
      </c>
      <c r="R489" s="6">
        <v>0.66666666666666663</v>
      </c>
      <c r="S489" t="s">
        <v>155</v>
      </c>
      <c r="T489" t="s">
        <v>147</v>
      </c>
      <c r="U489" s="6">
        <v>7.1999999999999993</v>
      </c>
      <c r="V489" s="6">
        <v>12.8</v>
      </c>
      <c r="W489" t="b">
        <v>0</v>
      </c>
      <c r="X489">
        <v>4</v>
      </c>
      <c r="Y489">
        <v>1</v>
      </c>
      <c r="Z489">
        <v>18</v>
      </c>
      <c r="AA489" s="6">
        <v>30.286458333333329</v>
      </c>
      <c r="AB489">
        <f>--PizzaDelivery[[#This Row],[Is Delayed]]</f>
        <v>0</v>
      </c>
    </row>
    <row r="490" spans="1:28">
      <c r="A490" t="s">
        <v>704</v>
      </c>
      <c r="B490" t="s">
        <v>142</v>
      </c>
      <c r="C490" t="s">
        <v>705</v>
      </c>
      <c r="D490" s="1">
        <v>45703</v>
      </c>
      <c r="E490" s="5">
        <v>0.80208333333333337</v>
      </c>
      <c r="F490" s="1">
        <v>45703</v>
      </c>
      <c r="G490" s="5">
        <v>0.82291666666666663</v>
      </c>
      <c r="H490">
        <v>30</v>
      </c>
      <c r="I490" t="s">
        <v>151</v>
      </c>
      <c r="J490" t="s">
        <v>617</v>
      </c>
      <c r="K490">
        <v>4</v>
      </c>
      <c r="L490">
        <v>6</v>
      </c>
      <c r="M490" t="s">
        <v>143</v>
      </c>
      <c r="N490" t="s">
        <v>162</v>
      </c>
      <c r="O490" t="b">
        <v>1</v>
      </c>
      <c r="P490" t="b">
        <v>1</v>
      </c>
      <c r="Q490" s="6">
        <v>5</v>
      </c>
      <c r="R490" s="6">
        <v>0.66666666666666663</v>
      </c>
      <c r="S490" t="s">
        <v>155</v>
      </c>
      <c r="T490" t="s">
        <v>147</v>
      </c>
      <c r="U490" s="6">
        <v>14.4</v>
      </c>
      <c r="V490" s="6">
        <v>15.6</v>
      </c>
      <c r="W490" t="b">
        <v>0</v>
      </c>
      <c r="X490">
        <v>12</v>
      </c>
      <c r="Y490">
        <v>2</v>
      </c>
      <c r="Z490">
        <v>19</v>
      </c>
      <c r="AA490" s="6">
        <v>30.259433962264151</v>
      </c>
      <c r="AB490">
        <f>--PizzaDelivery[[#This Row],[Is Delayed]]</f>
        <v>0</v>
      </c>
    </row>
    <row r="491" spans="1:28">
      <c r="A491" t="s">
        <v>706</v>
      </c>
      <c r="B491" t="s">
        <v>149</v>
      </c>
      <c r="C491" t="s">
        <v>707</v>
      </c>
      <c r="D491" s="1">
        <v>45704</v>
      </c>
      <c r="E491" s="5">
        <v>0.85416666666666663</v>
      </c>
      <c r="F491" s="1">
        <v>45704</v>
      </c>
      <c r="G491" s="5">
        <v>0.88194444444444442</v>
      </c>
      <c r="H491">
        <v>40</v>
      </c>
      <c r="I491" t="s">
        <v>167</v>
      </c>
      <c r="J491" t="s">
        <v>168</v>
      </c>
      <c r="K491">
        <v>5</v>
      </c>
      <c r="L491">
        <v>8</v>
      </c>
      <c r="M491" t="s">
        <v>153</v>
      </c>
      <c r="N491" t="s">
        <v>154</v>
      </c>
      <c r="O491" t="b">
        <v>1</v>
      </c>
      <c r="P491" t="b">
        <v>1</v>
      </c>
      <c r="Q491" s="6">
        <v>5</v>
      </c>
      <c r="R491" s="6">
        <v>0.625</v>
      </c>
      <c r="S491" t="s">
        <v>155</v>
      </c>
      <c r="T491" t="s">
        <v>147</v>
      </c>
      <c r="U491" s="6">
        <v>19.2</v>
      </c>
      <c r="V491" s="6">
        <v>20.8</v>
      </c>
      <c r="W491" t="b">
        <v>1</v>
      </c>
      <c r="X491">
        <v>20</v>
      </c>
      <c r="Y491">
        <v>3</v>
      </c>
      <c r="Z491">
        <v>20</v>
      </c>
      <c r="AA491" s="6">
        <v>28.186274509803919</v>
      </c>
      <c r="AB491">
        <f>--PizzaDelivery[[#This Row],[Is Delayed]]</f>
        <v>1</v>
      </c>
    </row>
    <row r="492" spans="1:28">
      <c r="A492" t="s">
        <v>708</v>
      </c>
      <c r="B492" t="s">
        <v>165</v>
      </c>
      <c r="C492" t="s">
        <v>709</v>
      </c>
      <c r="D492" s="1">
        <v>45705</v>
      </c>
      <c r="E492" s="5">
        <v>0.78125</v>
      </c>
      <c r="F492" s="1">
        <v>45705</v>
      </c>
      <c r="G492" s="5">
        <v>0.79513888888888884</v>
      </c>
      <c r="H492">
        <v>20</v>
      </c>
      <c r="I492" t="s">
        <v>159</v>
      </c>
      <c r="J492" t="s">
        <v>160</v>
      </c>
      <c r="K492">
        <v>1</v>
      </c>
      <c r="L492">
        <v>2.5</v>
      </c>
      <c r="M492" t="s">
        <v>161</v>
      </c>
      <c r="N492" t="s">
        <v>169</v>
      </c>
      <c r="O492" t="b">
        <v>1</v>
      </c>
      <c r="P492" t="b">
        <v>0</v>
      </c>
      <c r="Q492" s="6">
        <v>8</v>
      </c>
      <c r="R492" s="6">
        <v>0.4</v>
      </c>
      <c r="S492" t="s">
        <v>155</v>
      </c>
      <c r="T492" t="s">
        <v>171</v>
      </c>
      <c r="U492" s="6">
        <v>6</v>
      </c>
      <c r="V492" s="6">
        <v>14</v>
      </c>
      <c r="W492" t="b">
        <v>0</v>
      </c>
      <c r="X492">
        <v>1</v>
      </c>
      <c r="Y492">
        <v>1</v>
      </c>
      <c r="Z492">
        <v>18</v>
      </c>
      <c r="AA492" s="6">
        <v>29.948453608247419</v>
      </c>
      <c r="AB492">
        <f>--PizzaDelivery[[#This Row],[Is Delayed]]</f>
        <v>0</v>
      </c>
    </row>
    <row r="493" spans="1:28">
      <c r="A493" t="s">
        <v>710</v>
      </c>
      <c r="B493" t="s">
        <v>142</v>
      </c>
      <c r="C493" t="s">
        <v>188</v>
      </c>
      <c r="D493" s="1">
        <v>45706</v>
      </c>
      <c r="E493" s="5">
        <v>0.79166666666666663</v>
      </c>
      <c r="F493" s="1">
        <v>45706</v>
      </c>
      <c r="G493" s="5">
        <v>0.82638888888888884</v>
      </c>
      <c r="H493">
        <v>50</v>
      </c>
      <c r="I493" t="s">
        <v>151</v>
      </c>
      <c r="J493" t="s">
        <v>152</v>
      </c>
      <c r="K493">
        <v>4</v>
      </c>
      <c r="L493">
        <v>10</v>
      </c>
      <c r="M493" t="s">
        <v>153</v>
      </c>
      <c r="N493" t="s">
        <v>145</v>
      </c>
      <c r="O493" t="b">
        <v>1</v>
      </c>
      <c r="P493" t="b">
        <v>0</v>
      </c>
      <c r="Q493" s="6">
        <v>5</v>
      </c>
      <c r="R493" s="6">
        <v>0.4</v>
      </c>
      <c r="S493" t="s">
        <v>155</v>
      </c>
      <c r="T493" t="s">
        <v>147</v>
      </c>
      <c r="U493" s="6">
        <v>24</v>
      </c>
      <c r="V493" s="6">
        <v>26</v>
      </c>
      <c r="W493" t="b">
        <v>1</v>
      </c>
      <c r="X493">
        <v>12</v>
      </c>
      <c r="Y493">
        <v>3</v>
      </c>
      <c r="Z493">
        <v>19</v>
      </c>
      <c r="AA493" s="6">
        <v>30.259433962264151</v>
      </c>
      <c r="AB493">
        <f>--PizzaDelivery[[#This Row],[Is Delayed]]</f>
        <v>1</v>
      </c>
    </row>
    <row r="494" spans="1:28">
      <c r="A494" t="s">
        <v>711</v>
      </c>
      <c r="B494" t="s">
        <v>149</v>
      </c>
      <c r="C494" t="s">
        <v>712</v>
      </c>
      <c r="D494" s="1">
        <v>45707</v>
      </c>
      <c r="E494" s="5">
        <v>0.83333333333333337</v>
      </c>
      <c r="F494" s="1">
        <v>45707</v>
      </c>
      <c r="G494" s="5">
        <v>0.85763888888888884</v>
      </c>
      <c r="H494">
        <v>35</v>
      </c>
      <c r="I494" t="s">
        <v>143</v>
      </c>
      <c r="J494" t="s">
        <v>591</v>
      </c>
      <c r="K494">
        <v>3</v>
      </c>
      <c r="L494">
        <v>5.5</v>
      </c>
      <c r="M494" t="s">
        <v>143</v>
      </c>
      <c r="N494" t="s">
        <v>154</v>
      </c>
      <c r="O494" t="b">
        <v>1</v>
      </c>
      <c r="P494" t="b">
        <v>0</v>
      </c>
      <c r="Q494" s="6">
        <v>6.3636363636363633</v>
      </c>
      <c r="R494" s="6">
        <v>0.54545454545454541</v>
      </c>
      <c r="S494" t="s">
        <v>155</v>
      </c>
      <c r="T494" t="s">
        <v>147</v>
      </c>
      <c r="U494" s="6">
        <v>13.2</v>
      </c>
      <c r="V494" s="6">
        <v>21.8</v>
      </c>
      <c r="W494" t="b">
        <v>1</v>
      </c>
      <c r="X494">
        <v>6</v>
      </c>
      <c r="Y494">
        <v>2</v>
      </c>
      <c r="Z494">
        <v>20</v>
      </c>
      <c r="AA494" s="6">
        <v>28.186274509803919</v>
      </c>
      <c r="AB494">
        <f>--PizzaDelivery[[#This Row],[Is Delayed]]</f>
        <v>1</v>
      </c>
    </row>
    <row r="495" spans="1:28">
      <c r="A495" t="s">
        <v>713</v>
      </c>
      <c r="B495" t="s">
        <v>165</v>
      </c>
      <c r="C495" t="s">
        <v>714</v>
      </c>
      <c r="D495" s="1">
        <v>45708</v>
      </c>
      <c r="E495" s="5">
        <v>0.77083333333333337</v>
      </c>
      <c r="F495" s="1">
        <v>45708</v>
      </c>
      <c r="G495" s="5">
        <v>0.78472222222222221</v>
      </c>
      <c r="H495">
        <v>20</v>
      </c>
      <c r="I495" t="s">
        <v>159</v>
      </c>
      <c r="J495" t="s">
        <v>160</v>
      </c>
      <c r="K495">
        <v>2</v>
      </c>
      <c r="L495">
        <v>2</v>
      </c>
      <c r="M495" t="s">
        <v>161</v>
      </c>
      <c r="N495" t="s">
        <v>162</v>
      </c>
      <c r="O495" t="b">
        <v>1</v>
      </c>
      <c r="P495" t="b">
        <v>0</v>
      </c>
      <c r="Q495" s="6">
        <v>10</v>
      </c>
      <c r="R495" s="6">
        <v>1</v>
      </c>
      <c r="S495" t="s">
        <v>155</v>
      </c>
      <c r="T495" t="s">
        <v>147</v>
      </c>
      <c r="U495" s="6">
        <v>4.8</v>
      </c>
      <c r="V495" s="6">
        <v>15.2</v>
      </c>
      <c r="W495" t="b">
        <v>0</v>
      </c>
      <c r="X495">
        <v>2</v>
      </c>
      <c r="Y495">
        <v>1</v>
      </c>
      <c r="Z495">
        <v>18</v>
      </c>
      <c r="AA495" s="6">
        <v>29.948453608247419</v>
      </c>
      <c r="AB495">
        <f>--PizzaDelivery[[#This Row],[Is Delayed]]</f>
        <v>0</v>
      </c>
    </row>
    <row r="496" spans="1:28">
      <c r="A496" t="s">
        <v>715</v>
      </c>
      <c r="B496" t="s">
        <v>157</v>
      </c>
      <c r="C496" t="s">
        <v>166</v>
      </c>
      <c r="D496" s="1">
        <v>45709</v>
      </c>
      <c r="E496" s="5">
        <v>0.82291666666666663</v>
      </c>
      <c r="F496" s="1">
        <v>45709</v>
      </c>
      <c r="G496" s="5">
        <v>0.85069444444444442</v>
      </c>
      <c r="H496">
        <v>40</v>
      </c>
      <c r="I496" t="s">
        <v>167</v>
      </c>
      <c r="J496" t="s">
        <v>594</v>
      </c>
      <c r="K496">
        <v>5</v>
      </c>
      <c r="L496">
        <v>7.5</v>
      </c>
      <c r="M496" t="s">
        <v>153</v>
      </c>
      <c r="N496" t="s">
        <v>145</v>
      </c>
      <c r="O496" t="b">
        <v>1</v>
      </c>
      <c r="P496" t="b">
        <v>0</v>
      </c>
      <c r="Q496" s="6">
        <v>5.333333333333333</v>
      </c>
      <c r="R496" s="6">
        <v>0.66666666666666663</v>
      </c>
      <c r="S496" t="s">
        <v>155</v>
      </c>
      <c r="T496" t="s">
        <v>147</v>
      </c>
      <c r="U496" s="6">
        <v>18</v>
      </c>
      <c r="V496" s="6">
        <v>22</v>
      </c>
      <c r="W496" t="b">
        <v>1</v>
      </c>
      <c r="X496">
        <v>20</v>
      </c>
      <c r="Y496">
        <v>3</v>
      </c>
      <c r="Z496">
        <v>19</v>
      </c>
      <c r="AA496" s="6">
        <v>28.844221105527641</v>
      </c>
      <c r="AB496">
        <f>--PizzaDelivery[[#This Row],[Is Delayed]]</f>
        <v>1</v>
      </c>
    </row>
    <row r="497" spans="1:28">
      <c r="A497" t="s">
        <v>716</v>
      </c>
      <c r="B497" t="s">
        <v>173</v>
      </c>
      <c r="C497" t="s">
        <v>717</v>
      </c>
      <c r="D497" s="1">
        <v>45710</v>
      </c>
      <c r="E497" s="5">
        <v>0.75</v>
      </c>
      <c r="F497" s="1">
        <v>45710</v>
      </c>
      <c r="G497" s="5">
        <v>0.77083333333333337</v>
      </c>
      <c r="H497">
        <v>30</v>
      </c>
      <c r="I497" t="s">
        <v>143</v>
      </c>
      <c r="J497" t="s">
        <v>152</v>
      </c>
      <c r="K497">
        <v>3</v>
      </c>
      <c r="L497">
        <v>4</v>
      </c>
      <c r="M497" t="s">
        <v>143</v>
      </c>
      <c r="N497" t="s">
        <v>162</v>
      </c>
      <c r="O497" t="b">
        <v>1</v>
      </c>
      <c r="P497" t="b">
        <v>1</v>
      </c>
      <c r="Q497" s="6">
        <v>7.5</v>
      </c>
      <c r="R497" s="6">
        <v>0.75</v>
      </c>
      <c r="S497" t="s">
        <v>155</v>
      </c>
      <c r="T497" t="s">
        <v>147</v>
      </c>
      <c r="U497" s="6">
        <v>9.6</v>
      </c>
      <c r="V497" s="6">
        <v>20.399999999999999</v>
      </c>
      <c r="W497" t="b">
        <v>0</v>
      </c>
      <c r="X497">
        <v>6</v>
      </c>
      <c r="Y497">
        <v>2</v>
      </c>
      <c r="Z497">
        <v>18</v>
      </c>
      <c r="AA497" s="6">
        <v>30.286458333333329</v>
      </c>
      <c r="AB497">
        <f>--PizzaDelivery[[#This Row],[Is Delayed]]</f>
        <v>0</v>
      </c>
    </row>
    <row r="498" spans="1:28">
      <c r="A498" t="s">
        <v>718</v>
      </c>
      <c r="B498" t="s">
        <v>142</v>
      </c>
      <c r="C498" t="s">
        <v>719</v>
      </c>
      <c r="D498" s="1">
        <v>45711</v>
      </c>
      <c r="E498" s="5">
        <v>0.84375</v>
      </c>
      <c r="F498" s="1">
        <v>45711</v>
      </c>
      <c r="G498" s="5">
        <v>0.875</v>
      </c>
      <c r="H498">
        <v>45</v>
      </c>
      <c r="I498" t="s">
        <v>151</v>
      </c>
      <c r="J498" t="s">
        <v>144</v>
      </c>
      <c r="K498">
        <v>4</v>
      </c>
      <c r="L498">
        <v>9</v>
      </c>
      <c r="M498" t="s">
        <v>153</v>
      </c>
      <c r="N498" t="s">
        <v>169</v>
      </c>
      <c r="O498" t="b">
        <v>1</v>
      </c>
      <c r="P498" t="b">
        <v>1</v>
      </c>
      <c r="Q498" s="6">
        <v>5</v>
      </c>
      <c r="R498" s="6">
        <v>0.44444444444444442</v>
      </c>
      <c r="S498" t="s">
        <v>155</v>
      </c>
      <c r="T498" t="s">
        <v>171</v>
      </c>
      <c r="U498" s="6">
        <v>21.6</v>
      </c>
      <c r="V498" s="6">
        <v>23.4</v>
      </c>
      <c r="W498" t="b">
        <v>1</v>
      </c>
      <c r="X498">
        <v>12</v>
      </c>
      <c r="Y498">
        <v>3</v>
      </c>
      <c r="Z498">
        <v>20</v>
      </c>
      <c r="AA498" s="6">
        <v>30.259433962264151</v>
      </c>
      <c r="AB498">
        <f>--PizzaDelivery[[#This Row],[Is Delayed]]</f>
        <v>1</v>
      </c>
    </row>
    <row r="499" spans="1:28">
      <c r="A499" t="s">
        <v>720</v>
      </c>
      <c r="B499" t="s">
        <v>149</v>
      </c>
      <c r="C499" t="s">
        <v>721</v>
      </c>
      <c r="D499" s="1">
        <v>45712</v>
      </c>
      <c r="E499" s="5">
        <v>0.75</v>
      </c>
      <c r="F499" s="1">
        <v>45712</v>
      </c>
      <c r="G499" s="5">
        <v>0.76388888888888884</v>
      </c>
      <c r="H499">
        <v>20</v>
      </c>
      <c r="I499" t="s">
        <v>143</v>
      </c>
      <c r="J499" t="s">
        <v>144</v>
      </c>
      <c r="K499">
        <v>2</v>
      </c>
      <c r="L499">
        <v>3</v>
      </c>
      <c r="M499" t="s">
        <v>161</v>
      </c>
      <c r="N499" t="s">
        <v>145</v>
      </c>
      <c r="O499" t="b">
        <v>1</v>
      </c>
      <c r="P499" t="b">
        <v>0</v>
      </c>
      <c r="Q499" s="6">
        <v>6.666666666666667</v>
      </c>
      <c r="R499" s="6">
        <v>0.66666666666666663</v>
      </c>
      <c r="S499" t="s">
        <v>155</v>
      </c>
      <c r="T499" t="s">
        <v>147</v>
      </c>
      <c r="U499" s="6">
        <v>7.1999999999999993</v>
      </c>
      <c r="V499" s="6">
        <v>12.8</v>
      </c>
      <c r="W499" t="b">
        <v>0</v>
      </c>
      <c r="X499">
        <v>4</v>
      </c>
      <c r="Y499">
        <v>1</v>
      </c>
      <c r="Z499">
        <v>18</v>
      </c>
      <c r="AA499" s="6">
        <v>28.186274509803919</v>
      </c>
      <c r="AB499">
        <f>--PizzaDelivery[[#This Row],[Is Delayed]]</f>
        <v>0</v>
      </c>
    </row>
    <row r="500" spans="1:28">
      <c r="A500" t="s">
        <v>722</v>
      </c>
      <c r="B500" t="s">
        <v>165</v>
      </c>
      <c r="C500" t="s">
        <v>723</v>
      </c>
      <c r="D500" s="1">
        <v>45713</v>
      </c>
      <c r="E500" s="5">
        <v>0.80208333333333337</v>
      </c>
      <c r="F500" s="1">
        <v>45713</v>
      </c>
      <c r="G500" s="5">
        <v>0.82291666666666663</v>
      </c>
      <c r="H500">
        <v>30</v>
      </c>
      <c r="I500" t="s">
        <v>151</v>
      </c>
      <c r="J500" t="s">
        <v>152</v>
      </c>
      <c r="K500">
        <v>4</v>
      </c>
      <c r="L500">
        <v>6</v>
      </c>
      <c r="M500" t="s">
        <v>143</v>
      </c>
      <c r="N500" t="s">
        <v>154</v>
      </c>
      <c r="O500" t="b">
        <v>1</v>
      </c>
      <c r="P500" t="b">
        <v>0</v>
      </c>
      <c r="Q500" s="6">
        <v>5</v>
      </c>
      <c r="R500" s="6">
        <v>0.66666666666666663</v>
      </c>
      <c r="S500" t="s">
        <v>155</v>
      </c>
      <c r="T500" t="s">
        <v>147</v>
      </c>
      <c r="U500" s="6">
        <v>14.4</v>
      </c>
      <c r="V500" s="6">
        <v>15.6</v>
      </c>
      <c r="W500" t="b">
        <v>0</v>
      </c>
      <c r="X500">
        <v>12</v>
      </c>
      <c r="Y500">
        <v>2</v>
      </c>
      <c r="Z500">
        <v>19</v>
      </c>
      <c r="AA500" s="6">
        <v>29.948453608247419</v>
      </c>
      <c r="AB500">
        <f>--PizzaDelivery[[#This Row],[Is Delayed]]</f>
        <v>0</v>
      </c>
    </row>
    <row r="501" spans="1:28">
      <c r="A501" t="s">
        <v>724</v>
      </c>
      <c r="B501" t="s">
        <v>157</v>
      </c>
      <c r="C501" t="s">
        <v>725</v>
      </c>
      <c r="D501" s="1">
        <v>45714</v>
      </c>
      <c r="E501" s="5">
        <v>0.85416666666666663</v>
      </c>
      <c r="F501" s="1">
        <v>45714</v>
      </c>
      <c r="G501" s="5">
        <v>0.88194444444444442</v>
      </c>
      <c r="H501">
        <v>40</v>
      </c>
      <c r="I501" t="s">
        <v>167</v>
      </c>
      <c r="J501" t="s">
        <v>168</v>
      </c>
      <c r="K501">
        <v>5</v>
      </c>
      <c r="L501">
        <v>8</v>
      </c>
      <c r="M501" t="s">
        <v>153</v>
      </c>
      <c r="N501" t="s">
        <v>145</v>
      </c>
      <c r="O501" t="b">
        <v>1</v>
      </c>
      <c r="P501" t="b">
        <v>0</v>
      </c>
      <c r="Q501" s="6">
        <v>5</v>
      </c>
      <c r="R501" s="6">
        <v>0.625</v>
      </c>
      <c r="S501" t="s">
        <v>155</v>
      </c>
      <c r="T501" t="s">
        <v>147</v>
      </c>
      <c r="U501" s="6">
        <v>19.2</v>
      </c>
      <c r="V501" s="6">
        <v>20.8</v>
      </c>
      <c r="W501" t="b">
        <v>1</v>
      </c>
      <c r="X501">
        <v>20</v>
      </c>
      <c r="Y501">
        <v>3</v>
      </c>
      <c r="Z501">
        <v>20</v>
      </c>
      <c r="AA501" s="6">
        <v>28.844221105527641</v>
      </c>
      <c r="AB501">
        <f>--PizzaDelivery[[#This Row],[Is Delayed]]</f>
        <v>1</v>
      </c>
    </row>
    <row r="502" spans="1:28">
      <c r="A502" t="s">
        <v>726</v>
      </c>
      <c r="B502" t="s">
        <v>173</v>
      </c>
      <c r="C502" t="s">
        <v>727</v>
      </c>
      <c r="D502" s="1">
        <v>45715</v>
      </c>
      <c r="E502" s="5">
        <v>0.78125</v>
      </c>
      <c r="F502" s="1">
        <v>45715</v>
      </c>
      <c r="G502" s="5">
        <v>0.79513888888888884</v>
      </c>
      <c r="H502">
        <v>20</v>
      </c>
      <c r="I502" t="s">
        <v>159</v>
      </c>
      <c r="J502" t="s">
        <v>160</v>
      </c>
      <c r="K502">
        <v>1</v>
      </c>
      <c r="L502">
        <v>2.5</v>
      </c>
      <c r="M502" t="s">
        <v>161</v>
      </c>
      <c r="N502" t="s">
        <v>169</v>
      </c>
      <c r="O502" t="b">
        <v>1</v>
      </c>
      <c r="P502" t="b">
        <v>0</v>
      </c>
      <c r="Q502" s="6">
        <v>8</v>
      </c>
      <c r="R502" s="6">
        <v>0.4</v>
      </c>
      <c r="S502" t="s">
        <v>155</v>
      </c>
      <c r="T502" t="s">
        <v>171</v>
      </c>
      <c r="U502" s="6">
        <v>6</v>
      </c>
      <c r="V502" s="6">
        <v>14</v>
      </c>
      <c r="W502" t="b">
        <v>0</v>
      </c>
      <c r="X502">
        <v>1</v>
      </c>
      <c r="Y502">
        <v>1</v>
      </c>
      <c r="Z502">
        <v>18</v>
      </c>
      <c r="AA502" s="6">
        <v>30.286458333333329</v>
      </c>
      <c r="AB502">
        <f>--PizzaDelivery[[#This Row],[Is Delayed]]</f>
        <v>0</v>
      </c>
    </row>
    <row r="503" spans="1:28">
      <c r="A503" t="s">
        <v>728</v>
      </c>
      <c r="B503" t="s">
        <v>142</v>
      </c>
      <c r="C503" t="s">
        <v>729</v>
      </c>
      <c r="D503" s="1">
        <v>45716</v>
      </c>
      <c r="E503" s="5">
        <v>0.79166666666666663</v>
      </c>
      <c r="F503" s="1">
        <v>45716</v>
      </c>
      <c r="G503" s="5">
        <v>0.82638888888888884</v>
      </c>
      <c r="H503">
        <v>50</v>
      </c>
      <c r="I503" t="s">
        <v>151</v>
      </c>
      <c r="J503" t="s">
        <v>152</v>
      </c>
      <c r="K503">
        <v>4</v>
      </c>
      <c r="L503">
        <v>10</v>
      </c>
      <c r="M503" t="s">
        <v>153</v>
      </c>
      <c r="N503" t="s">
        <v>342</v>
      </c>
      <c r="O503" t="b">
        <v>1</v>
      </c>
      <c r="P503" t="b">
        <v>0</v>
      </c>
      <c r="Q503" s="6">
        <v>5</v>
      </c>
      <c r="R503" s="6">
        <v>0.4</v>
      </c>
      <c r="S503" t="s">
        <v>155</v>
      </c>
      <c r="T503" t="s">
        <v>171</v>
      </c>
      <c r="U503" s="6">
        <v>24</v>
      </c>
      <c r="V503" s="6">
        <v>26</v>
      </c>
      <c r="W503" t="b">
        <v>1</v>
      </c>
      <c r="X503">
        <v>12</v>
      </c>
      <c r="Y503">
        <v>3</v>
      </c>
      <c r="Z503">
        <v>19</v>
      </c>
      <c r="AA503" s="6">
        <v>30.259433962264151</v>
      </c>
      <c r="AB503">
        <f>--PizzaDelivery[[#This Row],[Is Delayed]]</f>
        <v>1</v>
      </c>
    </row>
    <row r="504" spans="1:28">
      <c r="A504" t="s">
        <v>730</v>
      </c>
      <c r="B504" t="s">
        <v>149</v>
      </c>
      <c r="C504" t="s">
        <v>731</v>
      </c>
      <c r="D504" s="1">
        <v>45717</v>
      </c>
      <c r="E504" s="5">
        <v>0.83333333333333337</v>
      </c>
      <c r="F504" s="1">
        <v>45717</v>
      </c>
      <c r="G504" s="5">
        <v>0.85763888888888884</v>
      </c>
      <c r="H504">
        <v>35</v>
      </c>
      <c r="I504" t="s">
        <v>143</v>
      </c>
      <c r="J504" t="s">
        <v>591</v>
      </c>
      <c r="K504">
        <v>3</v>
      </c>
      <c r="L504">
        <v>5.5</v>
      </c>
      <c r="M504" t="s">
        <v>143</v>
      </c>
      <c r="N504" t="s">
        <v>154</v>
      </c>
      <c r="O504" t="b">
        <v>1</v>
      </c>
      <c r="P504" t="b">
        <v>1</v>
      </c>
      <c r="Q504" s="6">
        <v>6.3636363636363633</v>
      </c>
      <c r="R504" s="6">
        <v>0.54545454545454541</v>
      </c>
      <c r="S504" t="s">
        <v>163</v>
      </c>
      <c r="T504" t="s">
        <v>147</v>
      </c>
      <c r="U504" s="6">
        <v>13.2</v>
      </c>
      <c r="V504" s="6">
        <v>21.8</v>
      </c>
      <c r="W504" t="b">
        <v>1</v>
      </c>
      <c r="X504">
        <v>6</v>
      </c>
      <c r="Y504">
        <v>2</v>
      </c>
      <c r="Z504">
        <v>20</v>
      </c>
      <c r="AA504" s="6">
        <v>28.186274509803919</v>
      </c>
      <c r="AB504">
        <f>--PizzaDelivery[[#This Row],[Is Delayed]]</f>
        <v>1</v>
      </c>
    </row>
    <row r="505" spans="1:28">
      <c r="A505" t="s">
        <v>732</v>
      </c>
      <c r="B505" t="s">
        <v>165</v>
      </c>
      <c r="C505" t="s">
        <v>733</v>
      </c>
      <c r="D505" s="1">
        <v>45718</v>
      </c>
      <c r="E505" s="5">
        <v>0.77083333333333337</v>
      </c>
      <c r="F505" s="1">
        <v>45718</v>
      </c>
      <c r="G505" s="5">
        <v>0.78472222222222221</v>
      </c>
      <c r="H505">
        <v>20</v>
      </c>
      <c r="I505" t="s">
        <v>159</v>
      </c>
      <c r="J505" t="s">
        <v>160</v>
      </c>
      <c r="K505">
        <v>2</v>
      </c>
      <c r="L505">
        <v>2</v>
      </c>
      <c r="M505" t="s">
        <v>161</v>
      </c>
      <c r="N505" t="s">
        <v>162</v>
      </c>
      <c r="O505" t="b">
        <v>1</v>
      </c>
      <c r="P505" t="b">
        <v>1</v>
      </c>
      <c r="Q505" s="6">
        <v>10</v>
      </c>
      <c r="R505" s="6">
        <v>1</v>
      </c>
      <c r="S505" t="s">
        <v>163</v>
      </c>
      <c r="T505" t="s">
        <v>147</v>
      </c>
      <c r="U505" s="6">
        <v>4.8</v>
      </c>
      <c r="V505" s="6">
        <v>15.2</v>
      </c>
      <c r="W505" t="b">
        <v>0</v>
      </c>
      <c r="X505">
        <v>2</v>
      </c>
      <c r="Y505">
        <v>1</v>
      </c>
      <c r="Z505">
        <v>18</v>
      </c>
      <c r="AA505" s="6">
        <v>29.948453608247419</v>
      </c>
      <c r="AB505">
        <f>--PizzaDelivery[[#This Row],[Is Delayed]]</f>
        <v>0</v>
      </c>
    </row>
    <row r="506" spans="1:28">
      <c r="A506" t="s">
        <v>734</v>
      </c>
      <c r="B506" t="s">
        <v>157</v>
      </c>
      <c r="C506" t="s">
        <v>735</v>
      </c>
      <c r="D506" s="1">
        <v>45719</v>
      </c>
      <c r="E506" s="5">
        <v>0.82291666666666663</v>
      </c>
      <c r="F506" s="1">
        <v>45719</v>
      </c>
      <c r="G506" s="5">
        <v>0.85069444444444442</v>
      </c>
      <c r="H506">
        <v>40</v>
      </c>
      <c r="I506" t="s">
        <v>167</v>
      </c>
      <c r="J506" t="s">
        <v>594</v>
      </c>
      <c r="K506">
        <v>5</v>
      </c>
      <c r="L506">
        <v>7.5</v>
      </c>
      <c r="M506" t="s">
        <v>153</v>
      </c>
      <c r="N506" t="s">
        <v>145</v>
      </c>
      <c r="O506" t="b">
        <v>1</v>
      </c>
      <c r="P506" t="b">
        <v>0</v>
      </c>
      <c r="Q506" s="6">
        <v>5.333333333333333</v>
      </c>
      <c r="R506" s="6">
        <v>0.66666666666666663</v>
      </c>
      <c r="S506" t="s">
        <v>163</v>
      </c>
      <c r="T506" t="s">
        <v>147</v>
      </c>
      <c r="U506" s="6">
        <v>18</v>
      </c>
      <c r="V506" s="6">
        <v>22</v>
      </c>
      <c r="W506" t="b">
        <v>1</v>
      </c>
      <c r="X506">
        <v>20</v>
      </c>
      <c r="Y506">
        <v>3</v>
      </c>
      <c r="Z506">
        <v>19</v>
      </c>
      <c r="AA506" s="6">
        <v>28.844221105527641</v>
      </c>
      <c r="AB506">
        <f>--PizzaDelivery[[#This Row],[Is Delayed]]</f>
        <v>1</v>
      </c>
    </row>
    <row r="507" spans="1:28">
      <c r="A507" t="s">
        <v>736</v>
      </c>
      <c r="B507" t="s">
        <v>173</v>
      </c>
      <c r="C507" t="s">
        <v>737</v>
      </c>
      <c r="D507" s="1">
        <v>45720</v>
      </c>
      <c r="E507" s="5">
        <v>0.75</v>
      </c>
      <c r="F507" s="1">
        <v>45720</v>
      </c>
      <c r="G507" s="5">
        <v>0.77083333333333337</v>
      </c>
      <c r="H507">
        <v>30</v>
      </c>
      <c r="I507" t="s">
        <v>143</v>
      </c>
      <c r="J507" t="s">
        <v>152</v>
      </c>
      <c r="K507">
        <v>3</v>
      </c>
      <c r="L507">
        <v>4</v>
      </c>
      <c r="M507" t="s">
        <v>143</v>
      </c>
      <c r="N507" t="s">
        <v>162</v>
      </c>
      <c r="O507" t="b">
        <v>1</v>
      </c>
      <c r="P507" t="b">
        <v>0</v>
      </c>
      <c r="Q507" s="6">
        <v>7.5</v>
      </c>
      <c r="R507" s="6">
        <v>0.75</v>
      </c>
      <c r="S507" t="s">
        <v>163</v>
      </c>
      <c r="T507" t="s">
        <v>147</v>
      </c>
      <c r="U507" s="6">
        <v>9.6</v>
      </c>
      <c r="V507" s="6">
        <v>20.399999999999999</v>
      </c>
      <c r="W507" t="b">
        <v>0</v>
      </c>
      <c r="X507">
        <v>6</v>
      </c>
      <c r="Y507">
        <v>2</v>
      </c>
      <c r="Z507">
        <v>18</v>
      </c>
      <c r="AA507" s="6">
        <v>30.286458333333329</v>
      </c>
      <c r="AB507">
        <f>--PizzaDelivery[[#This Row],[Is Delayed]]</f>
        <v>0</v>
      </c>
    </row>
    <row r="508" spans="1:28">
      <c r="A508" t="s">
        <v>738</v>
      </c>
      <c r="B508" t="s">
        <v>142</v>
      </c>
      <c r="C508" t="s">
        <v>739</v>
      </c>
      <c r="D508" s="1">
        <v>45721</v>
      </c>
      <c r="E508" s="5">
        <v>0.84375</v>
      </c>
      <c r="F508" s="1">
        <v>45721</v>
      </c>
      <c r="G508" s="5">
        <v>0.875</v>
      </c>
      <c r="H508">
        <v>45</v>
      </c>
      <c r="I508" t="s">
        <v>151</v>
      </c>
      <c r="J508" t="s">
        <v>144</v>
      </c>
      <c r="K508">
        <v>4</v>
      </c>
      <c r="L508">
        <v>9</v>
      </c>
      <c r="M508" t="s">
        <v>153</v>
      </c>
      <c r="N508" t="s">
        <v>169</v>
      </c>
      <c r="O508" t="b">
        <v>1</v>
      </c>
      <c r="P508" t="b">
        <v>0</v>
      </c>
      <c r="Q508" s="6">
        <v>5</v>
      </c>
      <c r="R508" s="6">
        <v>0.44444444444444442</v>
      </c>
      <c r="S508" t="s">
        <v>163</v>
      </c>
      <c r="T508" t="s">
        <v>171</v>
      </c>
      <c r="U508" s="6">
        <v>21.6</v>
      </c>
      <c r="V508" s="6">
        <v>23.4</v>
      </c>
      <c r="W508" t="b">
        <v>1</v>
      </c>
      <c r="X508">
        <v>12</v>
      </c>
      <c r="Y508">
        <v>3</v>
      </c>
      <c r="Z508">
        <v>20</v>
      </c>
      <c r="AA508" s="6">
        <v>30.259433962264151</v>
      </c>
      <c r="AB508">
        <f>--PizzaDelivery[[#This Row],[Is Delayed]]</f>
        <v>1</v>
      </c>
    </row>
    <row r="509" spans="1:28">
      <c r="A509" t="s">
        <v>740</v>
      </c>
      <c r="B509" t="s">
        <v>149</v>
      </c>
      <c r="C509" t="s">
        <v>741</v>
      </c>
      <c r="D509" s="1">
        <v>45722</v>
      </c>
      <c r="E509" s="5">
        <v>0.75</v>
      </c>
      <c r="F509" s="1">
        <v>45722</v>
      </c>
      <c r="G509" s="5">
        <v>0.76388888888888884</v>
      </c>
      <c r="H509">
        <v>20</v>
      </c>
      <c r="I509" t="s">
        <v>143</v>
      </c>
      <c r="J509" t="s">
        <v>144</v>
      </c>
      <c r="K509">
        <v>2</v>
      </c>
      <c r="L509">
        <v>3</v>
      </c>
      <c r="M509" t="s">
        <v>161</v>
      </c>
      <c r="N509" t="s">
        <v>145</v>
      </c>
      <c r="O509" t="b">
        <v>1</v>
      </c>
      <c r="P509" t="b">
        <v>0</v>
      </c>
      <c r="Q509" s="6">
        <v>6.666666666666667</v>
      </c>
      <c r="R509" s="6">
        <v>0.66666666666666663</v>
      </c>
      <c r="S509" t="s">
        <v>163</v>
      </c>
      <c r="T509" t="s">
        <v>147</v>
      </c>
      <c r="U509" s="6">
        <v>7.1999999999999993</v>
      </c>
      <c r="V509" s="6">
        <v>12.8</v>
      </c>
      <c r="W509" t="b">
        <v>0</v>
      </c>
      <c r="X509">
        <v>4</v>
      </c>
      <c r="Y509">
        <v>1</v>
      </c>
      <c r="Z509">
        <v>18</v>
      </c>
      <c r="AA509" s="6">
        <v>28.186274509803919</v>
      </c>
      <c r="AB509">
        <f>--PizzaDelivery[[#This Row],[Is Delayed]]</f>
        <v>0</v>
      </c>
    </row>
    <row r="510" spans="1:28">
      <c r="A510" t="s">
        <v>742</v>
      </c>
      <c r="B510" t="s">
        <v>165</v>
      </c>
      <c r="C510" t="s">
        <v>743</v>
      </c>
      <c r="D510" s="1">
        <v>45723</v>
      </c>
      <c r="E510" s="5">
        <v>0.80208333333333337</v>
      </c>
      <c r="F510" s="1">
        <v>45723</v>
      </c>
      <c r="G510" s="5">
        <v>0.82291666666666663</v>
      </c>
      <c r="H510">
        <v>30</v>
      </c>
      <c r="I510" t="s">
        <v>151</v>
      </c>
      <c r="J510" t="s">
        <v>152</v>
      </c>
      <c r="K510">
        <v>4</v>
      </c>
      <c r="L510">
        <v>6</v>
      </c>
      <c r="M510" t="s">
        <v>143</v>
      </c>
      <c r="N510" t="s">
        <v>154</v>
      </c>
      <c r="O510" t="b">
        <v>1</v>
      </c>
      <c r="P510" t="b">
        <v>0</v>
      </c>
      <c r="Q510" s="6">
        <v>5</v>
      </c>
      <c r="R510" s="6">
        <v>0.66666666666666663</v>
      </c>
      <c r="S510" t="s">
        <v>163</v>
      </c>
      <c r="T510" t="s">
        <v>147</v>
      </c>
      <c r="U510" s="6">
        <v>14.4</v>
      </c>
      <c r="V510" s="6">
        <v>15.6</v>
      </c>
      <c r="W510" t="b">
        <v>0</v>
      </c>
      <c r="X510">
        <v>12</v>
      </c>
      <c r="Y510">
        <v>2</v>
      </c>
      <c r="Z510">
        <v>19</v>
      </c>
      <c r="AA510" s="6">
        <v>29.948453608247419</v>
      </c>
      <c r="AB510">
        <f>--PizzaDelivery[[#This Row],[Is Delayed]]</f>
        <v>0</v>
      </c>
    </row>
    <row r="511" spans="1:28">
      <c r="A511" t="s">
        <v>744</v>
      </c>
      <c r="B511" t="s">
        <v>157</v>
      </c>
      <c r="C511" t="s">
        <v>745</v>
      </c>
      <c r="D511" s="1">
        <v>45724</v>
      </c>
      <c r="E511" s="5">
        <v>0.85416666666666663</v>
      </c>
      <c r="F511" s="1">
        <v>45724</v>
      </c>
      <c r="G511" s="5">
        <v>0.88194444444444442</v>
      </c>
      <c r="H511">
        <v>40</v>
      </c>
      <c r="I511" t="s">
        <v>167</v>
      </c>
      <c r="J511" t="s">
        <v>168</v>
      </c>
      <c r="K511">
        <v>5</v>
      </c>
      <c r="L511">
        <v>8</v>
      </c>
      <c r="M511" t="s">
        <v>153</v>
      </c>
      <c r="N511" t="s">
        <v>145</v>
      </c>
      <c r="O511" t="b">
        <v>1</v>
      </c>
      <c r="P511" t="b">
        <v>1</v>
      </c>
      <c r="Q511" s="6">
        <v>5</v>
      </c>
      <c r="R511" s="6">
        <v>0.625</v>
      </c>
      <c r="S511" t="s">
        <v>163</v>
      </c>
      <c r="T511" t="s">
        <v>147</v>
      </c>
      <c r="U511" s="6">
        <v>19.2</v>
      </c>
      <c r="V511" s="6">
        <v>20.8</v>
      </c>
      <c r="W511" t="b">
        <v>1</v>
      </c>
      <c r="X511">
        <v>20</v>
      </c>
      <c r="Y511">
        <v>3</v>
      </c>
      <c r="Z511">
        <v>20</v>
      </c>
      <c r="AA511" s="6">
        <v>28.844221105527641</v>
      </c>
      <c r="AB511">
        <f>--PizzaDelivery[[#This Row],[Is Delayed]]</f>
        <v>1</v>
      </c>
    </row>
    <row r="512" spans="1:28">
      <c r="A512" t="s">
        <v>746</v>
      </c>
      <c r="B512" t="s">
        <v>173</v>
      </c>
      <c r="C512" t="s">
        <v>747</v>
      </c>
      <c r="D512" s="1">
        <v>45725</v>
      </c>
      <c r="E512" s="5">
        <v>0.78125</v>
      </c>
      <c r="F512" s="1">
        <v>45725</v>
      </c>
      <c r="G512" s="5">
        <v>0.79513888888888884</v>
      </c>
      <c r="H512">
        <v>20</v>
      </c>
      <c r="I512" t="s">
        <v>159</v>
      </c>
      <c r="J512" t="s">
        <v>160</v>
      </c>
      <c r="K512">
        <v>1</v>
      </c>
      <c r="L512">
        <v>2.5</v>
      </c>
      <c r="M512" t="s">
        <v>161</v>
      </c>
      <c r="N512" t="s">
        <v>169</v>
      </c>
      <c r="O512" t="b">
        <v>1</v>
      </c>
      <c r="P512" t="b">
        <v>1</v>
      </c>
      <c r="Q512" s="6">
        <v>8</v>
      </c>
      <c r="R512" s="6">
        <v>0.4</v>
      </c>
      <c r="S512" t="s">
        <v>163</v>
      </c>
      <c r="T512" t="s">
        <v>171</v>
      </c>
      <c r="U512" s="6">
        <v>6</v>
      </c>
      <c r="V512" s="6">
        <v>14</v>
      </c>
      <c r="W512" t="b">
        <v>0</v>
      </c>
      <c r="X512">
        <v>1</v>
      </c>
      <c r="Y512">
        <v>1</v>
      </c>
      <c r="Z512">
        <v>18</v>
      </c>
      <c r="AA512" s="6">
        <v>30.286458333333329</v>
      </c>
      <c r="AB512">
        <f>--PizzaDelivery[[#This Row],[Is Delayed]]</f>
        <v>0</v>
      </c>
    </row>
    <row r="513" spans="1:28">
      <c r="A513" t="s">
        <v>748</v>
      </c>
      <c r="B513" t="s">
        <v>142</v>
      </c>
      <c r="C513" t="s">
        <v>749</v>
      </c>
      <c r="D513" s="1">
        <v>45726</v>
      </c>
      <c r="E513" s="5">
        <v>0.79166666666666663</v>
      </c>
      <c r="F513" s="1">
        <v>45726</v>
      </c>
      <c r="G513" s="5">
        <v>0.82638888888888884</v>
      </c>
      <c r="H513">
        <v>50</v>
      </c>
      <c r="I513" t="s">
        <v>151</v>
      </c>
      <c r="J513" t="s">
        <v>152</v>
      </c>
      <c r="K513">
        <v>4</v>
      </c>
      <c r="L513">
        <v>10</v>
      </c>
      <c r="M513" t="s">
        <v>153</v>
      </c>
      <c r="N513" t="s">
        <v>145</v>
      </c>
      <c r="O513" t="b">
        <v>1</v>
      </c>
      <c r="P513" t="b">
        <v>0</v>
      </c>
      <c r="Q513" s="6">
        <v>5</v>
      </c>
      <c r="R513" s="6">
        <v>0.4</v>
      </c>
      <c r="S513" t="s">
        <v>163</v>
      </c>
      <c r="T513" t="s">
        <v>147</v>
      </c>
      <c r="U513" s="6">
        <v>24</v>
      </c>
      <c r="V513" s="6">
        <v>26</v>
      </c>
      <c r="W513" t="b">
        <v>1</v>
      </c>
      <c r="X513">
        <v>12</v>
      </c>
      <c r="Y513">
        <v>3</v>
      </c>
      <c r="Z513">
        <v>19</v>
      </c>
      <c r="AA513" s="6">
        <v>30.259433962264151</v>
      </c>
      <c r="AB513">
        <f>--PizzaDelivery[[#This Row],[Is Delayed]]</f>
        <v>1</v>
      </c>
    </row>
    <row r="514" spans="1:28">
      <c r="A514" t="s">
        <v>750</v>
      </c>
      <c r="B514" t="s">
        <v>149</v>
      </c>
      <c r="C514" t="s">
        <v>751</v>
      </c>
      <c r="D514" s="1">
        <v>45727</v>
      </c>
      <c r="E514" s="5">
        <v>0.83333333333333337</v>
      </c>
      <c r="F514" s="1">
        <v>45727</v>
      </c>
      <c r="G514" s="5">
        <v>0.85763888888888884</v>
      </c>
      <c r="H514">
        <v>35</v>
      </c>
      <c r="I514" t="s">
        <v>143</v>
      </c>
      <c r="J514" t="s">
        <v>591</v>
      </c>
      <c r="K514">
        <v>3</v>
      </c>
      <c r="L514">
        <v>5.5</v>
      </c>
      <c r="M514" t="s">
        <v>143</v>
      </c>
      <c r="N514" t="s">
        <v>154</v>
      </c>
      <c r="O514" t="b">
        <v>1</v>
      </c>
      <c r="P514" t="b">
        <v>0</v>
      </c>
      <c r="Q514" s="6">
        <v>6.3636363636363633</v>
      </c>
      <c r="R514" s="6">
        <v>0.54545454545454541</v>
      </c>
      <c r="S514" t="s">
        <v>163</v>
      </c>
      <c r="T514" t="s">
        <v>147</v>
      </c>
      <c r="U514" s="6">
        <v>13.2</v>
      </c>
      <c r="V514" s="6">
        <v>21.8</v>
      </c>
      <c r="W514" t="b">
        <v>1</v>
      </c>
      <c r="X514">
        <v>6</v>
      </c>
      <c r="Y514">
        <v>2</v>
      </c>
      <c r="Z514">
        <v>20</v>
      </c>
      <c r="AA514" s="6">
        <v>28.186274509803919</v>
      </c>
      <c r="AB514">
        <f>--PizzaDelivery[[#This Row],[Is Delayed]]</f>
        <v>1</v>
      </c>
    </row>
    <row r="515" spans="1:28">
      <c r="A515" t="s">
        <v>752</v>
      </c>
      <c r="B515" t="s">
        <v>165</v>
      </c>
      <c r="C515" t="s">
        <v>753</v>
      </c>
      <c r="D515" s="1">
        <v>45728</v>
      </c>
      <c r="E515" s="5">
        <v>0.77083333333333337</v>
      </c>
      <c r="F515" s="1">
        <v>45728</v>
      </c>
      <c r="G515" s="5">
        <v>0.78472222222222221</v>
      </c>
      <c r="H515">
        <v>20</v>
      </c>
      <c r="I515" t="s">
        <v>159</v>
      </c>
      <c r="J515" t="s">
        <v>160</v>
      </c>
      <c r="K515">
        <v>2</v>
      </c>
      <c r="L515">
        <v>2</v>
      </c>
      <c r="M515" t="s">
        <v>161</v>
      </c>
      <c r="N515" t="s">
        <v>162</v>
      </c>
      <c r="O515" t="b">
        <v>1</v>
      </c>
      <c r="P515" t="b">
        <v>0</v>
      </c>
      <c r="Q515" s="6">
        <v>10</v>
      </c>
      <c r="R515" s="6">
        <v>1</v>
      </c>
      <c r="S515" t="s">
        <v>163</v>
      </c>
      <c r="T515" t="s">
        <v>147</v>
      </c>
      <c r="U515" s="6">
        <v>4.8</v>
      </c>
      <c r="V515" s="6">
        <v>15.2</v>
      </c>
      <c r="W515" t="b">
        <v>0</v>
      </c>
      <c r="X515">
        <v>2</v>
      </c>
      <c r="Y515">
        <v>1</v>
      </c>
      <c r="Z515">
        <v>18</v>
      </c>
      <c r="AA515" s="6">
        <v>29.948453608247419</v>
      </c>
      <c r="AB515">
        <f>--PizzaDelivery[[#This Row],[Is Delayed]]</f>
        <v>0</v>
      </c>
    </row>
    <row r="516" spans="1:28">
      <c r="A516" t="s">
        <v>754</v>
      </c>
      <c r="B516" t="s">
        <v>157</v>
      </c>
      <c r="C516" t="s">
        <v>755</v>
      </c>
      <c r="D516" s="1">
        <v>45729</v>
      </c>
      <c r="E516" s="5">
        <v>0.82291666666666663</v>
      </c>
      <c r="F516" s="1">
        <v>45729</v>
      </c>
      <c r="G516" s="5">
        <v>0.85069444444444442</v>
      </c>
      <c r="H516">
        <v>40</v>
      </c>
      <c r="I516" t="s">
        <v>167</v>
      </c>
      <c r="J516" t="s">
        <v>168</v>
      </c>
      <c r="K516">
        <v>5</v>
      </c>
      <c r="L516">
        <v>7.5</v>
      </c>
      <c r="M516" t="s">
        <v>153</v>
      </c>
      <c r="N516" t="s">
        <v>145</v>
      </c>
      <c r="O516" t="b">
        <v>1</v>
      </c>
      <c r="P516" t="b">
        <v>0</v>
      </c>
      <c r="Q516" s="6">
        <v>5.333333333333333</v>
      </c>
      <c r="R516" s="6">
        <v>0.66666666666666663</v>
      </c>
      <c r="S516" t="s">
        <v>163</v>
      </c>
      <c r="T516" t="s">
        <v>147</v>
      </c>
      <c r="U516" s="6">
        <v>18</v>
      </c>
      <c r="V516" s="6">
        <v>22</v>
      </c>
      <c r="W516" t="b">
        <v>1</v>
      </c>
      <c r="X516">
        <v>20</v>
      </c>
      <c r="Y516">
        <v>3</v>
      </c>
      <c r="Z516">
        <v>19</v>
      </c>
      <c r="AA516" s="6">
        <v>28.844221105527641</v>
      </c>
      <c r="AB516">
        <f>--PizzaDelivery[[#This Row],[Is Delayed]]</f>
        <v>1</v>
      </c>
    </row>
    <row r="517" spans="1:28">
      <c r="A517" t="s">
        <v>756</v>
      </c>
      <c r="B517" t="s">
        <v>173</v>
      </c>
      <c r="C517" t="s">
        <v>757</v>
      </c>
      <c r="D517" s="1">
        <v>45730</v>
      </c>
      <c r="E517" s="5">
        <v>0.75</v>
      </c>
      <c r="F517" s="1">
        <v>45730</v>
      </c>
      <c r="G517" s="5">
        <v>0.76388888888888884</v>
      </c>
      <c r="H517">
        <v>20</v>
      </c>
      <c r="I517" t="s">
        <v>143</v>
      </c>
      <c r="J517" t="s">
        <v>144</v>
      </c>
      <c r="K517">
        <v>2</v>
      </c>
      <c r="L517">
        <v>3</v>
      </c>
      <c r="M517" t="s">
        <v>161</v>
      </c>
      <c r="N517" t="s">
        <v>145</v>
      </c>
      <c r="O517" t="b">
        <v>1</v>
      </c>
      <c r="P517" t="b">
        <v>0</v>
      </c>
      <c r="Q517" s="6">
        <v>6.666666666666667</v>
      </c>
      <c r="R517" s="6">
        <v>0.66666666666666663</v>
      </c>
      <c r="S517" t="s">
        <v>163</v>
      </c>
      <c r="T517" t="s">
        <v>147</v>
      </c>
      <c r="U517" s="6">
        <v>7.1999999999999993</v>
      </c>
      <c r="V517" s="6">
        <v>12.8</v>
      </c>
      <c r="W517" t="b">
        <v>0</v>
      </c>
      <c r="X517">
        <v>4</v>
      </c>
      <c r="Y517">
        <v>1</v>
      </c>
      <c r="Z517">
        <v>18</v>
      </c>
      <c r="AA517" s="6">
        <v>30.286458333333329</v>
      </c>
      <c r="AB517">
        <f>--PizzaDelivery[[#This Row],[Is Delayed]]</f>
        <v>0</v>
      </c>
    </row>
    <row r="518" spans="1:28">
      <c r="A518" t="s">
        <v>758</v>
      </c>
      <c r="B518" t="s">
        <v>142</v>
      </c>
      <c r="C518" t="s">
        <v>759</v>
      </c>
      <c r="D518" s="1">
        <v>45731</v>
      </c>
      <c r="E518" s="5">
        <v>0.80208333333333337</v>
      </c>
      <c r="F518" s="1">
        <v>45731</v>
      </c>
      <c r="G518" s="5">
        <v>0.82291666666666663</v>
      </c>
      <c r="H518">
        <v>30</v>
      </c>
      <c r="I518" t="s">
        <v>151</v>
      </c>
      <c r="J518" t="s">
        <v>617</v>
      </c>
      <c r="K518">
        <v>4</v>
      </c>
      <c r="L518">
        <v>6</v>
      </c>
      <c r="M518" t="s">
        <v>143</v>
      </c>
      <c r="N518" t="s">
        <v>162</v>
      </c>
      <c r="O518" t="b">
        <v>1</v>
      </c>
      <c r="P518" t="b">
        <v>1</v>
      </c>
      <c r="Q518" s="6">
        <v>5</v>
      </c>
      <c r="R518" s="6">
        <v>0.66666666666666663</v>
      </c>
      <c r="S518" t="s">
        <v>163</v>
      </c>
      <c r="T518" t="s">
        <v>147</v>
      </c>
      <c r="U518" s="6">
        <v>14.4</v>
      </c>
      <c r="V518" s="6">
        <v>15.6</v>
      </c>
      <c r="W518" t="b">
        <v>0</v>
      </c>
      <c r="X518">
        <v>12</v>
      </c>
      <c r="Y518">
        <v>2</v>
      </c>
      <c r="Z518">
        <v>19</v>
      </c>
      <c r="AA518" s="6">
        <v>30.259433962264151</v>
      </c>
      <c r="AB518">
        <f>--PizzaDelivery[[#This Row],[Is Delayed]]</f>
        <v>0</v>
      </c>
    </row>
    <row r="519" spans="1:28">
      <c r="A519" t="s">
        <v>760</v>
      </c>
      <c r="B519" t="s">
        <v>149</v>
      </c>
      <c r="C519" t="s">
        <v>761</v>
      </c>
      <c r="D519" s="1">
        <v>45732</v>
      </c>
      <c r="E519" s="5">
        <v>0.85416666666666663</v>
      </c>
      <c r="F519" s="1">
        <v>45732</v>
      </c>
      <c r="G519" s="5">
        <v>0.88194444444444442</v>
      </c>
      <c r="H519">
        <v>40</v>
      </c>
      <c r="I519" t="s">
        <v>167</v>
      </c>
      <c r="J519" t="s">
        <v>168</v>
      </c>
      <c r="K519">
        <v>5</v>
      </c>
      <c r="L519">
        <v>8</v>
      </c>
      <c r="M519" t="s">
        <v>153</v>
      </c>
      <c r="N519" t="s">
        <v>154</v>
      </c>
      <c r="O519" t="b">
        <v>1</v>
      </c>
      <c r="P519" t="b">
        <v>1</v>
      </c>
      <c r="Q519" s="6">
        <v>5</v>
      </c>
      <c r="R519" s="6">
        <v>0.625</v>
      </c>
      <c r="S519" t="s">
        <v>163</v>
      </c>
      <c r="T519" t="s">
        <v>147</v>
      </c>
      <c r="U519" s="6">
        <v>19.2</v>
      </c>
      <c r="V519" s="6">
        <v>20.8</v>
      </c>
      <c r="W519" t="b">
        <v>1</v>
      </c>
      <c r="X519">
        <v>20</v>
      </c>
      <c r="Y519">
        <v>3</v>
      </c>
      <c r="Z519">
        <v>20</v>
      </c>
      <c r="AA519" s="6">
        <v>28.186274509803919</v>
      </c>
      <c r="AB519">
        <f>--PizzaDelivery[[#This Row],[Is Delayed]]</f>
        <v>1</v>
      </c>
    </row>
    <row r="520" spans="1:28">
      <c r="A520" t="s">
        <v>762</v>
      </c>
      <c r="B520" t="s">
        <v>165</v>
      </c>
      <c r="C520" t="s">
        <v>763</v>
      </c>
      <c r="D520" s="1">
        <v>45733</v>
      </c>
      <c r="E520" s="5">
        <v>0.78125</v>
      </c>
      <c r="F520" s="1">
        <v>45733</v>
      </c>
      <c r="G520" s="5">
        <v>0.79513888888888884</v>
      </c>
      <c r="H520">
        <v>20</v>
      </c>
      <c r="I520" t="s">
        <v>159</v>
      </c>
      <c r="J520" t="s">
        <v>160</v>
      </c>
      <c r="K520">
        <v>1</v>
      </c>
      <c r="L520">
        <v>2.5</v>
      </c>
      <c r="M520" t="s">
        <v>161</v>
      </c>
      <c r="N520" t="s">
        <v>169</v>
      </c>
      <c r="O520" t="b">
        <v>1</v>
      </c>
      <c r="P520" t="b">
        <v>0</v>
      </c>
      <c r="Q520" s="6">
        <v>8</v>
      </c>
      <c r="R520" s="6">
        <v>0.4</v>
      </c>
      <c r="S520" t="s">
        <v>163</v>
      </c>
      <c r="T520" t="s">
        <v>171</v>
      </c>
      <c r="U520" s="6">
        <v>6</v>
      </c>
      <c r="V520" s="6">
        <v>14</v>
      </c>
      <c r="W520" t="b">
        <v>0</v>
      </c>
      <c r="X520">
        <v>1</v>
      </c>
      <c r="Y520">
        <v>1</v>
      </c>
      <c r="Z520">
        <v>18</v>
      </c>
      <c r="AA520" s="6">
        <v>29.948453608247419</v>
      </c>
      <c r="AB520">
        <f>--PizzaDelivery[[#This Row],[Is Delayed]]</f>
        <v>0</v>
      </c>
    </row>
    <row r="521" spans="1:28">
      <c r="A521" t="s">
        <v>764</v>
      </c>
      <c r="B521" t="s">
        <v>142</v>
      </c>
      <c r="C521" t="s">
        <v>659</v>
      </c>
      <c r="D521" s="1">
        <v>45734</v>
      </c>
      <c r="E521" s="5">
        <v>0.79166666666666663</v>
      </c>
      <c r="F521" s="1">
        <v>45734</v>
      </c>
      <c r="G521" s="5">
        <v>0.82638888888888884</v>
      </c>
      <c r="H521">
        <v>50</v>
      </c>
      <c r="I521" t="s">
        <v>151</v>
      </c>
      <c r="J521" t="s">
        <v>152</v>
      </c>
      <c r="K521">
        <v>4</v>
      </c>
      <c r="L521">
        <v>10</v>
      </c>
      <c r="M521" t="s">
        <v>153</v>
      </c>
      <c r="N521" t="s">
        <v>145</v>
      </c>
      <c r="O521" t="b">
        <v>1</v>
      </c>
      <c r="P521" t="b">
        <v>0</v>
      </c>
      <c r="Q521" s="6">
        <v>5</v>
      </c>
      <c r="R521" s="6">
        <v>0.4</v>
      </c>
      <c r="S521" t="s">
        <v>163</v>
      </c>
      <c r="T521" t="s">
        <v>147</v>
      </c>
      <c r="U521" s="6">
        <v>24</v>
      </c>
      <c r="V521" s="6">
        <v>26</v>
      </c>
      <c r="W521" t="b">
        <v>1</v>
      </c>
      <c r="X521">
        <v>12</v>
      </c>
      <c r="Y521">
        <v>3</v>
      </c>
      <c r="Z521">
        <v>19</v>
      </c>
      <c r="AA521" s="6">
        <v>30.259433962264151</v>
      </c>
      <c r="AB521">
        <f>--PizzaDelivery[[#This Row],[Is Delayed]]</f>
        <v>1</v>
      </c>
    </row>
    <row r="522" spans="1:28">
      <c r="A522" t="s">
        <v>765</v>
      </c>
      <c r="B522" t="s">
        <v>149</v>
      </c>
      <c r="C522" t="s">
        <v>766</v>
      </c>
      <c r="D522" s="1">
        <v>45735</v>
      </c>
      <c r="E522" s="5">
        <v>0.83333333333333337</v>
      </c>
      <c r="F522" s="1">
        <v>45735</v>
      </c>
      <c r="G522" s="5">
        <v>0.85763888888888884</v>
      </c>
      <c r="H522">
        <v>35</v>
      </c>
      <c r="I522" t="s">
        <v>143</v>
      </c>
      <c r="J522" t="s">
        <v>591</v>
      </c>
      <c r="K522">
        <v>3</v>
      </c>
      <c r="L522">
        <v>5.5</v>
      </c>
      <c r="M522" t="s">
        <v>143</v>
      </c>
      <c r="N522" t="s">
        <v>154</v>
      </c>
      <c r="O522" t="b">
        <v>1</v>
      </c>
      <c r="P522" t="b">
        <v>0</v>
      </c>
      <c r="Q522" s="6">
        <v>6.3636363636363633</v>
      </c>
      <c r="R522" s="6">
        <v>0.54545454545454541</v>
      </c>
      <c r="S522" t="s">
        <v>163</v>
      </c>
      <c r="T522" t="s">
        <v>147</v>
      </c>
      <c r="U522" s="6">
        <v>13.2</v>
      </c>
      <c r="V522" s="6">
        <v>21.8</v>
      </c>
      <c r="W522" t="b">
        <v>1</v>
      </c>
      <c r="X522">
        <v>6</v>
      </c>
      <c r="Y522">
        <v>2</v>
      </c>
      <c r="Z522">
        <v>20</v>
      </c>
      <c r="AA522" s="6">
        <v>28.186274509803919</v>
      </c>
      <c r="AB522">
        <f>--PizzaDelivery[[#This Row],[Is Delayed]]</f>
        <v>1</v>
      </c>
    </row>
    <row r="523" spans="1:28">
      <c r="A523" t="s">
        <v>767</v>
      </c>
      <c r="B523" t="s">
        <v>165</v>
      </c>
      <c r="C523" t="s">
        <v>768</v>
      </c>
      <c r="D523" s="1">
        <v>45736</v>
      </c>
      <c r="E523" s="5">
        <v>0.77083333333333337</v>
      </c>
      <c r="F523" s="1">
        <v>45736</v>
      </c>
      <c r="G523" s="5">
        <v>0.78472222222222221</v>
      </c>
      <c r="H523">
        <v>20</v>
      </c>
      <c r="I523" t="s">
        <v>159</v>
      </c>
      <c r="J523" t="s">
        <v>160</v>
      </c>
      <c r="K523">
        <v>2</v>
      </c>
      <c r="L523">
        <v>2</v>
      </c>
      <c r="M523" t="s">
        <v>161</v>
      </c>
      <c r="N523" t="s">
        <v>162</v>
      </c>
      <c r="O523" t="b">
        <v>1</v>
      </c>
      <c r="P523" t="b">
        <v>0</v>
      </c>
      <c r="Q523" s="6">
        <v>10</v>
      </c>
      <c r="R523" s="6">
        <v>1</v>
      </c>
      <c r="S523" t="s">
        <v>163</v>
      </c>
      <c r="T523" t="s">
        <v>147</v>
      </c>
      <c r="U523" s="6">
        <v>4.8</v>
      </c>
      <c r="V523" s="6">
        <v>15.2</v>
      </c>
      <c r="W523" t="b">
        <v>0</v>
      </c>
      <c r="X523">
        <v>2</v>
      </c>
      <c r="Y523">
        <v>1</v>
      </c>
      <c r="Z523">
        <v>18</v>
      </c>
      <c r="AA523" s="6">
        <v>29.948453608247419</v>
      </c>
      <c r="AB523">
        <f>--PizzaDelivery[[#This Row],[Is Delayed]]</f>
        <v>0</v>
      </c>
    </row>
    <row r="524" spans="1:28">
      <c r="A524" t="s">
        <v>769</v>
      </c>
      <c r="B524" t="s">
        <v>157</v>
      </c>
      <c r="C524" t="s">
        <v>770</v>
      </c>
      <c r="D524" s="1">
        <v>45737</v>
      </c>
      <c r="E524" s="5">
        <v>0.82291666666666663</v>
      </c>
      <c r="F524" s="1">
        <v>45737</v>
      </c>
      <c r="G524" s="5">
        <v>0.85069444444444442</v>
      </c>
      <c r="H524">
        <v>40</v>
      </c>
      <c r="I524" t="s">
        <v>167</v>
      </c>
      <c r="J524" t="s">
        <v>594</v>
      </c>
      <c r="K524">
        <v>5</v>
      </c>
      <c r="L524">
        <v>7.5</v>
      </c>
      <c r="M524" t="s">
        <v>153</v>
      </c>
      <c r="N524" t="s">
        <v>145</v>
      </c>
      <c r="O524" t="b">
        <v>1</v>
      </c>
      <c r="P524" t="b">
        <v>0</v>
      </c>
      <c r="Q524" s="6">
        <v>5.333333333333333</v>
      </c>
      <c r="R524" s="6">
        <v>0.66666666666666663</v>
      </c>
      <c r="S524" t="s">
        <v>163</v>
      </c>
      <c r="T524" t="s">
        <v>147</v>
      </c>
      <c r="U524" s="6">
        <v>18</v>
      </c>
      <c r="V524" s="6">
        <v>22</v>
      </c>
      <c r="W524" t="b">
        <v>1</v>
      </c>
      <c r="X524">
        <v>20</v>
      </c>
      <c r="Y524">
        <v>3</v>
      </c>
      <c r="Z524">
        <v>19</v>
      </c>
      <c r="AA524" s="6">
        <v>28.844221105527641</v>
      </c>
      <c r="AB524">
        <f>--PizzaDelivery[[#This Row],[Is Delayed]]</f>
        <v>1</v>
      </c>
    </row>
    <row r="525" spans="1:28">
      <c r="A525" t="s">
        <v>771</v>
      </c>
      <c r="B525" t="s">
        <v>173</v>
      </c>
      <c r="C525" t="s">
        <v>772</v>
      </c>
      <c r="D525" s="1">
        <v>45738</v>
      </c>
      <c r="E525" s="5">
        <v>0.75</v>
      </c>
      <c r="F525" s="1">
        <v>45738</v>
      </c>
      <c r="G525" s="5">
        <v>0.77083333333333337</v>
      </c>
      <c r="H525">
        <v>30</v>
      </c>
      <c r="I525" t="s">
        <v>143</v>
      </c>
      <c r="J525" t="s">
        <v>152</v>
      </c>
      <c r="K525">
        <v>3</v>
      </c>
      <c r="L525">
        <v>4</v>
      </c>
      <c r="M525" t="s">
        <v>143</v>
      </c>
      <c r="N525" t="s">
        <v>162</v>
      </c>
      <c r="O525" t="b">
        <v>1</v>
      </c>
      <c r="P525" t="b">
        <v>1</v>
      </c>
      <c r="Q525" s="6">
        <v>7.5</v>
      </c>
      <c r="R525" s="6">
        <v>0.75</v>
      </c>
      <c r="S525" t="s">
        <v>163</v>
      </c>
      <c r="T525" t="s">
        <v>147</v>
      </c>
      <c r="U525" s="6">
        <v>9.6</v>
      </c>
      <c r="V525" s="6">
        <v>20.399999999999999</v>
      </c>
      <c r="W525" t="b">
        <v>0</v>
      </c>
      <c r="X525">
        <v>6</v>
      </c>
      <c r="Y525">
        <v>2</v>
      </c>
      <c r="Z525">
        <v>18</v>
      </c>
      <c r="AA525" s="6">
        <v>30.286458333333329</v>
      </c>
      <c r="AB525">
        <f>--PizzaDelivery[[#This Row],[Is Delayed]]</f>
        <v>0</v>
      </c>
    </row>
    <row r="526" spans="1:28">
      <c r="A526" t="s">
        <v>773</v>
      </c>
      <c r="B526" t="s">
        <v>142</v>
      </c>
      <c r="C526" t="s">
        <v>774</v>
      </c>
      <c r="D526" s="1">
        <v>45739</v>
      </c>
      <c r="E526" s="5">
        <v>0.84375</v>
      </c>
      <c r="F526" s="1">
        <v>45739</v>
      </c>
      <c r="G526" s="5">
        <v>0.875</v>
      </c>
      <c r="H526">
        <v>45</v>
      </c>
      <c r="I526" t="s">
        <v>151</v>
      </c>
      <c r="J526" t="s">
        <v>144</v>
      </c>
      <c r="K526">
        <v>4</v>
      </c>
      <c r="L526">
        <v>9</v>
      </c>
      <c r="M526" t="s">
        <v>153</v>
      </c>
      <c r="N526" t="s">
        <v>169</v>
      </c>
      <c r="O526" t="b">
        <v>1</v>
      </c>
      <c r="P526" t="b">
        <v>1</v>
      </c>
      <c r="Q526" s="6">
        <v>5</v>
      </c>
      <c r="R526" s="6">
        <v>0.44444444444444442</v>
      </c>
      <c r="S526" t="s">
        <v>163</v>
      </c>
      <c r="T526" t="s">
        <v>171</v>
      </c>
      <c r="U526" s="6">
        <v>21.6</v>
      </c>
      <c r="V526" s="6">
        <v>23.4</v>
      </c>
      <c r="W526" t="b">
        <v>1</v>
      </c>
      <c r="X526">
        <v>12</v>
      </c>
      <c r="Y526">
        <v>3</v>
      </c>
      <c r="Z526">
        <v>20</v>
      </c>
      <c r="AA526" s="6">
        <v>30.259433962264151</v>
      </c>
      <c r="AB526">
        <f>--PizzaDelivery[[#This Row],[Is Delayed]]</f>
        <v>1</v>
      </c>
    </row>
    <row r="527" spans="1:28">
      <c r="A527" t="s">
        <v>775</v>
      </c>
      <c r="B527" t="s">
        <v>149</v>
      </c>
      <c r="C527" t="s">
        <v>776</v>
      </c>
      <c r="D527" s="1">
        <v>45740</v>
      </c>
      <c r="E527" s="5">
        <v>0.75</v>
      </c>
      <c r="F527" s="1">
        <v>45740</v>
      </c>
      <c r="G527" s="5">
        <v>0.76388888888888884</v>
      </c>
      <c r="H527">
        <v>20</v>
      </c>
      <c r="I527" t="s">
        <v>143</v>
      </c>
      <c r="J527" t="s">
        <v>144</v>
      </c>
      <c r="K527">
        <v>2</v>
      </c>
      <c r="L527">
        <v>3</v>
      </c>
      <c r="M527" t="s">
        <v>161</v>
      </c>
      <c r="N527" t="s">
        <v>145</v>
      </c>
      <c r="O527" t="b">
        <v>1</v>
      </c>
      <c r="P527" t="b">
        <v>0</v>
      </c>
      <c r="Q527" s="6">
        <v>6.666666666666667</v>
      </c>
      <c r="R527" s="6">
        <v>0.66666666666666663</v>
      </c>
      <c r="S527" t="s">
        <v>163</v>
      </c>
      <c r="T527" t="s">
        <v>147</v>
      </c>
      <c r="U527" s="6">
        <v>7.1999999999999993</v>
      </c>
      <c r="V527" s="6">
        <v>12.8</v>
      </c>
      <c r="W527" t="b">
        <v>0</v>
      </c>
      <c r="X527">
        <v>4</v>
      </c>
      <c r="Y527">
        <v>1</v>
      </c>
      <c r="Z527">
        <v>18</v>
      </c>
      <c r="AA527" s="6">
        <v>28.186274509803919</v>
      </c>
      <c r="AB527">
        <f>--PizzaDelivery[[#This Row],[Is Delayed]]</f>
        <v>0</v>
      </c>
    </row>
    <row r="528" spans="1:28">
      <c r="A528" t="s">
        <v>777</v>
      </c>
      <c r="B528" t="s">
        <v>165</v>
      </c>
      <c r="C528" t="s">
        <v>778</v>
      </c>
      <c r="D528" s="1">
        <v>45741</v>
      </c>
      <c r="E528" s="5">
        <v>0.80208333333333337</v>
      </c>
      <c r="F528" s="1">
        <v>45741</v>
      </c>
      <c r="G528" s="5">
        <v>0.82291666666666663</v>
      </c>
      <c r="H528">
        <v>30</v>
      </c>
      <c r="I528" t="s">
        <v>151</v>
      </c>
      <c r="J528" t="s">
        <v>152</v>
      </c>
      <c r="K528">
        <v>4</v>
      </c>
      <c r="L528">
        <v>6</v>
      </c>
      <c r="M528" t="s">
        <v>143</v>
      </c>
      <c r="N528" t="s">
        <v>154</v>
      </c>
      <c r="O528" t="b">
        <v>1</v>
      </c>
      <c r="P528" t="b">
        <v>0</v>
      </c>
      <c r="Q528" s="6">
        <v>5</v>
      </c>
      <c r="R528" s="6">
        <v>0.66666666666666663</v>
      </c>
      <c r="S528" t="s">
        <v>163</v>
      </c>
      <c r="T528" t="s">
        <v>147</v>
      </c>
      <c r="U528" s="6">
        <v>14.4</v>
      </c>
      <c r="V528" s="6">
        <v>15.6</v>
      </c>
      <c r="W528" t="b">
        <v>0</v>
      </c>
      <c r="X528">
        <v>12</v>
      </c>
      <c r="Y528">
        <v>2</v>
      </c>
      <c r="Z528">
        <v>19</v>
      </c>
      <c r="AA528" s="6">
        <v>29.948453608247419</v>
      </c>
      <c r="AB528">
        <f>--PizzaDelivery[[#This Row],[Is Delayed]]</f>
        <v>0</v>
      </c>
    </row>
    <row r="529" spans="1:28">
      <c r="A529" t="s">
        <v>779</v>
      </c>
      <c r="B529" t="s">
        <v>157</v>
      </c>
      <c r="C529" t="s">
        <v>780</v>
      </c>
      <c r="D529" s="1">
        <v>45742</v>
      </c>
      <c r="E529" s="5">
        <v>0.85416666666666663</v>
      </c>
      <c r="F529" s="1">
        <v>45742</v>
      </c>
      <c r="G529" s="5">
        <v>0.88194444444444442</v>
      </c>
      <c r="H529">
        <v>40</v>
      </c>
      <c r="I529" t="s">
        <v>167</v>
      </c>
      <c r="J529" t="s">
        <v>168</v>
      </c>
      <c r="K529">
        <v>5</v>
      </c>
      <c r="L529">
        <v>8</v>
      </c>
      <c r="M529" t="s">
        <v>153</v>
      </c>
      <c r="N529" t="s">
        <v>145</v>
      </c>
      <c r="O529" t="b">
        <v>1</v>
      </c>
      <c r="P529" t="b">
        <v>0</v>
      </c>
      <c r="Q529" s="6">
        <v>5</v>
      </c>
      <c r="R529" s="6">
        <v>0.625</v>
      </c>
      <c r="S529" t="s">
        <v>163</v>
      </c>
      <c r="T529" t="s">
        <v>147</v>
      </c>
      <c r="U529" s="6">
        <v>19.2</v>
      </c>
      <c r="V529" s="6">
        <v>20.8</v>
      </c>
      <c r="W529" t="b">
        <v>1</v>
      </c>
      <c r="X529">
        <v>20</v>
      </c>
      <c r="Y529">
        <v>3</v>
      </c>
      <c r="Z529">
        <v>20</v>
      </c>
      <c r="AA529" s="6">
        <v>28.844221105527641</v>
      </c>
      <c r="AB529">
        <f>--PizzaDelivery[[#This Row],[Is Delayed]]</f>
        <v>1</v>
      </c>
    </row>
    <row r="530" spans="1:28">
      <c r="A530" t="s">
        <v>781</v>
      </c>
      <c r="B530" t="s">
        <v>173</v>
      </c>
      <c r="C530" t="s">
        <v>782</v>
      </c>
      <c r="D530" s="1">
        <v>45743</v>
      </c>
      <c r="E530" s="5">
        <v>0.78125</v>
      </c>
      <c r="F530" s="1">
        <v>45743</v>
      </c>
      <c r="G530" s="5">
        <v>0.79513888888888884</v>
      </c>
      <c r="H530">
        <v>20</v>
      </c>
      <c r="I530" t="s">
        <v>159</v>
      </c>
      <c r="J530" t="s">
        <v>160</v>
      </c>
      <c r="K530">
        <v>1</v>
      </c>
      <c r="L530">
        <v>2.5</v>
      </c>
      <c r="M530" t="s">
        <v>161</v>
      </c>
      <c r="N530" t="s">
        <v>169</v>
      </c>
      <c r="O530" t="b">
        <v>1</v>
      </c>
      <c r="P530" t="b">
        <v>0</v>
      </c>
      <c r="Q530" s="6">
        <v>8</v>
      </c>
      <c r="R530" s="6">
        <v>0.4</v>
      </c>
      <c r="S530" t="s">
        <v>163</v>
      </c>
      <c r="T530" t="s">
        <v>171</v>
      </c>
      <c r="U530" s="6">
        <v>6</v>
      </c>
      <c r="V530" s="6">
        <v>14</v>
      </c>
      <c r="W530" t="b">
        <v>0</v>
      </c>
      <c r="X530">
        <v>1</v>
      </c>
      <c r="Y530">
        <v>1</v>
      </c>
      <c r="Z530">
        <v>18</v>
      </c>
      <c r="AA530" s="6">
        <v>30.286458333333329</v>
      </c>
      <c r="AB530">
        <f>--PizzaDelivery[[#This Row],[Is Delayed]]</f>
        <v>0</v>
      </c>
    </row>
    <row r="531" spans="1:28">
      <c r="A531" t="s">
        <v>783</v>
      </c>
      <c r="B531" t="s">
        <v>142</v>
      </c>
      <c r="C531" t="s">
        <v>784</v>
      </c>
      <c r="D531" s="1">
        <v>45744</v>
      </c>
      <c r="E531" s="5">
        <v>0.79166666666666663</v>
      </c>
      <c r="F531" s="1">
        <v>45744</v>
      </c>
      <c r="G531" s="5">
        <v>0.82638888888888884</v>
      </c>
      <c r="H531">
        <v>50</v>
      </c>
      <c r="I531" t="s">
        <v>151</v>
      </c>
      <c r="J531" t="s">
        <v>152</v>
      </c>
      <c r="K531">
        <v>4</v>
      </c>
      <c r="L531">
        <v>10</v>
      </c>
      <c r="M531" t="s">
        <v>153</v>
      </c>
      <c r="N531" t="s">
        <v>342</v>
      </c>
      <c r="O531" t="b">
        <v>1</v>
      </c>
      <c r="P531" t="b">
        <v>0</v>
      </c>
      <c r="Q531" s="6">
        <v>5</v>
      </c>
      <c r="R531" s="6">
        <v>0.4</v>
      </c>
      <c r="S531" t="s">
        <v>163</v>
      </c>
      <c r="T531" t="s">
        <v>171</v>
      </c>
      <c r="U531" s="6">
        <v>24</v>
      </c>
      <c r="V531" s="6">
        <v>26</v>
      </c>
      <c r="W531" t="b">
        <v>1</v>
      </c>
      <c r="X531">
        <v>12</v>
      </c>
      <c r="Y531">
        <v>3</v>
      </c>
      <c r="Z531">
        <v>19</v>
      </c>
      <c r="AA531" s="6">
        <v>30.259433962264151</v>
      </c>
      <c r="AB531">
        <f>--PizzaDelivery[[#This Row],[Is Delayed]]</f>
        <v>1</v>
      </c>
    </row>
    <row r="532" spans="1:28">
      <c r="A532" t="s">
        <v>785</v>
      </c>
      <c r="B532" t="s">
        <v>149</v>
      </c>
      <c r="C532" t="s">
        <v>786</v>
      </c>
      <c r="D532" s="1">
        <v>45745</v>
      </c>
      <c r="E532" s="5">
        <v>0.83333333333333337</v>
      </c>
      <c r="F532" s="1">
        <v>45745</v>
      </c>
      <c r="G532" s="5">
        <v>0.85763888888888884</v>
      </c>
      <c r="H532">
        <v>35</v>
      </c>
      <c r="I532" t="s">
        <v>143</v>
      </c>
      <c r="J532" t="s">
        <v>591</v>
      </c>
      <c r="K532">
        <v>3</v>
      </c>
      <c r="L532">
        <v>5.5</v>
      </c>
      <c r="M532" t="s">
        <v>143</v>
      </c>
      <c r="N532" t="s">
        <v>154</v>
      </c>
      <c r="O532" t="b">
        <v>1</v>
      </c>
      <c r="P532" t="b">
        <v>1</v>
      </c>
      <c r="Q532" s="6">
        <v>6.3636363636363633</v>
      </c>
      <c r="R532" s="6">
        <v>0.54545454545454541</v>
      </c>
      <c r="S532" t="s">
        <v>163</v>
      </c>
      <c r="T532" t="s">
        <v>147</v>
      </c>
      <c r="U532" s="6">
        <v>13.2</v>
      </c>
      <c r="V532" s="6">
        <v>21.8</v>
      </c>
      <c r="W532" t="b">
        <v>1</v>
      </c>
      <c r="X532">
        <v>6</v>
      </c>
      <c r="Y532">
        <v>2</v>
      </c>
      <c r="Z532">
        <v>20</v>
      </c>
      <c r="AA532" s="6">
        <v>28.186274509803919</v>
      </c>
      <c r="AB532">
        <f>--PizzaDelivery[[#This Row],[Is Delayed]]</f>
        <v>1</v>
      </c>
    </row>
    <row r="533" spans="1:28">
      <c r="A533" t="s">
        <v>787</v>
      </c>
      <c r="B533" t="s">
        <v>165</v>
      </c>
      <c r="C533" t="s">
        <v>788</v>
      </c>
      <c r="D533" s="1">
        <v>45746</v>
      </c>
      <c r="E533" s="5">
        <v>0.77083333333333337</v>
      </c>
      <c r="F533" s="1">
        <v>45746</v>
      </c>
      <c r="G533" s="5">
        <v>0.78472222222222221</v>
      </c>
      <c r="H533">
        <v>20</v>
      </c>
      <c r="I533" t="s">
        <v>159</v>
      </c>
      <c r="J533" t="s">
        <v>160</v>
      </c>
      <c r="K533">
        <v>2</v>
      </c>
      <c r="L533">
        <v>2</v>
      </c>
      <c r="M533" t="s">
        <v>161</v>
      </c>
      <c r="N533" t="s">
        <v>162</v>
      </c>
      <c r="O533" t="b">
        <v>1</v>
      </c>
      <c r="P533" t="b">
        <v>1</v>
      </c>
      <c r="Q533" s="6">
        <v>10</v>
      </c>
      <c r="R533" s="6">
        <v>1</v>
      </c>
      <c r="S533" t="s">
        <v>163</v>
      </c>
      <c r="T533" t="s">
        <v>147</v>
      </c>
      <c r="U533" s="6">
        <v>4.8</v>
      </c>
      <c r="V533" s="6">
        <v>15.2</v>
      </c>
      <c r="W533" t="b">
        <v>0</v>
      </c>
      <c r="X533">
        <v>2</v>
      </c>
      <c r="Y533">
        <v>1</v>
      </c>
      <c r="Z533">
        <v>18</v>
      </c>
      <c r="AA533" s="6">
        <v>29.948453608247419</v>
      </c>
      <c r="AB533">
        <f>--PizzaDelivery[[#This Row],[Is Delayed]]</f>
        <v>0</v>
      </c>
    </row>
    <row r="534" spans="1:28">
      <c r="A534" t="s">
        <v>789</v>
      </c>
      <c r="B534" t="s">
        <v>157</v>
      </c>
      <c r="C534" t="s">
        <v>790</v>
      </c>
      <c r="D534" s="1">
        <v>45747</v>
      </c>
      <c r="E534" s="5">
        <v>0.82291666666666663</v>
      </c>
      <c r="F534" s="1">
        <v>45747</v>
      </c>
      <c r="G534" s="5">
        <v>0.85069444444444442</v>
      </c>
      <c r="H534">
        <v>40</v>
      </c>
      <c r="I534" t="s">
        <v>167</v>
      </c>
      <c r="J534" t="s">
        <v>594</v>
      </c>
      <c r="K534">
        <v>5</v>
      </c>
      <c r="L534">
        <v>7.5</v>
      </c>
      <c r="M534" t="s">
        <v>153</v>
      </c>
      <c r="N534" t="s">
        <v>145</v>
      </c>
      <c r="O534" t="b">
        <v>1</v>
      </c>
      <c r="P534" t="b">
        <v>0</v>
      </c>
      <c r="Q534" s="6">
        <v>5.333333333333333</v>
      </c>
      <c r="R534" s="6">
        <v>0.66666666666666663</v>
      </c>
      <c r="S534" t="s">
        <v>163</v>
      </c>
      <c r="T534" t="s">
        <v>147</v>
      </c>
      <c r="U534" s="6">
        <v>18</v>
      </c>
      <c r="V534" s="6">
        <v>22</v>
      </c>
      <c r="W534" t="b">
        <v>1</v>
      </c>
      <c r="X534">
        <v>20</v>
      </c>
      <c r="Y534">
        <v>3</v>
      </c>
      <c r="Z534">
        <v>19</v>
      </c>
      <c r="AA534" s="6">
        <v>28.844221105527641</v>
      </c>
      <c r="AB534">
        <f>--PizzaDelivery[[#This Row],[Is Delayed]]</f>
        <v>1</v>
      </c>
    </row>
    <row r="535" spans="1:28">
      <c r="A535" t="s">
        <v>791</v>
      </c>
      <c r="B535" t="s">
        <v>173</v>
      </c>
      <c r="C535" t="s">
        <v>792</v>
      </c>
      <c r="D535" s="1">
        <v>45748</v>
      </c>
      <c r="E535" s="5">
        <v>0.75</v>
      </c>
      <c r="F535" s="1">
        <v>45748</v>
      </c>
      <c r="G535" s="5">
        <v>0.77083333333333337</v>
      </c>
      <c r="H535">
        <v>30</v>
      </c>
      <c r="I535" t="s">
        <v>143</v>
      </c>
      <c r="J535" t="s">
        <v>152</v>
      </c>
      <c r="K535">
        <v>3</v>
      </c>
      <c r="L535">
        <v>4</v>
      </c>
      <c r="M535" t="s">
        <v>143</v>
      </c>
      <c r="N535" t="s">
        <v>162</v>
      </c>
      <c r="O535" t="b">
        <v>1</v>
      </c>
      <c r="P535" t="b">
        <v>0</v>
      </c>
      <c r="Q535" s="6">
        <v>7.5</v>
      </c>
      <c r="R535" s="6">
        <v>0.75</v>
      </c>
      <c r="S535" t="s">
        <v>170</v>
      </c>
      <c r="T535" t="s">
        <v>147</v>
      </c>
      <c r="U535" s="6">
        <v>9.6</v>
      </c>
      <c r="V535" s="6">
        <v>20.399999999999999</v>
      </c>
      <c r="W535" t="b">
        <v>0</v>
      </c>
      <c r="X535">
        <v>6</v>
      </c>
      <c r="Y535">
        <v>2</v>
      </c>
      <c r="Z535">
        <v>18</v>
      </c>
      <c r="AA535" s="6">
        <v>30.286458333333329</v>
      </c>
      <c r="AB535">
        <f>--PizzaDelivery[[#This Row],[Is Delayed]]</f>
        <v>0</v>
      </c>
    </row>
    <row r="536" spans="1:28">
      <c r="A536" t="s">
        <v>793</v>
      </c>
      <c r="B536" t="s">
        <v>142</v>
      </c>
      <c r="C536" t="s">
        <v>794</v>
      </c>
      <c r="D536" s="1">
        <v>45749</v>
      </c>
      <c r="E536" s="5">
        <v>0.84375</v>
      </c>
      <c r="F536" s="1">
        <v>45749</v>
      </c>
      <c r="G536" s="5">
        <v>0.875</v>
      </c>
      <c r="H536">
        <v>45</v>
      </c>
      <c r="I536" t="s">
        <v>151</v>
      </c>
      <c r="J536" t="s">
        <v>144</v>
      </c>
      <c r="K536">
        <v>4</v>
      </c>
      <c r="L536">
        <v>9</v>
      </c>
      <c r="M536" t="s">
        <v>153</v>
      </c>
      <c r="N536" t="s">
        <v>169</v>
      </c>
      <c r="O536" t="b">
        <v>1</v>
      </c>
      <c r="P536" t="b">
        <v>0</v>
      </c>
      <c r="Q536" s="6">
        <v>5</v>
      </c>
      <c r="R536" s="6">
        <v>0.44444444444444442</v>
      </c>
      <c r="S536" t="s">
        <v>170</v>
      </c>
      <c r="T536" t="s">
        <v>171</v>
      </c>
      <c r="U536" s="6">
        <v>21.6</v>
      </c>
      <c r="V536" s="6">
        <v>23.4</v>
      </c>
      <c r="W536" t="b">
        <v>1</v>
      </c>
      <c r="X536">
        <v>12</v>
      </c>
      <c r="Y536">
        <v>3</v>
      </c>
      <c r="Z536">
        <v>20</v>
      </c>
      <c r="AA536" s="6">
        <v>30.259433962264151</v>
      </c>
      <c r="AB536">
        <f>--PizzaDelivery[[#This Row],[Is Delayed]]</f>
        <v>1</v>
      </c>
    </row>
    <row r="537" spans="1:28">
      <c r="A537" t="s">
        <v>795</v>
      </c>
      <c r="B537" t="s">
        <v>149</v>
      </c>
      <c r="C537" t="s">
        <v>770</v>
      </c>
      <c r="D537" s="1">
        <v>45750</v>
      </c>
      <c r="E537" s="5">
        <v>0.75</v>
      </c>
      <c r="F537" s="1">
        <v>45750</v>
      </c>
      <c r="G537" s="5">
        <v>0.76388888888888884</v>
      </c>
      <c r="H537">
        <v>20</v>
      </c>
      <c r="I537" t="s">
        <v>143</v>
      </c>
      <c r="J537" t="s">
        <v>144</v>
      </c>
      <c r="K537">
        <v>2</v>
      </c>
      <c r="L537">
        <v>3</v>
      </c>
      <c r="M537" t="s">
        <v>161</v>
      </c>
      <c r="N537" t="s">
        <v>145</v>
      </c>
      <c r="O537" t="b">
        <v>1</v>
      </c>
      <c r="P537" t="b">
        <v>0</v>
      </c>
      <c r="Q537" s="6">
        <v>6.666666666666667</v>
      </c>
      <c r="R537" s="6">
        <v>0.66666666666666663</v>
      </c>
      <c r="S537" t="s">
        <v>170</v>
      </c>
      <c r="T537" t="s">
        <v>147</v>
      </c>
      <c r="U537" s="6">
        <v>7.1999999999999993</v>
      </c>
      <c r="V537" s="6">
        <v>12.8</v>
      </c>
      <c r="W537" t="b">
        <v>0</v>
      </c>
      <c r="X537">
        <v>4</v>
      </c>
      <c r="Y537">
        <v>1</v>
      </c>
      <c r="Z537">
        <v>18</v>
      </c>
      <c r="AA537" s="6">
        <v>28.186274509803919</v>
      </c>
      <c r="AB537">
        <f>--PizzaDelivery[[#This Row],[Is Delayed]]</f>
        <v>0</v>
      </c>
    </row>
    <row r="538" spans="1:28">
      <c r="A538" t="s">
        <v>796</v>
      </c>
      <c r="B538" t="s">
        <v>165</v>
      </c>
      <c r="C538" t="s">
        <v>768</v>
      </c>
      <c r="D538" s="1">
        <v>45751</v>
      </c>
      <c r="E538" s="5">
        <v>0.80208333333333337</v>
      </c>
      <c r="F538" s="1">
        <v>45751</v>
      </c>
      <c r="G538" s="5">
        <v>0.82291666666666663</v>
      </c>
      <c r="H538">
        <v>30</v>
      </c>
      <c r="I538" t="s">
        <v>151</v>
      </c>
      <c r="J538" t="s">
        <v>152</v>
      </c>
      <c r="K538">
        <v>4</v>
      </c>
      <c r="L538">
        <v>6</v>
      </c>
      <c r="M538" t="s">
        <v>143</v>
      </c>
      <c r="N538" t="s">
        <v>154</v>
      </c>
      <c r="O538" t="b">
        <v>1</v>
      </c>
      <c r="P538" t="b">
        <v>0</v>
      </c>
      <c r="Q538" s="6">
        <v>5</v>
      </c>
      <c r="R538" s="6">
        <v>0.66666666666666663</v>
      </c>
      <c r="S538" t="s">
        <v>170</v>
      </c>
      <c r="T538" t="s">
        <v>147</v>
      </c>
      <c r="U538" s="6">
        <v>14.4</v>
      </c>
      <c r="V538" s="6">
        <v>15.6</v>
      </c>
      <c r="W538" t="b">
        <v>0</v>
      </c>
      <c r="X538">
        <v>12</v>
      </c>
      <c r="Y538">
        <v>2</v>
      </c>
      <c r="Z538">
        <v>19</v>
      </c>
      <c r="AA538" s="6">
        <v>29.948453608247419</v>
      </c>
      <c r="AB538">
        <f>--PizzaDelivery[[#This Row],[Is Delayed]]</f>
        <v>0</v>
      </c>
    </row>
    <row r="539" spans="1:28">
      <c r="A539" t="s">
        <v>797</v>
      </c>
      <c r="B539" t="s">
        <v>157</v>
      </c>
      <c r="C539" t="s">
        <v>772</v>
      </c>
      <c r="D539" s="1">
        <v>45752</v>
      </c>
      <c r="E539" s="5">
        <v>0.85416666666666663</v>
      </c>
      <c r="F539" s="1">
        <v>45752</v>
      </c>
      <c r="G539" s="5">
        <v>0.88194444444444442</v>
      </c>
      <c r="H539">
        <v>40</v>
      </c>
      <c r="I539" t="s">
        <v>167</v>
      </c>
      <c r="J539" t="s">
        <v>168</v>
      </c>
      <c r="K539">
        <v>5</v>
      </c>
      <c r="L539">
        <v>8</v>
      </c>
      <c r="M539" t="s">
        <v>153</v>
      </c>
      <c r="N539" t="s">
        <v>145</v>
      </c>
      <c r="O539" t="b">
        <v>1</v>
      </c>
      <c r="P539" t="b">
        <v>1</v>
      </c>
      <c r="Q539" s="6">
        <v>5</v>
      </c>
      <c r="R539" s="6">
        <v>0.625</v>
      </c>
      <c r="S539" t="s">
        <v>170</v>
      </c>
      <c r="T539" t="s">
        <v>147</v>
      </c>
      <c r="U539" s="6">
        <v>19.2</v>
      </c>
      <c r="V539" s="6">
        <v>20.8</v>
      </c>
      <c r="W539" t="b">
        <v>1</v>
      </c>
      <c r="X539">
        <v>20</v>
      </c>
      <c r="Y539">
        <v>3</v>
      </c>
      <c r="Z539">
        <v>20</v>
      </c>
      <c r="AA539" s="6">
        <v>28.844221105527641</v>
      </c>
      <c r="AB539">
        <f>--PizzaDelivery[[#This Row],[Is Delayed]]</f>
        <v>1</v>
      </c>
    </row>
    <row r="540" spans="1:28">
      <c r="A540" t="s">
        <v>798</v>
      </c>
      <c r="B540" t="s">
        <v>173</v>
      </c>
      <c r="C540" t="s">
        <v>774</v>
      </c>
      <c r="D540" s="1">
        <v>45753</v>
      </c>
      <c r="E540" s="5">
        <v>0.78125</v>
      </c>
      <c r="F540" s="1">
        <v>45753</v>
      </c>
      <c r="G540" s="5">
        <v>0.79513888888888884</v>
      </c>
      <c r="H540">
        <v>20</v>
      </c>
      <c r="I540" t="s">
        <v>159</v>
      </c>
      <c r="J540" t="s">
        <v>160</v>
      </c>
      <c r="K540">
        <v>1</v>
      </c>
      <c r="L540">
        <v>2.5</v>
      </c>
      <c r="M540" t="s">
        <v>161</v>
      </c>
      <c r="N540" t="s">
        <v>169</v>
      </c>
      <c r="O540" t="b">
        <v>1</v>
      </c>
      <c r="P540" t="b">
        <v>1</v>
      </c>
      <c r="Q540" s="6">
        <v>8</v>
      </c>
      <c r="R540" s="6">
        <v>0.4</v>
      </c>
      <c r="S540" t="s">
        <v>170</v>
      </c>
      <c r="T540" t="s">
        <v>171</v>
      </c>
      <c r="U540" s="6">
        <v>6</v>
      </c>
      <c r="V540" s="6">
        <v>14</v>
      </c>
      <c r="W540" t="b">
        <v>0</v>
      </c>
      <c r="X540">
        <v>1</v>
      </c>
      <c r="Y540">
        <v>1</v>
      </c>
      <c r="Z540">
        <v>18</v>
      </c>
      <c r="AA540" s="6">
        <v>30.286458333333329</v>
      </c>
      <c r="AB540">
        <f>--PizzaDelivery[[#This Row],[Is Delayed]]</f>
        <v>0</v>
      </c>
    </row>
    <row r="541" spans="1:28">
      <c r="A541" t="s">
        <v>799</v>
      </c>
      <c r="B541" t="s">
        <v>142</v>
      </c>
      <c r="C541" t="s">
        <v>776</v>
      </c>
      <c r="D541" s="1">
        <v>45754</v>
      </c>
      <c r="E541" s="5">
        <v>0.79166666666666663</v>
      </c>
      <c r="F541" s="1">
        <v>45754</v>
      </c>
      <c r="G541" s="5">
        <v>0.82638888888888884</v>
      </c>
      <c r="H541">
        <v>50</v>
      </c>
      <c r="I541" t="s">
        <v>151</v>
      </c>
      <c r="J541" t="s">
        <v>152</v>
      </c>
      <c r="K541">
        <v>4</v>
      </c>
      <c r="L541">
        <v>10</v>
      </c>
      <c r="M541" t="s">
        <v>153</v>
      </c>
      <c r="N541" t="s">
        <v>145</v>
      </c>
      <c r="O541" t="b">
        <v>1</v>
      </c>
      <c r="P541" t="b">
        <v>0</v>
      </c>
      <c r="Q541" s="6">
        <v>5</v>
      </c>
      <c r="R541" s="6">
        <v>0.4</v>
      </c>
      <c r="S541" t="s">
        <v>170</v>
      </c>
      <c r="T541" t="s">
        <v>147</v>
      </c>
      <c r="U541" s="6">
        <v>24</v>
      </c>
      <c r="V541" s="6">
        <v>26</v>
      </c>
      <c r="W541" t="b">
        <v>1</v>
      </c>
      <c r="X541">
        <v>12</v>
      </c>
      <c r="Y541">
        <v>3</v>
      </c>
      <c r="Z541">
        <v>19</v>
      </c>
      <c r="AA541" s="6">
        <v>30.259433962264151</v>
      </c>
      <c r="AB541">
        <f>--PizzaDelivery[[#This Row],[Is Delayed]]</f>
        <v>1</v>
      </c>
    </row>
    <row r="542" spans="1:28">
      <c r="A542" t="s">
        <v>800</v>
      </c>
      <c r="B542" t="s">
        <v>149</v>
      </c>
      <c r="C542" t="s">
        <v>778</v>
      </c>
      <c r="D542" s="1">
        <v>45755</v>
      </c>
      <c r="E542" s="5">
        <v>0.83333333333333337</v>
      </c>
      <c r="F542" s="1">
        <v>45755</v>
      </c>
      <c r="G542" s="5">
        <v>0.85763888888888884</v>
      </c>
      <c r="H542">
        <v>35</v>
      </c>
      <c r="I542" t="s">
        <v>143</v>
      </c>
      <c r="J542" t="s">
        <v>591</v>
      </c>
      <c r="K542">
        <v>3</v>
      </c>
      <c r="L542">
        <v>5.5</v>
      </c>
      <c r="M542" t="s">
        <v>143</v>
      </c>
      <c r="N542" t="s">
        <v>154</v>
      </c>
      <c r="O542" t="b">
        <v>1</v>
      </c>
      <c r="P542" t="b">
        <v>0</v>
      </c>
      <c r="Q542" s="6">
        <v>6.3636363636363633</v>
      </c>
      <c r="R542" s="6">
        <v>0.54545454545454541</v>
      </c>
      <c r="S542" t="s">
        <v>170</v>
      </c>
      <c r="T542" t="s">
        <v>147</v>
      </c>
      <c r="U542" s="6">
        <v>13.2</v>
      </c>
      <c r="V542" s="6">
        <v>21.8</v>
      </c>
      <c r="W542" t="b">
        <v>1</v>
      </c>
      <c r="X542">
        <v>6</v>
      </c>
      <c r="Y542">
        <v>2</v>
      </c>
      <c r="Z542">
        <v>20</v>
      </c>
      <c r="AA542" s="6">
        <v>28.186274509803919</v>
      </c>
      <c r="AB542">
        <f>--PizzaDelivery[[#This Row],[Is Delayed]]</f>
        <v>1</v>
      </c>
    </row>
    <row r="543" spans="1:28">
      <c r="A543" t="s">
        <v>801</v>
      </c>
      <c r="B543" t="s">
        <v>165</v>
      </c>
      <c r="C543" t="s">
        <v>780</v>
      </c>
      <c r="D543" s="1">
        <v>45756</v>
      </c>
      <c r="E543" s="5">
        <v>0.77083333333333337</v>
      </c>
      <c r="F543" s="1">
        <v>45756</v>
      </c>
      <c r="G543" s="5">
        <v>0.78472222222222221</v>
      </c>
      <c r="H543">
        <v>20</v>
      </c>
      <c r="I543" t="s">
        <v>159</v>
      </c>
      <c r="J543" t="s">
        <v>160</v>
      </c>
      <c r="K543">
        <v>2</v>
      </c>
      <c r="L543">
        <v>2</v>
      </c>
      <c r="M543" t="s">
        <v>161</v>
      </c>
      <c r="N543" t="s">
        <v>162</v>
      </c>
      <c r="O543" t="b">
        <v>1</v>
      </c>
      <c r="P543" t="b">
        <v>0</v>
      </c>
      <c r="Q543" s="6">
        <v>10</v>
      </c>
      <c r="R543" s="6">
        <v>1</v>
      </c>
      <c r="S543" t="s">
        <v>170</v>
      </c>
      <c r="T543" t="s">
        <v>147</v>
      </c>
      <c r="U543" s="6">
        <v>4.8</v>
      </c>
      <c r="V543" s="6">
        <v>15.2</v>
      </c>
      <c r="W543" t="b">
        <v>0</v>
      </c>
      <c r="X543">
        <v>2</v>
      </c>
      <c r="Y543">
        <v>1</v>
      </c>
      <c r="Z543">
        <v>18</v>
      </c>
      <c r="AA543" s="6">
        <v>29.948453608247419</v>
      </c>
      <c r="AB543">
        <f>--PizzaDelivery[[#This Row],[Is Delayed]]</f>
        <v>0</v>
      </c>
    </row>
    <row r="544" spans="1:28">
      <c r="A544" t="s">
        <v>802</v>
      </c>
      <c r="B544" t="s">
        <v>142</v>
      </c>
      <c r="C544" t="s">
        <v>317</v>
      </c>
      <c r="D544" s="1">
        <v>45757</v>
      </c>
      <c r="E544" s="5">
        <v>0.79166666666666663</v>
      </c>
      <c r="F544" s="1">
        <v>45757</v>
      </c>
      <c r="G544" s="5">
        <v>0.82291666666666663</v>
      </c>
      <c r="H544">
        <v>45</v>
      </c>
      <c r="I544" t="s">
        <v>151</v>
      </c>
      <c r="J544" t="s">
        <v>655</v>
      </c>
      <c r="K544">
        <v>4</v>
      </c>
      <c r="L544">
        <v>7</v>
      </c>
      <c r="M544" t="s">
        <v>143</v>
      </c>
      <c r="N544" t="s">
        <v>145</v>
      </c>
      <c r="O544" t="b">
        <v>1</v>
      </c>
      <c r="P544" t="b">
        <v>0</v>
      </c>
      <c r="Q544" s="6">
        <v>6.4285714285714288</v>
      </c>
      <c r="R544" s="6">
        <v>0.5714285714285714</v>
      </c>
      <c r="S544" t="s">
        <v>170</v>
      </c>
      <c r="T544" t="s">
        <v>147</v>
      </c>
      <c r="U544" s="6">
        <v>16.8</v>
      </c>
      <c r="V544" s="6">
        <v>28.2</v>
      </c>
      <c r="W544" t="b">
        <v>1</v>
      </c>
      <c r="X544">
        <v>12</v>
      </c>
      <c r="Y544">
        <v>2</v>
      </c>
      <c r="Z544">
        <v>19</v>
      </c>
      <c r="AA544" s="6">
        <v>30.259433962264151</v>
      </c>
      <c r="AB544">
        <f>--PizzaDelivery[[#This Row],[Is Delayed]]</f>
        <v>1</v>
      </c>
    </row>
    <row r="545" spans="1:28">
      <c r="A545" t="s">
        <v>803</v>
      </c>
      <c r="B545" t="s">
        <v>149</v>
      </c>
      <c r="C545" t="s">
        <v>192</v>
      </c>
      <c r="D545" s="1">
        <v>45758</v>
      </c>
      <c r="E545" s="5">
        <v>0.84375</v>
      </c>
      <c r="F545" s="1">
        <v>45758</v>
      </c>
      <c r="G545" s="5">
        <v>0.87152777777777779</v>
      </c>
      <c r="H545">
        <v>40</v>
      </c>
      <c r="I545" t="s">
        <v>143</v>
      </c>
      <c r="J545" t="s">
        <v>657</v>
      </c>
      <c r="K545">
        <v>3</v>
      </c>
      <c r="L545">
        <v>6.5</v>
      </c>
      <c r="M545" t="s">
        <v>153</v>
      </c>
      <c r="N545" t="s">
        <v>154</v>
      </c>
      <c r="O545" t="b">
        <v>1</v>
      </c>
      <c r="P545" t="b">
        <v>0</v>
      </c>
      <c r="Q545" s="6">
        <v>6.1538461538461542</v>
      </c>
      <c r="R545" s="6">
        <v>0.46153846153846162</v>
      </c>
      <c r="S545" t="s">
        <v>170</v>
      </c>
      <c r="T545" t="s">
        <v>147</v>
      </c>
      <c r="U545" s="6">
        <v>15.6</v>
      </c>
      <c r="V545" s="6">
        <v>24.4</v>
      </c>
      <c r="W545" t="b">
        <v>1</v>
      </c>
      <c r="X545">
        <v>6</v>
      </c>
      <c r="Y545">
        <v>3</v>
      </c>
      <c r="Z545">
        <v>20</v>
      </c>
      <c r="AA545" s="6">
        <v>28.186274509803919</v>
      </c>
      <c r="AB545">
        <f>--PizzaDelivery[[#This Row],[Is Delayed]]</f>
        <v>1</v>
      </c>
    </row>
    <row r="546" spans="1:28">
      <c r="A546" t="s">
        <v>804</v>
      </c>
      <c r="B546" t="s">
        <v>165</v>
      </c>
      <c r="C546" t="s">
        <v>166</v>
      </c>
      <c r="D546" s="1">
        <v>45759</v>
      </c>
      <c r="E546" s="5">
        <v>0.78125</v>
      </c>
      <c r="F546" s="1">
        <v>45759</v>
      </c>
      <c r="G546" s="5">
        <v>0.79513888888888884</v>
      </c>
      <c r="H546">
        <v>20</v>
      </c>
      <c r="I546" t="s">
        <v>159</v>
      </c>
      <c r="J546" t="s">
        <v>160</v>
      </c>
      <c r="K546">
        <v>1</v>
      </c>
      <c r="L546">
        <v>2.5</v>
      </c>
      <c r="M546" t="s">
        <v>161</v>
      </c>
      <c r="N546" t="s">
        <v>169</v>
      </c>
      <c r="O546" t="b">
        <v>1</v>
      </c>
      <c r="P546" t="b">
        <v>1</v>
      </c>
      <c r="Q546" s="6">
        <v>8</v>
      </c>
      <c r="R546" s="6">
        <v>0.4</v>
      </c>
      <c r="S546" t="s">
        <v>170</v>
      </c>
      <c r="T546" t="s">
        <v>171</v>
      </c>
      <c r="U546" s="6">
        <v>6</v>
      </c>
      <c r="V546" s="6">
        <v>14</v>
      </c>
      <c r="W546" t="b">
        <v>0</v>
      </c>
      <c r="X546">
        <v>1</v>
      </c>
      <c r="Y546">
        <v>1</v>
      </c>
      <c r="Z546">
        <v>18</v>
      </c>
      <c r="AA546" s="6">
        <v>29.948453608247419</v>
      </c>
      <c r="AB546">
        <f>--PizzaDelivery[[#This Row],[Is Delayed]]</f>
        <v>0</v>
      </c>
    </row>
    <row r="547" spans="1:28">
      <c r="A547" t="s">
        <v>805</v>
      </c>
      <c r="B547" t="s">
        <v>157</v>
      </c>
      <c r="C547" t="s">
        <v>190</v>
      </c>
      <c r="D547" s="1">
        <v>45760</v>
      </c>
      <c r="E547" s="5">
        <v>0.8125</v>
      </c>
      <c r="F547" s="1">
        <v>45760</v>
      </c>
      <c r="G547" s="5">
        <v>0.84027777777777779</v>
      </c>
      <c r="H547">
        <v>40</v>
      </c>
      <c r="I547" t="s">
        <v>167</v>
      </c>
      <c r="J547" t="s">
        <v>168</v>
      </c>
      <c r="K547">
        <v>5</v>
      </c>
      <c r="L547">
        <v>8</v>
      </c>
      <c r="M547" t="s">
        <v>153</v>
      </c>
      <c r="N547" t="s">
        <v>145</v>
      </c>
      <c r="O547" t="b">
        <v>1</v>
      </c>
      <c r="P547" t="b">
        <v>1</v>
      </c>
      <c r="Q547" s="6">
        <v>5</v>
      </c>
      <c r="R547" s="6">
        <v>0.625</v>
      </c>
      <c r="S547" t="s">
        <v>170</v>
      </c>
      <c r="T547" t="s">
        <v>147</v>
      </c>
      <c r="U547" s="6">
        <v>19.2</v>
      </c>
      <c r="V547" s="6">
        <v>20.8</v>
      </c>
      <c r="W547" t="b">
        <v>1</v>
      </c>
      <c r="X547">
        <v>20</v>
      </c>
      <c r="Y547">
        <v>3</v>
      </c>
      <c r="Z547">
        <v>19</v>
      </c>
      <c r="AA547" s="6">
        <v>28.844221105527641</v>
      </c>
      <c r="AB547">
        <f>--PizzaDelivery[[#This Row],[Is Delayed]]</f>
        <v>1</v>
      </c>
    </row>
    <row r="548" spans="1:28">
      <c r="A548" t="s">
        <v>806</v>
      </c>
      <c r="B548" t="s">
        <v>173</v>
      </c>
      <c r="C548" t="s">
        <v>807</v>
      </c>
      <c r="D548" s="1">
        <v>45761</v>
      </c>
      <c r="E548" s="5">
        <v>0.75</v>
      </c>
      <c r="F548" s="1">
        <v>45761</v>
      </c>
      <c r="G548" s="5">
        <v>0.77083333333333337</v>
      </c>
      <c r="H548">
        <v>30</v>
      </c>
      <c r="I548" t="s">
        <v>143</v>
      </c>
      <c r="J548" t="s">
        <v>152</v>
      </c>
      <c r="K548">
        <v>3</v>
      </c>
      <c r="L548">
        <v>4</v>
      </c>
      <c r="M548" t="s">
        <v>143</v>
      </c>
      <c r="N548" t="s">
        <v>162</v>
      </c>
      <c r="O548" t="b">
        <v>1</v>
      </c>
      <c r="P548" t="b">
        <v>0</v>
      </c>
      <c r="Q548" s="6">
        <v>7.5</v>
      </c>
      <c r="R548" s="6">
        <v>0.75</v>
      </c>
      <c r="S548" t="s">
        <v>170</v>
      </c>
      <c r="T548" t="s">
        <v>147</v>
      </c>
      <c r="U548" s="6">
        <v>9.6</v>
      </c>
      <c r="V548" s="6">
        <v>20.399999999999999</v>
      </c>
      <c r="W548" t="b">
        <v>0</v>
      </c>
      <c r="X548">
        <v>6</v>
      </c>
      <c r="Y548">
        <v>2</v>
      </c>
      <c r="Z548">
        <v>18</v>
      </c>
      <c r="AA548" s="6">
        <v>30.286458333333329</v>
      </c>
      <c r="AB548">
        <f>--PizzaDelivery[[#This Row],[Is Delayed]]</f>
        <v>0</v>
      </c>
    </row>
    <row r="549" spans="1:28">
      <c r="A549" t="s">
        <v>808</v>
      </c>
      <c r="B549" t="s">
        <v>142</v>
      </c>
      <c r="C549" t="s">
        <v>158</v>
      </c>
      <c r="D549" s="1">
        <v>45762</v>
      </c>
      <c r="E549" s="5">
        <v>0.84375</v>
      </c>
      <c r="F549" s="1">
        <v>45762</v>
      </c>
      <c r="G549" s="5">
        <v>0.875</v>
      </c>
      <c r="H549">
        <v>45</v>
      </c>
      <c r="I549" t="s">
        <v>151</v>
      </c>
      <c r="J549" t="s">
        <v>144</v>
      </c>
      <c r="K549">
        <v>4</v>
      </c>
      <c r="L549">
        <v>9</v>
      </c>
      <c r="M549" t="s">
        <v>153</v>
      </c>
      <c r="N549" t="s">
        <v>169</v>
      </c>
      <c r="O549" t="b">
        <v>1</v>
      </c>
      <c r="P549" t="b">
        <v>0</v>
      </c>
      <c r="Q549" s="6">
        <v>5</v>
      </c>
      <c r="R549" s="6">
        <v>0.44444444444444442</v>
      </c>
      <c r="S549" t="s">
        <v>170</v>
      </c>
      <c r="T549" t="s">
        <v>171</v>
      </c>
      <c r="U549" s="6">
        <v>21.6</v>
      </c>
      <c r="V549" s="6">
        <v>23.4</v>
      </c>
      <c r="W549" t="b">
        <v>1</v>
      </c>
      <c r="X549">
        <v>12</v>
      </c>
      <c r="Y549">
        <v>3</v>
      </c>
      <c r="Z549">
        <v>20</v>
      </c>
      <c r="AA549" s="6">
        <v>30.259433962264151</v>
      </c>
      <c r="AB549">
        <f>--PizzaDelivery[[#This Row],[Is Delayed]]</f>
        <v>1</v>
      </c>
    </row>
    <row r="550" spans="1:28">
      <c r="A550" t="s">
        <v>809</v>
      </c>
      <c r="B550" t="s">
        <v>149</v>
      </c>
      <c r="C550" t="s">
        <v>194</v>
      </c>
      <c r="D550" s="1">
        <v>45763</v>
      </c>
      <c r="E550" s="5">
        <v>0.75</v>
      </c>
      <c r="F550" s="1">
        <v>45763</v>
      </c>
      <c r="G550" s="5">
        <v>0.76388888888888884</v>
      </c>
      <c r="H550">
        <v>20</v>
      </c>
      <c r="I550" t="s">
        <v>143</v>
      </c>
      <c r="J550" t="s">
        <v>144</v>
      </c>
      <c r="K550">
        <v>2</v>
      </c>
      <c r="L550">
        <v>3</v>
      </c>
      <c r="M550" t="s">
        <v>161</v>
      </c>
      <c r="N550" t="s">
        <v>145</v>
      </c>
      <c r="O550" t="b">
        <v>1</v>
      </c>
      <c r="P550" t="b">
        <v>0</v>
      </c>
      <c r="Q550" s="6">
        <v>6.666666666666667</v>
      </c>
      <c r="R550" s="6">
        <v>0.66666666666666663</v>
      </c>
      <c r="S550" t="s">
        <v>170</v>
      </c>
      <c r="T550" t="s">
        <v>147</v>
      </c>
      <c r="U550" s="6">
        <v>7.1999999999999993</v>
      </c>
      <c r="V550" s="6">
        <v>12.8</v>
      </c>
      <c r="W550" t="b">
        <v>0</v>
      </c>
      <c r="X550">
        <v>4</v>
      </c>
      <c r="Y550">
        <v>1</v>
      </c>
      <c r="Z550">
        <v>18</v>
      </c>
      <c r="AA550" s="6">
        <v>28.186274509803919</v>
      </c>
      <c r="AB550">
        <f>--PizzaDelivery[[#This Row],[Is Delayed]]</f>
        <v>0</v>
      </c>
    </row>
    <row r="551" spans="1:28">
      <c r="A551" t="s">
        <v>810</v>
      </c>
      <c r="B551" t="s">
        <v>165</v>
      </c>
      <c r="C551" t="s">
        <v>188</v>
      </c>
      <c r="D551" s="1">
        <v>45764</v>
      </c>
      <c r="E551" s="5">
        <v>0.80208333333333337</v>
      </c>
      <c r="F551" s="1">
        <v>45764</v>
      </c>
      <c r="G551" s="5">
        <v>0.82291666666666663</v>
      </c>
      <c r="H551">
        <v>30</v>
      </c>
      <c r="I551" t="s">
        <v>151</v>
      </c>
      <c r="J551" t="s">
        <v>152</v>
      </c>
      <c r="K551">
        <v>4</v>
      </c>
      <c r="L551">
        <v>6</v>
      </c>
      <c r="M551" t="s">
        <v>143</v>
      </c>
      <c r="N551" t="s">
        <v>154</v>
      </c>
      <c r="O551" t="b">
        <v>1</v>
      </c>
      <c r="P551" t="b">
        <v>0</v>
      </c>
      <c r="Q551" s="6">
        <v>5</v>
      </c>
      <c r="R551" s="6">
        <v>0.66666666666666663</v>
      </c>
      <c r="S551" t="s">
        <v>170</v>
      </c>
      <c r="T551" t="s">
        <v>147</v>
      </c>
      <c r="U551" s="6">
        <v>14.4</v>
      </c>
      <c r="V551" s="6">
        <v>15.6</v>
      </c>
      <c r="W551" t="b">
        <v>0</v>
      </c>
      <c r="X551">
        <v>12</v>
      </c>
      <c r="Y551">
        <v>2</v>
      </c>
      <c r="Z551">
        <v>19</v>
      </c>
      <c r="AA551" s="6">
        <v>29.948453608247419</v>
      </c>
      <c r="AB551">
        <f>--PizzaDelivery[[#This Row],[Is Delayed]]</f>
        <v>0</v>
      </c>
    </row>
    <row r="552" spans="1:28">
      <c r="A552" t="s">
        <v>811</v>
      </c>
      <c r="B552" t="s">
        <v>157</v>
      </c>
      <c r="C552" t="s">
        <v>186</v>
      </c>
      <c r="D552" s="1">
        <v>45765</v>
      </c>
      <c r="E552" s="5">
        <v>0.85416666666666663</v>
      </c>
      <c r="F552" s="1">
        <v>45765</v>
      </c>
      <c r="G552" s="5">
        <v>0.88194444444444442</v>
      </c>
      <c r="H552">
        <v>40</v>
      </c>
      <c r="I552" t="s">
        <v>167</v>
      </c>
      <c r="J552" t="s">
        <v>168</v>
      </c>
      <c r="K552">
        <v>5</v>
      </c>
      <c r="L552">
        <v>8</v>
      </c>
      <c r="M552" t="s">
        <v>153</v>
      </c>
      <c r="N552" t="s">
        <v>145</v>
      </c>
      <c r="O552" t="b">
        <v>1</v>
      </c>
      <c r="P552" t="b">
        <v>0</v>
      </c>
      <c r="Q552" s="6">
        <v>5</v>
      </c>
      <c r="R552" s="6">
        <v>0.625</v>
      </c>
      <c r="S552" t="s">
        <v>170</v>
      </c>
      <c r="T552" t="s">
        <v>147</v>
      </c>
      <c r="U552" s="6">
        <v>19.2</v>
      </c>
      <c r="V552" s="6">
        <v>20.8</v>
      </c>
      <c r="W552" t="b">
        <v>1</v>
      </c>
      <c r="X552">
        <v>20</v>
      </c>
      <c r="Y552">
        <v>3</v>
      </c>
      <c r="Z552">
        <v>20</v>
      </c>
      <c r="AA552" s="6">
        <v>28.844221105527641</v>
      </c>
      <c r="AB552">
        <f>--PizzaDelivery[[#This Row],[Is Delayed]]</f>
        <v>1</v>
      </c>
    </row>
    <row r="553" spans="1:28">
      <c r="A553" t="s">
        <v>812</v>
      </c>
      <c r="B553" t="s">
        <v>173</v>
      </c>
      <c r="C553" t="s">
        <v>319</v>
      </c>
      <c r="D553" s="1">
        <v>45766</v>
      </c>
      <c r="E553" s="5">
        <v>0.78125</v>
      </c>
      <c r="F553" s="1">
        <v>45766</v>
      </c>
      <c r="G553" s="5">
        <v>0.79513888888888884</v>
      </c>
      <c r="H553">
        <v>20</v>
      </c>
      <c r="I553" t="s">
        <v>159</v>
      </c>
      <c r="J553" t="s">
        <v>160</v>
      </c>
      <c r="K553">
        <v>1</v>
      </c>
      <c r="L553">
        <v>2.5</v>
      </c>
      <c r="M553" t="s">
        <v>161</v>
      </c>
      <c r="N553" t="s">
        <v>169</v>
      </c>
      <c r="O553" t="b">
        <v>1</v>
      </c>
      <c r="P553" t="b">
        <v>1</v>
      </c>
      <c r="Q553" s="6">
        <v>8</v>
      </c>
      <c r="R553" s="6">
        <v>0.4</v>
      </c>
      <c r="S553" t="s">
        <v>170</v>
      </c>
      <c r="T553" t="s">
        <v>171</v>
      </c>
      <c r="U553" s="6">
        <v>6</v>
      </c>
      <c r="V553" s="6">
        <v>14</v>
      </c>
      <c r="W553" t="b">
        <v>0</v>
      </c>
      <c r="X553">
        <v>1</v>
      </c>
      <c r="Y553">
        <v>1</v>
      </c>
      <c r="Z553">
        <v>18</v>
      </c>
      <c r="AA553" s="6">
        <v>30.286458333333329</v>
      </c>
      <c r="AB553">
        <f>--PizzaDelivery[[#This Row],[Is Delayed]]</f>
        <v>0</v>
      </c>
    </row>
    <row r="554" spans="1:28">
      <c r="A554" t="s">
        <v>813</v>
      </c>
      <c r="B554" t="s">
        <v>142</v>
      </c>
      <c r="C554" t="s">
        <v>325</v>
      </c>
      <c r="D554" s="1">
        <v>45767</v>
      </c>
      <c r="E554" s="5">
        <v>0.79166666666666663</v>
      </c>
      <c r="F554" s="1">
        <v>45767</v>
      </c>
      <c r="G554" s="5">
        <v>0.82638888888888884</v>
      </c>
      <c r="H554">
        <v>50</v>
      </c>
      <c r="I554" t="s">
        <v>151</v>
      </c>
      <c r="J554" t="s">
        <v>152</v>
      </c>
      <c r="K554">
        <v>4</v>
      </c>
      <c r="L554">
        <v>10</v>
      </c>
      <c r="M554" t="s">
        <v>153</v>
      </c>
      <c r="N554" t="s">
        <v>342</v>
      </c>
      <c r="O554" t="b">
        <v>1</v>
      </c>
      <c r="P554" t="b">
        <v>1</v>
      </c>
      <c r="Q554" s="6">
        <v>5</v>
      </c>
      <c r="R554" s="6">
        <v>0.4</v>
      </c>
      <c r="S554" t="s">
        <v>170</v>
      </c>
      <c r="T554" t="s">
        <v>171</v>
      </c>
      <c r="U554" s="6">
        <v>24</v>
      </c>
      <c r="V554" s="6">
        <v>26</v>
      </c>
      <c r="W554" t="b">
        <v>1</v>
      </c>
      <c r="X554">
        <v>12</v>
      </c>
      <c r="Y554">
        <v>3</v>
      </c>
      <c r="Z554">
        <v>19</v>
      </c>
      <c r="AA554" s="6">
        <v>30.259433962264151</v>
      </c>
      <c r="AB554">
        <f>--PizzaDelivery[[#This Row],[Is Delayed]]</f>
        <v>1</v>
      </c>
    </row>
    <row r="555" spans="1:28">
      <c r="A555" t="s">
        <v>814</v>
      </c>
      <c r="B555" t="s">
        <v>149</v>
      </c>
      <c r="C555" t="s">
        <v>327</v>
      </c>
      <c r="D555" s="1">
        <v>45768</v>
      </c>
      <c r="E555" s="5">
        <v>0.83333333333333337</v>
      </c>
      <c r="F555" s="1">
        <v>45768</v>
      </c>
      <c r="G555" s="5">
        <v>0.85763888888888884</v>
      </c>
      <c r="H555">
        <v>35</v>
      </c>
      <c r="I555" t="s">
        <v>143</v>
      </c>
      <c r="J555" t="s">
        <v>591</v>
      </c>
      <c r="K555">
        <v>3</v>
      </c>
      <c r="L555">
        <v>5.5</v>
      </c>
      <c r="M555" t="s">
        <v>143</v>
      </c>
      <c r="N555" t="s">
        <v>154</v>
      </c>
      <c r="O555" t="b">
        <v>1</v>
      </c>
      <c r="P555" t="b">
        <v>0</v>
      </c>
      <c r="Q555" s="6">
        <v>6.3636363636363633</v>
      </c>
      <c r="R555" s="6">
        <v>0.54545454545454541</v>
      </c>
      <c r="S555" t="s">
        <v>170</v>
      </c>
      <c r="T555" t="s">
        <v>147</v>
      </c>
      <c r="U555" s="6">
        <v>13.2</v>
      </c>
      <c r="V555" s="6">
        <v>21.8</v>
      </c>
      <c r="W555" t="b">
        <v>1</v>
      </c>
      <c r="X555">
        <v>6</v>
      </c>
      <c r="Y555">
        <v>2</v>
      </c>
      <c r="Z555">
        <v>20</v>
      </c>
      <c r="AA555" s="6">
        <v>28.186274509803919</v>
      </c>
      <c r="AB555">
        <f>--PizzaDelivery[[#This Row],[Is Delayed]]</f>
        <v>1</v>
      </c>
    </row>
    <row r="556" spans="1:28">
      <c r="A556" t="s">
        <v>815</v>
      </c>
      <c r="B556" t="s">
        <v>165</v>
      </c>
      <c r="C556" t="s">
        <v>690</v>
      </c>
      <c r="D556" s="1">
        <v>45769</v>
      </c>
      <c r="E556" s="5">
        <v>0.77083333333333337</v>
      </c>
      <c r="F556" s="1">
        <v>45769</v>
      </c>
      <c r="G556" s="5">
        <v>0.78472222222222221</v>
      </c>
      <c r="H556">
        <v>20</v>
      </c>
      <c r="I556" t="s">
        <v>159</v>
      </c>
      <c r="J556" t="s">
        <v>160</v>
      </c>
      <c r="K556">
        <v>2</v>
      </c>
      <c r="L556">
        <v>2</v>
      </c>
      <c r="M556" t="s">
        <v>161</v>
      </c>
      <c r="N556" t="s">
        <v>162</v>
      </c>
      <c r="O556" t="b">
        <v>1</v>
      </c>
      <c r="P556" t="b">
        <v>0</v>
      </c>
      <c r="Q556" s="6">
        <v>10</v>
      </c>
      <c r="R556" s="6">
        <v>1</v>
      </c>
      <c r="S556" t="s">
        <v>170</v>
      </c>
      <c r="T556" t="s">
        <v>147</v>
      </c>
      <c r="U556" s="6">
        <v>4.8</v>
      </c>
      <c r="V556" s="6">
        <v>15.2</v>
      </c>
      <c r="W556" t="b">
        <v>0</v>
      </c>
      <c r="X556">
        <v>2</v>
      </c>
      <c r="Y556">
        <v>1</v>
      </c>
      <c r="Z556">
        <v>18</v>
      </c>
      <c r="AA556" s="6">
        <v>29.948453608247419</v>
      </c>
      <c r="AB556">
        <f>--PizzaDelivery[[#This Row],[Is Delayed]]</f>
        <v>0</v>
      </c>
    </row>
    <row r="557" spans="1:28">
      <c r="A557" t="s">
        <v>816</v>
      </c>
      <c r="B557" t="s">
        <v>157</v>
      </c>
      <c r="C557" t="s">
        <v>817</v>
      </c>
      <c r="D557" s="1">
        <v>45770</v>
      </c>
      <c r="E557" s="5">
        <v>0.82291666666666663</v>
      </c>
      <c r="F557" s="1">
        <v>45770</v>
      </c>
      <c r="G557" s="5">
        <v>0.85069444444444442</v>
      </c>
      <c r="H557">
        <v>40</v>
      </c>
      <c r="I557" t="s">
        <v>167</v>
      </c>
      <c r="J557" t="s">
        <v>594</v>
      </c>
      <c r="K557">
        <v>5</v>
      </c>
      <c r="L557">
        <v>7.5</v>
      </c>
      <c r="M557" t="s">
        <v>153</v>
      </c>
      <c r="N557" t="s">
        <v>145</v>
      </c>
      <c r="O557" t="b">
        <v>1</v>
      </c>
      <c r="P557" t="b">
        <v>0</v>
      </c>
      <c r="Q557" s="6">
        <v>5.333333333333333</v>
      </c>
      <c r="R557" s="6">
        <v>0.66666666666666663</v>
      </c>
      <c r="S557" t="s">
        <v>170</v>
      </c>
      <c r="T557" t="s">
        <v>147</v>
      </c>
      <c r="U557" s="6">
        <v>18</v>
      </c>
      <c r="V557" s="6">
        <v>22</v>
      </c>
      <c r="W557" t="b">
        <v>1</v>
      </c>
      <c r="X557">
        <v>20</v>
      </c>
      <c r="Y557">
        <v>3</v>
      </c>
      <c r="Z557">
        <v>19</v>
      </c>
      <c r="AA557" s="6">
        <v>28.844221105527641</v>
      </c>
      <c r="AB557">
        <f>--PizzaDelivery[[#This Row],[Is Delayed]]</f>
        <v>1</v>
      </c>
    </row>
    <row r="558" spans="1:28">
      <c r="A558" t="s">
        <v>818</v>
      </c>
      <c r="B558" t="s">
        <v>173</v>
      </c>
      <c r="C558" t="s">
        <v>819</v>
      </c>
      <c r="D558" s="1">
        <v>45771</v>
      </c>
      <c r="E558" s="5">
        <v>0.75</v>
      </c>
      <c r="F558" s="1">
        <v>45771</v>
      </c>
      <c r="G558" s="5">
        <v>0.77083333333333337</v>
      </c>
      <c r="H558">
        <v>30</v>
      </c>
      <c r="I558" t="s">
        <v>143</v>
      </c>
      <c r="J558" t="s">
        <v>152</v>
      </c>
      <c r="K558">
        <v>3</v>
      </c>
      <c r="L558">
        <v>4</v>
      </c>
      <c r="M558" t="s">
        <v>143</v>
      </c>
      <c r="N558" t="s">
        <v>162</v>
      </c>
      <c r="O558" t="b">
        <v>1</v>
      </c>
      <c r="P558" t="b">
        <v>0</v>
      </c>
      <c r="Q558" s="6">
        <v>7.5</v>
      </c>
      <c r="R558" s="6">
        <v>0.75</v>
      </c>
      <c r="S558" t="s">
        <v>170</v>
      </c>
      <c r="T558" t="s">
        <v>147</v>
      </c>
      <c r="U558" s="6">
        <v>9.6</v>
      </c>
      <c r="V558" s="6">
        <v>20.399999999999999</v>
      </c>
      <c r="W558" t="b">
        <v>0</v>
      </c>
      <c r="X558">
        <v>6</v>
      </c>
      <c r="Y558">
        <v>2</v>
      </c>
      <c r="Z558">
        <v>18</v>
      </c>
      <c r="AA558" s="6">
        <v>30.286458333333329</v>
      </c>
      <c r="AB558">
        <f>--PizzaDelivery[[#This Row],[Is Delayed]]</f>
        <v>0</v>
      </c>
    </row>
    <row r="559" spans="1:28">
      <c r="A559" t="s">
        <v>820</v>
      </c>
      <c r="B559" t="s">
        <v>142</v>
      </c>
      <c r="C559" t="s">
        <v>329</v>
      </c>
      <c r="D559" s="1">
        <v>45772</v>
      </c>
      <c r="E559" s="5">
        <v>0.84375</v>
      </c>
      <c r="F559" s="1">
        <v>45772</v>
      </c>
      <c r="G559" s="5">
        <v>0.875</v>
      </c>
      <c r="H559">
        <v>45</v>
      </c>
      <c r="I559" t="s">
        <v>151</v>
      </c>
      <c r="J559" t="s">
        <v>144</v>
      </c>
      <c r="K559">
        <v>4</v>
      </c>
      <c r="L559">
        <v>9</v>
      </c>
      <c r="M559" t="s">
        <v>153</v>
      </c>
      <c r="N559" t="s">
        <v>169</v>
      </c>
      <c r="O559" t="b">
        <v>1</v>
      </c>
      <c r="P559" t="b">
        <v>0</v>
      </c>
      <c r="Q559" s="6">
        <v>5</v>
      </c>
      <c r="R559" s="6">
        <v>0.44444444444444442</v>
      </c>
      <c r="S559" t="s">
        <v>170</v>
      </c>
      <c r="T559" t="s">
        <v>171</v>
      </c>
      <c r="U559" s="6">
        <v>21.6</v>
      </c>
      <c r="V559" s="6">
        <v>23.4</v>
      </c>
      <c r="W559" t="b">
        <v>1</v>
      </c>
      <c r="X559">
        <v>12</v>
      </c>
      <c r="Y559">
        <v>3</v>
      </c>
      <c r="Z559">
        <v>20</v>
      </c>
      <c r="AA559" s="6">
        <v>30.259433962264151</v>
      </c>
      <c r="AB559">
        <f>--PizzaDelivery[[#This Row],[Is Delayed]]</f>
        <v>1</v>
      </c>
    </row>
    <row r="560" spans="1:28">
      <c r="A560" t="s">
        <v>821</v>
      </c>
      <c r="B560" t="s">
        <v>149</v>
      </c>
      <c r="C560" t="s">
        <v>315</v>
      </c>
      <c r="D560" s="1">
        <v>45773</v>
      </c>
      <c r="E560" s="5">
        <v>0.75</v>
      </c>
      <c r="F560" s="1">
        <v>45773</v>
      </c>
      <c r="G560" s="5">
        <v>0.76388888888888884</v>
      </c>
      <c r="H560">
        <v>20</v>
      </c>
      <c r="I560" t="s">
        <v>143</v>
      </c>
      <c r="J560" t="s">
        <v>144</v>
      </c>
      <c r="K560">
        <v>2</v>
      </c>
      <c r="L560">
        <v>3</v>
      </c>
      <c r="M560" t="s">
        <v>161</v>
      </c>
      <c r="N560" t="s">
        <v>145</v>
      </c>
      <c r="O560" t="b">
        <v>1</v>
      </c>
      <c r="P560" t="b">
        <v>1</v>
      </c>
      <c r="Q560" s="6">
        <v>6.666666666666667</v>
      </c>
      <c r="R560" s="6">
        <v>0.66666666666666663</v>
      </c>
      <c r="S560" t="s">
        <v>170</v>
      </c>
      <c r="T560" t="s">
        <v>147</v>
      </c>
      <c r="U560" s="6">
        <v>7.1999999999999993</v>
      </c>
      <c r="V560" s="6">
        <v>12.8</v>
      </c>
      <c r="W560" t="b">
        <v>0</v>
      </c>
      <c r="X560">
        <v>4</v>
      </c>
      <c r="Y560">
        <v>1</v>
      </c>
      <c r="Z560">
        <v>18</v>
      </c>
      <c r="AA560" s="6">
        <v>28.186274509803919</v>
      </c>
      <c r="AB560">
        <f>--PizzaDelivery[[#This Row],[Is Delayed]]</f>
        <v>0</v>
      </c>
    </row>
    <row r="561" spans="1:28">
      <c r="A561" t="s">
        <v>822</v>
      </c>
      <c r="B561" t="s">
        <v>165</v>
      </c>
      <c r="C561" t="s">
        <v>321</v>
      </c>
      <c r="D561" s="1">
        <v>45774</v>
      </c>
      <c r="E561" s="5">
        <v>0.80208333333333337</v>
      </c>
      <c r="F561" s="1">
        <v>45774</v>
      </c>
      <c r="G561" s="5">
        <v>0.82291666666666663</v>
      </c>
      <c r="H561">
        <v>30</v>
      </c>
      <c r="I561" t="s">
        <v>151</v>
      </c>
      <c r="J561" t="s">
        <v>152</v>
      </c>
      <c r="K561">
        <v>4</v>
      </c>
      <c r="L561">
        <v>6</v>
      </c>
      <c r="M561" t="s">
        <v>143</v>
      </c>
      <c r="N561" t="s">
        <v>154</v>
      </c>
      <c r="O561" t="b">
        <v>1</v>
      </c>
      <c r="P561" t="b">
        <v>1</v>
      </c>
      <c r="Q561" s="6">
        <v>5</v>
      </c>
      <c r="R561" s="6">
        <v>0.66666666666666663</v>
      </c>
      <c r="S561" t="s">
        <v>170</v>
      </c>
      <c r="T561" t="s">
        <v>147</v>
      </c>
      <c r="U561" s="6">
        <v>14.4</v>
      </c>
      <c r="V561" s="6">
        <v>15.6</v>
      </c>
      <c r="W561" t="b">
        <v>0</v>
      </c>
      <c r="X561">
        <v>12</v>
      </c>
      <c r="Y561">
        <v>2</v>
      </c>
      <c r="Z561">
        <v>19</v>
      </c>
      <c r="AA561" s="6">
        <v>29.948453608247419</v>
      </c>
      <c r="AB561">
        <f>--PizzaDelivery[[#This Row],[Is Delayed]]</f>
        <v>0</v>
      </c>
    </row>
    <row r="562" spans="1:28">
      <c r="A562" t="s">
        <v>823</v>
      </c>
      <c r="B562" t="s">
        <v>157</v>
      </c>
      <c r="C562" t="s">
        <v>323</v>
      </c>
      <c r="D562" s="1">
        <v>45775</v>
      </c>
      <c r="E562" s="5">
        <v>0.85416666666666663</v>
      </c>
      <c r="F562" s="1">
        <v>45775</v>
      </c>
      <c r="G562" s="5">
        <v>0.88194444444444442</v>
      </c>
      <c r="H562">
        <v>40</v>
      </c>
      <c r="I562" t="s">
        <v>167</v>
      </c>
      <c r="J562" t="s">
        <v>168</v>
      </c>
      <c r="K562">
        <v>5</v>
      </c>
      <c r="L562">
        <v>8</v>
      </c>
      <c r="M562" t="s">
        <v>153</v>
      </c>
      <c r="N562" t="s">
        <v>145</v>
      </c>
      <c r="O562" t="b">
        <v>1</v>
      </c>
      <c r="P562" t="b">
        <v>0</v>
      </c>
      <c r="Q562" s="6">
        <v>5</v>
      </c>
      <c r="R562" s="6">
        <v>0.625</v>
      </c>
      <c r="S562" t="s">
        <v>170</v>
      </c>
      <c r="T562" t="s">
        <v>147</v>
      </c>
      <c r="U562" s="6">
        <v>19.2</v>
      </c>
      <c r="V562" s="6">
        <v>20.8</v>
      </c>
      <c r="W562" t="b">
        <v>1</v>
      </c>
      <c r="X562">
        <v>20</v>
      </c>
      <c r="Y562">
        <v>3</v>
      </c>
      <c r="Z562">
        <v>20</v>
      </c>
      <c r="AA562" s="6">
        <v>28.844221105527641</v>
      </c>
      <c r="AB562">
        <f>--PizzaDelivery[[#This Row],[Is Delayed]]</f>
        <v>1</v>
      </c>
    </row>
    <row r="563" spans="1:28">
      <c r="A563" t="s">
        <v>824</v>
      </c>
      <c r="B563" t="s">
        <v>173</v>
      </c>
      <c r="C563" t="s">
        <v>337</v>
      </c>
      <c r="D563" s="1">
        <v>45776</v>
      </c>
      <c r="E563" s="5">
        <v>0.78125</v>
      </c>
      <c r="F563" s="1">
        <v>45776</v>
      </c>
      <c r="G563" s="5">
        <v>0.79513888888888884</v>
      </c>
      <c r="H563">
        <v>20</v>
      </c>
      <c r="I563" t="s">
        <v>159</v>
      </c>
      <c r="J563" t="s">
        <v>160</v>
      </c>
      <c r="K563">
        <v>1</v>
      </c>
      <c r="L563">
        <v>2.5</v>
      </c>
      <c r="M563" t="s">
        <v>161</v>
      </c>
      <c r="N563" t="s">
        <v>169</v>
      </c>
      <c r="O563" t="b">
        <v>1</v>
      </c>
      <c r="P563" t="b">
        <v>0</v>
      </c>
      <c r="Q563" s="6">
        <v>8</v>
      </c>
      <c r="R563" s="6">
        <v>0.4</v>
      </c>
      <c r="S563" t="s">
        <v>170</v>
      </c>
      <c r="T563" t="s">
        <v>171</v>
      </c>
      <c r="U563" s="6">
        <v>6</v>
      </c>
      <c r="V563" s="6">
        <v>14</v>
      </c>
      <c r="W563" t="b">
        <v>0</v>
      </c>
      <c r="X563">
        <v>1</v>
      </c>
      <c r="Y563">
        <v>1</v>
      </c>
      <c r="Z563">
        <v>18</v>
      </c>
      <c r="AA563" s="6">
        <v>30.286458333333329</v>
      </c>
      <c r="AB563">
        <f>--PizzaDelivery[[#This Row],[Is Delayed]]</f>
        <v>0</v>
      </c>
    </row>
    <row r="564" spans="1:28">
      <c r="A564" t="s">
        <v>825</v>
      </c>
      <c r="B564" t="s">
        <v>142</v>
      </c>
      <c r="C564" t="s">
        <v>339</v>
      </c>
      <c r="D564" s="1">
        <v>45777</v>
      </c>
      <c r="E564" s="5">
        <v>0.79166666666666663</v>
      </c>
      <c r="F564" s="1">
        <v>45777</v>
      </c>
      <c r="G564" s="5">
        <v>0.82638888888888884</v>
      </c>
      <c r="H564">
        <v>50</v>
      </c>
      <c r="I564" t="s">
        <v>151</v>
      </c>
      <c r="J564" t="s">
        <v>152</v>
      </c>
      <c r="K564">
        <v>4</v>
      </c>
      <c r="L564">
        <v>10</v>
      </c>
      <c r="M564" t="s">
        <v>153</v>
      </c>
      <c r="N564" t="s">
        <v>145</v>
      </c>
      <c r="O564" t="b">
        <v>1</v>
      </c>
      <c r="P564" t="b">
        <v>0</v>
      </c>
      <c r="Q564" s="6">
        <v>5</v>
      </c>
      <c r="R564" s="6">
        <v>0.4</v>
      </c>
      <c r="S564" t="s">
        <v>170</v>
      </c>
      <c r="T564" t="s">
        <v>147</v>
      </c>
      <c r="U564" s="6">
        <v>24</v>
      </c>
      <c r="V564" s="6">
        <v>26</v>
      </c>
      <c r="W564" t="b">
        <v>1</v>
      </c>
      <c r="X564">
        <v>12</v>
      </c>
      <c r="Y564">
        <v>3</v>
      </c>
      <c r="Z564">
        <v>19</v>
      </c>
      <c r="AA564" s="6">
        <v>30.259433962264151</v>
      </c>
      <c r="AB564">
        <f>--PizzaDelivery[[#This Row],[Is Delayed]]</f>
        <v>1</v>
      </c>
    </row>
    <row r="565" spans="1:28">
      <c r="A565" t="s">
        <v>826</v>
      </c>
      <c r="B565" t="s">
        <v>149</v>
      </c>
      <c r="C565" t="s">
        <v>695</v>
      </c>
      <c r="D565" s="1">
        <v>45778</v>
      </c>
      <c r="E565" s="5">
        <v>0.83333333333333337</v>
      </c>
      <c r="F565" s="1">
        <v>45778</v>
      </c>
      <c r="G565" s="5">
        <v>0.85763888888888884</v>
      </c>
      <c r="H565">
        <v>35</v>
      </c>
      <c r="I565" t="s">
        <v>143</v>
      </c>
      <c r="J565" t="s">
        <v>591</v>
      </c>
      <c r="K565">
        <v>3</v>
      </c>
      <c r="L565">
        <v>5.5</v>
      </c>
      <c r="M565" t="s">
        <v>143</v>
      </c>
      <c r="N565" t="s">
        <v>154</v>
      </c>
      <c r="O565" t="b">
        <v>1</v>
      </c>
      <c r="P565" t="b">
        <v>0</v>
      </c>
      <c r="Q565" s="6">
        <v>6.3636363636363633</v>
      </c>
      <c r="R565" s="6">
        <v>0.54545454545454541</v>
      </c>
      <c r="S565" t="s">
        <v>175</v>
      </c>
      <c r="T565" t="s">
        <v>147</v>
      </c>
      <c r="U565" s="6">
        <v>13.2</v>
      </c>
      <c r="V565" s="6">
        <v>21.8</v>
      </c>
      <c r="W565" t="b">
        <v>1</v>
      </c>
      <c r="X565">
        <v>6</v>
      </c>
      <c r="Y565">
        <v>2</v>
      </c>
      <c r="Z565">
        <v>20</v>
      </c>
      <c r="AA565" s="6">
        <v>28.186274509803919</v>
      </c>
      <c r="AB565">
        <f>--PizzaDelivery[[#This Row],[Is Delayed]]</f>
        <v>1</v>
      </c>
    </row>
    <row r="566" spans="1:28">
      <c r="A566" t="s">
        <v>827</v>
      </c>
      <c r="B566" t="s">
        <v>165</v>
      </c>
      <c r="C566" t="s">
        <v>697</v>
      </c>
      <c r="D566" s="1">
        <v>45779</v>
      </c>
      <c r="E566" s="5">
        <v>0.77083333333333337</v>
      </c>
      <c r="F566" s="1">
        <v>45779</v>
      </c>
      <c r="G566" s="5">
        <v>0.78472222222222221</v>
      </c>
      <c r="H566">
        <v>20</v>
      </c>
      <c r="I566" t="s">
        <v>159</v>
      </c>
      <c r="J566" t="s">
        <v>160</v>
      </c>
      <c r="K566">
        <v>2</v>
      </c>
      <c r="L566">
        <v>2</v>
      </c>
      <c r="M566" t="s">
        <v>161</v>
      </c>
      <c r="N566" t="s">
        <v>162</v>
      </c>
      <c r="O566" t="b">
        <v>1</v>
      </c>
      <c r="P566" t="b">
        <v>0</v>
      </c>
      <c r="Q566" s="6">
        <v>10</v>
      </c>
      <c r="R566" s="6">
        <v>1</v>
      </c>
      <c r="S566" t="s">
        <v>175</v>
      </c>
      <c r="T566" t="s">
        <v>147</v>
      </c>
      <c r="U566" s="6">
        <v>4.8</v>
      </c>
      <c r="V566" s="6">
        <v>15.2</v>
      </c>
      <c r="W566" t="b">
        <v>0</v>
      </c>
      <c r="X566">
        <v>2</v>
      </c>
      <c r="Y566">
        <v>1</v>
      </c>
      <c r="Z566">
        <v>18</v>
      </c>
      <c r="AA566" s="6">
        <v>29.948453608247419</v>
      </c>
      <c r="AB566">
        <f>--PizzaDelivery[[#This Row],[Is Delayed]]</f>
        <v>0</v>
      </c>
    </row>
    <row r="567" spans="1:28">
      <c r="A567" t="s">
        <v>828</v>
      </c>
      <c r="B567" t="s">
        <v>157</v>
      </c>
      <c r="C567" t="s">
        <v>699</v>
      </c>
      <c r="D567" s="1">
        <v>45780</v>
      </c>
      <c r="E567" s="5">
        <v>0.82291666666666663</v>
      </c>
      <c r="F567" s="1">
        <v>45780</v>
      </c>
      <c r="G567" s="5">
        <v>0.85069444444444442</v>
      </c>
      <c r="H567">
        <v>40</v>
      </c>
      <c r="I567" t="s">
        <v>167</v>
      </c>
      <c r="J567" t="s">
        <v>594</v>
      </c>
      <c r="K567">
        <v>5</v>
      </c>
      <c r="L567">
        <v>7.5</v>
      </c>
      <c r="M567" t="s">
        <v>153</v>
      </c>
      <c r="N567" t="s">
        <v>145</v>
      </c>
      <c r="O567" t="b">
        <v>1</v>
      </c>
      <c r="P567" t="b">
        <v>1</v>
      </c>
      <c r="Q567" s="6">
        <v>5.333333333333333</v>
      </c>
      <c r="R567" s="6">
        <v>0.66666666666666663</v>
      </c>
      <c r="S567" t="s">
        <v>175</v>
      </c>
      <c r="T567" t="s">
        <v>147</v>
      </c>
      <c r="U567" s="6">
        <v>18</v>
      </c>
      <c r="V567" s="6">
        <v>22</v>
      </c>
      <c r="W567" t="b">
        <v>1</v>
      </c>
      <c r="X567">
        <v>20</v>
      </c>
      <c r="Y567">
        <v>3</v>
      </c>
      <c r="Z567">
        <v>19</v>
      </c>
      <c r="AA567" s="6">
        <v>28.844221105527641</v>
      </c>
      <c r="AB567">
        <f>--PizzaDelivery[[#This Row],[Is Delayed]]</f>
        <v>1</v>
      </c>
    </row>
    <row r="568" spans="1:28">
      <c r="A568" t="s">
        <v>829</v>
      </c>
      <c r="B568" t="s">
        <v>173</v>
      </c>
      <c r="C568" t="s">
        <v>701</v>
      </c>
      <c r="D568" s="1">
        <v>45781</v>
      </c>
      <c r="E568" s="5">
        <v>0.75</v>
      </c>
      <c r="F568" s="1">
        <v>45781</v>
      </c>
      <c r="G568" s="5">
        <v>0.77083333333333337</v>
      </c>
      <c r="H568">
        <v>30</v>
      </c>
      <c r="I568" t="s">
        <v>143</v>
      </c>
      <c r="J568" t="s">
        <v>152</v>
      </c>
      <c r="K568">
        <v>3</v>
      </c>
      <c r="L568">
        <v>4</v>
      </c>
      <c r="M568" t="s">
        <v>143</v>
      </c>
      <c r="N568" t="s">
        <v>162</v>
      </c>
      <c r="O568" t="b">
        <v>1</v>
      </c>
      <c r="P568" t="b">
        <v>1</v>
      </c>
      <c r="Q568" s="6">
        <v>7.5</v>
      </c>
      <c r="R568" s="6">
        <v>0.75</v>
      </c>
      <c r="S568" t="s">
        <v>175</v>
      </c>
      <c r="T568" t="s">
        <v>147</v>
      </c>
      <c r="U568" s="6">
        <v>9.6</v>
      </c>
      <c r="V568" s="6">
        <v>20.399999999999999</v>
      </c>
      <c r="W568" t="b">
        <v>0</v>
      </c>
      <c r="X568">
        <v>6</v>
      </c>
      <c r="Y568">
        <v>2</v>
      </c>
      <c r="Z568">
        <v>18</v>
      </c>
      <c r="AA568" s="6">
        <v>30.286458333333329</v>
      </c>
      <c r="AB568">
        <f>--PizzaDelivery[[#This Row],[Is Delayed]]</f>
        <v>0</v>
      </c>
    </row>
    <row r="569" spans="1:28">
      <c r="A569" t="s">
        <v>830</v>
      </c>
      <c r="B569" t="s">
        <v>142</v>
      </c>
      <c r="C569" t="s">
        <v>703</v>
      </c>
      <c r="D569" s="1">
        <v>45782</v>
      </c>
      <c r="E569" s="5">
        <v>0.84375</v>
      </c>
      <c r="F569" s="1">
        <v>45782</v>
      </c>
      <c r="G569" s="5">
        <v>0.875</v>
      </c>
      <c r="H569">
        <v>45</v>
      </c>
      <c r="I569" t="s">
        <v>151</v>
      </c>
      <c r="J569" t="s">
        <v>144</v>
      </c>
      <c r="K569">
        <v>4</v>
      </c>
      <c r="L569">
        <v>9</v>
      </c>
      <c r="M569" t="s">
        <v>153</v>
      </c>
      <c r="N569" t="s">
        <v>169</v>
      </c>
      <c r="O569" t="b">
        <v>1</v>
      </c>
      <c r="P569" t="b">
        <v>0</v>
      </c>
      <c r="Q569" s="6">
        <v>5</v>
      </c>
      <c r="R569" s="6">
        <v>0.44444444444444442</v>
      </c>
      <c r="S569" t="s">
        <v>175</v>
      </c>
      <c r="T569" t="s">
        <v>171</v>
      </c>
      <c r="U569" s="6">
        <v>21.6</v>
      </c>
      <c r="V569" s="6">
        <v>23.4</v>
      </c>
      <c r="W569" t="b">
        <v>1</v>
      </c>
      <c r="X569">
        <v>12</v>
      </c>
      <c r="Y569">
        <v>3</v>
      </c>
      <c r="Z569">
        <v>20</v>
      </c>
      <c r="AA569" s="6">
        <v>30.259433962264151</v>
      </c>
      <c r="AB569">
        <f>--PizzaDelivery[[#This Row],[Is Delayed]]</f>
        <v>1</v>
      </c>
    </row>
    <row r="570" spans="1:28">
      <c r="A570" t="s">
        <v>831</v>
      </c>
      <c r="B570" t="s">
        <v>149</v>
      </c>
      <c r="C570" t="s">
        <v>695</v>
      </c>
      <c r="D570" s="1">
        <v>45778</v>
      </c>
      <c r="E570" s="5">
        <v>0.83333333333333337</v>
      </c>
      <c r="F570" s="1">
        <v>45778</v>
      </c>
      <c r="G570" s="5">
        <v>0.85763888888888884</v>
      </c>
      <c r="H570">
        <v>35</v>
      </c>
      <c r="I570" t="s">
        <v>143</v>
      </c>
      <c r="J570" t="s">
        <v>591</v>
      </c>
      <c r="K570">
        <v>3</v>
      </c>
      <c r="L570">
        <v>5.5</v>
      </c>
      <c r="M570" t="s">
        <v>143</v>
      </c>
      <c r="N570" t="s">
        <v>154</v>
      </c>
      <c r="O570" t="b">
        <v>1</v>
      </c>
      <c r="P570" t="b">
        <v>0</v>
      </c>
      <c r="Q570" s="6">
        <v>6.3636363636363633</v>
      </c>
      <c r="R570" s="6">
        <v>0.54545454545454541</v>
      </c>
      <c r="S570" t="s">
        <v>175</v>
      </c>
      <c r="T570" t="s">
        <v>147</v>
      </c>
      <c r="U570" s="6">
        <v>13.2</v>
      </c>
      <c r="V570" s="6">
        <v>21.8</v>
      </c>
      <c r="W570" t="b">
        <v>1</v>
      </c>
      <c r="X570">
        <v>6</v>
      </c>
      <c r="Y570">
        <v>2</v>
      </c>
      <c r="Z570">
        <v>20</v>
      </c>
      <c r="AA570" s="6">
        <v>28.186274509803919</v>
      </c>
      <c r="AB570">
        <f>--PizzaDelivery[[#This Row],[Is Delayed]]</f>
        <v>1</v>
      </c>
    </row>
    <row r="571" spans="1:28">
      <c r="A571" t="s">
        <v>832</v>
      </c>
      <c r="B571" t="s">
        <v>142</v>
      </c>
      <c r="C571" t="s">
        <v>40</v>
      </c>
      <c r="D571" s="1">
        <v>45784</v>
      </c>
      <c r="E571" s="5">
        <v>0.79166666666666663</v>
      </c>
      <c r="F571" s="1">
        <v>45784</v>
      </c>
      <c r="G571" s="5">
        <v>0.82291666666666663</v>
      </c>
      <c r="H571">
        <v>45</v>
      </c>
      <c r="I571" t="s">
        <v>151</v>
      </c>
      <c r="J571" t="s">
        <v>655</v>
      </c>
      <c r="K571">
        <v>4</v>
      </c>
      <c r="L571">
        <v>7</v>
      </c>
      <c r="M571" t="s">
        <v>143</v>
      </c>
      <c r="N571" t="s">
        <v>145</v>
      </c>
      <c r="O571" t="b">
        <v>1</v>
      </c>
      <c r="P571" t="b">
        <v>0</v>
      </c>
      <c r="Q571" s="6">
        <v>6.4285714285714288</v>
      </c>
      <c r="R571" s="6">
        <v>0.5714285714285714</v>
      </c>
      <c r="S571" t="s">
        <v>175</v>
      </c>
      <c r="T571" t="s">
        <v>147</v>
      </c>
      <c r="U571" s="6">
        <v>16.8</v>
      </c>
      <c r="V571" s="6">
        <v>28.2</v>
      </c>
      <c r="W571" t="b">
        <v>1</v>
      </c>
      <c r="X571">
        <v>12</v>
      </c>
      <c r="Y571">
        <v>2</v>
      </c>
      <c r="Z571">
        <v>19</v>
      </c>
      <c r="AA571" s="6">
        <v>30.259433962264151</v>
      </c>
      <c r="AB571">
        <f>--PizzaDelivery[[#This Row],[Is Delayed]]</f>
        <v>1</v>
      </c>
    </row>
    <row r="572" spans="1:28">
      <c r="A572" t="s">
        <v>833</v>
      </c>
      <c r="B572" t="s">
        <v>149</v>
      </c>
      <c r="C572" t="s">
        <v>150</v>
      </c>
      <c r="D572" s="1">
        <v>45785</v>
      </c>
      <c r="E572" s="5">
        <v>0.84375</v>
      </c>
      <c r="F572" s="1">
        <v>45785</v>
      </c>
      <c r="G572" s="5">
        <v>0.87152777777777779</v>
      </c>
      <c r="H572">
        <v>40</v>
      </c>
      <c r="I572" t="s">
        <v>143</v>
      </c>
      <c r="J572" t="s">
        <v>657</v>
      </c>
      <c r="K572">
        <v>3</v>
      </c>
      <c r="L572">
        <v>6.5</v>
      </c>
      <c r="M572" t="s">
        <v>153</v>
      </c>
      <c r="N572" t="s">
        <v>154</v>
      </c>
      <c r="O572" t="b">
        <v>1</v>
      </c>
      <c r="P572" t="b">
        <v>0</v>
      </c>
      <c r="Q572" s="6">
        <v>6.1538461538461542</v>
      </c>
      <c r="R572" s="6">
        <v>0.46153846153846162</v>
      </c>
      <c r="S572" t="s">
        <v>175</v>
      </c>
      <c r="T572" t="s">
        <v>147</v>
      </c>
      <c r="U572" s="6">
        <v>15.6</v>
      </c>
      <c r="V572" s="6">
        <v>24.4</v>
      </c>
      <c r="W572" t="b">
        <v>1</v>
      </c>
      <c r="X572">
        <v>6</v>
      </c>
      <c r="Y572">
        <v>3</v>
      </c>
      <c r="Z572">
        <v>20</v>
      </c>
      <c r="AA572" s="6">
        <v>28.186274509803919</v>
      </c>
      <c r="AB572">
        <f>--PizzaDelivery[[#This Row],[Is Delayed]]</f>
        <v>1</v>
      </c>
    </row>
    <row r="573" spans="1:28">
      <c r="A573" t="s">
        <v>834</v>
      </c>
      <c r="B573" t="s">
        <v>165</v>
      </c>
      <c r="C573" t="s">
        <v>158</v>
      </c>
      <c r="D573" s="1">
        <v>45786</v>
      </c>
      <c r="E573" s="5">
        <v>0.78125</v>
      </c>
      <c r="F573" s="1">
        <v>45786</v>
      </c>
      <c r="G573" s="5">
        <v>0.79513888888888884</v>
      </c>
      <c r="H573">
        <v>20</v>
      </c>
      <c r="I573" t="s">
        <v>159</v>
      </c>
      <c r="J573" t="s">
        <v>160</v>
      </c>
      <c r="K573">
        <v>1</v>
      </c>
      <c r="L573">
        <v>2.5</v>
      </c>
      <c r="M573" t="s">
        <v>161</v>
      </c>
      <c r="N573" t="s">
        <v>169</v>
      </c>
      <c r="O573" t="b">
        <v>1</v>
      </c>
      <c r="P573" t="b">
        <v>0</v>
      </c>
      <c r="Q573" s="6">
        <v>8</v>
      </c>
      <c r="R573" s="6">
        <v>0.4</v>
      </c>
      <c r="S573" t="s">
        <v>175</v>
      </c>
      <c r="T573" t="s">
        <v>171</v>
      </c>
      <c r="U573" s="6">
        <v>6</v>
      </c>
      <c r="V573" s="6">
        <v>14</v>
      </c>
      <c r="W573" t="b">
        <v>0</v>
      </c>
      <c r="X573">
        <v>1</v>
      </c>
      <c r="Y573">
        <v>1</v>
      </c>
      <c r="Z573">
        <v>18</v>
      </c>
      <c r="AA573" s="6">
        <v>29.948453608247419</v>
      </c>
      <c r="AB573">
        <f>--PizzaDelivery[[#This Row],[Is Delayed]]</f>
        <v>0</v>
      </c>
    </row>
    <row r="574" spans="1:28">
      <c r="A574" t="s">
        <v>835</v>
      </c>
      <c r="B574" t="s">
        <v>157</v>
      </c>
      <c r="C574" t="s">
        <v>184</v>
      </c>
      <c r="D574" s="1">
        <v>45787</v>
      </c>
      <c r="E574" s="5">
        <v>0.8125</v>
      </c>
      <c r="F574" s="1">
        <v>45787</v>
      </c>
      <c r="G574" s="5">
        <v>0.84027777777777779</v>
      </c>
      <c r="H574">
        <v>40</v>
      </c>
      <c r="I574" t="s">
        <v>167</v>
      </c>
      <c r="J574" t="s">
        <v>168</v>
      </c>
      <c r="K574">
        <v>5</v>
      </c>
      <c r="L574">
        <v>8</v>
      </c>
      <c r="M574" t="s">
        <v>153</v>
      </c>
      <c r="N574" t="s">
        <v>145</v>
      </c>
      <c r="O574" t="b">
        <v>1</v>
      </c>
      <c r="P574" t="b">
        <v>1</v>
      </c>
      <c r="Q574" s="6">
        <v>5</v>
      </c>
      <c r="R574" s="6">
        <v>0.625</v>
      </c>
      <c r="S574" t="s">
        <v>175</v>
      </c>
      <c r="T574" t="s">
        <v>147</v>
      </c>
      <c r="U574" s="6">
        <v>19.2</v>
      </c>
      <c r="V574" s="6">
        <v>20.8</v>
      </c>
      <c r="W574" t="b">
        <v>1</v>
      </c>
      <c r="X574">
        <v>20</v>
      </c>
      <c r="Y574">
        <v>3</v>
      </c>
      <c r="Z574">
        <v>19</v>
      </c>
      <c r="AA574" s="6">
        <v>28.844221105527641</v>
      </c>
      <c r="AB574">
        <f>--PizzaDelivery[[#This Row],[Is Delayed]]</f>
        <v>1</v>
      </c>
    </row>
    <row r="575" spans="1:28">
      <c r="A575" t="s">
        <v>836</v>
      </c>
      <c r="B575" t="s">
        <v>173</v>
      </c>
      <c r="C575" t="s">
        <v>186</v>
      </c>
      <c r="D575" s="1">
        <v>45788</v>
      </c>
      <c r="E575" s="5">
        <v>0.75</v>
      </c>
      <c r="F575" s="1">
        <v>45788</v>
      </c>
      <c r="G575" s="5">
        <v>0.77083333333333337</v>
      </c>
      <c r="H575">
        <v>30</v>
      </c>
      <c r="I575" t="s">
        <v>143</v>
      </c>
      <c r="J575" t="s">
        <v>152</v>
      </c>
      <c r="K575">
        <v>3</v>
      </c>
      <c r="L575">
        <v>4</v>
      </c>
      <c r="M575" t="s">
        <v>143</v>
      </c>
      <c r="N575" t="s">
        <v>162</v>
      </c>
      <c r="O575" t="b">
        <v>1</v>
      </c>
      <c r="P575" t="b">
        <v>1</v>
      </c>
      <c r="Q575" s="6">
        <v>7.5</v>
      </c>
      <c r="R575" s="6">
        <v>0.75</v>
      </c>
      <c r="S575" t="s">
        <v>175</v>
      </c>
      <c r="T575" t="s">
        <v>147</v>
      </c>
      <c r="U575" s="6">
        <v>9.6</v>
      </c>
      <c r="V575" s="6">
        <v>20.399999999999999</v>
      </c>
      <c r="W575" t="b">
        <v>0</v>
      </c>
      <c r="X575">
        <v>6</v>
      </c>
      <c r="Y575">
        <v>2</v>
      </c>
      <c r="Z575">
        <v>18</v>
      </c>
      <c r="AA575" s="6">
        <v>30.286458333333329</v>
      </c>
      <c r="AB575">
        <f>--PizzaDelivery[[#This Row],[Is Delayed]]</f>
        <v>0</v>
      </c>
    </row>
    <row r="576" spans="1:28">
      <c r="A576" t="s">
        <v>837</v>
      </c>
      <c r="B576" t="s">
        <v>142</v>
      </c>
      <c r="C576" t="s">
        <v>671</v>
      </c>
      <c r="D576" s="1">
        <v>45789</v>
      </c>
      <c r="E576" s="5">
        <v>0.84375</v>
      </c>
      <c r="F576" s="1">
        <v>45789</v>
      </c>
      <c r="G576" s="5">
        <v>0.875</v>
      </c>
      <c r="H576">
        <v>45</v>
      </c>
      <c r="I576" t="s">
        <v>151</v>
      </c>
      <c r="J576" t="s">
        <v>144</v>
      </c>
      <c r="K576">
        <v>4</v>
      </c>
      <c r="L576">
        <v>9</v>
      </c>
      <c r="M576" t="s">
        <v>153</v>
      </c>
      <c r="N576" t="s">
        <v>169</v>
      </c>
      <c r="O576" t="b">
        <v>1</v>
      </c>
      <c r="P576" t="b">
        <v>0</v>
      </c>
      <c r="Q576" s="6">
        <v>5</v>
      </c>
      <c r="R576" s="6">
        <v>0.44444444444444442</v>
      </c>
      <c r="S576" t="s">
        <v>175</v>
      </c>
      <c r="T576" t="s">
        <v>171</v>
      </c>
      <c r="U576" s="6">
        <v>21.6</v>
      </c>
      <c r="V576" s="6">
        <v>23.4</v>
      </c>
      <c r="W576" t="b">
        <v>1</v>
      </c>
      <c r="X576">
        <v>12</v>
      </c>
      <c r="Y576">
        <v>3</v>
      </c>
      <c r="Z576">
        <v>20</v>
      </c>
      <c r="AA576" s="6">
        <v>30.259433962264151</v>
      </c>
      <c r="AB576">
        <f>--PizzaDelivery[[#This Row],[Is Delayed]]</f>
        <v>1</v>
      </c>
    </row>
    <row r="577" spans="1:28">
      <c r="A577" t="s">
        <v>838</v>
      </c>
      <c r="B577" t="s">
        <v>149</v>
      </c>
      <c r="C577" t="s">
        <v>673</v>
      </c>
      <c r="D577" s="1">
        <v>45790</v>
      </c>
      <c r="E577" s="5">
        <v>0.75</v>
      </c>
      <c r="F577" s="1">
        <v>45790</v>
      </c>
      <c r="G577" s="5">
        <v>0.76388888888888884</v>
      </c>
      <c r="H577">
        <v>20</v>
      </c>
      <c r="I577" t="s">
        <v>143</v>
      </c>
      <c r="J577" t="s">
        <v>144</v>
      </c>
      <c r="K577">
        <v>2</v>
      </c>
      <c r="L577">
        <v>3</v>
      </c>
      <c r="M577" t="s">
        <v>161</v>
      </c>
      <c r="N577" t="s">
        <v>145</v>
      </c>
      <c r="O577" t="b">
        <v>1</v>
      </c>
      <c r="P577" t="b">
        <v>0</v>
      </c>
      <c r="Q577" s="6">
        <v>6.666666666666667</v>
      </c>
      <c r="R577" s="6">
        <v>0.66666666666666663</v>
      </c>
      <c r="S577" t="s">
        <v>175</v>
      </c>
      <c r="T577" t="s">
        <v>147</v>
      </c>
      <c r="U577" s="6">
        <v>7.1999999999999993</v>
      </c>
      <c r="V577" s="6">
        <v>12.8</v>
      </c>
      <c r="W577" t="b">
        <v>0</v>
      </c>
      <c r="X577">
        <v>4</v>
      </c>
      <c r="Y577">
        <v>1</v>
      </c>
      <c r="Z577">
        <v>18</v>
      </c>
      <c r="AA577" s="6">
        <v>28.186274509803919</v>
      </c>
      <c r="AB577">
        <f>--PizzaDelivery[[#This Row],[Is Delayed]]</f>
        <v>0</v>
      </c>
    </row>
    <row r="578" spans="1:28">
      <c r="A578" t="s">
        <v>839</v>
      </c>
      <c r="B578" t="s">
        <v>165</v>
      </c>
      <c r="C578" t="s">
        <v>319</v>
      </c>
      <c r="D578" s="1">
        <v>45791</v>
      </c>
      <c r="E578" s="5">
        <v>0.80208333333333337</v>
      </c>
      <c r="F578" s="1">
        <v>45791</v>
      </c>
      <c r="G578" s="5">
        <v>0.82291666666666663</v>
      </c>
      <c r="H578">
        <v>30</v>
      </c>
      <c r="I578" t="s">
        <v>151</v>
      </c>
      <c r="J578" t="s">
        <v>152</v>
      </c>
      <c r="K578">
        <v>4</v>
      </c>
      <c r="L578">
        <v>6</v>
      </c>
      <c r="M578" t="s">
        <v>143</v>
      </c>
      <c r="N578" t="s">
        <v>154</v>
      </c>
      <c r="O578" t="b">
        <v>1</v>
      </c>
      <c r="P578" t="b">
        <v>0</v>
      </c>
      <c r="Q578" s="6">
        <v>5</v>
      </c>
      <c r="R578" s="6">
        <v>0.66666666666666663</v>
      </c>
      <c r="S578" t="s">
        <v>175</v>
      </c>
      <c r="T578" t="s">
        <v>147</v>
      </c>
      <c r="U578" s="6">
        <v>14.4</v>
      </c>
      <c r="V578" s="6">
        <v>15.6</v>
      </c>
      <c r="W578" t="b">
        <v>0</v>
      </c>
      <c r="X578">
        <v>12</v>
      </c>
      <c r="Y578">
        <v>2</v>
      </c>
      <c r="Z578">
        <v>19</v>
      </c>
      <c r="AA578" s="6">
        <v>29.948453608247419</v>
      </c>
      <c r="AB578">
        <f>--PizzaDelivery[[#This Row],[Is Delayed]]</f>
        <v>0</v>
      </c>
    </row>
    <row r="579" spans="1:28">
      <c r="A579" t="s">
        <v>840</v>
      </c>
      <c r="B579" t="s">
        <v>157</v>
      </c>
      <c r="C579" t="s">
        <v>174</v>
      </c>
      <c r="D579" s="1">
        <v>45792</v>
      </c>
      <c r="E579" s="5">
        <v>0.85416666666666663</v>
      </c>
      <c r="F579" s="1">
        <v>45792</v>
      </c>
      <c r="G579" s="5">
        <v>0.88194444444444442</v>
      </c>
      <c r="H579">
        <v>40</v>
      </c>
      <c r="I579" t="s">
        <v>167</v>
      </c>
      <c r="J579" t="s">
        <v>168</v>
      </c>
      <c r="K579">
        <v>5</v>
      </c>
      <c r="L579">
        <v>8</v>
      </c>
      <c r="M579" t="s">
        <v>153</v>
      </c>
      <c r="N579" t="s">
        <v>145</v>
      </c>
      <c r="O579" t="b">
        <v>1</v>
      </c>
      <c r="P579" t="b">
        <v>0</v>
      </c>
      <c r="Q579" s="6">
        <v>5</v>
      </c>
      <c r="R579" s="6">
        <v>0.625</v>
      </c>
      <c r="S579" t="s">
        <v>175</v>
      </c>
      <c r="T579" t="s">
        <v>147</v>
      </c>
      <c r="U579" s="6">
        <v>19.2</v>
      </c>
      <c r="V579" s="6">
        <v>20.8</v>
      </c>
      <c r="W579" t="b">
        <v>1</v>
      </c>
      <c r="X579">
        <v>20</v>
      </c>
      <c r="Y579">
        <v>3</v>
      </c>
      <c r="Z579">
        <v>20</v>
      </c>
      <c r="AA579" s="6">
        <v>28.844221105527641</v>
      </c>
      <c r="AB579">
        <f>--PizzaDelivery[[#This Row],[Is Delayed]]</f>
        <v>1</v>
      </c>
    </row>
    <row r="580" spans="1:28">
      <c r="A580" t="s">
        <v>841</v>
      </c>
      <c r="B580" t="s">
        <v>173</v>
      </c>
      <c r="C580" t="s">
        <v>315</v>
      </c>
      <c r="D580" s="1">
        <v>45793</v>
      </c>
      <c r="E580" s="5">
        <v>0.78125</v>
      </c>
      <c r="F580" s="1">
        <v>45793</v>
      </c>
      <c r="G580" s="5">
        <v>0.79513888888888884</v>
      </c>
      <c r="H580">
        <v>20</v>
      </c>
      <c r="I580" t="s">
        <v>159</v>
      </c>
      <c r="J580" t="s">
        <v>160</v>
      </c>
      <c r="K580">
        <v>1</v>
      </c>
      <c r="L580">
        <v>2.5</v>
      </c>
      <c r="M580" t="s">
        <v>161</v>
      </c>
      <c r="N580" t="s">
        <v>169</v>
      </c>
      <c r="O580" t="b">
        <v>1</v>
      </c>
      <c r="P580" t="b">
        <v>0</v>
      </c>
      <c r="Q580" s="6">
        <v>8</v>
      </c>
      <c r="R580" s="6">
        <v>0.4</v>
      </c>
      <c r="S580" t="s">
        <v>175</v>
      </c>
      <c r="T580" t="s">
        <v>171</v>
      </c>
      <c r="U580" s="6">
        <v>6</v>
      </c>
      <c r="V580" s="6">
        <v>14</v>
      </c>
      <c r="W580" t="b">
        <v>0</v>
      </c>
      <c r="X580">
        <v>1</v>
      </c>
      <c r="Y580">
        <v>1</v>
      </c>
      <c r="Z580">
        <v>18</v>
      </c>
      <c r="AA580" s="6">
        <v>30.286458333333329</v>
      </c>
      <c r="AB580">
        <f>--PizzaDelivery[[#This Row],[Is Delayed]]</f>
        <v>0</v>
      </c>
    </row>
    <row r="581" spans="1:28">
      <c r="A581" t="s">
        <v>842</v>
      </c>
      <c r="B581" t="s">
        <v>142</v>
      </c>
      <c r="C581" t="s">
        <v>317</v>
      </c>
      <c r="D581" s="1">
        <v>45794</v>
      </c>
      <c r="E581" s="5">
        <v>0.79166666666666663</v>
      </c>
      <c r="F581" s="1">
        <v>45794</v>
      </c>
      <c r="G581" s="5">
        <v>0.82638888888888884</v>
      </c>
      <c r="H581">
        <v>50</v>
      </c>
      <c r="I581" t="s">
        <v>151</v>
      </c>
      <c r="J581" t="s">
        <v>152</v>
      </c>
      <c r="K581">
        <v>4</v>
      </c>
      <c r="L581">
        <v>10</v>
      </c>
      <c r="M581" t="s">
        <v>153</v>
      </c>
      <c r="N581" t="s">
        <v>342</v>
      </c>
      <c r="O581" t="b">
        <v>1</v>
      </c>
      <c r="P581" t="b">
        <v>1</v>
      </c>
      <c r="Q581" s="6">
        <v>5</v>
      </c>
      <c r="R581" s="6">
        <v>0.4</v>
      </c>
      <c r="S581" t="s">
        <v>175</v>
      </c>
      <c r="T581" t="s">
        <v>171</v>
      </c>
      <c r="U581" s="6">
        <v>24</v>
      </c>
      <c r="V581" s="6">
        <v>26</v>
      </c>
      <c r="W581" t="b">
        <v>1</v>
      </c>
      <c r="X581">
        <v>12</v>
      </c>
      <c r="Y581">
        <v>3</v>
      </c>
      <c r="Z581">
        <v>19</v>
      </c>
      <c r="AA581" s="6">
        <v>30.259433962264151</v>
      </c>
      <c r="AB581">
        <f>--PizzaDelivery[[#This Row],[Is Delayed]]</f>
        <v>1</v>
      </c>
    </row>
    <row r="582" spans="1:28">
      <c r="A582" t="s">
        <v>843</v>
      </c>
      <c r="B582" t="s">
        <v>149</v>
      </c>
      <c r="C582" t="s">
        <v>321</v>
      </c>
      <c r="D582" s="1">
        <v>45795</v>
      </c>
      <c r="E582" s="5">
        <v>0.83333333333333337</v>
      </c>
      <c r="F582" s="1">
        <v>45795</v>
      </c>
      <c r="G582" s="5">
        <v>0.85763888888888884</v>
      </c>
      <c r="H582">
        <v>35</v>
      </c>
      <c r="I582" t="s">
        <v>143</v>
      </c>
      <c r="J582" t="s">
        <v>591</v>
      </c>
      <c r="K582">
        <v>3</v>
      </c>
      <c r="L582">
        <v>5.5</v>
      </c>
      <c r="M582" t="s">
        <v>143</v>
      </c>
      <c r="N582" t="s">
        <v>154</v>
      </c>
      <c r="O582" t="b">
        <v>1</v>
      </c>
      <c r="P582" t="b">
        <v>1</v>
      </c>
      <c r="Q582" s="6">
        <v>6.3636363636363633</v>
      </c>
      <c r="R582" s="6">
        <v>0.54545454545454541</v>
      </c>
      <c r="S582" t="s">
        <v>175</v>
      </c>
      <c r="T582" t="s">
        <v>147</v>
      </c>
      <c r="U582" s="6">
        <v>13.2</v>
      </c>
      <c r="V582" s="6">
        <v>21.8</v>
      </c>
      <c r="W582" t="b">
        <v>1</v>
      </c>
      <c r="X582">
        <v>6</v>
      </c>
      <c r="Y582">
        <v>2</v>
      </c>
      <c r="Z582">
        <v>20</v>
      </c>
      <c r="AA582" s="6">
        <v>28.186274509803919</v>
      </c>
      <c r="AB582">
        <f>--PizzaDelivery[[#This Row],[Is Delayed]]</f>
        <v>1</v>
      </c>
    </row>
    <row r="583" spans="1:28">
      <c r="A583" t="s">
        <v>844</v>
      </c>
      <c r="B583" t="s">
        <v>165</v>
      </c>
      <c r="C583" t="s">
        <v>323</v>
      </c>
      <c r="D583" s="1">
        <v>45796</v>
      </c>
      <c r="E583" s="5">
        <v>0.77083333333333337</v>
      </c>
      <c r="F583" s="1">
        <v>45796</v>
      </c>
      <c r="G583" s="5">
        <v>0.78472222222222221</v>
      </c>
      <c r="H583">
        <v>20</v>
      </c>
      <c r="I583" t="s">
        <v>159</v>
      </c>
      <c r="J583" t="s">
        <v>160</v>
      </c>
      <c r="K583">
        <v>2</v>
      </c>
      <c r="L583">
        <v>2</v>
      </c>
      <c r="M583" t="s">
        <v>161</v>
      </c>
      <c r="N583" t="s">
        <v>162</v>
      </c>
      <c r="O583" t="b">
        <v>1</v>
      </c>
      <c r="P583" t="b">
        <v>0</v>
      </c>
      <c r="Q583" s="6">
        <v>10</v>
      </c>
      <c r="R583" s="6">
        <v>1</v>
      </c>
      <c r="S583" t="s">
        <v>175</v>
      </c>
      <c r="T583" t="s">
        <v>147</v>
      </c>
      <c r="U583" s="6">
        <v>4.8</v>
      </c>
      <c r="V583" s="6">
        <v>15.2</v>
      </c>
      <c r="W583" t="b">
        <v>0</v>
      </c>
      <c r="X583">
        <v>2</v>
      </c>
      <c r="Y583">
        <v>1</v>
      </c>
      <c r="Z583">
        <v>18</v>
      </c>
      <c r="AA583" s="6">
        <v>29.948453608247419</v>
      </c>
      <c r="AB583">
        <f>--PizzaDelivery[[#This Row],[Is Delayed]]</f>
        <v>0</v>
      </c>
    </row>
    <row r="584" spans="1:28">
      <c r="A584" t="s">
        <v>845</v>
      </c>
      <c r="B584" t="s">
        <v>157</v>
      </c>
      <c r="C584" t="s">
        <v>325</v>
      </c>
      <c r="D584" s="1">
        <v>45797</v>
      </c>
      <c r="E584" s="5">
        <v>0.82291666666666663</v>
      </c>
      <c r="F584" s="1">
        <v>45797</v>
      </c>
      <c r="G584" s="5">
        <v>0.85069444444444442</v>
      </c>
      <c r="H584">
        <v>40</v>
      </c>
      <c r="I584" t="s">
        <v>167</v>
      </c>
      <c r="J584" t="s">
        <v>594</v>
      </c>
      <c r="K584">
        <v>5</v>
      </c>
      <c r="L584">
        <v>7.5</v>
      </c>
      <c r="M584" t="s">
        <v>153</v>
      </c>
      <c r="N584" t="s">
        <v>145</v>
      </c>
      <c r="O584" t="b">
        <v>1</v>
      </c>
      <c r="P584" t="b">
        <v>0</v>
      </c>
      <c r="Q584" s="6">
        <v>5.333333333333333</v>
      </c>
      <c r="R584" s="6">
        <v>0.66666666666666663</v>
      </c>
      <c r="S584" t="s">
        <v>175</v>
      </c>
      <c r="T584" t="s">
        <v>147</v>
      </c>
      <c r="U584" s="6">
        <v>18</v>
      </c>
      <c r="V584" s="6">
        <v>22</v>
      </c>
      <c r="W584" t="b">
        <v>1</v>
      </c>
      <c r="X584">
        <v>20</v>
      </c>
      <c r="Y584">
        <v>3</v>
      </c>
      <c r="Z584">
        <v>19</v>
      </c>
      <c r="AA584" s="6">
        <v>28.844221105527641</v>
      </c>
      <c r="AB584">
        <f>--PizzaDelivery[[#This Row],[Is Delayed]]</f>
        <v>1</v>
      </c>
    </row>
    <row r="585" spans="1:28">
      <c r="A585" t="s">
        <v>846</v>
      </c>
      <c r="B585" t="s">
        <v>173</v>
      </c>
      <c r="C585" t="s">
        <v>327</v>
      </c>
      <c r="D585" s="1">
        <v>45798</v>
      </c>
      <c r="E585" s="5">
        <v>0.75</v>
      </c>
      <c r="F585" s="1">
        <v>45798</v>
      </c>
      <c r="G585" s="5">
        <v>0.77083333333333337</v>
      </c>
      <c r="H585">
        <v>30</v>
      </c>
      <c r="I585" t="s">
        <v>143</v>
      </c>
      <c r="J585" t="s">
        <v>152</v>
      </c>
      <c r="K585">
        <v>3</v>
      </c>
      <c r="L585">
        <v>4</v>
      </c>
      <c r="M585" t="s">
        <v>143</v>
      </c>
      <c r="N585" t="s">
        <v>162</v>
      </c>
      <c r="O585" t="b">
        <v>1</v>
      </c>
      <c r="P585" t="b">
        <v>0</v>
      </c>
      <c r="Q585" s="6">
        <v>7.5</v>
      </c>
      <c r="R585" s="6">
        <v>0.75</v>
      </c>
      <c r="S585" t="s">
        <v>175</v>
      </c>
      <c r="T585" t="s">
        <v>147</v>
      </c>
      <c r="U585" s="6">
        <v>9.6</v>
      </c>
      <c r="V585" s="6">
        <v>20.399999999999999</v>
      </c>
      <c r="W585" t="b">
        <v>0</v>
      </c>
      <c r="X585">
        <v>6</v>
      </c>
      <c r="Y585">
        <v>2</v>
      </c>
      <c r="Z585">
        <v>18</v>
      </c>
      <c r="AA585" s="6">
        <v>30.286458333333329</v>
      </c>
      <c r="AB585">
        <f>--PizzaDelivery[[#This Row],[Is Delayed]]</f>
        <v>0</v>
      </c>
    </row>
    <row r="586" spans="1:28">
      <c r="A586" t="s">
        <v>847</v>
      </c>
      <c r="B586" t="s">
        <v>142</v>
      </c>
      <c r="C586" t="s">
        <v>182</v>
      </c>
      <c r="D586" s="1">
        <v>45799</v>
      </c>
      <c r="E586" s="5">
        <v>0.84375</v>
      </c>
      <c r="F586" s="1">
        <v>45799</v>
      </c>
      <c r="G586" s="5">
        <v>0.875</v>
      </c>
      <c r="H586">
        <v>45</v>
      </c>
      <c r="I586" t="s">
        <v>151</v>
      </c>
      <c r="J586" t="s">
        <v>144</v>
      </c>
      <c r="K586">
        <v>4</v>
      </c>
      <c r="L586">
        <v>9</v>
      </c>
      <c r="M586" t="s">
        <v>153</v>
      </c>
      <c r="N586" t="s">
        <v>169</v>
      </c>
      <c r="O586" t="b">
        <v>1</v>
      </c>
      <c r="P586" t="b">
        <v>0</v>
      </c>
      <c r="Q586" s="6">
        <v>5</v>
      </c>
      <c r="R586" s="6">
        <v>0.44444444444444442</v>
      </c>
      <c r="S586" t="s">
        <v>175</v>
      </c>
      <c r="T586" t="s">
        <v>171</v>
      </c>
      <c r="U586" s="6">
        <v>21.6</v>
      </c>
      <c r="V586" s="6">
        <v>23.4</v>
      </c>
      <c r="W586" t="b">
        <v>1</v>
      </c>
      <c r="X586">
        <v>12</v>
      </c>
      <c r="Y586">
        <v>3</v>
      </c>
      <c r="Z586">
        <v>20</v>
      </c>
      <c r="AA586" s="6">
        <v>30.259433962264151</v>
      </c>
      <c r="AB586">
        <f>--PizzaDelivery[[#This Row],[Is Delayed]]</f>
        <v>1</v>
      </c>
    </row>
    <row r="587" spans="1:28">
      <c r="A587" t="s">
        <v>848</v>
      </c>
      <c r="B587" t="s">
        <v>149</v>
      </c>
      <c r="C587" t="s">
        <v>329</v>
      </c>
      <c r="D587" s="1">
        <v>45800</v>
      </c>
      <c r="E587" s="5">
        <v>0.75</v>
      </c>
      <c r="F587" s="1">
        <v>45800</v>
      </c>
      <c r="G587" s="5">
        <v>0.76388888888888884</v>
      </c>
      <c r="H587">
        <v>20</v>
      </c>
      <c r="I587" t="s">
        <v>143</v>
      </c>
      <c r="J587" t="s">
        <v>144</v>
      </c>
      <c r="K587">
        <v>2</v>
      </c>
      <c r="L587">
        <v>3</v>
      </c>
      <c r="M587" t="s">
        <v>161</v>
      </c>
      <c r="N587" t="s">
        <v>145</v>
      </c>
      <c r="O587" t="b">
        <v>1</v>
      </c>
      <c r="P587" t="b">
        <v>0</v>
      </c>
      <c r="Q587" s="6">
        <v>6.666666666666667</v>
      </c>
      <c r="R587" s="6">
        <v>0.66666666666666663</v>
      </c>
      <c r="S587" t="s">
        <v>175</v>
      </c>
      <c r="T587" t="s">
        <v>147</v>
      </c>
      <c r="U587" s="6">
        <v>7.1999999999999993</v>
      </c>
      <c r="V587" s="6">
        <v>12.8</v>
      </c>
      <c r="W587" t="b">
        <v>0</v>
      </c>
      <c r="X587">
        <v>4</v>
      </c>
      <c r="Y587">
        <v>1</v>
      </c>
      <c r="Z587">
        <v>18</v>
      </c>
      <c r="AA587" s="6">
        <v>28.186274509803919</v>
      </c>
      <c r="AB587">
        <f>--PizzaDelivery[[#This Row],[Is Delayed]]</f>
        <v>0</v>
      </c>
    </row>
    <row r="588" spans="1:28">
      <c r="A588" t="s">
        <v>849</v>
      </c>
      <c r="B588" t="s">
        <v>165</v>
      </c>
      <c r="C588" t="s">
        <v>190</v>
      </c>
      <c r="D588" s="1">
        <v>45801</v>
      </c>
      <c r="E588" s="5">
        <v>0.80208333333333337</v>
      </c>
      <c r="F588" s="1">
        <v>45801</v>
      </c>
      <c r="G588" s="5">
        <v>0.82291666666666663</v>
      </c>
      <c r="H588">
        <v>30</v>
      </c>
      <c r="I588" t="s">
        <v>151</v>
      </c>
      <c r="J588" t="s">
        <v>152</v>
      </c>
      <c r="K588">
        <v>4</v>
      </c>
      <c r="L588">
        <v>6</v>
      </c>
      <c r="M588" t="s">
        <v>143</v>
      </c>
      <c r="N588" t="s">
        <v>154</v>
      </c>
      <c r="O588" t="b">
        <v>1</v>
      </c>
      <c r="P588" t="b">
        <v>1</v>
      </c>
      <c r="Q588" s="6">
        <v>5</v>
      </c>
      <c r="R588" s="6">
        <v>0.66666666666666663</v>
      </c>
      <c r="S588" t="s">
        <v>175</v>
      </c>
      <c r="T588" t="s">
        <v>147</v>
      </c>
      <c r="U588" s="6">
        <v>14.4</v>
      </c>
      <c r="V588" s="6">
        <v>15.6</v>
      </c>
      <c r="W588" t="b">
        <v>0</v>
      </c>
      <c r="X588">
        <v>12</v>
      </c>
      <c r="Y588">
        <v>2</v>
      </c>
      <c r="Z588">
        <v>19</v>
      </c>
      <c r="AA588" s="6">
        <v>29.948453608247419</v>
      </c>
      <c r="AB588">
        <f>--PizzaDelivery[[#This Row],[Is Delayed]]</f>
        <v>0</v>
      </c>
    </row>
    <row r="589" spans="1:28">
      <c r="A589" t="s">
        <v>850</v>
      </c>
      <c r="B589" t="s">
        <v>157</v>
      </c>
      <c r="C589" t="s">
        <v>192</v>
      </c>
      <c r="D589" s="1">
        <v>45802</v>
      </c>
      <c r="E589" s="5">
        <v>0.85416666666666663</v>
      </c>
      <c r="F589" s="1">
        <v>45802</v>
      </c>
      <c r="G589" s="5">
        <v>0.88194444444444442</v>
      </c>
      <c r="H589">
        <v>40</v>
      </c>
      <c r="I589" t="s">
        <v>167</v>
      </c>
      <c r="J589" t="s">
        <v>168</v>
      </c>
      <c r="K589">
        <v>5</v>
      </c>
      <c r="L589">
        <v>8</v>
      </c>
      <c r="M589" t="s">
        <v>153</v>
      </c>
      <c r="N589" t="s">
        <v>145</v>
      </c>
      <c r="O589" t="b">
        <v>1</v>
      </c>
      <c r="P589" t="b">
        <v>1</v>
      </c>
      <c r="Q589" s="6">
        <v>5</v>
      </c>
      <c r="R589" s="6">
        <v>0.625</v>
      </c>
      <c r="S589" t="s">
        <v>175</v>
      </c>
      <c r="T589" t="s">
        <v>147</v>
      </c>
      <c r="U589" s="6">
        <v>19.2</v>
      </c>
      <c r="V589" s="6">
        <v>20.8</v>
      </c>
      <c r="W589" t="b">
        <v>1</v>
      </c>
      <c r="X589">
        <v>20</v>
      </c>
      <c r="Y589">
        <v>3</v>
      </c>
      <c r="Z589">
        <v>20</v>
      </c>
      <c r="AA589" s="6">
        <v>28.844221105527641</v>
      </c>
      <c r="AB589">
        <f>--PizzaDelivery[[#This Row],[Is Delayed]]</f>
        <v>1</v>
      </c>
    </row>
    <row r="590" spans="1:28">
      <c r="A590" t="s">
        <v>851</v>
      </c>
      <c r="B590" t="s">
        <v>173</v>
      </c>
      <c r="C590" t="s">
        <v>687</v>
      </c>
      <c r="D590" s="1">
        <v>45803</v>
      </c>
      <c r="E590" s="5">
        <v>0.78125</v>
      </c>
      <c r="F590" s="1">
        <v>45803</v>
      </c>
      <c r="G590" s="5">
        <v>0.79513888888888884</v>
      </c>
      <c r="H590">
        <v>20</v>
      </c>
      <c r="I590" t="s">
        <v>159</v>
      </c>
      <c r="J590" t="s">
        <v>160</v>
      </c>
      <c r="K590">
        <v>1</v>
      </c>
      <c r="L590">
        <v>2.5</v>
      </c>
      <c r="M590" t="s">
        <v>161</v>
      </c>
      <c r="N590" t="s">
        <v>169</v>
      </c>
      <c r="O590" t="b">
        <v>1</v>
      </c>
      <c r="P590" t="b">
        <v>0</v>
      </c>
      <c r="Q590" s="6">
        <v>8</v>
      </c>
      <c r="R590" s="6">
        <v>0.4</v>
      </c>
      <c r="S590" t="s">
        <v>175</v>
      </c>
      <c r="T590" t="s">
        <v>171</v>
      </c>
      <c r="U590" s="6">
        <v>6</v>
      </c>
      <c r="V590" s="6">
        <v>14</v>
      </c>
      <c r="W590" t="b">
        <v>0</v>
      </c>
      <c r="X590">
        <v>1</v>
      </c>
      <c r="Y590">
        <v>1</v>
      </c>
      <c r="Z590">
        <v>18</v>
      </c>
      <c r="AA590" s="6">
        <v>30.286458333333329</v>
      </c>
      <c r="AB590">
        <f>--PizzaDelivery[[#This Row],[Is Delayed]]</f>
        <v>0</v>
      </c>
    </row>
    <row r="591" spans="1:28">
      <c r="A591" t="s">
        <v>852</v>
      </c>
      <c r="B591" t="s">
        <v>142</v>
      </c>
      <c r="C591" t="s">
        <v>194</v>
      </c>
      <c r="D591" s="1">
        <v>45804</v>
      </c>
      <c r="E591" s="5">
        <v>0.79166666666666663</v>
      </c>
      <c r="F591" s="1">
        <v>45804</v>
      </c>
      <c r="G591" s="5">
        <v>0.82638888888888884</v>
      </c>
      <c r="H591">
        <v>50</v>
      </c>
      <c r="I591" t="s">
        <v>151</v>
      </c>
      <c r="J591" t="s">
        <v>152</v>
      </c>
      <c r="K591">
        <v>4</v>
      </c>
      <c r="L591">
        <v>10</v>
      </c>
      <c r="M591" t="s">
        <v>153</v>
      </c>
      <c r="N591" t="s">
        <v>145</v>
      </c>
      <c r="O591" t="b">
        <v>1</v>
      </c>
      <c r="P591" t="b">
        <v>0</v>
      </c>
      <c r="Q591" s="6">
        <v>5</v>
      </c>
      <c r="R591" s="6">
        <v>0.4</v>
      </c>
      <c r="S591" t="s">
        <v>175</v>
      </c>
      <c r="T591" t="s">
        <v>147</v>
      </c>
      <c r="U591" s="6">
        <v>24</v>
      </c>
      <c r="V591" s="6">
        <v>26</v>
      </c>
      <c r="W591" t="b">
        <v>1</v>
      </c>
      <c r="X591">
        <v>12</v>
      </c>
      <c r="Y591">
        <v>3</v>
      </c>
      <c r="Z591">
        <v>19</v>
      </c>
      <c r="AA591" s="6">
        <v>30.259433962264151</v>
      </c>
      <c r="AB591">
        <f>--PizzaDelivery[[#This Row],[Is Delayed]]</f>
        <v>1</v>
      </c>
    </row>
    <row r="592" spans="1:28">
      <c r="A592" t="s">
        <v>853</v>
      </c>
      <c r="B592" t="s">
        <v>149</v>
      </c>
      <c r="C592" t="s">
        <v>335</v>
      </c>
      <c r="D592" s="1">
        <v>45805</v>
      </c>
      <c r="E592" s="5">
        <v>0.83333333333333337</v>
      </c>
      <c r="F592" s="1">
        <v>45805</v>
      </c>
      <c r="G592" s="5">
        <v>0.85763888888888884</v>
      </c>
      <c r="H592">
        <v>35</v>
      </c>
      <c r="I592" t="s">
        <v>143</v>
      </c>
      <c r="J592" t="s">
        <v>591</v>
      </c>
      <c r="K592">
        <v>3</v>
      </c>
      <c r="L592">
        <v>5.5</v>
      </c>
      <c r="M592" t="s">
        <v>143</v>
      </c>
      <c r="N592" t="s">
        <v>154</v>
      </c>
      <c r="O592" t="b">
        <v>1</v>
      </c>
      <c r="P592" t="b">
        <v>0</v>
      </c>
      <c r="Q592" s="6">
        <v>6.3636363636363633</v>
      </c>
      <c r="R592" s="6">
        <v>0.54545454545454541</v>
      </c>
      <c r="S592" t="s">
        <v>175</v>
      </c>
      <c r="T592" t="s">
        <v>147</v>
      </c>
      <c r="U592" s="6">
        <v>13.2</v>
      </c>
      <c r="V592" s="6">
        <v>21.8</v>
      </c>
      <c r="W592" t="b">
        <v>1</v>
      </c>
      <c r="X592">
        <v>6</v>
      </c>
      <c r="Y592">
        <v>2</v>
      </c>
      <c r="Z592">
        <v>20</v>
      </c>
      <c r="AA592" s="6">
        <v>28.186274509803919</v>
      </c>
      <c r="AB592">
        <f>--PizzaDelivery[[#This Row],[Is Delayed]]</f>
        <v>1</v>
      </c>
    </row>
    <row r="593" spans="1:28">
      <c r="A593" t="s">
        <v>854</v>
      </c>
      <c r="B593" t="s">
        <v>165</v>
      </c>
      <c r="C593" t="s">
        <v>333</v>
      </c>
      <c r="D593" s="1">
        <v>45806</v>
      </c>
      <c r="E593" s="5">
        <v>0.77083333333333337</v>
      </c>
      <c r="F593" s="1">
        <v>45806</v>
      </c>
      <c r="G593" s="5">
        <v>0.78472222222222221</v>
      </c>
      <c r="H593">
        <v>20</v>
      </c>
      <c r="I593" t="s">
        <v>159</v>
      </c>
      <c r="J593" t="s">
        <v>160</v>
      </c>
      <c r="K593">
        <v>2</v>
      </c>
      <c r="L593">
        <v>2</v>
      </c>
      <c r="M593" t="s">
        <v>161</v>
      </c>
      <c r="N593" t="s">
        <v>162</v>
      </c>
      <c r="O593" t="b">
        <v>1</v>
      </c>
      <c r="P593" t="b">
        <v>0</v>
      </c>
      <c r="Q593" s="6">
        <v>10</v>
      </c>
      <c r="R593" s="6">
        <v>1</v>
      </c>
      <c r="S593" t="s">
        <v>175</v>
      </c>
      <c r="T593" t="s">
        <v>147</v>
      </c>
      <c r="U593" s="6">
        <v>4.8</v>
      </c>
      <c r="V593" s="6">
        <v>15.2</v>
      </c>
      <c r="W593" t="b">
        <v>0</v>
      </c>
      <c r="X593">
        <v>2</v>
      </c>
      <c r="Y593">
        <v>1</v>
      </c>
      <c r="Z593">
        <v>18</v>
      </c>
      <c r="AA593" s="6">
        <v>29.948453608247419</v>
      </c>
      <c r="AB593">
        <f>--PizzaDelivery[[#This Row],[Is Delayed]]</f>
        <v>0</v>
      </c>
    </row>
    <row r="594" spans="1:28">
      <c r="A594" t="s">
        <v>855</v>
      </c>
      <c r="B594" t="s">
        <v>157</v>
      </c>
      <c r="C594" t="s">
        <v>690</v>
      </c>
      <c r="D594" s="1">
        <v>45807</v>
      </c>
      <c r="E594" s="5">
        <v>0.82291666666666663</v>
      </c>
      <c r="F594" s="1">
        <v>45807</v>
      </c>
      <c r="G594" s="5">
        <v>0.85069444444444442</v>
      </c>
      <c r="H594">
        <v>40</v>
      </c>
      <c r="I594" t="s">
        <v>167</v>
      </c>
      <c r="J594" t="s">
        <v>594</v>
      </c>
      <c r="K594">
        <v>5</v>
      </c>
      <c r="L594">
        <v>7.5</v>
      </c>
      <c r="M594" t="s">
        <v>153</v>
      </c>
      <c r="N594" t="s">
        <v>145</v>
      </c>
      <c r="O594" t="b">
        <v>1</v>
      </c>
      <c r="P594" t="b">
        <v>0</v>
      </c>
      <c r="Q594" s="6">
        <v>5.333333333333333</v>
      </c>
      <c r="R594" s="6">
        <v>0.66666666666666663</v>
      </c>
      <c r="S594" t="s">
        <v>175</v>
      </c>
      <c r="T594" t="s">
        <v>147</v>
      </c>
      <c r="U594" s="6">
        <v>18</v>
      </c>
      <c r="V594" s="6">
        <v>22</v>
      </c>
      <c r="W594" t="b">
        <v>1</v>
      </c>
      <c r="X594">
        <v>20</v>
      </c>
      <c r="Y594">
        <v>3</v>
      </c>
      <c r="Z594">
        <v>19</v>
      </c>
      <c r="AA594" s="6">
        <v>28.844221105527641</v>
      </c>
      <c r="AB594">
        <f>--PizzaDelivery[[#This Row],[Is Delayed]]</f>
        <v>1</v>
      </c>
    </row>
    <row r="595" spans="1:28">
      <c r="A595" t="s">
        <v>856</v>
      </c>
      <c r="B595" t="s">
        <v>173</v>
      </c>
      <c r="C595" t="s">
        <v>337</v>
      </c>
      <c r="D595" s="1">
        <v>45808</v>
      </c>
      <c r="E595" s="5">
        <v>0.75</v>
      </c>
      <c r="F595" s="1">
        <v>45808</v>
      </c>
      <c r="G595" s="5">
        <v>0.77083333333333337</v>
      </c>
      <c r="H595">
        <v>30</v>
      </c>
      <c r="I595" t="s">
        <v>143</v>
      </c>
      <c r="J595" t="s">
        <v>152</v>
      </c>
      <c r="K595">
        <v>3</v>
      </c>
      <c r="L595">
        <v>4</v>
      </c>
      <c r="M595" t="s">
        <v>143</v>
      </c>
      <c r="N595" t="s">
        <v>162</v>
      </c>
      <c r="O595" t="b">
        <v>1</v>
      </c>
      <c r="P595" t="b">
        <v>1</v>
      </c>
      <c r="Q595" s="6">
        <v>7.5</v>
      </c>
      <c r="R595" s="6">
        <v>0.75</v>
      </c>
      <c r="S595" t="s">
        <v>175</v>
      </c>
      <c r="T595" t="s">
        <v>147</v>
      </c>
      <c r="U595" s="6">
        <v>9.6</v>
      </c>
      <c r="V595" s="6">
        <v>20.399999999999999</v>
      </c>
      <c r="W595" t="b">
        <v>0</v>
      </c>
      <c r="X595">
        <v>6</v>
      </c>
      <c r="Y595">
        <v>2</v>
      </c>
      <c r="Z595">
        <v>18</v>
      </c>
      <c r="AA595" s="6">
        <v>30.286458333333329</v>
      </c>
      <c r="AB595">
        <f>--PizzaDelivery[[#This Row],[Is Delayed]]</f>
        <v>0</v>
      </c>
    </row>
    <row r="596" spans="1:28">
      <c r="A596" t="s">
        <v>857</v>
      </c>
      <c r="B596" t="s">
        <v>142</v>
      </c>
      <c r="C596" t="s">
        <v>807</v>
      </c>
      <c r="D596" s="1">
        <v>45809</v>
      </c>
      <c r="E596" s="5">
        <v>0.84375</v>
      </c>
      <c r="F596" s="1">
        <v>45809</v>
      </c>
      <c r="G596" s="5">
        <v>0.875</v>
      </c>
      <c r="H596">
        <v>45</v>
      </c>
      <c r="I596" t="s">
        <v>151</v>
      </c>
      <c r="J596" t="s">
        <v>144</v>
      </c>
      <c r="K596">
        <v>4</v>
      </c>
      <c r="L596">
        <v>9</v>
      </c>
      <c r="M596" t="s">
        <v>153</v>
      </c>
      <c r="N596" t="s">
        <v>169</v>
      </c>
      <c r="O596" t="b">
        <v>1</v>
      </c>
      <c r="P596" t="b">
        <v>1</v>
      </c>
      <c r="Q596" s="6">
        <v>5</v>
      </c>
      <c r="R596" s="6">
        <v>0.44444444444444442</v>
      </c>
      <c r="S596" t="s">
        <v>367</v>
      </c>
      <c r="T596" t="s">
        <v>171</v>
      </c>
      <c r="U596" s="6">
        <v>21.6</v>
      </c>
      <c r="V596" s="6">
        <v>23.4</v>
      </c>
      <c r="W596" t="b">
        <v>1</v>
      </c>
      <c r="X596">
        <v>12</v>
      </c>
      <c r="Y596">
        <v>3</v>
      </c>
      <c r="Z596">
        <v>20</v>
      </c>
      <c r="AA596" s="6">
        <v>30.259433962264151</v>
      </c>
      <c r="AB596">
        <f>--PizzaDelivery[[#This Row],[Is Delayed]]</f>
        <v>1</v>
      </c>
    </row>
    <row r="597" spans="1:28">
      <c r="A597" t="s">
        <v>858</v>
      </c>
      <c r="B597" t="s">
        <v>149</v>
      </c>
      <c r="C597" t="s">
        <v>817</v>
      </c>
      <c r="D597" s="1">
        <v>45810</v>
      </c>
      <c r="E597" s="5">
        <v>0.75</v>
      </c>
      <c r="F597" s="1">
        <v>45810</v>
      </c>
      <c r="G597" s="5">
        <v>0.76388888888888884</v>
      </c>
      <c r="H597">
        <v>20</v>
      </c>
      <c r="I597" t="s">
        <v>143</v>
      </c>
      <c r="J597" t="s">
        <v>144</v>
      </c>
      <c r="K597">
        <v>2</v>
      </c>
      <c r="L597">
        <v>3</v>
      </c>
      <c r="M597" t="s">
        <v>161</v>
      </c>
      <c r="N597" t="s">
        <v>145</v>
      </c>
      <c r="O597" t="b">
        <v>1</v>
      </c>
      <c r="P597" t="b">
        <v>0</v>
      </c>
      <c r="Q597" s="6">
        <v>6.666666666666667</v>
      </c>
      <c r="R597" s="6">
        <v>0.66666666666666663</v>
      </c>
      <c r="S597" t="s">
        <v>367</v>
      </c>
      <c r="T597" t="s">
        <v>147</v>
      </c>
      <c r="U597" s="6">
        <v>7.1999999999999993</v>
      </c>
      <c r="V597" s="6">
        <v>12.8</v>
      </c>
      <c r="W597" t="b">
        <v>0</v>
      </c>
      <c r="X597">
        <v>4</v>
      </c>
      <c r="Y597">
        <v>1</v>
      </c>
      <c r="Z597">
        <v>18</v>
      </c>
      <c r="AA597" s="6">
        <v>28.186274509803919</v>
      </c>
      <c r="AB597">
        <f>--PizzaDelivery[[#This Row],[Is Delayed]]</f>
        <v>0</v>
      </c>
    </row>
    <row r="598" spans="1:28">
      <c r="A598" t="s">
        <v>859</v>
      </c>
      <c r="B598" t="s">
        <v>165</v>
      </c>
      <c r="C598" t="s">
        <v>819</v>
      </c>
      <c r="D598" s="1">
        <v>45811</v>
      </c>
      <c r="E598" s="5">
        <v>0.80208333333333337</v>
      </c>
      <c r="F598" s="1">
        <v>45811</v>
      </c>
      <c r="G598" s="5">
        <v>0.82291666666666663</v>
      </c>
      <c r="H598">
        <v>30</v>
      </c>
      <c r="I598" t="s">
        <v>151</v>
      </c>
      <c r="J598" t="s">
        <v>152</v>
      </c>
      <c r="K598">
        <v>4</v>
      </c>
      <c r="L598">
        <v>6</v>
      </c>
      <c r="M598" t="s">
        <v>143</v>
      </c>
      <c r="N598" t="s">
        <v>154</v>
      </c>
      <c r="O598" t="b">
        <v>1</v>
      </c>
      <c r="P598" t="b">
        <v>0</v>
      </c>
      <c r="Q598" s="6">
        <v>5</v>
      </c>
      <c r="R598" s="6">
        <v>0.66666666666666663</v>
      </c>
      <c r="S598" t="s">
        <v>367</v>
      </c>
      <c r="T598" t="s">
        <v>147</v>
      </c>
      <c r="U598" s="6">
        <v>14.4</v>
      </c>
      <c r="V598" s="6">
        <v>15.6</v>
      </c>
      <c r="W598" t="b">
        <v>0</v>
      </c>
      <c r="X598">
        <v>12</v>
      </c>
      <c r="Y598">
        <v>2</v>
      </c>
      <c r="Z598">
        <v>19</v>
      </c>
      <c r="AA598" s="6">
        <v>29.948453608247419</v>
      </c>
      <c r="AB598">
        <f>--PizzaDelivery[[#This Row],[Is Delayed]]</f>
        <v>0</v>
      </c>
    </row>
    <row r="599" spans="1:28">
      <c r="A599" t="s">
        <v>860</v>
      </c>
      <c r="B599" t="s">
        <v>157</v>
      </c>
      <c r="C599" t="s">
        <v>188</v>
      </c>
      <c r="D599" s="1">
        <v>45812</v>
      </c>
      <c r="E599" s="5">
        <v>0.85416666666666663</v>
      </c>
      <c r="F599" s="1">
        <v>45812</v>
      </c>
      <c r="G599" s="5">
        <v>0.88194444444444442</v>
      </c>
      <c r="H599">
        <v>40</v>
      </c>
      <c r="I599" t="s">
        <v>167</v>
      </c>
      <c r="J599" t="s">
        <v>168</v>
      </c>
      <c r="K599">
        <v>5</v>
      </c>
      <c r="L599">
        <v>8</v>
      </c>
      <c r="M599" t="s">
        <v>153</v>
      </c>
      <c r="N599" t="s">
        <v>145</v>
      </c>
      <c r="O599" t="b">
        <v>1</v>
      </c>
      <c r="P599" t="b">
        <v>0</v>
      </c>
      <c r="Q599" s="6">
        <v>5</v>
      </c>
      <c r="R599" s="6">
        <v>0.625</v>
      </c>
      <c r="S599" t="s">
        <v>367</v>
      </c>
      <c r="T599" t="s">
        <v>147</v>
      </c>
      <c r="U599" s="6">
        <v>19.2</v>
      </c>
      <c r="V599" s="6">
        <v>20.8</v>
      </c>
      <c r="W599" t="b">
        <v>1</v>
      </c>
      <c r="X599">
        <v>20</v>
      </c>
      <c r="Y599">
        <v>3</v>
      </c>
      <c r="Z599">
        <v>20</v>
      </c>
      <c r="AA599" s="6">
        <v>28.844221105527641</v>
      </c>
      <c r="AB599">
        <f>--PizzaDelivery[[#This Row],[Is Delayed]]</f>
        <v>1</v>
      </c>
    </row>
    <row r="600" spans="1:28">
      <c r="A600" t="s">
        <v>861</v>
      </c>
      <c r="B600" t="s">
        <v>173</v>
      </c>
      <c r="C600" t="s">
        <v>166</v>
      </c>
      <c r="D600" s="1">
        <v>45813</v>
      </c>
      <c r="E600" s="5">
        <v>0.78125</v>
      </c>
      <c r="F600" s="1">
        <v>45813</v>
      </c>
      <c r="G600" s="5">
        <v>0.79513888888888884</v>
      </c>
      <c r="H600">
        <v>20</v>
      </c>
      <c r="I600" t="s">
        <v>159</v>
      </c>
      <c r="J600" t="s">
        <v>160</v>
      </c>
      <c r="K600">
        <v>1</v>
      </c>
      <c r="L600">
        <v>2.5</v>
      </c>
      <c r="M600" t="s">
        <v>161</v>
      </c>
      <c r="N600" t="s">
        <v>169</v>
      </c>
      <c r="O600" t="b">
        <v>1</v>
      </c>
      <c r="P600" t="b">
        <v>0</v>
      </c>
      <c r="Q600" s="6">
        <v>8</v>
      </c>
      <c r="R600" s="6">
        <v>0.4</v>
      </c>
      <c r="S600" t="s">
        <v>367</v>
      </c>
      <c r="T600" t="s">
        <v>171</v>
      </c>
      <c r="U600" s="6">
        <v>6</v>
      </c>
      <c r="V600" s="6">
        <v>14</v>
      </c>
      <c r="W600" t="b">
        <v>0</v>
      </c>
      <c r="X600">
        <v>1</v>
      </c>
      <c r="Y600">
        <v>1</v>
      </c>
      <c r="Z600">
        <v>18</v>
      </c>
      <c r="AA600" s="6">
        <v>30.286458333333329</v>
      </c>
      <c r="AB600">
        <f>--PizzaDelivery[[#This Row],[Is Delayed]]</f>
        <v>0</v>
      </c>
    </row>
    <row r="601" spans="1:28">
      <c r="A601" t="s">
        <v>862</v>
      </c>
      <c r="B601" t="s">
        <v>142</v>
      </c>
      <c r="C601" t="s">
        <v>40</v>
      </c>
      <c r="D601" s="1">
        <v>45814</v>
      </c>
      <c r="E601" s="5">
        <v>0.79166666666666663</v>
      </c>
      <c r="F601" s="1">
        <v>45814</v>
      </c>
      <c r="G601" s="5">
        <v>0.82291666666666663</v>
      </c>
      <c r="H601">
        <v>45</v>
      </c>
      <c r="I601" t="s">
        <v>151</v>
      </c>
      <c r="J601" t="s">
        <v>655</v>
      </c>
      <c r="K601">
        <v>4</v>
      </c>
      <c r="L601">
        <v>7</v>
      </c>
      <c r="M601" t="s">
        <v>143</v>
      </c>
      <c r="N601" t="s">
        <v>145</v>
      </c>
      <c r="O601" t="b">
        <v>1</v>
      </c>
      <c r="P601" t="b">
        <v>0</v>
      </c>
      <c r="Q601" s="6">
        <v>6.4285714285714288</v>
      </c>
      <c r="R601" s="6">
        <v>0.5714285714285714</v>
      </c>
      <c r="S601" t="s">
        <v>367</v>
      </c>
      <c r="T601" t="s">
        <v>147</v>
      </c>
      <c r="U601" s="6">
        <v>16.8</v>
      </c>
      <c r="V601" s="6">
        <v>28.2</v>
      </c>
      <c r="W601" t="b">
        <v>1</v>
      </c>
      <c r="X601">
        <v>12</v>
      </c>
      <c r="Y601">
        <v>2</v>
      </c>
      <c r="Z601">
        <v>19</v>
      </c>
      <c r="AA601" s="6">
        <v>30.259433962264151</v>
      </c>
      <c r="AB601">
        <f>--PizzaDelivery[[#This Row],[Is Delayed]]</f>
        <v>1</v>
      </c>
    </row>
    <row r="602" spans="1:28">
      <c r="A602" t="s">
        <v>863</v>
      </c>
      <c r="B602" t="s">
        <v>149</v>
      </c>
      <c r="C602" t="s">
        <v>150</v>
      </c>
      <c r="D602" s="1">
        <v>45815</v>
      </c>
      <c r="E602" s="5">
        <v>0.84375</v>
      </c>
      <c r="F602" s="1">
        <v>45815</v>
      </c>
      <c r="G602" s="5">
        <v>0.87152777777777779</v>
      </c>
      <c r="H602">
        <v>40</v>
      </c>
      <c r="I602" t="s">
        <v>143</v>
      </c>
      <c r="J602" t="s">
        <v>657</v>
      </c>
      <c r="K602">
        <v>3</v>
      </c>
      <c r="L602">
        <v>6.5</v>
      </c>
      <c r="M602" t="s">
        <v>153</v>
      </c>
      <c r="N602" t="s">
        <v>154</v>
      </c>
      <c r="O602" t="b">
        <v>1</v>
      </c>
      <c r="P602" t="b">
        <v>1</v>
      </c>
      <c r="Q602" s="6">
        <v>6.1538461538461542</v>
      </c>
      <c r="R602" s="6">
        <v>0.46153846153846162</v>
      </c>
      <c r="S602" t="s">
        <v>367</v>
      </c>
      <c r="T602" t="s">
        <v>147</v>
      </c>
      <c r="U602" s="6">
        <v>15.6</v>
      </c>
      <c r="V602" s="6">
        <v>24.4</v>
      </c>
      <c r="W602" t="b">
        <v>1</v>
      </c>
      <c r="X602">
        <v>6</v>
      </c>
      <c r="Y602">
        <v>3</v>
      </c>
      <c r="Z602">
        <v>20</v>
      </c>
      <c r="AA602" s="6">
        <v>28.186274509803919</v>
      </c>
      <c r="AB602">
        <f>--PizzaDelivery[[#This Row],[Is Delayed]]</f>
        <v>1</v>
      </c>
    </row>
    <row r="603" spans="1:28">
      <c r="A603" t="s">
        <v>864</v>
      </c>
      <c r="B603" t="s">
        <v>165</v>
      </c>
      <c r="C603" t="s">
        <v>158</v>
      </c>
      <c r="D603" s="1">
        <v>45816</v>
      </c>
      <c r="E603" s="5">
        <v>0.78125</v>
      </c>
      <c r="F603" s="1">
        <v>45816</v>
      </c>
      <c r="G603" s="5">
        <v>0.79513888888888884</v>
      </c>
      <c r="H603">
        <v>20</v>
      </c>
      <c r="I603" t="s">
        <v>159</v>
      </c>
      <c r="J603" t="s">
        <v>160</v>
      </c>
      <c r="K603">
        <v>1</v>
      </c>
      <c r="L603">
        <v>2.5</v>
      </c>
      <c r="M603" t="s">
        <v>161</v>
      </c>
      <c r="N603" t="s">
        <v>169</v>
      </c>
      <c r="O603" t="b">
        <v>1</v>
      </c>
      <c r="P603" t="b">
        <v>1</v>
      </c>
      <c r="Q603" s="6">
        <v>8</v>
      </c>
      <c r="R603" s="6">
        <v>0.4</v>
      </c>
      <c r="S603" t="s">
        <v>367</v>
      </c>
      <c r="T603" t="s">
        <v>171</v>
      </c>
      <c r="U603" s="6">
        <v>6</v>
      </c>
      <c r="V603" s="6">
        <v>14</v>
      </c>
      <c r="W603" t="b">
        <v>0</v>
      </c>
      <c r="X603">
        <v>1</v>
      </c>
      <c r="Y603">
        <v>1</v>
      </c>
      <c r="Z603">
        <v>18</v>
      </c>
      <c r="AA603" s="6">
        <v>29.948453608247419</v>
      </c>
      <c r="AB603">
        <f>--PizzaDelivery[[#This Row],[Is Delayed]]</f>
        <v>0</v>
      </c>
    </row>
    <row r="604" spans="1:28">
      <c r="A604" t="s">
        <v>865</v>
      </c>
      <c r="B604" t="s">
        <v>157</v>
      </c>
      <c r="C604" t="s">
        <v>184</v>
      </c>
      <c r="D604" s="1">
        <v>45817</v>
      </c>
      <c r="E604" s="5">
        <v>0.8125</v>
      </c>
      <c r="F604" s="1">
        <v>45817</v>
      </c>
      <c r="G604" s="5">
        <v>0.84027777777777779</v>
      </c>
      <c r="H604">
        <v>40</v>
      </c>
      <c r="I604" t="s">
        <v>167</v>
      </c>
      <c r="J604" t="s">
        <v>168</v>
      </c>
      <c r="K604">
        <v>5</v>
      </c>
      <c r="L604">
        <v>8</v>
      </c>
      <c r="M604" t="s">
        <v>153</v>
      </c>
      <c r="N604" t="s">
        <v>145</v>
      </c>
      <c r="O604" t="b">
        <v>1</v>
      </c>
      <c r="P604" t="b">
        <v>0</v>
      </c>
      <c r="Q604" s="6">
        <v>5</v>
      </c>
      <c r="R604" s="6">
        <v>0.625</v>
      </c>
      <c r="S604" t="s">
        <v>367</v>
      </c>
      <c r="T604" t="s">
        <v>147</v>
      </c>
      <c r="U604" s="6">
        <v>19.2</v>
      </c>
      <c r="V604" s="6">
        <v>20.8</v>
      </c>
      <c r="W604" t="b">
        <v>1</v>
      </c>
      <c r="X604">
        <v>20</v>
      </c>
      <c r="Y604">
        <v>3</v>
      </c>
      <c r="Z604">
        <v>19</v>
      </c>
      <c r="AA604" s="6">
        <v>28.844221105527641</v>
      </c>
      <c r="AB604">
        <f>--PizzaDelivery[[#This Row],[Is Delayed]]</f>
        <v>1</v>
      </c>
    </row>
    <row r="605" spans="1:28">
      <c r="A605" t="s">
        <v>866</v>
      </c>
      <c r="B605" t="s">
        <v>173</v>
      </c>
      <c r="C605" t="s">
        <v>186</v>
      </c>
      <c r="D605" s="1">
        <v>45818</v>
      </c>
      <c r="E605" s="5">
        <v>0.75</v>
      </c>
      <c r="F605" s="1">
        <v>45818</v>
      </c>
      <c r="G605" s="5">
        <v>0.77083333333333337</v>
      </c>
      <c r="H605">
        <v>30</v>
      </c>
      <c r="I605" t="s">
        <v>143</v>
      </c>
      <c r="J605" t="s">
        <v>152</v>
      </c>
      <c r="K605">
        <v>3</v>
      </c>
      <c r="L605">
        <v>4</v>
      </c>
      <c r="M605" t="s">
        <v>143</v>
      </c>
      <c r="N605" t="s">
        <v>162</v>
      </c>
      <c r="O605" t="b">
        <v>1</v>
      </c>
      <c r="P605" t="b">
        <v>0</v>
      </c>
      <c r="Q605" s="6">
        <v>7.5</v>
      </c>
      <c r="R605" s="6">
        <v>0.75</v>
      </c>
      <c r="S605" t="s">
        <v>367</v>
      </c>
      <c r="T605" t="s">
        <v>147</v>
      </c>
      <c r="U605" s="6">
        <v>9.6</v>
      </c>
      <c r="V605" s="6">
        <v>20.399999999999999</v>
      </c>
      <c r="W605" t="b">
        <v>0</v>
      </c>
      <c r="X605">
        <v>6</v>
      </c>
      <c r="Y605">
        <v>2</v>
      </c>
      <c r="Z605">
        <v>18</v>
      </c>
      <c r="AA605" s="6">
        <v>30.286458333333329</v>
      </c>
      <c r="AB605">
        <f>--PizzaDelivery[[#This Row],[Is Delayed]]</f>
        <v>0</v>
      </c>
    </row>
    <row r="606" spans="1:28">
      <c r="A606" t="s">
        <v>867</v>
      </c>
      <c r="B606" t="s">
        <v>142</v>
      </c>
      <c r="C606" t="s">
        <v>671</v>
      </c>
      <c r="D606" s="1">
        <v>45819</v>
      </c>
      <c r="E606" s="5">
        <v>0.84375</v>
      </c>
      <c r="F606" s="1">
        <v>45819</v>
      </c>
      <c r="G606" s="5">
        <v>0.875</v>
      </c>
      <c r="H606">
        <v>45</v>
      </c>
      <c r="I606" t="s">
        <v>151</v>
      </c>
      <c r="J606" t="s">
        <v>144</v>
      </c>
      <c r="K606">
        <v>4</v>
      </c>
      <c r="L606">
        <v>9</v>
      </c>
      <c r="M606" t="s">
        <v>153</v>
      </c>
      <c r="N606" t="s">
        <v>169</v>
      </c>
      <c r="O606" t="b">
        <v>1</v>
      </c>
      <c r="P606" t="b">
        <v>0</v>
      </c>
      <c r="Q606" s="6">
        <v>5</v>
      </c>
      <c r="R606" s="6">
        <v>0.44444444444444442</v>
      </c>
      <c r="S606" t="s">
        <v>367</v>
      </c>
      <c r="T606" t="s">
        <v>171</v>
      </c>
      <c r="U606" s="6">
        <v>21.6</v>
      </c>
      <c r="V606" s="6">
        <v>23.4</v>
      </c>
      <c r="W606" t="b">
        <v>1</v>
      </c>
      <c r="X606">
        <v>12</v>
      </c>
      <c r="Y606">
        <v>3</v>
      </c>
      <c r="Z606">
        <v>20</v>
      </c>
      <c r="AA606" s="6">
        <v>30.259433962264151</v>
      </c>
      <c r="AB606">
        <f>--PizzaDelivery[[#This Row],[Is Delayed]]</f>
        <v>1</v>
      </c>
    </row>
    <row r="607" spans="1:28">
      <c r="A607" t="s">
        <v>868</v>
      </c>
      <c r="B607" t="s">
        <v>149</v>
      </c>
      <c r="C607" t="s">
        <v>673</v>
      </c>
      <c r="D607" s="1">
        <v>45820</v>
      </c>
      <c r="E607" s="5">
        <v>0.75</v>
      </c>
      <c r="F607" s="1">
        <v>45820</v>
      </c>
      <c r="G607" s="5">
        <v>0.76388888888888884</v>
      </c>
      <c r="H607">
        <v>20</v>
      </c>
      <c r="I607" t="s">
        <v>143</v>
      </c>
      <c r="J607" t="s">
        <v>144</v>
      </c>
      <c r="K607">
        <v>2</v>
      </c>
      <c r="L607">
        <v>3</v>
      </c>
      <c r="M607" t="s">
        <v>161</v>
      </c>
      <c r="N607" t="s">
        <v>145</v>
      </c>
      <c r="O607" t="b">
        <v>1</v>
      </c>
      <c r="P607" t="b">
        <v>0</v>
      </c>
      <c r="Q607" s="6">
        <v>6.666666666666667</v>
      </c>
      <c r="R607" s="6">
        <v>0.66666666666666663</v>
      </c>
      <c r="S607" t="s">
        <v>367</v>
      </c>
      <c r="T607" t="s">
        <v>147</v>
      </c>
      <c r="U607" s="6">
        <v>7.1999999999999993</v>
      </c>
      <c r="V607" s="6">
        <v>12.8</v>
      </c>
      <c r="W607" t="b">
        <v>0</v>
      </c>
      <c r="X607">
        <v>4</v>
      </c>
      <c r="Y607">
        <v>1</v>
      </c>
      <c r="Z607">
        <v>18</v>
      </c>
      <c r="AA607" s="6">
        <v>28.186274509803919</v>
      </c>
      <c r="AB607">
        <f>--PizzaDelivery[[#This Row],[Is Delayed]]</f>
        <v>0</v>
      </c>
    </row>
    <row r="608" spans="1:28">
      <c r="A608" t="s">
        <v>869</v>
      </c>
      <c r="B608" t="s">
        <v>165</v>
      </c>
      <c r="C608" t="s">
        <v>319</v>
      </c>
      <c r="D608" s="1">
        <v>45821</v>
      </c>
      <c r="E608" s="5">
        <v>0.80208333333333337</v>
      </c>
      <c r="F608" s="1">
        <v>45821</v>
      </c>
      <c r="G608" s="5">
        <v>0.82291666666666663</v>
      </c>
      <c r="H608">
        <v>30</v>
      </c>
      <c r="I608" t="s">
        <v>151</v>
      </c>
      <c r="J608" t="s">
        <v>152</v>
      </c>
      <c r="K608">
        <v>4</v>
      </c>
      <c r="L608">
        <v>6</v>
      </c>
      <c r="M608" t="s">
        <v>143</v>
      </c>
      <c r="N608" t="s">
        <v>154</v>
      </c>
      <c r="O608" t="b">
        <v>1</v>
      </c>
      <c r="P608" t="b">
        <v>0</v>
      </c>
      <c r="Q608" s="6">
        <v>5</v>
      </c>
      <c r="R608" s="6">
        <v>0.66666666666666663</v>
      </c>
      <c r="S608" t="s">
        <v>367</v>
      </c>
      <c r="T608" t="s">
        <v>147</v>
      </c>
      <c r="U608" s="6">
        <v>14.4</v>
      </c>
      <c r="V608" s="6">
        <v>15.6</v>
      </c>
      <c r="W608" t="b">
        <v>0</v>
      </c>
      <c r="X608">
        <v>12</v>
      </c>
      <c r="Y608">
        <v>2</v>
      </c>
      <c r="Z608">
        <v>19</v>
      </c>
      <c r="AA608" s="6">
        <v>29.948453608247419</v>
      </c>
      <c r="AB608">
        <f>--PizzaDelivery[[#This Row],[Is Delayed]]</f>
        <v>0</v>
      </c>
    </row>
    <row r="609" spans="1:28">
      <c r="A609" t="s">
        <v>870</v>
      </c>
      <c r="B609" t="s">
        <v>157</v>
      </c>
      <c r="C609" t="s">
        <v>174</v>
      </c>
      <c r="D609" s="1">
        <v>45822</v>
      </c>
      <c r="E609" s="5">
        <v>0.85416666666666663</v>
      </c>
      <c r="F609" s="1">
        <v>45822</v>
      </c>
      <c r="G609" s="5">
        <v>0.88194444444444442</v>
      </c>
      <c r="H609">
        <v>40</v>
      </c>
      <c r="I609" t="s">
        <v>167</v>
      </c>
      <c r="J609" t="s">
        <v>168</v>
      </c>
      <c r="K609">
        <v>5</v>
      </c>
      <c r="L609">
        <v>8</v>
      </c>
      <c r="M609" t="s">
        <v>153</v>
      </c>
      <c r="N609" t="s">
        <v>145</v>
      </c>
      <c r="O609" t="b">
        <v>1</v>
      </c>
      <c r="P609" t="b">
        <v>1</v>
      </c>
      <c r="Q609" s="6">
        <v>5</v>
      </c>
      <c r="R609" s="6">
        <v>0.625</v>
      </c>
      <c r="S609" t="s">
        <v>367</v>
      </c>
      <c r="T609" t="s">
        <v>147</v>
      </c>
      <c r="U609" s="6">
        <v>19.2</v>
      </c>
      <c r="V609" s="6">
        <v>20.8</v>
      </c>
      <c r="W609" t="b">
        <v>1</v>
      </c>
      <c r="X609">
        <v>20</v>
      </c>
      <c r="Y609">
        <v>3</v>
      </c>
      <c r="Z609">
        <v>20</v>
      </c>
      <c r="AA609" s="6">
        <v>28.844221105527641</v>
      </c>
      <c r="AB609">
        <f>--PizzaDelivery[[#This Row],[Is Delayed]]</f>
        <v>1</v>
      </c>
    </row>
    <row r="610" spans="1:28">
      <c r="A610" t="s">
        <v>871</v>
      </c>
      <c r="B610" t="s">
        <v>173</v>
      </c>
      <c r="C610" t="s">
        <v>315</v>
      </c>
      <c r="D610" s="1">
        <v>45823</v>
      </c>
      <c r="E610" s="5">
        <v>0.78125</v>
      </c>
      <c r="F610" s="1">
        <v>45823</v>
      </c>
      <c r="G610" s="5">
        <v>0.79513888888888884</v>
      </c>
      <c r="H610">
        <v>20</v>
      </c>
      <c r="I610" t="s">
        <v>159</v>
      </c>
      <c r="J610" t="s">
        <v>160</v>
      </c>
      <c r="K610">
        <v>1</v>
      </c>
      <c r="L610">
        <v>2.5</v>
      </c>
      <c r="M610" t="s">
        <v>161</v>
      </c>
      <c r="N610" t="s">
        <v>169</v>
      </c>
      <c r="O610" t="b">
        <v>1</v>
      </c>
      <c r="P610" t="b">
        <v>1</v>
      </c>
      <c r="Q610" s="6">
        <v>8</v>
      </c>
      <c r="R610" s="6">
        <v>0.4</v>
      </c>
      <c r="S610" t="s">
        <v>367</v>
      </c>
      <c r="T610" t="s">
        <v>171</v>
      </c>
      <c r="U610" s="6">
        <v>6</v>
      </c>
      <c r="V610" s="6">
        <v>14</v>
      </c>
      <c r="W610" t="b">
        <v>0</v>
      </c>
      <c r="X610">
        <v>1</v>
      </c>
      <c r="Y610">
        <v>1</v>
      </c>
      <c r="Z610">
        <v>18</v>
      </c>
      <c r="AA610" s="6">
        <v>30.286458333333329</v>
      </c>
      <c r="AB610">
        <f>--PizzaDelivery[[#This Row],[Is Delayed]]</f>
        <v>0</v>
      </c>
    </row>
    <row r="611" spans="1:28">
      <c r="A611" t="s">
        <v>872</v>
      </c>
      <c r="B611" t="s">
        <v>142</v>
      </c>
      <c r="C611" t="s">
        <v>317</v>
      </c>
      <c r="D611" s="1">
        <v>45824</v>
      </c>
      <c r="E611" s="5">
        <v>0.79166666666666663</v>
      </c>
      <c r="F611" s="1">
        <v>45824</v>
      </c>
      <c r="G611" s="5">
        <v>0.82638888888888884</v>
      </c>
      <c r="H611">
        <v>50</v>
      </c>
      <c r="I611" t="s">
        <v>151</v>
      </c>
      <c r="J611" t="s">
        <v>152</v>
      </c>
      <c r="K611">
        <v>4</v>
      </c>
      <c r="L611">
        <v>10</v>
      </c>
      <c r="M611" t="s">
        <v>153</v>
      </c>
      <c r="N611" t="s">
        <v>342</v>
      </c>
      <c r="O611" t="b">
        <v>1</v>
      </c>
      <c r="P611" t="b">
        <v>0</v>
      </c>
      <c r="Q611" s="6">
        <v>5</v>
      </c>
      <c r="R611" s="6">
        <v>0.4</v>
      </c>
      <c r="S611" t="s">
        <v>367</v>
      </c>
      <c r="T611" t="s">
        <v>171</v>
      </c>
      <c r="U611" s="6">
        <v>24</v>
      </c>
      <c r="V611" s="6">
        <v>26</v>
      </c>
      <c r="W611" t="b">
        <v>1</v>
      </c>
      <c r="X611">
        <v>12</v>
      </c>
      <c r="Y611">
        <v>3</v>
      </c>
      <c r="Z611">
        <v>19</v>
      </c>
      <c r="AA611" s="6">
        <v>30.259433962264151</v>
      </c>
      <c r="AB611">
        <f>--PizzaDelivery[[#This Row],[Is Delayed]]</f>
        <v>1</v>
      </c>
    </row>
    <row r="612" spans="1:28">
      <c r="A612" t="s">
        <v>873</v>
      </c>
      <c r="B612" t="s">
        <v>149</v>
      </c>
      <c r="C612" t="s">
        <v>321</v>
      </c>
      <c r="D612" s="1">
        <v>45825</v>
      </c>
      <c r="E612" s="5">
        <v>0.83333333333333337</v>
      </c>
      <c r="F612" s="1">
        <v>45825</v>
      </c>
      <c r="G612" s="5">
        <v>0.85763888888888884</v>
      </c>
      <c r="H612">
        <v>35</v>
      </c>
      <c r="I612" t="s">
        <v>143</v>
      </c>
      <c r="J612" t="s">
        <v>591</v>
      </c>
      <c r="K612">
        <v>3</v>
      </c>
      <c r="L612">
        <v>5.5</v>
      </c>
      <c r="M612" t="s">
        <v>143</v>
      </c>
      <c r="N612" t="s">
        <v>154</v>
      </c>
      <c r="O612" t="b">
        <v>1</v>
      </c>
      <c r="P612" t="b">
        <v>0</v>
      </c>
      <c r="Q612" s="6">
        <v>6.3636363636363633</v>
      </c>
      <c r="R612" s="6">
        <v>0.54545454545454541</v>
      </c>
      <c r="S612" t="s">
        <v>367</v>
      </c>
      <c r="T612" t="s">
        <v>147</v>
      </c>
      <c r="U612" s="6">
        <v>13.2</v>
      </c>
      <c r="V612" s="6">
        <v>21.8</v>
      </c>
      <c r="W612" t="b">
        <v>1</v>
      </c>
      <c r="X612">
        <v>6</v>
      </c>
      <c r="Y612">
        <v>2</v>
      </c>
      <c r="Z612">
        <v>20</v>
      </c>
      <c r="AA612" s="6">
        <v>28.186274509803919</v>
      </c>
      <c r="AB612">
        <f>--PizzaDelivery[[#This Row],[Is Delayed]]</f>
        <v>1</v>
      </c>
    </row>
    <row r="613" spans="1:28">
      <c r="A613" t="s">
        <v>874</v>
      </c>
      <c r="B613" t="s">
        <v>165</v>
      </c>
      <c r="C613" t="s">
        <v>323</v>
      </c>
      <c r="D613" s="1">
        <v>45826</v>
      </c>
      <c r="E613" s="5">
        <v>0.77083333333333337</v>
      </c>
      <c r="F613" s="1">
        <v>45826</v>
      </c>
      <c r="G613" s="5">
        <v>0.78472222222222221</v>
      </c>
      <c r="H613">
        <v>20</v>
      </c>
      <c r="I613" t="s">
        <v>159</v>
      </c>
      <c r="J613" t="s">
        <v>160</v>
      </c>
      <c r="K613">
        <v>2</v>
      </c>
      <c r="L613">
        <v>2</v>
      </c>
      <c r="M613" t="s">
        <v>161</v>
      </c>
      <c r="N613" t="s">
        <v>162</v>
      </c>
      <c r="O613" t="b">
        <v>1</v>
      </c>
      <c r="P613" t="b">
        <v>0</v>
      </c>
      <c r="Q613" s="6">
        <v>10</v>
      </c>
      <c r="R613" s="6">
        <v>1</v>
      </c>
      <c r="S613" t="s">
        <v>367</v>
      </c>
      <c r="T613" t="s">
        <v>147</v>
      </c>
      <c r="U613" s="6">
        <v>4.8</v>
      </c>
      <c r="V613" s="6">
        <v>15.2</v>
      </c>
      <c r="W613" t="b">
        <v>0</v>
      </c>
      <c r="X613">
        <v>2</v>
      </c>
      <c r="Y613">
        <v>1</v>
      </c>
      <c r="Z613">
        <v>18</v>
      </c>
      <c r="AA613" s="6">
        <v>29.948453608247419</v>
      </c>
      <c r="AB613">
        <f>--PizzaDelivery[[#This Row],[Is Delayed]]</f>
        <v>0</v>
      </c>
    </row>
    <row r="614" spans="1:28">
      <c r="A614" t="s">
        <v>875</v>
      </c>
      <c r="B614" t="s">
        <v>157</v>
      </c>
      <c r="C614" t="s">
        <v>325</v>
      </c>
      <c r="D614" s="1">
        <v>45827</v>
      </c>
      <c r="E614" s="5">
        <v>0.82291666666666663</v>
      </c>
      <c r="F614" s="1">
        <v>45827</v>
      </c>
      <c r="G614" s="5">
        <v>0.85069444444444442</v>
      </c>
      <c r="H614">
        <v>40</v>
      </c>
      <c r="I614" t="s">
        <v>167</v>
      </c>
      <c r="J614" t="s">
        <v>594</v>
      </c>
      <c r="K614">
        <v>5</v>
      </c>
      <c r="L614">
        <v>7.5</v>
      </c>
      <c r="M614" t="s">
        <v>153</v>
      </c>
      <c r="N614" t="s">
        <v>145</v>
      </c>
      <c r="O614" t="b">
        <v>1</v>
      </c>
      <c r="P614" t="b">
        <v>0</v>
      </c>
      <c r="Q614" s="6">
        <v>5.333333333333333</v>
      </c>
      <c r="R614" s="6">
        <v>0.66666666666666663</v>
      </c>
      <c r="S614" t="s">
        <v>367</v>
      </c>
      <c r="T614" t="s">
        <v>147</v>
      </c>
      <c r="U614" s="6">
        <v>18</v>
      </c>
      <c r="V614" s="6">
        <v>22</v>
      </c>
      <c r="W614" t="b">
        <v>1</v>
      </c>
      <c r="X614">
        <v>20</v>
      </c>
      <c r="Y614">
        <v>3</v>
      </c>
      <c r="Z614">
        <v>19</v>
      </c>
      <c r="AA614" s="6">
        <v>28.844221105527641</v>
      </c>
      <c r="AB614">
        <f>--PizzaDelivery[[#This Row],[Is Delayed]]</f>
        <v>1</v>
      </c>
    </row>
    <row r="615" spans="1:28">
      <c r="A615" t="s">
        <v>876</v>
      </c>
      <c r="B615" t="s">
        <v>173</v>
      </c>
      <c r="C615" t="s">
        <v>327</v>
      </c>
      <c r="D615" s="1">
        <v>45828</v>
      </c>
      <c r="E615" s="5">
        <v>0.75</v>
      </c>
      <c r="F615" s="1">
        <v>45828</v>
      </c>
      <c r="G615" s="5">
        <v>0.77083333333333337</v>
      </c>
      <c r="H615">
        <v>30</v>
      </c>
      <c r="I615" t="s">
        <v>143</v>
      </c>
      <c r="J615" t="s">
        <v>152</v>
      </c>
      <c r="K615">
        <v>3</v>
      </c>
      <c r="L615">
        <v>4</v>
      </c>
      <c r="M615" t="s">
        <v>143</v>
      </c>
      <c r="N615" t="s">
        <v>162</v>
      </c>
      <c r="O615" t="b">
        <v>1</v>
      </c>
      <c r="P615" t="b">
        <v>0</v>
      </c>
      <c r="Q615" s="6">
        <v>7.5</v>
      </c>
      <c r="R615" s="6">
        <v>0.75</v>
      </c>
      <c r="S615" t="s">
        <v>367</v>
      </c>
      <c r="T615" t="s">
        <v>147</v>
      </c>
      <c r="U615" s="6">
        <v>9.6</v>
      </c>
      <c r="V615" s="6">
        <v>20.399999999999999</v>
      </c>
      <c r="W615" t="b">
        <v>0</v>
      </c>
      <c r="X615">
        <v>6</v>
      </c>
      <c r="Y615">
        <v>2</v>
      </c>
      <c r="Z615">
        <v>18</v>
      </c>
      <c r="AA615" s="6">
        <v>30.286458333333329</v>
      </c>
      <c r="AB615">
        <f>--PizzaDelivery[[#This Row],[Is Delayed]]</f>
        <v>0</v>
      </c>
    </row>
    <row r="616" spans="1:28">
      <c r="A616" t="s">
        <v>877</v>
      </c>
      <c r="B616" t="s">
        <v>142</v>
      </c>
      <c r="C616" t="s">
        <v>182</v>
      </c>
      <c r="D616" s="1">
        <v>45829</v>
      </c>
      <c r="E616" s="5">
        <v>0.84375</v>
      </c>
      <c r="F616" s="1">
        <v>45829</v>
      </c>
      <c r="G616" s="5">
        <v>0.875</v>
      </c>
      <c r="H616">
        <v>45</v>
      </c>
      <c r="I616" t="s">
        <v>151</v>
      </c>
      <c r="J616" t="s">
        <v>144</v>
      </c>
      <c r="K616">
        <v>4</v>
      </c>
      <c r="L616">
        <v>9</v>
      </c>
      <c r="M616" t="s">
        <v>153</v>
      </c>
      <c r="N616" t="s">
        <v>169</v>
      </c>
      <c r="O616" t="b">
        <v>1</v>
      </c>
      <c r="P616" t="b">
        <v>1</v>
      </c>
      <c r="Q616" s="6">
        <v>5</v>
      </c>
      <c r="R616" s="6">
        <v>0.44444444444444442</v>
      </c>
      <c r="S616" t="s">
        <v>367</v>
      </c>
      <c r="T616" t="s">
        <v>171</v>
      </c>
      <c r="U616" s="6">
        <v>21.6</v>
      </c>
      <c r="V616" s="6">
        <v>23.4</v>
      </c>
      <c r="W616" t="b">
        <v>1</v>
      </c>
      <c r="X616">
        <v>12</v>
      </c>
      <c r="Y616">
        <v>3</v>
      </c>
      <c r="Z616">
        <v>20</v>
      </c>
      <c r="AA616" s="6">
        <v>30.259433962264151</v>
      </c>
      <c r="AB616">
        <f>--PizzaDelivery[[#This Row],[Is Delayed]]</f>
        <v>1</v>
      </c>
    </row>
    <row r="617" spans="1:28">
      <c r="A617" t="s">
        <v>878</v>
      </c>
      <c r="B617" t="s">
        <v>149</v>
      </c>
      <c r="C617" t="s">
        <v>329</v>
      </c>
      <c r="D617" s="1">
        <v>45830</v>
      </c>
      <c r="E617" s="5">
        <v>0.75</v>
      </c>
      <c r="F617" s="1">
        <v>45830</v>
      </c>
      <c r="G617" s="5">
        <v>0.76388888888888884</v>
      </c>
      <c r="H617">
        <v>20</v>
      </c>
      <c r="I617" t="s">
        <v>143</v>
      </c>
      <c r="J617" t="s">
        <v>144</v>
      </c>
      <c r="K617">
        <v>2</v>
      </c>
      <c r="L617">
        <v>3</v>
      </c>
      <c r="M617" t="s">
        <v>161</v>
      </c>
      <c r="N617" t="s">
        <v>145</v>
      </c>
      <c r="O617" t="b">
        <v>1</v>
      </c>
      <c r="P617" t="b">
        <v>1</v>
      </c>
      <c r="Q617" s="6">
        <v>6.666666666666667</v>
      </c>
      <c r="R617" s="6">
        <v>0.66666666666666663</v>
      </c>
      <c r="S617" t="s">
        <v>367</v>
      </c>
      <c r="T617" t="s">
        <v>147</v>
      </c>
      <c r="U617" s="6">
        <v>7.1999999999999993</v>
      </c>
      <c r="V617" s="6">
        <v>12.8</v>
      </c>
      <c r="W617" t="b">
        <v>0</v>
      </c>
      <c r="X617">
        <v>4</v>
      </c>
      <c r="Y617">
        <v>1</v>
      </c>
      <c r="Z617">
        <v>18</v>
      </c>
      <c r="AA617" s="6">
        <v>28.186274509803919</v>
      </c>
      <c r="AB617">
        <f>--PizzaDelivery[[#This Row],[Is Delayed]]</f>
        <v>0</v>
      </c>
    </row>
    <row r="618" spans="1:28">
      <c r="A618" t="s">
        <v>879</v>
      </c>
      <c r="B618" t="s">
        <v>165</v>
      </c>
      <c r="C618" t="s">
        <v>190</v>
      </c>
      <c r="D618" s="1">
        <v>45831</v>
      </c>
      <c r="E618" s="5">
        <v>0.80208333333333337</v>
      </c>
      <c r="F618" s="1">
        <v>45831</v>
      </c>
      <c r="G618" s="5">
        <v>0.82291666666666663</v>
      </c>
      <c r="H618">
        <v>30</v>
      </c>
      <c r="I618" t="s">
        <v>151</v>
      </c>
      <c r="J618" t="s">
        <v>152</v>
      </c>
      <c r="K618">
        <v>4</v>
      </c>
      <c r="L618">
        <v>6</v>
      </c>
      <c r="M618" t="s">
        <v>143</v>
      </c>
      <c r="N618" t="s">
        <v>154</v>
      </c>
      <c r="O618" t="b">
        <v>1</v>
      </c>
      <c r="P618" t="b">
        <v>0</v>
      </c>
      <c r="Q618" s="6">
        <v>5</v>
      </c>
      <c r="R618" s="6">
        <v>0.66666666666666663</v>
      </c>
      <c r="S618" t="s">
        <v>367</v>
      </c>
      <c r="T618" t="s">
        <v>147</v>
      </c>
      <c r="U618" s="6">
        <v>14.4</v>
      </c>
      <c r="V618" s="6">
        <v>15.6</v>
      </c>
      <c r="W618" t="b">
        <v>0</v>
      </c>
      <c r="X618">
        <v>12</v>
      </c>
      <c r="Y618">
        <v>2</v>
      </c>
      <c r="Z618">
        <v>19</v>
      </c>
      <c r="AA618" s="6">
        <v>29.948453608247419</v>
      </c>
      <c r="AB618">
        <f>--PizzaDelivery[[#This Row],[Is Delayed]]</f>
        <v>0</v>
      </c>
    </row>
    <row r="619" spans="1:28">
      <c r="A619" t="s">
        <v>880</v>
      </c>
      <c r="B619" t="s">
        <v>157</v>
      </c>
      <c r="C619" t="s">
        <v>192</v>
      </c>
      <c r="D619" s="1">
        <v>45832</v>
      </c>
      <c r="E619" s="5">
        <v>0.85416666666666663</v>
      </c>
      <c r="F619" s="1">
        <v>45832</v>
      </c>
      <c r="G619" s="5">
        <v>0.88194444444444442</v>
      </c>
      <c r="H619">
        <v>40</v>
      </c>
      <c r="I619" t="s">
        <v>167</v>
      </c>
      <c r="J619" t="s">
        <v>168</v>
      </c>
      <c r="K619">
        <v>5</v>
      </c>
      <c r="L619">
        <v>8</v>
      </c>
      <c r="M619" t="s">
        <v>153</v>
      </c>
      <c r="N619" t="s">
        <v>145</v>
      </c>
      <c r="O619" t="b">
        <v>1</v>
      </c>
      <c r="P619" t="b">
        <v>0</v>
      </c>
      <c r="Q619" s="6">
        <v>5</v>
      </c>
      <c r="R619" s="6">
        <v>0.625</v>
      </c>
      <c r="S619" t="s">
        <v>367</v>
      </c>
      <c r="T619" t="s">
        <v>147</v>
      </c>
      <c r="U619" s="6">
        <v>19.2</v>
      </c>
      <c r="V619" s="6">
        <v>20.8</v>
      </c>
      <c r="W619" t="b">
        <v>1</v>
      </c>
      <c r="X619">
        <v>20</v>
      </c>
      <c r="Y619">
        <v>3</v>
      </c>
      <c r="Z619">
        <v>20</v>
      </c>
      <c r="AA619" s="6">
        <v>28.844221105527641</v>
      </c>
      <c r="AB619">
        <f>--PizzaDelivery[[#This Row],[Is Delayed]]</f>
        <v>1</v>
      </c>
    </row>
    <row r="620" spans="1:28">
      <c r="A620" t="s">
        <v>881</v>
      </c>
      <c r="B620" t="s">
        <v>173</v>
      </c>
      <c r="C620" t="s">
        <v>687</v>
      </c>
      <c r="D620" s="1">
        <v>45833</v>
      </c>
      <c r="E620" s="5">
        <v>0.78125</v>
      </c>
      <c r="F620" s="1">
        <v>45833</v>
      </c>
      <c r="G620" s="5">
        <v>0.79513888888888884</v>
      </c>
      <c r="H620">
        <v>20</v>
      </c>
      <c r="I620" t="s">
        <v>159</v>
      </c>
      <c r="J620" t="s">
        <v>160</v>
      </c>
      <c r="K620">
        <v>1</v>
      </c>
      <c r="L620">
        <v>2.5</v>
      </c>
      <c r="M620" t="s">
        <v>161</v>
      </c>
      <c r="N620" t="s">
        <v>169</v>
      </c>
      <c r="O620" t="b">
        <v>1</v>
      </c>
      <c r="P620" t="b">
        <v>0</v>
      </c>
      <c r="Q620" s="6">
        <v>8</v>
      </c>
      <c r="R620" s="6">
        <v>0.4</v>
      </c>
      <c r="S620" t="s">
        <v>367</v>
      </c>
      <c r="T620" t="s">
        <v>171</v>
      </c>
      <c r="U620" s="6">
        <v>6</v>
      </c>
      <c r="V620" s="6">
        <v>14</v>
      </c>
      <c r="W620" t="b">
        <v>0</v>
      </c>
      <c r="X620">
        <v>1</v>
      </c>
      <c r="Y620">
        <v>1</v>
      </c>
      <c r="Z620">
        <v>18</v>
      </c>
      <c r="AA620" s="6">
        <v>30.286458333333329</v>
      </c>
      <c r="AB620">
        <f>--PizzaDelivery[[#This Row],[Is Delayed]]</f>
        <v>0</v>
      </c>
    </row>
    <row r="621" spans="1:28">
      <c r="A621" t="s">
        <v>882</v>
      </c>
      <c r="B621" t="s">
        <v>142</v>
      </c>
      <c r="C621" t="s">
        <v>194</v>
      </c>
      <c r="D621" s="1">
        <v>45834</v>
      </c>
      <c r="E621" s="5">
        <v>0.79166666666666663</v>
      </c>
      <c r="F621" s="1">
        <v>45834</v>
      </c>
      <c r="G621" s="5">
        <v>0.82638888888888884</v>
      </c>
      <c r="H621">
        <v>50</v>
      </c>
      <c r="I621" t="s">
        <v>151</v>
      </c>
      <c r="J621" t="s">
        <v>152</v>
      </c>
      <c r="K621">
        <v>4</v>
      </c>
      <c r="L621">
        <v>10</v>
      </c>
      <c r="M621" t="s">
        <v>153</v>
      </c>
      <c r="N621" t="s">
        <v>145</v>
      </c>
      <c r="O621" t="b">
        <v>1</v>
      </c>
      <c r="P621" t="b">
        <v>0</v>
      </c>
      <c r="Q621" s="6">
        <v>5</v>
      </c>
      <c r="R621" s="6">
        <v>0.4</v>
      </c>
      <c r="S621" t="s">
        <v>367</v>
      </c>
      <c r="T621" t="s">
        <v>147</v>
      </c>
      <c r="U621" s="6">
        <v>24</v>
      </c>
      <c r="V621" s="6">
        <v>26</v>
      </c>
      <c r="W621" t="b">
        <v>1</v>
      </c>
      <c r="X621">
        <v>12</v>
      </c>
      <c r="Y621">
        <v>3</v>
      </c>
      <c r="Z621">
        <v>19</v>
      </c>
      <c r="AA621" s="6">
        <v>30.259433962264151</v>
      </c>
      <c r="AB621">
        <f>--PizzaDelivery[[#This Row],[Is Delayed]]</f>
        <v>1</v>
      </c>
    </row>
    <row r="622" spans="1:28">
      <c r="A622" t="s">
        <v>883</v>
      </c>
      <c r="B622" t="s">
        <v>149</v>
      </c>
      <c r="C622" t="s">
        <v>335</v>
      </c>
      <c r="D622" s="1">
        <v>45835</v>
      </c>
      <c r="E622" s="5">
        <v>0.83333333333333337</v>
      </c>
      <c r="F622" s="1">
        <v>45835</v>
      </c>
      <c r="G622" s="5">
        <v>0.85763888888888884</v>
      </c>
      <c r="H622">
        <v>35</v>
      </c>
      <c r="I622" t="s">
        <v>143</v>
      </c>
      <c r="J622" t="s">
        <v>591</v>
      </c>
      <c r="K622">
        <v>3</v>
      </c>
      <c r="L622">
        <v>5.5</v>
      </c>
      <c r="M622" t="s">
        <v>143</v>
      </c>
      <c r="N622" t="s">
        <v>154</v>
      </c>
      <c r="O622" t="b">
        <v>1</v>
      </c>
      <c r="P622" t="b">
        <v>0</v>
      </c>
      <c r="Q622" s="6">
        <v>6.3636363636363633</v>
      </c>
      <c r="R622" s="6">
        <v>0.54545454545454541</v>
      </c>
      <c r="S622" t="s">
        <v>367</v>
      </c>
      <c r="T622" t="s">
        <v>147</v>
      </c>
      <c r="U622" s="6">
        <v>13.2</v>
      </c>
      <c r="V622" s="6">
        <v>21.8</v>
      </c>
      <c r="W622" t="b">
        <v>1</v>
      </c>
      <c r="X622">
        <v>6</v>
      </c>
      <c r="Y622">
        <v>2</v>
      </c>
      <c r="Z622">
        <v>20</v>
      </c>
      <c r="AA622" s="6">
        <v>28.186274509803919</v>
      </c>
      <c r="AB622">
        <f>--PizzaDelivery[[#This Row],[Is Delayed]]</f>
        <v>1</v>
      </c>
    </row>
    <row r="623" spans="1:28">
      <c r="A623" t="s">
        <v>884</v>
      </c>
      <c r="B623" t="s">
        <v>165</v>
      </c>
      <c r="C623" t="s">
        <v>333</v>
      </c>
      <c r="D623" s="1">
        <v>45836</v>
      </c>
      <c r="E623" s="5">
        <v>0.77083333333333337</v>
      </c>
      <c r="F623" s="1">
        <v>45836</v>
      </c>
      <c r="G623" s="5">
        <v>0.78472222222222221</v>
      </c>
      <c r="H623">
        <v>20</v>
      </c>
      <c r="I623" t="s">
        <v>159</v>
      </c>
      <c r="J623" t="s">
        <v>160</v>
      </c>
      <c r="K623">
        <v>2</v>
      </c>
      <c r="L623">
        <v>2</v>
      </c>
      <c r="M623" t="s">
        <v>161</v>
      </c>
      <c r="N623" t="s">
        <v>162</v>
      </c>
      <c r="O623" t="b">
        <v>1</v>
      </c>
      <c r="P623" t="b">
        <v>1</v>
      </c>
      <c r="Q623" s="6">
        <v>10</v>
      </c>
      <c r="R623" s="6">
        <v>1</v>
      </c>
      <c r="S623" t="s">
        <v>367</v>
      </c>
      <c r="T623" t="s">
        <v>147</v>
      </c>
      <c r="U623" s="6">
        <v>4.8</v>
      </c>
      <c r="V623" s="6">
        <v>15.2</v>
      </c>
      <c r="W623" t="b">
        <v>0</v>
      </c>
      <c r="X623">
        <v>2</v>
      </c>
      <c r="Y623">
        <v>1</v>
      </c>
      <c r="Z623">
        <v>18</v>
      </c>
      <c r="AA623" s="6">
        <v>29.948453608247419</v>
      </c>
      <c r="AB623">
        <f>--PizzaDelivery[[#This Row],[Is Delayed]]</f>
        <v>0</v>
      </c>
    </row>
    <row r="624" spans="1:28">
      <c r="A624" t="s">
        <v>885</v>
      </c>
      <c r="B624" t="s">
        <v>157</v>
      </c>
      <c r="C624" t="s">
        <v>690</v>
      </c>
      <c r="D624" s="1">
        <v>45837</v>
      </c>
      <c r="E624" s="5">
        <v>0.82291666666666663</v>
      </c>
      <c r="F624" s="1">
        <v>45837</v>
      </c>
      <c r="G624" s="5">
        <v>0.85069444444444442</v>
      </c>
      <c r="H624">
        <v>40</v>
      </c>
      <c r="I624" t="s">
        <v>167</v>
      </c>
      <c r="J624" t="s">
        <v>594</v>
      </c>
      <c r="K624">
        <v>5</v>
      </c>
      <c r="L624">
        <v>7.5</v>
      </c>
      <c r="M624" t="s">
        <v>153</v>
      </c>
      <c r="N624" t="s">
        <v>145</v>
      </c>
      <c r="O624" t="b">
        <v>1</v>
      </c>
      <c r="P624" t="b">
        <v>1</v>
      </c>
      <c r="Q624" s="6">
        <v>5.333333333333333</v>
      </c>
      <c r="R624" s="6">
        <v>0.66666666666666663</v>
      </c>
      <c r="S624" t="s">
        <v>367</v>
      </c>
      <c r="T624" t="s">
        <v>147</v>
      </c>
      <c r="U624" s="6">
        <v>18</v>
      </c>
      <c r="V624" s="6">
        <v>22</v>
      </c>
      <c r="W624" t="b">
        <v>1</v>
      </c>
      <c r="X624">
        <v>20</v>
      </c>
      <c r="Y624">
        <v>3</v>
      </c>
      <c r="Z624">
        <v>19</v>
      </c>
      <c r="AA624" s="6">
        <v>28.844221105527641</v>
      </c>
      <c r="AB624">
        <f>--PizzaDelivery[[#This Row],[Is Delayed]]</f>
        <v>1</v>
      </c>
    </row>
    <row r="625" spans="1:28">
      <c r="A625" t="s">
        <v>886</v>
      </c>
      <c r="B625" t="s">
        <v>142</v>
      </c>
      <c r="C625" t="s">
        <v>317</v>
      </c>
      <c r="D625" s="1">
        <v>45823</v>
      </c>
      <c r="E625" s="5">
        <v>0.80555555555555558</v>
      </c>
      <c r="F625" s="1">
        <v>45823</v>
      </c>
      <c r="G625" s="5">
        <v>0.82986111111111116</v>
      </c>
      <c r="H625">
        <v>35</v>
      </c>
      <c r="I625" t="s">
        <v>151</v>
      </c>
      <c r="J625" t="s">
        <v>168</v>
      </c>
      <c r="K625">
        <v>4</v>
      </c>
      <c r="L625">
        <v>5.4</v>
      </c>
      <c r="M625" t="s">
        <v>143</v>
      </c>
      <c r="N625" t="s">
        <v>145</v>
      </c>
      <c r="O625" t="b">
        <v>1</v>
      </c>
      <c r="P625" t="b">
        <v>1</v>
      </c>
      <c r="Q625" s="6">
        <v>6.481481481481481</v>
      </c>
      <c r="R625" s="6">
        <v>0.7407407407407407</v>
      </c>
      <c r="S625" t="s">
        <v>367</v>
      </c>
      <c r="T625" t="s">
        <v>147</v>
      </c>
      <c r="U625" s="6">
        <v>12.96</v>
      </c>
      <c r="V625" s="6">
        <v>22.04</v>
      </c>
      <c r="W625" t="b">
        <v>1</v>
      </c>
      <c r="X625">
        <v>12</v>
      </c>
      <c r="Y625">
        <v>2</v>
      </c>
      <c r="Z625">
        <v>19</v>
      </c>
      <c r="AA625" s="6">
        <v>30.259433962264151</v>
      </c>
      <c r="AB625">
        <f>--PizzaDelivery[[#This Row],[Is Delayed]]</f>
        <v>1</v>
      </c>
    </row>
    <row r="626" spans="1:28">
      <c r="A626" t="s">
        <v>887</v>
      </c>
      <c r="B626" t="s">
        <v>165</v>
      </c>
      <c r="C626" t="s">
        <v>166</v>
      </c>
      <c r="D626" s="1">
        <v>45823</v>
      </c>
      <c r="E626" s="5">
        <v>0.83333333333333337</v>
      </c>
      <c r="F626" s="1">
        <v>45823</v>
      </c>
      <c r="G626" s="5">
        <v>0.85416666666666663</v>
      </c>
      <c r="H626">
        <v>30</v>
      </c>
      <c r="I626" t="s">
        <v>143</v>
      </c>
      <c r="J626" t="s">
        <v>144</v>
      </c>
      <c r="K626">
        <v>2</v>
      </c>
      <c r="L626">
        <v>4.0999999999999996</v>
      </c>
      <c r="M626" t="s">
        <v>161</v>
      </c>
      <c r="N626" t="s">
        <v>154</v>
      </c>
      <c r="O626" t="b">
        <v>1</v>
      </c>
      <c r="P626" t="b">
        <v>1</v>
      </c>
      <c r="Q626" s="6">
        <v>7.3170731707317076</v>
      </c>
      <c r="R626" s="6">
        <v>0.48780487804878048</v>
      </c>
      <c r="S626" t="s">
        <v>367</v>
      </c>
      <c r="T626" t="s">
        <v>147</v>
      </c>
      <c r="U626" s="6">
        <v>9.8399999999999981</v>
      </c>
      <c r="V626" s="6">
        <v>20.16</v>
      </c>
      <c r="W626" t="b">
        <v>0</v>
      </c>
      <c r="X626">
        <v>4</v>
      </c>
      <c r="Y626">
        <v>1</v>
      </c>
      <c r="Z626">
        <v>20</v>
      </c>
      <c r="AA626" s="6">
        <v>29.948453608247419</v>
      </c>
      <c r="AB626">
        <f>--PizzaDelivery[[#This Row],[Is Delayed]]</f>
        <v>0</v>
      </c>
    </row>
    <row r="627" spans="1:28">
      <c r="A627" t="s">
        <v>888</v>
      </c>
      <c r="B627" t="s">
        <v>157</v>
      </c>
      <c r="C627" t="s">
        <v>188</v>
      </c>
      <c r="D627" s="1">
        <v>45823</v>
      </c>
      <c r="E627" s="5">
        <v>0.83680555555555558</v>
      </c>
      <c r="F627" s="1">
        <v>45823</v>
      </c>
      <c r="G627" s="5">
        <v>0.87152777777777779</v>
      </c>
      <c r="H627">
        <v>50</v>
      </c>
      <c r="I627" t="s">
        <v>167</v>
      </c>
      <c r="J627" t="s">
        <v>152</v>
      </c>
      <c r="K627">
        <v>5</v>
      </c>
      <c r="L627">
        <v>8.6999999999999993</v>
      </c>
      <c r="M627" t="s">
        <v>153</v>
      </c>
      <c r="N627" t="s">
        <v>169</v>
      </c>
      <c r="O627" t="b">
        <v>1</v>
      </c>
      <c r="P627" t="b">
        <v>1</v>
      </c>
      <c r="Q627" s="6">
        <v>5.7471264367816097</v>
      </c>
      <c r="R627" s="6">
        <v>0.57471264367816099</v>
      </c>
      <c r="S627" t="s">
        <v>367</v>
      </c>
      <c r="T627" t="s">
        <v>171</v>
      </c>
      <c r="U627" s="6">
        <v>20.88</v>
      </c>
      <c r="V627" s="6">
        <v>29.12</v>
      </c>
      <c r="W627" t="b">
        <v>1</v>
      </c>
      <c r="X627">
        <v>20</v>
      </c>
      <c r="Y627">
        <v>3</v>
      </c>
      <c r="Z627">
        <v>20</v>
      </c>
      <c r="AA627" s="6">
        <v>28.844221105527641</v>
      </c>
      <c r="AB627">
        <f>--PizzaDelivery[[#This Row],[Is Delayed]]</f>
        <v>1</v>
      </c>
    </row>
    <row r="628" spans="1:28">
      <c r="A628" t="s">
        <v>889</v>
      </c>
      <c r="B628" t="s">
        <v>142</v>
      </c>
      <c r="C628" t="s">
        <v>317</v>
      </c>
      <c r="D628" s="1">
        <v>45823</v>
      </c>
      <c r="E628" s="5">
        <v>0.875</v>
      </c>
      <c r="F628" s="1">
        <v>45823</v>
      </c>
      <c r="G628" s="5">
        <v>0.89930555555555558</v>
      </c>
      <c r="H628">
        <v>35</v>
      </c>
      <c r="I628" t="s">
        <v>151</v>
      </c>
      <c r="J628" t="s">
        <v>168</v>
      </c>
      <c r="K628">
        <v>4</v>
      </c>
      <c r="L628">
        <v>5.4</v>
      </c>
      <c r="M628" t="s">
        <v>143</v>
      </c>
      <c r="N628" t="s">
        <v>145</v>
      </c>
      <c r="O628" t="b">
        <v>1</v>
      </c>
      <c r="P628" t="b">
        <v>1</v>
      </c>
      <c r="Q628" s="6">
        <v>6.481481481481481</v>
      </c>
      <c r="R628" s="6">
        <v>0.7407407407407407</v>
      </c>
      <c r="S628" t="s">
        <v>367</v>
      </c>
      <c r="T628" t="s">
        <v>147</v>
      </c>
      <c r="U628" s="6">
        <v>12.96</v>
      </c>
      <c r="V628" s="6">
        <v>22.04</v>
      </c>
      <c r="W628" t="b">
        <v>1</v>
      </c>
      <c r="X628">
        <v>12</v>
      </c>
      <c r="Y628">
        <v>2</v>
      </c>
      <c r="Z628">
        <v>21</v>
      </c>
      <c r="AA628" s="6">
        <v>30.259433962264151</v>
      </c>
      <c r="AB628">
        <f>--PizzaDelivery[[#This Row],[Is Delayed]]</f>
        <v>1</v>
      </c>
    </row>
    <row r="629" spans="1:28">
      <c r="A629" t="s">
        <v>890</v>
      </c>
      <c r="B629" t="s">
        <v>149</v>
      </c>
      <c r="C629" t="s">
        <v>190</v>
      </c>
      <c r="D629" s="1">
        <v>45824</v>
      </c>
      <c r="E629" s="5">
        <v>0.73958333333333337</v>
      </c>
      <c r="F629" s="1">
        <v>45824</v>
      </c>
      <c r="G629" s="5">
        <v>0.75694444444444442</v>
      </c>
      <c r="H629">
        <v>25</v>
      </c>
      <c r="I629" t="s">
        <v>143</v>
      </c>
      <c r="J629" t="s">
        <v>591</v>
      </c>
      <c r="K629">
        <v>3</v>
      </c>
      <c r="L629">
        <v>3.9</v>
      </c>
      <c r="M629" t="s">
        <v>161</v>
      </c>
      <c r="N629" t="s">
        <v>162</v>
      </c>
      <c r="O629" t="b">
        <v>0</v>
      </c>
      <c r="P629" t="b">
        <v>0</v>
      </c>
      <c r="Q629" s="6">
        <v>6.4102564102564106</v>
      </c>
      <c r="R629" s="6">
        <v>0.76923076923076927</v>
      </c>
      <c r="S629" t="s">
        <v>367</v>
      </c>
      <c r="T629" t="s">
        <v>147</v>
      </c>
      <c r="U629" s="6">
        <v>9.36</v>
      </c>
      <c r="V629" s="6">
        <v>15.64</v>
      </c>
      <c r="W629" t="b">
        <v>0</v>
      </c>
      <c r="X629">
        <v>6</v>
      </c>
      <c r="Y629">
        <v>1</v>
      </c>
      <c r="Z629">
        <v>17</v>
      </c>
      <c r="AA629" s="6">
        <v>28.186274509803919</v>
      </c>
      <c r="AB629">
        <f>--PizzaDelivery[[#This Row],[Is Delayed]]</f>
        <v>0</v>
      </c>
    </row>
    <row r="630" spans="1:28">
      <c r="A630" t="s">
        <v>891</v>
      </c>
      <c r="B630" t="s">
        <v>165</v>
      </c>
      <c r="C630" t="s">
        <v>166</v>
      </c>
      <c r="D630" s="1">
        <v>45824</v>
      </c>
      <c r="E630" s="5">
        <v>0.77083333333333337</v>
      </c>
      <c r="F630" s="1">
        <v>45824</v>
      </c>
      <c r="G630" s="5">
        <v>0.79861111111111116</v>
      </c>
      <c r="H630">
        <v>40</v>
      </c>
      <c r="I630" t="s">
        <v>151</v>
      </c>
      <c r="J630" t="s">
        <v>594</v>
      </c>
      <c r="K630">
        <v>5</v>
      </c>
      <c r="L630">
        <v>6</v>
      </c>
      <c r="M630" t="s">
        <v>143</v>
      </c>
      <c r="N630" t="s">
        <v>154</v>
      </c>
      <c r="O630" t="b">
        <v>1</v>
      </c>
      <c r="P630" t="b">
        <v>0</v>
      </c>
      <c r="Q630" s="6">
        <v>6.666666666666667</v>
      </c>
      <c r="R630" s="6">
        <v>0.83333333333333337</v>
      </c>
      <c r="S630" t="s">
        <v>367</v>
      </c>
      <c r="T630" t="s">
        <v>147</v>
      </c>
      <c r="U630" s="6">
        <v>14.4</v>
      </c>
      <c r="V630" s="6">
        <v>25.6</v>
      </c>
      <c r="W630" t="b">
        <v>1</v>
      </c>
      <c r="X630">
        <v>15</v>
      </c>
      <c r="Y630">
        <v>2</v>
      </c>
      <c r="Z630">
        <v>18</v>
      </c>
      <c r="AA630" s="6">
        <v>29.948453608247419</v>
      </c>
      <c r="AB630">
        <f>--PizzaDelivery[[#This Row],[Is Delayed]]</f>
        <v>1</v>
      </c>
    </row>
    <row r="631" spans="1:28">
      <c r="A631" t="s">
        <v>892</v>
      </c>
      <c r="B631" t="s">
        <v>142</v>
      </c>
      <c r="C631" t="s">
        <v>186</v>
      </c>
      <c r="D631" s="1">
        <v>45824</v>
      </c>
      <c r="E631" s="5">
        <v>0.79166666666666663</v>
      </c>
      <c r="F631" s="1">
        <v>45824</v>
      </c>
      <c r="G631" s="5">
        <v>0.81597222222222221</v>
      </c>
      <c r="H631">
        <v>35</v>
      </c>
      <c r="I631" t="s">
        <v>143</v>
      </c>
      <c r="J631" t="s">
        <v>144</v>
      </c>
      <c r="K631">
        <v>2</v>
      </c>
      <c r="L631">
        <v>4.5</v>
      </c>
      <c r="M631" t="s">
        <v>143</v>
      </c>
      <c r="N631" t="s">
        <v>504</v>
      </c>
      <c r="O631" t="b">
        <v>1</v>
      </c>
      <c r="P631" t="b">
        <v>0</v>
      </c>
      <c r="Q631" s="6">
        <v>7.7777777777777777</v>
      </c>
      <c r="R631" s="6">
        <v>0.44444444444444442</v>
      </c>
      <c r="S631" t="s">
        <v>367</v>
      </c>
      <c r="T631" t="s">
        <v>171</v>
      </c>
      <c r="U631" s="6">
        <v>10.8</v>
      </c>
      <c r="V631" s="6">
        <v>24.2</v>
      </c>
      <c r="W631" t="b">
        <v>1</v>
      </c>
      <c r="X631">
        <v>4</v>
      </c>
      <c r="Y631">
        <v>2</v>
      </c>
      <c r="Z631">
        <v>19</v>
      </c>
      <c r="AA631" s="6">
        <v>30.259433962264151</v>
      </c>
      <c r="AB631">
        <f>--PizzaDelivery[[#This Row],[Is Delayed]]</f>
        <v>1</v>
      </c>
    </row>
    <row r="632" spans="1:28">
      <c r="A632" t="s">
        <v>893</v>
      </c>
      <c r="B632" t="s">
        <v>165</v>
      </c>
      <c r="C632" t="s">
        <v>174</v>
      </c>
      <c r="D632" s="1">
        <v>45824</v>
      </c>
      <c r="E632" s="5">
        <v>0.84375</v>
      </c>
      <c r="F632" s="1">
        <v>45824</v>
      </c>
      <c r="G632" s="5">
        <v>0.875</v>
      </c>
      <c r="H632">
        <v>45</v>
      </c>
      <c r="I632" t="s">
        <v>151</v>
      </c>
      <c r="J632" t="s">
        <v>168</v>
      </c>
      <c r="K632">
        <v>4</v>
      </c>
      <c r="L632">
        <v>7.2</v>
      </c>
      <c r="M632" t="s">
        <v>153</v>
      </c>
      <c r="N632" t="s">
        <v>145</v>
      </c>
      <c r="O632" t="b">
        <v>1</v>
      </c>
      <c r="P632" t="b">
        <v>0</v>
      </c>
      <c r="Q632" s="6">
        <v>6.25</v>
      </c>
      <c r="R632" s="6">
        <v>0.55555555555555558</v>
      </c>
      <c r="S632" t="s">
        <v>367</v>
      </c>
      <c r="T632" t="s">
        <v>147</v>
      </c>
      <c r="U632" s="6">
        <v>17.28</v>
      </c>
      <c r="V632" s="6">
        <v>27.72</v>
      </c>
      <c r="W632" t="b">
        <v>1</v>
      </c>
      <c r="X632">
        <v>12</v>
      </c>
      <c r="Y632">
        <v>3</v>
      </c>
      <c r="Z632">
        <v>20</v>
      </c>
      <c r="AA632" s="6">
        <v>29.948453608247419</v>
      </c>
      <c r="AB632">
        <f>--PizzaDelivery[[#This Row],[Is Delayed]]</f>
        <v>1</v>
      </c>
    </row>
    <row r="633" spans="1:28">
      <c r="A633" t="s">
        <v>894</v>
      </c>
      <c r="B633" t="s">
        <v>142</v>
      </c>
      <c r="C633" t="s">
        <v>317</v>
      </c>
      <c r="D633" s="1">
        <v>45824</v>
      </c>
      <c r="E633" s="5">
        <v>0.88194444444444442</v>
      </c>
      <c r="F633" s="1">
        <v>45824</v>
      </c>
      <c r="G633" s="5">
        <v>0.90277777777777779</v>
      </c>
      <c r="H633">
        <v>30</v>
      </c>
      <c r="I633" t="s">
        <v>151</v>
      </c>
      <c r="J633" t="s">
        <v>168</v>
      </c>
      <c r="K633">
        <v>4</v>
      </c>
      <c r="L633">
        <v>5.4</v>
      </c>
      <c r="M633" t="s">
        <v>143</v>
      </c>
      <c r="N633" t="s">
        <v>169</v>
      </c>
      <c r="O633" t="b">
        <v>1</v>
      </c>
      <c r="P633" t="b">
        <v>0</v>
      </c>
      <c r="Q633" s="6">
        <v>5.5555555555555554</v>
      </c>
      <c r="R633" s="6">
        <v>0.7407407407407407</v>
      </c>
      <c r="S633" t="s">
        <v>367</v>
      </c>
      <c r="T633" t="s">
        <v>171</v>
      </c>
      <c r="U633" s="6">
        <v>12.96</v>
      </c>
      <c r="V633" s="6">
        <v>17.04</v>
      </c>
      <c r="W633" t="b">
        <v>0</v>
      </c>
      <c r="X633">
        <v>12</v>
      </c>
      <c r="Y633">
        <v>2</v>
      </c>
      <c r="Z633">
        <v>21</v>
      </c>
      <c r="AA633" s="6">
        <v>30.259433962264151</v>
      </c>
      <c r="AB633">
        <f>--PizzaDelivery[[#This Row],[Is Delayed]]</f>
        <v>0</v>
      </c>
    </row>
    <row r="634" spans="1:28">
      <c r="A634" t="s">
        <v>895</v>
      </c>
      <c r="B634" t="s">
        <v>157</v>
      </c>
      <c r="C634" t="s">
        <v>158</v>
      </c>
      <c r="D634" s="1">
        <v>45825</v>
      </c>
      <c r="E634" s="5">
        <v>0.75694444444444442</v>
      </c>
      <c r="F634" s="1">
        <v>45825</v>
      </c>
      <c r="G634" s="5">
        <v>0.78472222222222221</v>
      </c>
      <c r="H634">
        <v>40</v>
      </c>
      <c r="I634" t="s">
        <v>167</v>
      </c>
      <c r="J634" t="s">
        <v>657</v>
      </c>
      <c r="K634">
        <v>5</v>
      </c>
      <c r="L634">
        <v>7.8</v>
      </c>
      <c r="M634" t="s">
        <v>153</v>
      </c>
      <c r="N634" t="s">
        <v>162</v>
      </c>
      <c r="O634" t="b">
        <v>1</v>
      </c>
      <c r="P634" t="b">
        <v>0</v>
      </c>
      <c r="Q634" s="6">
        <v>5.1282051282051286</v>
      </c>
      <c r="R634" s="6">
        <v>0.64102564102564108</v>
      </c>
      <c r="S634" t="s">
        <v>367</v>
      </c>
      <c r="T634" t="s">
        <v>147</v>
      </c>
      <c r="U634" s="6">
        <v>18.72</v>
      </c>
      <c r="V634" s="6">
        <v>21.28</v>
      </c>
      <c r="W634" t="b">
        <v>1</v>
      </c>
      <c r="X634">
        <v>20</v>
      </c>
      <c r="Y634">
        <v>3</v>
      </c>
      <c r="Z634">
        <v>18</v>
      </c>
      <c r="AA634" s="6">
        <v>28.844221105527641</v>
      </c>
      <c r="AB634">
        <f>--PizzaDelivery[[#This Row],[Is Delayed]]</f>
        <v>1</v>
      </c>
    </row>
    <row r="635" spans="1:28">
      <c r="A635" t="s">
        <v>896</v>
      </c>
      <c r="B635" t="s">
        <v>173</v>
      </c>
      <c r="C635" t="s">
        <v>729</v>
      </c>
      <c r="D635" s="1">
        <v>45825</v>
      </c>
      <c r="E635" s="5">
        <v>0.80208333333333337</v>
      </c>
      <c r="F635" s="1">
        <v>45825</v>
      </c>
      <c r="G635" s="5">
        <v>0.81944444444444442</v>
      </c>
      <c r="H635">
        <v>25</v>
      </c>
      <c r="I635" t="s">
        <v>159</v>
      </c>
      <c r="J635" t="s">
        <v>655</v>
      </c>
      <c r="K635">
        <v>3</v>
      </c>
      <c r="L635">
        <v>3.2</v>
      </c>
      <c r="M635" t="s">
        <v>143</v>
      </c>
      <c r="N635" t="s">
        <v>145</v>
      </c>
      <c r="O635" t="b">
        <v>1</v>
      </c>
      <c r="P635" t="b">
        <v>0</v>
      </c>
      <c r="Q635" s="6">
        <v>7.8125</v>
      </c>
      <c r="R635" s="6">
        <v>0.9375</v>
      </c>
      <c r="S635" t="s">
        <v>367</v>
      </c>
      <c r="T635" t="s">
        <v>147</v>
      </c>
      <c r="U635" s="6">
        <v>7.68</v>
      </c>
      <c r="V635" s="6">
        <v>17.32</v>
      </c>
      <c r="W635" t="b">
        <v>0</v>
      </c>
      <c r="X635">
        <v>3</v>
      </c>
      <c r="Y635">
        <v>2</v>
      </c>
      <c r="Z635">
        <v>19</v>
      </c>
      <c r="AA635" s="6">
        <v>26.666666666666671</v>
      </c>
      <c r="AB635">
        <f>--PizzaDelivery[[#This Row],[Is Delayed]]</f>
        <v>0</v>
      </c>
    </row>
    <row r="636" spans="1:28">
      <c r="A636" t="s">
        <v>897</v>
      </c>
      <c r="B636" t="s">
        <v>165</v>
      </c>
      <c r="C636" t="s">
        <v>166</v>
      </c>
      <c r="D636" s="1">
        <v>45825</v>
      </c>
      <c r="E636" s="5">
        <v>0.83333333333333337</v>
      </c>
      <c r="F636" s="1">
        <v>45825</v>
      </c>
      <c r="G636" s="5">
        <v>0.85416666666666663</v>
      </c>
      <c r="H636">
        <v>30</v>
      </c>
      <c r="I636" t="s">
        <v>143</v>
      </c>
      <c r="J636" t="s">
        <v>144</v>
      </c>
      <c r="K636">
        <v>2</v>
      </c>
      <c r="L636">
        <v>4.0999999999999996</v>
      </c>
      <c r="M636" t="s">
        <v>161</v>
      </c>
      <c r="N636" t="s">
        <v>154</v>
      </c>
      <c r="O636" t="b">
        <v>1</v>
      </c>
      <c r="P636" t="b">
        <v>0</v>
      </c>
      <c r="Q636" s="6">
        <v>7.3170731707317076</v>
      </c>
      <c r="R636" s="6">
        <v>0.48780487804878048</v>
      </c>
      <c r="S636" t="s">
        <v>367</v>
      </c>
      <c r="T636" t="s">
        <v>147</v>
      </c>
      <c r="U636" s="6">
        <v>9.8399999999999981</v>
      </c>
      <c r="V636" s="6">
        <v>20.16</v>
      </c>
      <c r="W636" t="b">
        <v>0</v>
      </c>
      <c r="X636">
        <v>4</v>
      </c>
      <c r="Y636">
        <v>1</v>
      </c>
      <c r="Z636">
        <v>20</v>
      </c>
      <c r="AA636" s="6">
        <v>29.948453608247419</v>
      </c>
      <c r="AB636">
        <f>--PizzaDelivery[[#This Row],[Is Delayed]]</f>
        <v>0</v>
      </c>
    </row>
    <row r="637" spans="1:28">
      <c r="A637" t="s">
        <v>898</v>
      </c>
      <c r="B637" t="s">
        <v>149</v>
      </c>
      <c r="C637" t="s">
        <v>319</v>
      </c>
      <c r="D637" s="1">
        <v>45826</v>
      </c>
      <c r="E637" s="5">
        <v>0.73958333333333337</v>
      </c>
      <c r="F637" s="1">
        <v>45826</v>
      </c>
      <c r="G637" s="5">
        <v>0.77430555555555558</v>
      </c>
      <c r="H637">
        <v>50</v>
      </c>
      <c r="I637" t="s">
        <v>151</v>
      </c>
      <c r="J637" t="s">
        <v>152</v>
      </c>
      <c r="K637">
        <v>4</v>
      </c>
      <c r="L637">
        <v>8.3000000000000007</v>
      </c>
      <c r="M637" t="s">
        <v>153</v>
      </c>
      <c r="N637" t="s">
        <v>145</v>
      </c>
      <c r="O637" t="b">
        <v>0</v>
      </c>
      <c r="P637" t="b">
        <v>0</v>
      </c>
      <c r="Q637" s="6">
        <v>6.0240963855421681</v>
      </c>
      <c r="R637" s="6">
        <v>0.48192771084337338</v>
      </c>
      <c r="S637" t="s">
        <v>367</v>
      </c>
      <c r="T637" t="s">
        <v>147</v>
      </c>
      <c r="U637" s="6">
        <v>19.920000000000002</v>
      </c>
      <c r="V637" s="6">
        <v>30.08</v>
      </c>
      <c r="W637" t="b">
        <v>1</v>
      </c>
      <c r="X637">
        <v>12</v>
      </c>
      <c r="Y637">
        <v>3</v>
      </c>
      <c r="Z637">
        <v>17</v>
      </c>
      <c r="AA637" s="6">
        <v>28.186274509803919</v>
      </c>
      <c r="AB637">
        <f>--PizzaDelivery[[#This Row],[Is Delayed]]</f>
        <v>1</v>
      </c>
    </row>
    <row r="638" spans="1:28">
      <c r="A638" t="s">
        <v>899</v>
      </c>
      <c r="B638" t="s">
        <v>142</v>
      </c>
      <c r="C638" t="s">
        <v>317</v>
      </c>
      <c r="D638" s="1">
        <v>45826</v>
      </c>
      <c r="E638" s="5">
        <v>0.79513888888888884</v>
      </c>
      <c r="F638" s="1">
        <v>45826</v>
      </c>
      <c r="G638" s="5">
        <v>0.81944444444444442</v>
      </c>
      <c r="H638">
        <v>35</v>
      </c>
      <c r="I638" t="s">
        <v>151</v>
      </c>
      <c r="J638" t="s">
        <v>168</v>
      </c>
      <c r="K638">
        <v>4</v>
      </c>
      <c r="L638">
        <v>5.4</v>
      </c>
      <c r="M638" t="s">
        <v>143</v>
      </c>
      <c r="N638" t="s">
        <v>162</v>
      </c>
      <c r="O638" t="b">
        <v>1</v>
      </c>
      <c r="P638" t="b">
        <v>0</v>
      </c>
      <c r="Q638" s="6">
        <v>6.481481481481481</v>
      </c>
      <c r="R638" s="6">
        <v>0.7407407407407407</v>
      </c>
      <c r="S638" t="s">
        <v>367</v>
      </c>
      <c r="T638" t="s">
        <v>147</v>
      </c>
      <c r="U638" s="6">
        <v>12.96</v>
      </c>
      <c r="V638" s="6">
        <v>22.04</v>
      </c>
      <c r="W638" t="b">
        <v>1</v>
      </c>
      <c r="X638">
        <v>12</v>
      </c>
      <c r="Y638">
        <v>2</v>
      </c>
      <c r="Z638">
        <v>19</v>
      </c>
      <c r="AA638" s="6">
        <v>30.259433962264151</v>
      </c>
      <c r="AB638">
        <f>--PizzaDelivery[[#This Row],[Is Delayed]]</f>
        <v>1</v>
      </c>
    </row>
    <row r="639" spans="1:28">
      <c r="A639" t="s">
        <v>900</v>
      </c>
      <c r="B639" t="s">
        <v>173</v>
      </c>
      <c r="C639" t="s">
        <v>327</v>
      </c>
      <c r="D639" s="1">
        <v>45826</v>
      </c>
      <c r="E639" s="5">
        <v>0.83333333333333337</v>
      </c>
      <c r="F639" s="1">
        <v>45826</v>
      </c>
      <c r="G639" s="5">
        <v>0.85069444444444442</v>
      </c>
      <c r="H639">
        <v>25</v>
      </c>
      <c r="I639" t="s">
        <v>143</v>
      </c>
      <c r="J639" t="s">
        <v>152</v>
      </c>
      <c r="K639">
        <v>3</v>
      </c>
      <c r="L639">
        <v>4</v>
      </c>
      <c r="M639" t="s">
        <v>161</v>
      </c>
      <c r="N639" t="s">
        <v>154</v>
      </c>
      <c r="O639" t="b">
        <v>1</v>
      </c>
      <c r="P639" t="b">
        <v>0</v>
      </c>
      <c r="Q639" s="6">
        <v>6.25</v>
      </c>
      <c r="R639" s="6">
        <v>0.75</v>
      </c>
      <c r="S639" t="s">
        <v>367</v>
      </c>
      <c r="T639" t="s">
        <v>147</v>
      </c>
      <c r="U639" s="6">
        <v>9.6</v>
      </c>
      <c r="V639" s="6">
        <v>15.4</v>
      </c>
      <c r="W639" t="b">
        <v>0</v>
      </c>
      <c r="X639">
        <v>6</v>
      </c>
      <c r="Y639">
        <v>1</v>
      </c>
      <c r="Z639">
        <v>20</v>
      </c>
      <c r="AA639" s="6">
        <v>26.666666666666671</v>
      </c>
      <c r="AB639">
        <f>--PizzaDelivery[[#This Row],[Is Delayed]]</f>
        <v>0</v>
      </c>
    </row>
    <row r="640" spans="1:28">
      <c r="A640" t="s">
        <v>901</v>
      </c>
      <c r="B640" t="s">
        <v>165</v>
      </c>
      <c r="C640" t="s">
        <v>166</v>
      </c>
      <c r="D640" s="1">
        <v>45826</v>
      </c>
      <c r="E640" s="5">
        <v>0.875</v>
      </c>
      <c r="F640" s="1">
        <v>45826</v>
      </c>
      <c r="G640" s="5">
        <v>0.89583333333333337</v>
      </c>
      <c r="H640">
        <v>30</v>
      </c>
      <c r="I640" t="s">
        <v>143</v>
      </c>
      <c r="J640" t="s">
        <v>144</v>
      </c>
      <c r="K640">
        <v>2</v>
      </c>
      <c r="L640">
        <v>4.0999999999999996</v>
      </c>
      <c r="M640" t="s">
        <v>161</v>
      </c>
      <c r="N640" t="s">
        <v>145</v>
      </c>
      <c r="O640" t="b">
        <v>1</v>
      </c>
      <c r="P640" t="b">
        <v>0</v>
      </c>
      <c r="Q640" s="6">
        <v>7.3170731707317076</v>
      </c>
      <c r="R640" s="6">
        <v>0.48780487804878048</v>
      </c>
      <c r="S640" t="s">
        <v>367</v>
      </c>
      <c r="T640" t="s">
        <v>147</v>
      </c>
      <c r="U640" s="6">
        <v>9.8399999999999981</v>
      </c>
      <c r="V640" s="6">
        <v>20.16</v>
      </c>
      <c r="W640" t="b">
        <v>0</v>
      </c>
      <c r="X640">
        <v>4</v>
      </c>
      <c r="Y640">
        <v>1</v>
      </c>
      <c r="Z640">
        <v>21</v>
      </c>
      <c r="AA640" s="6">
        <v>29.948453608247419</v>
      </c>
      <c r="AB640">
        <f>--PizzaDelivery[[#This Row],[Is Delayed]]</f>
        <v>0</v>
      </c>
    </row>
    <row r="641" spans="1:28">
      <c r="A641" t="s">
        <v>902</v>
      </c>
      <c r="B641" t="s">
        <v>142</v>
      </c>
      <c r="C641" t="s">
        <v>150</v>
      </c>
      <c r="D641" s="1">
        <v>45827</v>
      </c>
      <c r="E641" s="5">
        <v>0.76041666666666663</v>
      </c>
      <c r="F641" s="1">
        <v>45827</v>
      </c>
      <c r="G641" s="5">
        <v>0.78819444444444442</v>
      </c>
      <c r="H641">
        <v>40</v>
      </c>
      <c r="I641" t="s">
        <v>151</v>
      </c>
      <c r="J641" t="s">
        <v>168</v>
      </c>
      <c r="K641">
        <v>5</v>
      </c>
      <c r="L641">
        <v>6.3</v>
      </c>
      <c r="M641" t="s">
        <v>143</v>
      </c>
      <c r="N641" t="s">
        <v>169</v>
      </c>
      <c r="O641" t="b">
        <v>1</v>
      </c>
      <c r="P641" t="b">
        <v>0</v>
      </c>
      <c r="Q641" s="6">
        <v>6.3492063492063497</v>
      </c>
      <c r="R641" s="6">
        <v>0.79365079365079372</v>
      </c>
      <c r="S641" t="s">
        <v>367</v>
      </c>
      <c r="T641" t="s">
        <v>171</v>
      </c>
      <c r="U641" s="6">
        <v>15.12</v>
      </c>
      <c r="V641" s="6">
        <v>24.88</v>
      </c>
      <c r="W641" t="b">
        <v>1</v>
      </c>
      <c r="X641">
        <v>15</v>
      </c>
      <c r="Y641">
        <v>2</v>
      </c>
      <c r="Z641">
        <v>18</v>
      </c>
      <c r="AA641" s="6">
        <v>30.259433962264151</v>
      </c>
      <c r="AB641">
        <f>--PizzaDelivery[[#This Row],[Is Delayed]]</f>
        <v>1</v>
      </c>
    </row>
    <row r="642" spans="1:28">
      <c r="A642" t="s">
        <v>903</v>
      </c>
      <c r="B642" t="s">
        <v>157</v>
      </c>
      <c r="C642" t="s">
        <v>192</v>
      </c>
      <c r="D642" s="1">
        <v>45827</v>
      </c>
      <c r="E642" s="5">
        <v>0.79861111111111116</v>
      </c>
      <c r="F642" s="1">
        <v>45827</v>
      </c>
      <c r="G642" s="5">
        <v>0.82986111111111116</v>
      </c>
      <c r="H642">
        <v>45</v>
      </c>
      <c r="I642" t="s">
        <v>167</v>
      </c>
      <c r="J642" t="s">
        <v>160</v>
      </c>
      <c r="K642">
        <v>2</v>
      </c>
      <c r="L642">
        <v>7</v>
      </c>
      <c r="M642" t="s">
        <v>153</v>
      </c>
      <c r="N642" t="s">
        <v>154</v>
      </c>
      <c r="O642" t="b">
        <v>1</v>
      </c>
      <c r="P642" t="b">
        <v>0</v>
      </c>
      <c r="Q642" s="6">
        <v>6.4285714285714288</v>
      </c>
      <c r="R642" s="6">
        <v>0.2857142857142857</v>
      </c>
      <c r="S642" t="s">
        <v>367</v>
      </c>
      <c r="T642" t="s">
        <v>147</v>
      </c>
      <c r="U642" s="6">
        <v>16.8</v>
      </c>
      <c r="V642" s="6">
        <v>28.2</v>
      </c>
      <c r="W642" t="b">
        <v>1</v>
      </c>
      <c r="X642">
        <v>8</v>
      </c>
      <c r="Y642">
        <v>3</v>
      </c>
      <c r="Z642">
        <v>19</v>
      </c>
      <c r="AA642" s="6">
        <v>28.844221105527641</v>
      </c>
      <c r="AB642">
        <f>--PizzaDelivery[[#This Row],[Is Delayed]]</f>
        <v>1</v>
      </c>
    </row>
    <row r="643" spans="1:28">
      <c r="A643" t="s">
        <v>904</v>
      </c>
      <c r="B643" t="s">
        <v>142</v>
      </c>
      <c r="C643" t="s">
        <v>317</v>
      </c>
      <c r="D643" s="1">
        <v>45827</v>
      </c>
      <c r="E643" s="5">
        <v>0.83333333333333337</v>
      </c>
      <c r="F643" s="1">
        <v>45827</v>
      </c>
      <c r="G643" s="5">
        <v>0.85416666666666663</v>
      </c>
      <c r="H643">
        <v>30</v>
      </c>
      <c r="I643" t="s">
        <v>151</v>
      </c>
      <c r="J643" t="s">
        <v>168</v>
      </c>
      <c r="K643">
        <v>4</v>
      </c>
      <c r="L643">
        <v>5.4</v>
      </c>
      <c r="M643" t="s">
        <v>143</v>
      </c>
      <c r="N643" t="s">
        <v>145</v>
      </c>
      <c r="O643" t="b">
        <v>1</v>
      </c>
      <c r="P643" t="b">
        <v>0</v>
      </c>
      <c r="Q643" s="6">
        <v>5.5555555555555554</v>
      </c>
      <c r="R643" s="6">
        <v>0.7407407407407407</v>
      </c>
      <c r="S643" t="s">
        <v>367</v>
      </c>
      <c r="T643" t="s">
        <v>147</v>
      </c>
      <c r="U643" s="6">
        <v>12.96</v>
      </c>
      <c r="V643" s="6">
        <v>17.04</v>
      </c>
      <c r="W643" t="b">
        <v>0</v>
      </c>
      <c r="X643">
        <v>12</v>
      </c>
      <c r="Y643">
        <v>2</v>
      </c>
      <c r="Z643">
        <v>20</v>
      </c>
      <c r="AA643" s="6">
        <v>30.259433962264151</v>
      </c>
      <c r="AB643">
        <f>--PizzaDelivery[[#This Row],[Is Delayed]]</f>
        <v>0</v>
      </c>
    </row>
    <row r="644" spans="1:28">
      <c r="A644" t="s">
        <v>905</v>
      </c>
      <c r="B644" t="s">
        <v>173</v>
      </c>
      <c r="C644" t="s">
        <v>729</v>
      </c>
      <c r="D644" s="1">
        <v>45828</v>
      </c>
      <c r="E644" s="5">
        <v>0.75694444444444442</v>
      </c>
      <c r="F644" s="1">
        <v>45828</v>
      </c>
      <c r="G644" s="5">
        <v>0.77777777777777779</v>
      </c>
      <c r="H644">
        <v>30</v>
      </c>
      <c r="I644" t="s">
        <v>159</v>
      </c>
      <c r="J644" t="s">
        <v>655</v>
      </c>
      <c r="K644">
        <v>3</v>
      </c>
      <c r="L644">
        <v>3.2</v>
      </c>
      <c r="M644" t="s">
        <v>143</v>
      </c>
      <c r="N644" t="s">
        <v>169</v>
      </c>
      <c r="O644" t="b">
        <v>1</v>
      </c>
      <c r="P644" t="b">
        <v>0</v>
      </c>
      <c r="Q644" s="6">
        <v>9.375</v>
      </c>
      <c r="R644" s="6">
        <v>0.9375</v>
      </c>
      <c r="S644" t="s">
        <v>367</v>
      </c>
      <c r="T644" t="s">
        <v>171</v>
      </c>
      <c r="U644" s="6">
        <v>7.68</v>
      </c>
      <c r="V644" s="6">
        <v>22.32</v>
      </c>
      <c r="W644" t="b">
        <v>0</v>
      </c>
      <c r="X644">
        <v>3</v>
      </c>
      <c r="Y644">
        <v>2</v>
      </c>
      <c r="Z644">
        <v>18</v>
      </c>
      <c r="AA644" s="6">
        <v>26.666666666666671</v>
      </c>
      <c r="AB644">
        <f>--PizzaDelivery[[#This Row],[Is Delayed]]</f>
        <v>0</v>
      </c>
    </row>
    <row r="645" spans="1:28">
      <c r="A645" t="s">
        <v>906</v>
      </c>
      <c r="B645" t="s">
        <v>165</v>
      </c>
      <c r="C645" t="s">
        <v>174</v>
      </c>
      <c r="D645" s="1">
        <v>45828</v>
      </c>
      <c r="E645" s="5">
        <v>0.79166666666666663</v>
      </c>
      <c r="F645" s="1">
        <v>45828</v>
      </c>
      <c r="G645" s="5">
        <v>0.8125</v>
      </c>
      <c r="H645">
        <v>30</v>
      </c>
      <c r="I645" t="s">
        <v>143</v>
      </c>
      <c r="J645" t="s">
        <v>594</v>
      </c>
      <c r="K645">
        <v>4</v>
      </c>
      <c r="L645">
        <v>5.8</v>
      </c>
      <c r="M645" t="s">
        <v>143</v>
      </c>
      <c r="N645" t="s">
        <v>145</v>
      </c>
      <c r="O645" t="b">
        <v>1</v>
      </c>
      <c r="P645" t="b">
        <v>0</v>
      </c>
      <c r="Q645" s="6">
        <v>5.1724137931034484</v>
      </c>
      <c r="R645" s="6">
        <v>0.68965517241379315</v>
      </c>
      <c r="S645" t="s">
        <v>367</v>
      </c>
      <c r="T645" t="s">
        <v>147</v>
      </c>
      <c r="U645" s="6">
        <v>13.92</v>
      </c>
      <c r="V645" s="6">
        <v>16.079999999999998</v>
      </c>
      <c r="W645" t="b">
        <v>0</v>
      </c>
      <c r="X645">
        <v>8</v>
      </c>
      <c r="Y645">
        <v>2</v>
      </c>
      <c r="Z645">
        <v>19</v>
      </c>
      <c r="AA645" s="6">
        <v>29.948453608247419</v>
      </c>
      <c r="AB645">
        <f>--PizzaDelivery[[#This Row],[Is Delayed]]</f>
        <v>0</v>
      </c>
    </row>
    <row r="646" spans="1:28">
      <c r="A646" t="s">
        <v>907</v>
      </c>
      <c r="B646" t="s">
        <v>142</v>
      </c>
      <c r="C646" t="s">
        <v>182</v>
      </c>
      <c r="D646" s="1">
        <v>45859</v>
      </c>
      <c r="E646" s="5">
        <v>0.79166666666666663</v>
      </c>
      <c r="F646" s="1">
        <v>45859</v>
      </c>
      <c r="G646" s="5">
        <v>0.82638888888888884</v>
      </c>
      <c r="H646">
        <v>50</v>
      </c>
      <c r="I646" t="s">
        <v>151</v>
      </c>
      <c r="J646" t="s">
        <v>152</v>
      </c>
      <c r="K646">
        <v>4</v>
      </c>
      <c r="L646">
        <v>10</v>
      </c>
      <c r="M646" t="s">
        <v>153</v>
      </c>
      <c r="N646" t="s">
        <v>145</v>
      </c>
      <c r="O646" t="b">
        <v>1</v>
      </c>
      <c r="P646" t="b">
        <v>0</v>
      </c>
      <c r="Q646" s="6">
        <v>5</v>
      </c>
      <c r="R646" s="6">
        <v>0.4</v>
      </c>
      <c r="S646" t="s">
        <v>379</v>
      </c>
      <c r="T646" t="s">
        <v>147</v>
      </c>
      <c r="U646" s="6">
        <v>24</v>
      </c>
      <c r="V646" s="6">
        <v>26</v>
      </c>
      <c r="W646" t="b">
        <v>1</v>
      </c>
      <c r="X646">
        <v>12</v>
      </c>
      <c r="Y646">
        <v>3</v>
      </c>
      <c r="Z646">
        <v>19</v>
      </c>
      <c r="AA646" s="6">
        <v>30.259433962264151</v>
      </c>
      <c r="AB646">
        <f>--PizzaDelivery[[#This Row],[Is Delayed]]</f>
        <v>1</v>
      </c>
    </row>
    <row r="647" spans="1:28">
      <c r="A647" t="s">
        <v>908</v>
      </c>
      <c r="B647" t="s">
        <v>149</v>
      </c>
      <c r="C647" t="s">
        <v>329</v>
      </c>
      <c r="D647" s="1">
        <v>45860</v>
      </c>
      <c r="E647" s="5">
        <v>0.83333333333333337</v>
      </c>
      <c r="F647" s="1">
        <v>45860</v>
      </c>
      <c r="G647" s="5">
        <v>0.85763888888888884</v>
      </c>
      <c r="H647">
        <v>35</v>
      </c>
      <c r="I647" t="s">
        <v>143</v>
      </c>
      <c r="J647" t="s">
        <v>591</v>
      </c>
      <c r="K647">
        <v>3</v>
      </c>
      <c r="L647">
        <v>5.5</v>
      </c>
      <c r="M647" t="s">
        <v>143</v>
      </c>
      <c r="N647" t="s">
        <v>154</v>
      </c>
      <c r="O647" t="b">
        <v>1</v>
      </c>
      <c r="P647" t="b">
        <v>0</v>
      </c>
      <c r="Q647" s="6">
        <v>6.3636363636363633</v>
      </c>
      <c r="R647" s="6">
        <v>0.54545454545454541</v>
      </c>
      <c r="S647" t="s">
        <v>379</v>
      </c>
      <c r="T647" t="s">
        <v>147</v>
      </c>
      <c r="U647" s="6">
        <v>13.2</v>
      </c>
      <c r="V647" s="6">
        <v>21.8</v>
      </c>
      <c r="W647" t="b">
        <v>1</v>
      </c>
      <c r="X647">
        <v>6</v>
      </c>
      <c r="Y647">
        <v>2</v>
      </c>
      <c r="Z647">
        <v>20</v>
      </c>
      <c r="AA647" s="6">
        <v>28.186274509803919</v>
      </c>
      <c r="AB647">
        <f>--PizzaDelivery[[#This Row],[Is Delayed]]</f>
        <v>1</v>
      </c>
    </row>
    <row r="648" spans="1:28">
      <c r="A648" t="s">
        <v>909</v>
      </c>
      <c r="B648" t="s">
        <v>165</v>
      </c>
      <c r="C648" t="s">
        <v>190</v>
      </c>
      <c r="D648" s="1">
        <v>45861</v>
      </c>
      <c r="E648" s="5">
        <v>0.77083333333333337</v>
      </c>
      <c r="F648" s="1">
        <v>45861</v>
      </c>
      <c r="G648" s="5">
        <v>0.78472222222222221</v>
      </c>
      <c r="H648">
        <v>20</v>
      </c>
      <c r="I648" t="s">
        <v>159</v>
      </c>
      <c r="J648" t="s">
        <v>160</v>
      </c>
      <c r="K648">
        <v>2</v>
      </c>
      <c r="L648">
        <v>2</v>
      </c>
      <c r="M648" t="s">
        <v>161</v>
      </c>
      <c r="N648" t="s">
        <v>162</v>
      </c>
      <c r="O648" t="b">
        <v>1</v>
      </c>
      <c r="P648" t="b">
        <v>0</v>
      </c>
      <c r="Q648" s="6">
        <v>10</v>
      </c>
      <c r="R648" s="6">
        <v>1</v>
      </c>
      <c r="S648" t="s">
        <v>379</v>
      </c>
      <c r="T648" t="s">
        <v>147</v>
      </c>
      <c r="U648" s="6">
        <v>4.8</v>
      </c>
      <c r="V648" s="6">
        <v>15.2</v>
      </c>
      <c r="W648" t="b">
        <v>0</v>
      </c>
      <c r="X648">
        <v>2</v>
      </c>
      <c r="Y648">
        <v>1</v>
      </c>
      <c r="Z648">
        <v>18</v>
      </c>
      <c r="AA648" s="6">
        <v>29.948453608247419</v>
      </c>
      <c r="AB648">
        <f>--PizzaDelivery[[#This Row],[Is Delayed]]</f>
        <v>0</v>
      </c>
    </row>
    <row r="649" spans="1:28">
      <c r="A649" t="s">
        <v>910</v>
      </c>
      <c r="B649" t="s">
        <v>157</v>
      </c>
      <c r="C649" t="s">
        <v>192</v>
      </c>
      <c r="D649" s="1">
        <v>45862</v>
      </c>
      <c r="E649" s="5">
        <v>0.82291666666666663</v>
      </c>
      <c r="F649" s="1">
        <v>45862</v>
      </c>
      <c r="G649" s="5">
        <v>0.85069444444444442</v>
      </c>
      <c r="H649">
        <v>40</v>
      </c>
      <c r="I649" t="s">
        <v>167</v>
      </c>
      <c r="J649" t="s">
        <v>168</v>
      </c>
      <c r="K649">
        <v>5</v>
      </c>
      <c r="L649">
        <v>8</v>
      </c>
      <c r="M649" t="s">
        <v>153</v>
      </c>
      <c r="N649" t="s">
        <v>145</v>
      </c>
      <c r="O649" t="b">
        <v>1</v>
      </c>
      <c r="P649" t="b">
        <v>0</v>
      </c>
      <c r="Q649" s="6">
        <v>5</v>
      </c>
      <c r="R649" s="6">
        <v>0.625</v>
      </c>
      <c r="S649" t="s">
        <v>379</v>
      </c>
      <c r="T649" t="s">
        <v>147</v>
      </c>
      <c r="U649" s="6">
        <v>19.2</v>
      </c>
      <c r="V649" s="6">
        <v>20.8</v>
      </c>
      <c r="W649" t="b">
        <v>1</v>
      </c>
      <c r="X649">
        <v>20</v>
      </c>
      <c r="Y649">
        <v>3</v>
      </c>
      <c r="Z649">
        <v>19</v>
      </c>
      <c r="AA649" s="6">
        <v>28.844221105527641</v>
      </c>
      <c r="AB649">
        <f>--PizzaDelivery[[#This Row],[Is Delayed]]</f>
        <v>1</v>
      </c>
    </row>
    <row r="650" spans="1:28">
      <c r="A650" t="s">
        <v>911</v>
      </c>
      <c r="B650" t="s">
        <v>173</v>
      </c>
      <c r="C650" t="s">
        <v>194</v>
      </c>
      <c r="D650" s="1">
        <v>45863</v>
      </c>
      <c r="E650" s="5">
        <v>0.76041666666666663</v>
      </c>
      <c r="F650" s="1">
        <v>45863</v>
      </c>
      <c r="G650" s="5">
        <v>0.78125</v>
      </c>
      <c r="H650">
        <v>30</v>
      </c>
      <c r="I650" t="s">
        <v>143</v>
      </c>
      <c r="J650" t="s">
        <v>655</v>
      </c>
      <c r="K650">
        <v>3</v>
      </c>
      <c r="L650">
        <v>4</v>
      </c>
      <c r="M650" t="s">
        <v>143</v>
      </c>
      <c r="N650" t="s">
        <v>162</v>
      </c>
      <c r="O650" t="b">
        <v>1</v>
      </c>
      <c r="P650" t="b">
        <v>0</v>
      </c>
      <c r="Q650" s="6">
        <v>7.5</v>
      </c>
      <c r="R650" s="6">
        <v>0.75</v>
      </c>
      <c r="S650" t="s">
        <v>379</v>
      </c>
      <c r="T650" t="s">
        <v>147</v>
      </c>
      <c r="U650" s="6">
        <v>9.6</v>
      </c>
      <c r="V650" s="6">
        <v>20.399999999999999</v>
      </c>
      <c r="W650" t="b">
        <v>0</v>
      </c>
      <c r="X650">
        <v>6</v>
      </c>
      <c r="Y650">
        <v>2</v>
      </c>
      <c r="Z650">
        <v>18</v>
      </c>
      <c r="AA650" s="6">
        <v>30.286458333333329</v>
      </c>
      <c r="AB650">
        <f>--PizzaDelivery[[#This Row],[Is Delayed]]</f>
        <v>0</v>
      </c>
    </row>
    <row r="651" spans="1:28">
      <c r="A651" t="s">
        <v>912</v>
      </c>
      <c r="B651" t="s">
        <v>142</v>
      </c>
      <c r="C651" t="s">
        <v>690</v>
      </c>
      <c r="D651" s="1">
        <v>45864</v>
      </c>
      <c r="E651" s="5">
        <v>0.8125</v>
      </c>
      <c r="F651" s="1">
        <v>45864</v>
      </c>
      <c r="G651" s="5">
        <v>0.84027777777777779</v>
      </c>
      <c r="H651">
        <v>40</v>
      </c>
      <c r="I651" t="s">
        <v>151</v>
      </c>
      <c r="J651" t="s">
        <v>657</v>
      </c>
      <c r="K651">
        <v>4</v>
      </c>
      <c r="L651">
        <v>6.5</v>
      </c>
      <c r="M651" t="s">
        <v>153</v>
      </c>
      <c r="N651" t="s">
        <v>169</v>
      </c>
      <c r="O651" t="b">
        <v>1</v>
      </c>
      <c r="P651" t="b">
        <v>1</v>
      </c>
      <c r="Q651" s="6">
        <v>6.1538461538461542</v>
      </c>
      <c r="R651" s="6">
        <v>0.61538461538461542</v>
      </c>
      <c r="S651" t="s">
        <v>379</v>
      </c>
      <c r="T651" t="s">
        <v>171</v>
      </c>
      <c r="U651" s="6">
        <v>15.6</v>
      </c>
      <c r="V651" s="6">
        <v>24.4</v>
      </c>
      <c r="W651" t="b">
        <v>1</v>
      </c>
      <c r="X651">
        <v>12</v>
      </c>
      <c r="Y651">
        <v>3</v>
      </c>
      <c r="Z651">
        <v>19</v>
      </c>
      <c r="AA651" s="6">
        <v>30.259433962264151</v>
      </c>
      <c r="AB651">
        <f>--PizzaDelivery[[#This Row],[Is Delayed]]</f>
        <v>1</v>
      </c>
    </row>
    <row r="652" spans="1:28">
      <c r="A652" t="s">
        <v>913</v>
      </c>
      <c r="B652" t="s">
        <v>149</v>
      </c>
      <c r="C652" t="s">
        <v>333</v>
      </c>
      <c r="D652" s="1">
        <v>45865</v>
      </c>
      <c r="E652" s="5">
        <v>0.86458333333333337</v>
      </c>
      <c r="F652" s="1">
        <v>45865</v>
      </c>
      <c r="G652" s="5">
        <v>0.88541666666666663</v>
      </c>
      <c r="H652">
        <v>30</v>
      </c>
      <c r="I652" t="s">
        <v>143</v>
      </c>
      <c r="J652" t="s">
        <v>144</v>
      </c>
      <c r="K652">
        <v>2</v>
      </c>
      <c r="L652">
        <v>3.5</v>
      </c>
      <c r="M652" t="s">
        <v>161</v>
      </c>
      <c r="N652" t="s">
        <v>145</v>
      </c>
      <c r="O652" t="b">
        <v>1</v>
      </c>
      <c r="P652" t="b">
        <v>1</v>
      </c>
      <c r="Q652" s="6">
        <v>8.5714285714285712</v>
      </c>
      <c r="R652" s="6">
        <v>0.5714285714285714</v>
      </c>
      <c r="S652" t="s">
        <v>379</v>
      </c>
      <c r="T652" t="s">
        <v>147</v>
      </c>
      <c r="U652" s="6">
        <v>8.4</v>
      </c>
      <c r="V652" s="6">
        <v>21.6</v>
      </c>
      <c r="W652" t="b">
        <v>0</v>
      </c>
      <c r="X652">
        <v>4</v>
      </c>
      <c r="Y652">
        <v>1</v>
      </c>
      <c r="Z652">
        <v>20</v>
      </c>
      <c r="AA652" s="6">
        <v>28.186274509803919</v>
      </c>
      <c r="AB652">
        <f>--PizzaDelivery[[#This Row],[Is Delayed]]</f>
        <v>0</v>
      </c>
    </row>
    <row r="653" spans="1:28">
      <c r="A653" t="s">
        <v>914</v>
      </c>
      <c r="B653" t="s">
        <v>165</v>
      </c>
      <c r="C653" t="s">
        <v>335</v>
      </c>
      <c r="D653" s="1">
        <v>45866</v>
      </c>
      <c r="E653" s="5">
        <v>0.75</v>
      </c>
      <c r="F653" s="1">
        <v>45866</v>
      </c>
      <c r="G653" s="5">
        <v>0.77083333333333337</v>
      </c>
      <c r="H653">
        <v>30</v>
      </c>
      <c r="I653" t="s">
        <v>151</v>
      </c>
      <c r="J653" t="s">
        <v>152</v>
      </c>
      <c r="K653">
        <v>4</v>
      </c>
      <c r="L653">
        <v>5</v>
      </c>
      <c r="M653" t="s">
        <v>143</v>
      </c>
      <c r="N653" t="s">
        <v>154</v>
      </c>
      <c r="O653" t="b">
        <v>1</v>
      </c>
      <c r="P653" t="b">
        <v>0</v>
      </c>
      <c r="Q653" s="6">
        <v>6</v>
      </c>
      <c r="R653" s="6">
        <v>0.8</v>
      </c>
      <c r="S653" t="s">
        <v>379</v>
      </c>
      <c r="T653" t="s">
        <v>147</v>
      </c>
      <c r="U653" s="6">
        <v>12</v>
      </c>
      <c r="V653" s="6">
        <v>18</v>
      </c>
      <c r="W653" t="b">
        <v>0</v>
      </c>
      <c r="X653">
        <v>12</v>
      </c>
      <c r="Y653">
        <v>2</v>
      </c>
      <c r="Z653">
        <v>18</v>
      </c>
      <c r="AA653" s="6">
        <v>29.948453608247419</v>
      </c>
      <c r="AB653">
        <f>--PizzaDelivery[[#This Row],[Is Delayed]]</f>
        <v>0</v>
      </c>
    </row>
    <row r="654" spans="1:28">
      <c r="A654" t="s">
        <v>915</v>
      </c>
      <c r="B654" t="s">
        <v>157</v>
      </c>
      <c r="C654" t="s">
        <v>687</v>
      </c>
      <c r="D654" s="1">
        <v>45867</v>
      </c>
      <c r="E654" s="5">
        <v>0.80208333333333337</v>
      </c>
      <c r="F654" s="1">
        <v>45867</v>
      </c>
      <c r="G654" s="5">
        <v>0.82986111111111116</v>
      </c>
      <c r="H654">
        <v>40</v>
      </c>
      <c r="I654" t="s">
        <v>167</v>
      </c>
      <c r="J654" t="s">
        <v>168</v>
      </c>
      <c r="K654">
        <v>5</v>
      </c>
      <c r="L654">
        <v>7</v>
      </c>
      <c r="M654" t="s">
        <v>153</v>
      </c>
      <c r="N654" t="s">
        <v>145</v>
      </c>
      <c r="O654" t="b">
        <v>1</v>
      </c>
      <c r="P654" t="b">
        <v>0</v>
      </c>
      <c r="Q654" s="6">
        <v>5.7142857142857144</v>
      </c>
      <c r="R654" s="6">
        <v>0.7142857142857143</v>
      </c>
      <c r="S654" t="s">
        <v>379</v>
      </c>
      <c r="T654" t="s">
        <v>147</v>
      </c>
      <c r="U654" s="6">
        <v>16.8</v>
      </c>
      <c r="V654" s="6">
        <v>23.2</v>
      </c>
      <c r="W654" t="b">
        <v>1</v>
      </c>
      <c r="X654">
        <v>20</v>
      </c>
      <c r="Y654">
        <v>3</v>
      </c>
      <c r="Z654">
        <v>19</v>
      </c>
      <c r="AA654" s="6">
        <v>28.844221105527641</v>
      </c>
      <c r="AB654">
        <f>--PizzaDelivery[[#This Row],[Is Delayed]]</f>
        <v>1</v>
      </c>
    </row>
    <row r="655" spans="1:28">
      <c r="A655" t="s">
        <v>916</v>
      </c>
      <c r="B655" t="s">
        <v>173</v>
      </c>
      <c r="C655" t="s">
        <v>819</v>
      </c>
      <c r="D655" s="1">
        <v>45868</v>
      </c>
      <c r="E655" s="5">
        <v>0.85416666666666663</v>
      </c>
      <c r="F655" s="1">
        <v>45868</v>
      </c>
      <c r="G655" s="5">
        <v>0.875</v>
      </c>
      <c r="H655">
        <v>30</v>
      </c>
      <c r="I655" t="s">
        <v>143</v>
      </c>
      <c r="J655" t="s">
        <v>160</v>
      </c>
      <c r="K655">
        <v>2</v>
      </c>
      <c r="L655">
        <v>4</v>
      </c>
      <c r="M655" t="s">
        <v>143</v>
      </c>
      <c r="N655" t="s">
        <v>162</v>
      </c>
      <c r="O655" t="b">
        <v>1</v>
      </c>
      <c r="P655" t="b">
        <v>0</v>
      </c>
      <c r="Q655" s="6">
        <v>7.5</v>
      </c>
      <c r="R655" s="6">
        <v>0.5</v>
      </c>
      <c r="S655" t="s">
        <v>379</v>
      </c>
      <c r="T655" t="s">
        <v>147</v>
      </c>
      <c r="U655" s="6">
        <v>9.6</v>
      </c>
      <c r="V655" s="6">
        <v>20.399999999999999</v>
      </c>
      <c r="W655" t="b">
        <v>0</v>
      </c>
      <c r="X655">
        <v>4</v>
      </c>
      <c r="Y655">
        <v>2</v>
      </c>
      <c r="Z655">
        <v>20</v>
      </c>
      <c r="AA655" s="6">
        <v>30.286458333333329</v>
      </c>
      <c r="AB655">
        <f>--PizzaDelivery[[#This Row],[Is Delayed]]</f>
        <v>0</v>
      </c>
    </row>
    <row r="656" spans="1:28">
      <c r="A656" t="s">
        <v>917</v>
      </c>
      <c r="B656" t="s">
        <v>142</v>
      </c>
      <c r="C656" t="s">
        <v>693</v>
      </c>
      <c r="D656" s="1">
        <v>45869</v>
      </c>
      <c r="E656" s="5">
        <v>0.78125</v>
      </c>
      <c r="F656" s="1">
        <v>45869</v>
      </c>
      <c r="G656" s="5">
        <v>0.80902777777777779</v>
      </c>
      <c r="H656">
        <v>40</v>
      </c>
      <c r="I656" t="s">
        <v>151</v>
      </c>
      <c r="J656" t="s">
        <v>152</v>
      </c>
      <c r="K656">
        <v>4</v>
      </c>
      <c r="L656">
        <v>6</v>
      </c>
      <c r="M656" t="s">
        <v>153</v>
      </c>
      <c r="N656" t="s">
        <v>342</v>
      </c>
      <c r="O656" t="b">
        <v>1</v>
      </c>
      <c r="P656" t="b">
        <v>0</v>
      </c>
      <c r="Q656" s="6">
        <v>6.666666666666667</v>
      </c>
      <c r="R656" s="6">
        <v>0.66666666666666663</v>
      </c>
      <c r="S656" t="s">
        <v>379</v>
      </c>
      <c r="T656" t="s">
        <v>171</v>
      </c>
      <c r="U656" s="6">
        <v>14.4</v>
      </c>
      <c r="V656" s="6">
        <v>25.6</v>
      </c>
      <c r="W656" t="b">
        <v>1</v>
      </c>
      <c r="X656">
        <v>12</v>
      </c>
      <c r="Y656">
        <v>3</v>
      </c>
      <c r="Z656">
        <v>18</v>
      </c>
      <c r="AA656" s="6">
        <v>30.259433962264151</v>
      </c>
      <c r="AB656">
        <f>--PizzaDelivery[[#This Row],[Is Delayed]]</f>
        <v>1</v>
      </c>
    </row>
    <row r="657" spans="1:28">
      <c r="A657" t="s">
        <v>918</v>
      </c>
      <c r="B657" t="s">
        <v>149</v>
      </c>
      <c r="C657" t="s">
        <v>339</v>
      </c>
      <c r="D657" s="1">
        <v>45870</v>
      </c>
      <c r="E657" s="5">
        <v>0.83333333333333337</v>
      </c>
      <c r="F657" s="1">
        <v>45870</v>
      </c>
      <c r="G657" s="5">
        <v>0.85416666666666663</v>
      </c>
      <c r="H657">
        <v>30</v>
      </c>
      <c r="I657" t="s">
        <v>143</v>
      </c>
      <c r="J657" t="s">
        <v>591</v>
      </c>
      <c r="K657">
        <v>3</v>
      </c>
      <c r="L657">
        <v>5</v>
      </c>
      <c r="M657" t="s">
        <v>143</v>
      </c>
      <c r="N657" t="s">
        <v>154</v>
      </c>
      <c r="O657" t="b">
        <v>1</v>
      </c>
      <c r="P657" t="b">
        <v>0</v>
      </c>
      <c r="Q657" s="6">
        <v>6</v>
      </c>
      <c r="R657" s="6">
        <v>0.6</v>
      </c>
      <c r="S657" t="s">
        <v>304</v>
      </c>
      <c r="T657" t="s">
        <v>147</v>
      </c>
      <c r="U657" s="6">
        <v>12</v>
      </c>
      <c r="V657" s="6">
        <v>18</v>
      </c>
      <c r="W657" t="b">
        <v>0</v>
      </c>
      <c r="X657">
        <v>6</v>
      </c>
      <c r="Y657">
        <v>2</v>
      </c>
      <c r="Z657">
        <v>20</v>
      </c>
      <c r="AA657" s="6">
        <v>28.186274509803919</v>
      </c>
      <c r="AB657">
        <f>--PizzaDelivery[[#This Row],[Is Delayed]]</f>
        <v>0</v>
      </c>
    </row>
    <row r="658" spans="1:28">
      <c r="A658" t="s">
        <v>919</v>
      </c>
      <c r="B658" t="s">
        <v>165</v>
      </c>
      <c r="C658" t="s">
        <v>695</v>
      </c>
      <c r="D658" s="1">
        <v>45871</v>
      </c>
      <c r="E658" s="5">
        <v>0.77083333333333337</v>
      </c>
      <c r="F658" s="1">
        <v>45871</v>
      </c>
      <c r="G658" s="5">
        <v>0.79166666666666663</v>
      </c>
      <c r="H658">
        <v>30</v>
      </c>
      <c r="I658" t="s">
        <v>159</v>
      </c>
      <c r="J658" t="s">
        <v>160</v>
      </c>
      <c r="K658">
        <v>2</v>
      </c>
      <c r="L658">
        <v>3</v>
      </c>
      <c r="M658" t="s">
        <v>161</v>
      </c>
      <c r="N658" t="s">
        <v>162</v>
      </c>
      <c r="O658" t="b">
        <v>1</v>
      </c>
      <c r="P658" t="b">
        <v>1</v>
      </c>
      <c r="Q658" s="6">
        <v>10</v>
      </c>
      <c r="R658" s="6">
        <v>0.66666666666666663</v>
      </c>
      <c r="S658" t="s">
        <v>304</v>
      </c>
      <c r="T658" t="s">
        <v>147</v>
      </c>
      <c r="U658" s="6">
        <v>7.1999999999999993</v>
      </c>
      <c r="V658" s="6">
        <v>22.8</v>
      </c>
      <c r="W658" t="b">
        <v>0</v>
      </c>
      <c r="X658">
        <v>2</v>
      </c>
      <c r="Y658">
        <v>1</v>
      </c>
      <c r="Z658">
        <v>18</v>
      </c>
      <c r="AA658" s="6">
        <v>29.948453608247419</v>
      </c>
      <c r="AB658">
        <f>--PizzaDelivery[[#This Row],[Is Delayed]]</f>
        <v>0</v>
      </c>
    </row>
    <row r="659" spans="1:28">
      <c r="A659" t="s">
        <v>920</v>
      </c>
      <c r="B659" t="s">
        <v>157</v>
      </c>
      <c r="C659" t="s">
        <v>697</v>
      </c>
      <c r="D659" s="1">
        <v>45872</v>
      </c>
      <c r="E659" s="5">
        <v>0.82291666666666663</v>
      </c>
      <c r="F659" s="1">
        <v>45872</v>
      </c>
      <c r="G659" s="5">
        <v>0.85069444444444442</v>
      </c>
      <c r="H659">
        <v>40</v>
      </c>
      <c r="I659" t="s">
        <v>167</v>
      </c>
      <c r="J659" t="s">
        <v>594</v>
      </c>
      <c r="K659">
        <v>5</v>
      </c>
      <c r="L659">
        <v>8</v>
      </c>
      <c r="M659" t="s">
        <v>153</v>
      </c>
      <c r="N659" t="s">
        <v>145</v>
      </c>
      <c r="O659" t="b">
        <v>1</v>
      </c>
      <c r="P659" t="b">
        <v>1</v>
      </c>
      <c r="Q659" s="6">
        <v>5</v>
      </c>
      <c r="R659" s="6">
        <v>0.625</v>
      </c>
      <c r="S659" t="s">
        <v>304</v>
      </c>
      <c r="T659" t="s">
        <v>147</v>
      </c>
      <c r="U659" s="6">
        <v>19.2</v>
      </c>
      <c r="V659" s="6">
        <v>20.8</v>
      </c>
      <c r="W659" t="b">
        <v>1</v>
      </c>
      <c r="X659">
        <v>20</v>
      </c>
      <c r="Y659">
        <v>3</v>
      </c>
      <c r="Z659">
        <v>19</v>
      </c>
      <c r="AA659" s="6">
        <v>28.844221105527641</v>
      </c>
      <c r="AB659">
        <f>--PizzaDelivery[[#This Row],[Is Delayed]]</f>
        <v>1</v>
      </c>
    </row>
    <row r="660" spans="1:28">
      <c r="A660" t="s">
        <v>921</v>
      </c>
      <c r="B660" t="s">
        <v>173</v>
      </c>
      <c r="C660" t="s">
        <v>699</v>
      </c>
      <c r="D660" s="1">
        <v>45873</v>
      </c>
      <c r="E660" s="5">
        <v>0.75</v>
      </c>
      <c r="F660" s="1">
        <v>45873</v>
      </c>
      <c r="G660" s="5">
        <v>0.77083333333333337</v>
      </c>
      <c r="H660">
        <v>30</v>
      </c>
      <c r="I660" t="s">
        <v>143</v>
      </c>
      <c r="J660" t="s">
        <v>152</v>
      </c>
      <c r="K660">
        <v>3</v>
      </c>
      <c r="L660">
        <v>4</v>
      </c>
      <c r="M660" t="s">
        <v>143</v>
      </c>
      <c r="N660" t="s">
        <v>162</v>
      </c>
      <c r="O660" t="b">
        <v>1</v>
      </c>
      <c r="P660" t="b">
        <v>0</v>
      </c>
      <c r="Q660" s="6">
        <v>7.5</v>
      </c>
      <c r="R660" s="6">
        <v>0.75</v>
      </c>
      <c r="S660" t="s">
        <v>304</v>
      </c>
      <c r="T660" t="s">
        <v>147</v>
      </c>
      <c r="U660" s="6">
        <v>9.6</v>
      </c>
      <c r="V660" s="6">
        <v>20.399999999999999</v>
      </c>
      <c r="W660" t="b">
        <v>0</v>
      </c>
      <c r="X660">
        <v>6</v>
      </c>
      <c r="Y660">
        <v>2</v>
      </c>
      <c r="Z660">
        <v>18</v>
      </c>
      <c r="AA660" s="6">
        <v>30.286458333333329</v>
      </c>
      <c r="AB660">
        <f>--PizzaDelivery[[#This Row],[Is Delayed]]</f>
        <v>0</v>
      </c>
    </row>
    <row r="661" spans="1:28">
      <c r="A661" t="s">
        <v>922</v>
      </c>
      <c r="B661" t="s">
        <v>142</v>
      </c>
      <c r="C661" t="s">
        <v>701</v>
      </c>
      <c r="D661" s="1">
        <v>45874</v>
      </c>
      <c r="E661" s="5">
        <v>0.80208333333333337</v>
      </c>
      <c r="F661" s="1">
        <v>45874</v>
      </c>
      <c r="G661" s="5">
        <v>0.82986111111111116</v>
      </c>
      <c r="H661">
        <v>40</v>
      </c>
      <c r="I661" t="s">
        <v>151</v>
      </c>
      <c r="J661" t="s">
        <v>144</v>
      </c>
      <c r="K661">
        <v>4</v>
      </c>
      <c r="L661">
        <v>6</v>
      </c>
      <c r="M661" t="s">
        <v>153</v>
      </c>
      <c r="N661" t="s">
        <v>169</v>
      </c>
      <c r="O661" t="b">
        <v>1</v>
      </c>
      <c r="P661" t="b">
        <v>0</v>
      </c>
      <c r="Q661" s="6">
        <v>6.666666666666667</v>
      </c>
      <c r="R661" s="6">
        <v>0.66666666666666663</v>
      </c>
      <c r="S661" t="s">
        <v>304</v>
      </c>
      <c r="T661" t="s">
        <v>171</v>
      </c>
      <c r="U661" s="6">
        <v>14.4</v>
      </c>
      <c r="V661" s="6">
        <v>25.6</v>
      </c>
      <c r="W661" t="b">
        <v>1</v>
      </c>
      <c r="X661">
        <v>12</v>
      </c>
      <c r="Y661">
        <v>3</v>
      </c>
      <c r="Z661">
        <v>19</v>
      </c>
      <c r="AA661" s="6">
        <v>30.259433962264151</v>
      </c>
      <c r="AB661">
        <f>--PizzaDelivery[[#This Row],[Is Delayed]]</f>
        <v>1</v>
      </c>
    </row>
    <row r="662" spans="1:28">
      <c r="A662" t="s">
        <v>923</v>
      </c>
      <c r="B662" t="s">
        <v>149</v>
      </c>
      <c r="C662" t="s">
        <v>703</v>
      </c>
      <c r="D662" s="1">
        <v>45875</v>
      </c>
      <c r="E662" s="5">
        <v>0.85416666666666663</v>
      </c>
      <c r="F662" s="1">
        <v>45875</v>
      </c>
      <c r="G662" s="5">
        <v>0.875</v>
      </c>
      <c r="H662">
        <v>30</v>
      </c>
      <c r="I662" t="s">
        <v>143</v>
      </c>
      <c r="J662" t="s">
        <v>144</v>
      </c>
      <c r="K662">
        <v>2</v>
      </c>
      <c r="L662">
        <v>3.5</v>
      </c>
      <c r="M662" t="s">
        <v>161</v>
      </c>
      <c r="N662" t="s">
        <v>145</v>
      </c>
      <c r="O662" t="b">
        <v>1</v>
      </c>
      <c r="P662" t="b">
        <v>0</v>
      </c>
      <c r="Q662" s="6">
        <v>8.5714285714285712</v>
      </c>
      <c r="R662" s="6">
        <v>0.5714285714285714</v>
      </c>
      <c r="S662" t="s">
        <v>304</v>
      </c>
      <c r="T662" t="s">
        <v>147</v>
      </c>
      <c r="U662" s="6">
        <v>8.4</v>
      </c>
      <c r="V662" s="6">
        <v>21.6</v>
      </c>
      <c r="W662" t="b">
        <v>0</v>
      </c>
      <c r="X662">
        <v>4</v>
      </c>
      <c r="Y662">
        <v>1</v>
      </c>
      <c r="Z662">
        <v>20</v>
      </c>
      <c r="AA662" s="6">
        <v>28.186274509803919</v>
      </c>
      <c r="AB662">
        <f>--PizzaDelivery[[#This Row],[Is Delayed]]</f>
        <v>0</v>
      </c>
    </row>
    <row r="663" spans="1:28">
      <c r="A663" t="s">
        <v>924</v>
      </c>
      <c r="B663" t="s">
        <v>165</v>
      </c>
      <c r="C663" t="s">
        <v>705</v>
      </c>
      <c r="D663" s="1">
        <v>45876</v>
      </c>
      <c r="E663" s="5">
        <v>0.78125</v>
      </c>
      <c r="F663" s="1">
        <v>45876</v>
      </c>
      <c r="G663" s="5">
        <v>0.80208333333333337</v>
      </c>
      <c r="H663">
        <v>30</v>
      </c>
      <c r="I663" t="s">
        <v>151</v>
      </c>
      <c r="J663" t="s">
        <v>152</v>
      </c>
      <c r="K663">
        <v>4</v>
      </c>
      <c r="L663">
        <v>5.5</v>
      </c>
      <c r="M663" t="s">
        <v>143</v>
      </c>
      <c r="N663" t="s">
        <v>154</v>
      </c>
      <c r="O663" t="b">
        <v>1</v>
      </c>
      <c r="P663" t="b">
        <v>0</v>
      </c>
      <c r="Q663" s="6">
        <v>5.4545454545454541</v>
      </c>
      <c r="R663" s="6">
        <v>0.72727272727272729</v>
      </c>
      <c r="S663" t="s">
        <v>304</v>
      </c>
      <c r="T663" t="s">
        <v>147</v>
      </c>
      <c r="U663" s="6">
        <v>13.2</v>
      </c>
      <c r="V663" s="6">
        <v>16.8</v>
      </c>
      <c r="W663" t="b">
        <v>0</v>
      </c>
      <c r="X663">
        <v>12</v>
      </c>
      <c r="Y663">
        <v>2</v>
      </c>
      <c r="Z663">
        <v>18</v>
      </c>
      <c r="AA663" s="6">
        <v>29.948453608247419</v>
      </c>
      <c r="AB663">
        <f>--PizzaDelivery[[#This Row],[Is Delayed]]</f>
        <v>0</v>
      </c>
    </row>
    <row r="664" spans="1:28">
      <c r="A664" t="s">
        <v>925</v>
      </c>
      <c r="B664" t="s">
        <v>157</v>
      </c>
      <c r="C664" t="s">
        <v>709</v>
      </c>
      <c r="D664" s="1">
        <v>45877</v>
      </c>
      <c r="E664" s="5">
        <v>0.83333333333333337</v>
      </c>
      <c r="F664" s="1">
        <v>45877</v>
      </c>
      <c r="G664" s="5">
        <v>0.86111111111111116</v>
      </c>
      <c r="H664">
        <v>40</v>
      </c>
      <c r="I664" t="s">
        <v>167</v>
      </c>
      <c r="J664" t="s">
        <v>168</v>
      </c>
      <c r="K664">
        <v>5</v>
      </c>
      <c r="L664">
        <v>7.5</v>
      </c>
      <c r="M664" t="s">
        <v>153</v>
      </c>
      <c r="N664" t="s">
        <v>145</v>
      </c>
      <c r="O664" t="b">
        <v>1</v>
      </c>
      <c r="P664" t="b">
        <v>0</v>
      </c>
      <c r="Q664" s="6">
        <v>5.333333333333333</v>
      </c>
      <c r="R664" s="6">
        <v>0.66666666666666663</v>
      </c>
      <c r="S664" t="s">
        <v>304</v>
      </c>
      <c r="T664" t="s">
        <v>147</v>
      </c>
      <c r="U664" s="6">
        <v>18</v>
      </c>
      <c r="V664" s="6">
        <v>22</v>
      </c>
      <c r="W664" t="b">
        <v>1</v>
      </c>
      <c r="X664">
        <v>20</v>
      </c>
      <c r="Y664">
        <v>3</v>
      </c>
      <c r="Z664">
        <v>20</v>
      </c>
      <c r="AA664" s="6">
        <v>28.844221105527641</v>
      </c>
      <c r="AB664">
        <f>--PizzaDelivery[[#This Row],[Is Delayed]]</f>
        <v>1</v>
      </c>
    </row>
    <row r="665" spans="1:28">
      <c r="A665" t="s">
        <v>926</v>
      </c>
      <c r="B665" t="s">
        <v>173</v>
      </c>
      <c r="C665" t="s">
        <v>188</v>
      </c>
      <c r="D665" s="1">
        <v>45878</v>
      </c>
      <c r="E665" s="5">
        <v>0.76041666666666663</v>
      </c>
      <c r="F665" s="1">
        <v>45878</v>
      </c>
      <c r="G665" s="5">
        <v>0.78125</v>
      </c>
      <c r="H665">
        <v>30</v>
      </c>
      <c r="I665" t="s">
        <v>159</v>
      </c>
      <c r="J665" t="s">
        <v>160</v>
      </c>
      <c r="K665">
        <v>1</v>
      </c>
      <c r="L665">
        <v>2.5</v>
      </c>
      <c r="M665" t="s">
        <v>161</v>
      </c>
      <c r="N665" t="s">
        <v>169</v>
      </c>
      <c r="O665" t="b">
        <v>1</v>
      </c>
      <c r="P665" t="b">
        <v>1</v>
      </c>
      <c r="Q665" s="6">
        <v>12</v>
      </c>
      <c r="R665" s="6">
        <v>0.4</v>
      </c>
      <c r="S665" t="s">
        <v>304</v>
      </c>
      <c r="T665" t="s">
        <v>171</v>
      </c>
      <c r="U665" s="6">
        <v>6</v>
      </c>
      <c r="V665" s="6">
        <v>24</v>
      </c>
      <c r="W665" t="b">
        <v>0</v>
      </c>
      <c r="X665">
        <v>1</v>
      </c>
      <c r="Y665">
        <v>1</v>
      </c>
      <c r="Z665">
        <v>18</v>
      </c>
      <c r="AA665" s="6">
        <v>30.286458333333329</v>
      </c>
      <c r="AB665">
        <f>--PizzaDelivery[[#This Row],[Is Delayed]]</f>
        <v>0</v>
      </c>
    </row>
    <row r="666" spans="1:28">
      <c r="A666" t="s">
        <v>927</v>
      </c>
      <c r="B666" t="s">
        <v>142</v>
      </c>
      <c r="C666" t="s">
        <v>712</v>
      </c>
      <c r="D666" s="1">
        <v>45879</v>
      </c>
      <c r="E666" s="5">
        <v>0.8125</v>
      </c>
      <c r="F666" s="1">
        <v>45879</v>
      </c>
      <c r="G666" s="5">
        <v>0.84027777777777779</v>
      </c>
      <c r="H666">
        <v>40</v>
      </c>
      <c r="I666" t="s">
        <v>151</v>
      </c>
      <c r="J666" t="s">
        <v>152</v>
      </c>
      <c r="K666">
        <v>4</v>
      </c>
      <c r="L666">
        <v>6.5</v>
      </c>
      <c r="M666" t="s">
        <v>153</v>
      </c>
      <c r="N666" t="s">
        <v>145</v>
      </c>
      <c r="O666" t="b">
        <v>1</v>
      </c>
      <c r="P666" t="b">
        <v>1</v>
      </c>
      <c r="Q666" s="6">
        <v>6.1538461538461542</v>
      </c>
      <c r="R666" s="6">
        <v>0.61538461538461542</v>
      </c>
      <c r="S666" t="s">
        <v>304</v>
      </c>
      <c r="T666" t="s">
        <v>147</v>
      </c>
      <c r="U666" s="6">
        <v>15.6</v>
      </c>
      <c r="V666" s="6">
        <v>24.4</v>
      </c>
      <c r="W666" t="b">
        <v>1</v>
      </c>
      <c r="X666">
        <v>12</v>
      </c>
      <c r="Y666">
        <v>3</v>
      </c>
      <c r="Z666">
        <v>19</v>
      </c>
      <c r="AA666" s="6">
        <v>30.259433962264151</v>
      </c>
      <c r="AB666">
        <f>--PizzaDelivery[[#This Row],[Is Delayed]]</f>
        <v>1</v>
      </c>
    </row>
    <row r="667" spans="1:28">
      <c r="A667" t="s">
        <v>928</v>
      </c>
      <c r="B667" t="s">
        <v>149</v>
      </c>
      <c r="C667" t="s">
        <v>714</v>
      </c>
      <c r="D667" s="1">
        <v>45880</v>
      </c>
      <c r="E667" s="5">
        <v>0.86458333333333337</v>
      </c>
      <c r="F667" s="1">
        <v>45880</v>
      </c>
      <c r="G667" s="5">
        <v>0.88541666666666663</v>
      </c>
      <c r="H667">
        <v>30</v>
      </c>
      <c r="I667" t="s">
        <v>143</v>
      </c>
      <c r="J667" t="s">
        <v>591</v>
      </c>
      <c r="K667">
        <v>3</v>
      </c>
      <c r="L667">
        <v>5</v>
      </c>
      <c r="M667" t="s">
        <v>143</v>
      </c>
      <c r="N667" t="s">
        <v>154</v>
      </c>
      <c r="O667" t="b">
        <v>1</v>
      </c>
      <c r="P667" t="b">
        <v>0</v>
      </c>
      <c r="Q667" s="6">
        <v>6</v>
      </c>
      <c r="R667" s="6">
        <v>0.6</v>
      </c>
      <c r="S667" t="s">
        <v>304</v>
      </c>
      <c r="T667" t="s">
        <v>147</v>
      </c>
      <c r="U667" s="6">
        <v>12</v>
      </c>
      <c r="V667" s="6">
        <v>18</v>
      </c>
      <c r="W667" t="b">
        <v>0</v>
      </c>
      <c r="X667">
        <v>6</v>
      </c>
      <c r="Y667">
        <v>2</v>
      </c>
      <c r="Z667">
        <v>20</v>
      </c>
      <c r="AA667" s="6">
        <v>28.186274509803919</v>
      </c>
      <c r="AB667">
        <f>--PizzaDelivery[[#This Row],[Is Delayed]]</f>
        <v>0</v>
      </c>
    </row>
    <row r="668" spans="1:28">
      <c r="A668" t="s">
        <v>929</v>
      </c>
      <c r="B668" t="s">
        <v>165</v>
      </c>
      <c r="C668" t="s">
        <v>707</v>
      </c>
      <c r="D668" s="1">
        <v>45881</v>
      </c>
      <c r="E668" s="5">
        <v>0.75</v>
      </c>
      <c r="F668" s="1">
        <v>45881</v>
      </c>
      <c r="G668" s="5">
        <v>0.77083333333333337</v>
      </c>
      <c r="H668">
        <v>30</v>
      </c>
      <c r="I668" t="s">
        <v>159</v>
      </c>
      <c r="J668" t="s">
        <v>160</v>
      </c>
      <c r="K668">
        <v>2</v>
      </c>
      <c r="L668">
        <v>3</v>
      </c>
      <c r="M668" t="s">
        <v>161</v>
      </c>
      <c r="N668" t="s">
        <v>162</v>
      </c>
      <c r="O668" t="b">
        <v>1</v>
      </c>
      <c r="P668" t="b">
        <v>0</v>
      </c>
      <c r="Q668" s="6">
        <v>10</v>
      </c>
      <c r="R668" s="6">
        <v>0.66666666666666663</v>
      </c>
      <c r="S668" t="s">
        <v>304</v>
      </c>
      <c r="T668" t="s">
        <v>147</v>
      </c>
      <c r="U668" s="6">
        <v>7.1999999999999993</v>
      </c>
      <c r="V668" s="6">
        <v>22.8</v>
      </c>
      <c r="W668" t="b">
        <v>0</v>
      </c>
      <c r="X668">
        <v>2</v>
      </c>
      <c r="Y668">
        <v>1</v>
      </c>
      <c r="Z668">
        <v>18</v>
      </c>
      <c r="AA668" s="6">
        <v>29.948453608247419</v>
      </c>
      <c r="AB668">
        <f>--PizzaDelivery[[#This Row],[Is Delayed]]</f>
        <v>0</v>
      </c>
    </row>
    <row r="669" spans="1:28">
      <c r="A669" t="s">
        <v>930</v>
      </c>
      <c r="B669" t="s">
        <v>157</v>
      </c>
      <c r="C669" t="s">
        <v>931</v>
      </c>
      <c r="D669" s="1">
        <v>45882</v>
      </c>
      <c r="E669" s="5">
        <v>0.80208333333333337</v>
      </c>
      <c r="F669" s="1">
        <v>45882</v>
      </c>
      <c r="G669" s="5">
        <v>0.82986111111111116</v>
      </c>
      <c r="H669">
        <v>40</v>
      </c>
      <c r="I669" t="s">
        <v>167</v>
      </c>
      <c r="J669" t="s">
        <v>168</v>
      </c>
      <c r="K669">
        <v>5</v>
      </c>
      <c r="L669">
        <v>7</v>
      </c>
      <c r="M669" t="s">
        <v>153</v>
      </c>
      <c r="N669" t="s">
        <v>145</v>
      </c>
      <c r="O669" t="b">
        <v>1</v>
      </c>
      <c r="P669" t="b">
        <v>0</v>
      </c>
      <c r="Q669" s="6">
        <v>5.7142857142857144</v>
      </c>
      <c r="R669" s="6">
        <v>0.7142857142857143</v>
      </c>
      <c r="S669" t="s">
        <v>304</v>
      </c>
      <c r="T669" t="s">
        <v>147</v>
      </c>
      <c r="U669" s="6">
        <v>16.8</v>
      </c>
      <c r="V669" s="6">
        <v>23.2</v>
      </c>
      <c r="W669" t="b">
        <v>1</v>
      </c>
      <c r="X669">
        <v>20</v>
      </c>
      <c r="Y669">
        <v>3</v>
      </c>
      <c r="Z669">
        <v>19</v>
      </c>
      <c r="AA669" s="6">
        <v>28.844221105527641</v>
      </c>
      <c r="AB669">
        <f>--PizzaDelivery[[#This Row],[Is Delayed]]</f>
        <v>1</v>
      </c>
    </row>
    <row r="670" spans="1:28">
      <c r="A670" t="s">
        <v>932</v>
      </c>
      <c r="B670" t="s">
        <v>173</v>
      </c>
      <c r="C670" t="s">
        <v>933</v>
      </c>
      <c r="D670" s="1">
        <v>45883</v>
      </c>
      <c r="E670" s="5">
        <v>0.85416666666666663</v>
      </c>
      <c r="F670" s="1">
        <v>45883</v>
      </c>
      <c r="G670" s="5">
        <v>0.875</v>
      </c>
      <c r="H670">
        <v>30</v>
      </c>
      <c r="I670" t="s">
        <v>143</v>
      </c>
      <c r="J670" t="s">
        <v>152</v>
      </c>
      <c r="K670">
        <v>3</v>
      </c>
      <c r="L670">
        <v>4</v>
      </c>
      <c r="M670" t="s">
        <v>143</v>
      </c>
      <c r="N670" t="s">
        <v>162</v>
      </c>
      <c r="O670" t="b">
        <v>1</v>
      </c>
      <c r="P670" t="b">
        <v>0</v>
      </c>
      <c r="Q670" s="6">
        <v>7.5</v>
      </c>
      <c r="R670" s="6">
        <v>0.75</v>
      </c>
      <c r="S670" t="s">
        <v>304</v>
      </c>
      <c r="T670" t="s">
        <v>147</v>
      </c>
      <c r="U670" s="6">
        <v>9.6</v>
      </c>
      <c r="V670" s="6">
        <v>20.399999999999999</v>
      </c>
      <c r="W670" t="b">
        <v>0</v>
      </c>
      <c r="X670">
        <v>6</v>
      </c>
      <c r="Y670">
        <v>2</v>
      </c>
      <c r="Z670">
        <v>20</v>
      </c>
      <c r="AA670" s="6">
        <v>30.286458333333329</v>
      </c>
      <c r="AB670">
        <f>--PizzaDelivery[[#This Row],[Is Delayed]]</f>
        <v>0</v>
      </c>
    </row>
    <row r="671" spans="1:28">
      <c r="A671" t="s">
        <v>934</v>
      </c>
      <c r="B671" t="s">
        <v>142</v>
      </c>
      <c r="C671" t="s">
        <v>315</v>
      </c>
      <c r="D671" s="1">
        <v>45884</v>
      </c>
      <c r="E671" s="5">
        <v>0.79166666666666663</v>
      </c>
      <c r="F671" s="1">
        <v>45884</v>
      </c>
      <c r="G671" s="5">
        <v>0.81597222222222221</v>
      </c>
      <c r="H671">
        <v>35</v>
      </c>
      <c r="I671" t="s">
        <v>151</v>
      </c>
      <c r="J671" t="s">
        <v>168</v>
      </c>
      <c r="K671">
        <v>4</v>
      </c>
      <c r="L671">
        <v>5</v>
      </c>
      <c r="M671" t="s">
        <v>143</v>
      </c>
      <c r="N671" t="s">
        <v>145</v>
      </c>
      <c r="O671" t="b">
        <v>1</v>
      </c>
      <c r="P671" t="b">
        <v>0</v>
      </c>
      <c r="Q671" s="6">
        <v>7</v>
      </c>
      <c r="R671" s="6">
        <v>0.8</v>
      </c>
      <c r="S671" t="s">
        <v>304</v>
      </c>
      <c r="T671" t="s">
        <v>147</v>
      </c>
      <c r="U671" s="6">
        <v>12</v>
      </c>
      <c r="V671" s="6">
        <v>23</v>
      </c>
      <c r="W671" t="b">
        <v>1</v>
      </c>
      <c r="X671">
        <v>12</v>
      </c>
      <c r="Y671">
        <v>2</v>
      </c>
      <c r="Z671">
        <v>19</v>
      </c>
      <c r="AA671" s="6">
        <v>30.259433962264151</v>
      </c>
      <c r="AB671">
        <f>--PizzaDelivery[[#This Row],[Is Delayed]]</f>
        <v>1</v>
      </c>
    </row>
    <row r="672" spans="1:28">
      <c r="A672" t="s">
        <v>935</v>
      </c>
      <c r="B672" t="s">
        <v>165</v>
      </c>
      <c r="C672" t="s">
        <v>317</v>
      </c>
      <c r="D672" s="1">
        <v>45885</v>
      </c>
      <c r="E672" s="5">
        <v>0.77083333333333337</v>
      </c>
      <c r="F672" s="1">
        <v>45885</v>
      </c>
      <c r="G672" s="5">
        <v>0.79861111111111116</v>
      </c>
      <c r="H672">
        <v>40</v>
      </c>
      <c r="I672" t="s">
        <v>143</v>
      </c>
      <c r="J672" t="s">
        <v>144</v>
      </c>
      <c r="K672">
        <v>2</v>
      </c>
      <c r="L672">
        <v>6</v>
      </c>
      <c r="M672" t="s">
        <v>153</v>
      </c>
      <c r="N672" t="s">
        <v>154</v>
      </c>
      <c r="O672" t="b">
        <v>1</v>
      </c>
      <c r="P672" t="b">
        <v>1</v>
      </c>
      <c r="Q672" s="6">
        <v>6.666666666666667</v>
      </c>
      <c r="R672" s="6">
        <v>0.33333333333333331</v>
      </c>
      <c r="S672" t="s">
        <v>304</v>
      </c>
      <c r="T672" t="s">
        <v>147</v>
      </c>
      <c r="U672" s="6">
        <v>14.4</v>
      </c>
      <c r="V672" s="6">
        <v>25.6</v>
      </c>
      <c r="W672" t="b">
        <v>1</v>
      </c>
      <c r="X672">
        <v>4</v>
      </c>
      <c r="Y672">
        <v>3</v>
      </c>
      <c r="Z672">
        <v>18</v>
      </c>
      <c r="AA672" s="6">
        <v>29.948453608247419</v>
      </c>
      <c r="AB672">
        <f>--PizzaDelivery[[#This Row],[Is Delayed]]</f>
        <v>1</v>
      </c>
    </row>
    <row r="673" spans="1:28">
      <c r="A673" t="s">
        <v>936</v>
      </c>
      <c r="B673" t="s">
        <v>149</v>
      </c>
      <c r="C673" t="s">
        <v>325</v>
      </c>
      <c r="D673" s="1">
        <v>45886</v>
      </c>
      <c r="E673" s="5">
        <v>0.83333333333333337</v>
      </c>
      <c r="F673" s="1">
        <v>45886</v>
      </c>
      <c r="G673" s="5">
        <v>0.85069444444444442</v>
      </c>
      <c r="H673">
        <v>25</v>
      </c>
      <c r="I673" t="s">
        <v>143</v>
      </c>
      <c r="J673" t="s">
        <v>591</v>
      </c>
      <c r="K673">
        <v>3</v>
      </c>
      <c r="L673">
        <v>3.5</v>
      </c>
      <c r="M673" t="s">
        <v>161</v>
      </c>
      <c r="N673" t="s">
        <v>162</v>
      </c>
      <c r="O673" t="b">
        <v>1</v>
      </c>
      <c r="P673" t="b">
        <v>1</v>
      </c>
      <c r="Q673" s="6">
        <v>7.1428571428571432</v>
      </c>
      <c r="R673" s="6">
        <v>0.8571428571428571</v>
      </c>
      <c r="S673" t="s">
        <v>304</v>
      </c>
      <c r="T673" t="s">
        <v>147</v>
      </c>
      <c r="U673" s="6">
        <v>8.4</v>
      </c>
      <c r="V673" s="6">
        <v>16.600000000000001</v>
      </c>
      <c r="W673" t="b">
        <v>0</v>
      </c>
      <c r="X673">
        <v>6</v>
      </c>
      <c r="Y673">
        <v>1</v>
      </c>
      <c r="Z673">
        <v>20</v>
      </c>
      <c r="AA673" s="6">
        <v>28.186274509803919</v>
      </c>
      <c r="AB673">
        <f>--PizzaDelivery[[#This Row],[Is Delayed]]</f>
        <v>0</v>
      </c>
    </row>
    <row r="674" spans="1:28">
      <c r="A674" t="s">
        <v>937</v>
      </c>
      <c r="B674" t="s">
        <v>157</v>
      </c>
      <c r="C674" t="s">
        <v>323</v>
      </c>
      <c r="D674" s="1">
        <v>45887</v>
      </c>
      <c r="E674" s="5">
        <v>0.80208333333333337</v>
      </c>
      <c r="F674" s="1">
        <v>45887</v>
      </c>
      <c r="G674" s="5">
        <v>0.82986111111111116</v>
      </c>
      <c r="H674">
        <v>40</v>
      </c>
      <c r="I674" t="s">
        <v>167</v>
      </c>
      <c r="J674" t="s">
        <v>152</v>
      </c>
      <c r="K674">
        <v>5</v>
      </c>
      <c r="L674">
        <v>7</v>
      </c>
      <c r="M674" t="s">
        <v>153</v>
      </c>
      <c r="N674" t="s">
        <v>169</v>
      </c>
      <c r="O674" t="b">
        <v>1</v>
      </c>
      <c r="P674" t="b">
        <v>0</v>
      </c>
      <c r="Q674" s="6">
        <v>5.7142857142857144</v>
      </c>
      <c r="R674" s="6">
        <v>0.7142857142857143</v>
      </c>
      <c r="S674" t="s">
        <v>304</v>
      </c>
      <c r="T674" t="s">
        <v>171</v>
      </c>
      <c r="U674" s="6">
        <v>16.8</v>
      </c>
      <c r="V674" s="6">
        <v>23.2</v>
      </c>
      <c r="W674" t="b">
        <v>1</v>
      </c>
      <c r="X674">
        <v>20</v>
      </c>
      <c r="Y674">
        <v>3</v>
      </c>
      <c r="Z674">
        <v>19</v>
      </c>
      <c r="AA674" s="6">
        <v>28.844221105527641</v>
      </c>
      <c r="AB674">
        <f>--PizzaDelivery[[#This Row],[Is Delayed]]</f>
        <v>1</v>
      </c>
    </row>
    <row r="675" spans="1:28">
      <c r="A675" t="s">
        <v>938</v>
      </c>
      <c r="B675" t="s">
        <v>173</v>
      </c>
      <c r="C675" t="s">
        <v>321</v>
      </c>
      <c r="D675" s="1">
        <v>45888</v>
      </c>
      <c r="E675" s="5">
        <v>0.78125</v>
      </c>
      <c r="F675" s="1">
        <v>45888</v>
      </c>
      <c r="G675" s="5">
        <v>0.80208333333333337</v>
      </c>
      <c r="H675">
        <v>30</v>
      </c>
      <c r="I675" t="s">
        <v>143</v>
      </c>
      <c r="J675" t="s">
        <v>655</v>
      </c>
      <c r="K675">
        <v>3</v>
      </c>
      <c r="L675">
        <v>4</v>
      </c>
      <c r="M675" t="s">
        <v>143</v>
      </c>
      <c r="N675" t="s">
        <v>145</v>
      </c>
      <c r="O675" t="b">
        <v>1</v>
      </c>
      <c r="P675" t="b">
        <v>0</v>
      </c>
      <c r="Q675" s="6">
        <v>7.5</v>
      </c>
      <c r="R675" s="6">
        <v>0.75</v>
      </c>
      <c r="S675" t="s">
        <v>304</v>
      </c>
      <c r="T675" t="s">
        <v>147</v>
      </c>
      <c r="U675" s="6">
        <v>9.6</v>
      </c>
      <c r="V675" s="6">
        <v>20.399999999999999</v>
      </c>
      <c r="W675" t="b">
        <v>0</v>
      </c>
      <c r="X675">
        <v>6</v>
      </c>
      <c r="Y675">
        <v>2</v>
      </c>
      <c r="Z675">
        <v>18</v>
      </c>
      <c r="AA675" s="6">
        <v>30.286458333333329</v>
      </c>
      <c r="AB675">
        <f>--PizzaDelivery[[#This Row],[Is Delayed]]</f>
        <v>0</v>
      </c>
    </row>
    <row r="676" spans="1:28">
      <c r="A676" t="s">
        <v>939</v>
      </c>
      <c r="B676" t="s">
        <v>142</v>
      </c>
      <c r="C676" t="s">
        <v>329</v>
      </c>
      <c r="D676" s="1">
        <v>45889</v>
      </c>
      <c r="E676" s="5">
        <v>0.85416666666666663</v>
      </c>
      <c r="F676" s="1">
        <v>45889</v>
      </c>
      <c r="G676" s="5">
        <v>0.875</v>
      </c>
      <c r="H676">
        <v>30</v>
      </c>
      <c r="I676" t="s">
        <v>151</v>
      </c>
      <c r="J676" t="s">
        <v>657</v>
      </c>
      <c r="K676">
        <v>4</v>
      </c>
      <c r="L676">
        <v>5.5</v>
      </c>
      <c r="M676" t="s">
        <v>143</v>
      </c>
      <c r="N676" t="s">
        <v>162</v>
      </c>
      <c r="O676" t="b">
        <v>1</v>
      </c>
      <c r="P676" t="b">
        <v>0</v>
      </c>
      <c r="Q676" s="6">
        <v>5.4545454545454541</v>
      </c>
      <c r="R676" s="6">
        <v>0.72727272727272729</v>
      </c>
      <c r="S676" t="s">
        <v>304</v>
      </c>
      <c r="T676" t="s">
        <v>147</v>
      </c>
      <c r="U676" s="6">
        <v>13.2</v>
      </c>
      <c r="V676" s="6">
        <v>16.8</v>
      </c>
      <c r="W676" t="b">
        <v>0</v>
      </c>
      <c r="X676">
        <v>12</v>
      </c>
      <c r="Y676">
        <v>2</v>
      </c>
      <c r="Z676">
        <v>20</v>
      </c>
      <c r="AA676" s="6">
        <v>30.259433962264151</v>
      </c>
      <c r="AB676">
        <f>--PizzaDelivery[[#This Row],[Is Delayed]]</f>
        <v>0</v>
      </c>
    </row>
    <row r="677" spans="1:28">
      <c r="A677" t="s">
        <v>940</v>
      </c>
      <c r="B677" t="s">
        <v>165</v>
      </c>
      <c r="C677" t="s">
        <v>327</v>
      </c>
      <c r="D677" s="1">
        <v>45890</v>
      </c>
      <c r="E677" s="5">
        <v>0.79166666666666663</v>
      </c>
      <c r="F677" s="1">
        <v>45890</v>
      </c>
      <c r="G677" s="5">
        <v>0.8125</v>
      </c>
      <c r="H677">
        <v>30</v>
      </c>
      <c r="I677" t="s">
        <v>143</v>
      </c>
      <c r="J677" t="s">
        <v>144</v>
      </c>
      <c r="K677">
        <v>2</v>
      </c>
      <c r="L677">
        <v>4</v>
      </c>
      <c r="M677" t="s">
        <v>161</v>
      </c>
      <c r="N677" t="s">
        <v>154</v>
      </c>
      <c r="O677" t="b">
        <v>1</v>
      </c>
      <c r="P677" t="b">
        <v>0</v>
      </c>
      <c r="Q677" s="6">
        <v>7.5</v>
      </c>
      <c r="R677" s="6">
        <v>0.5</v>
      </c>
      <c r="S677" t="s">
        <v>304</v>
      </c>
      <c r="T677" t="s">
        <v>147</v>
      </c>
      <c r="U677" s="6">
        <v>9.6</v>
      </c>
      <c r="V677" s="6">
        <v>20.399999999999999</v>
      </c>
      <c r="W677" t="b">
        <v>0</v>
      </c>
      <c r="X677">
        <v>4</v>
      </c>
      <c r="Y677">
        <v>1</v>
      </c>
      <c r="Z677">
        <v>19</v>
      </c>
      <c r="AA677" s="6">
        <v>29.948453608247419</v>
      </c>
      <c r="AB677">
        <f>--PizzaDelivery[[#This Row],[Is Delayed]]</f>
        <v>0</v>
      </c>
    </row>
    <row r="678" spans="1:28">
      <c r="A678" t="s">
        <v>941</v>
      </c>
      <c r="B678" t="s">
        <v>149</v>
      </c>
      <c r="C678" t="s">
        <v>182</v>
      </c>
      <c r="D678" s="1">
        <v>45891</v>
      </c>
      <c r="E678" s="5">
        <v>0.76041666666666663</v>
      </c>
      <c r="F678" s="1">
        <v>45891</v>
      </c>
      <c r="G678" s="5">
        <v>0.78472222222222221</v>
      </c>
      <c r="H678">
        <v>35</v>
      </c>
      <c r="I678" t="s">
        <v>143</v>
      </c>
      <c r="J678" t="s">
        <v>591</v>
      </c>
      <c r="K678">
        <v>3</v>
      </c>
      <c r="L678">
        <v>5</v>
      </c>
      <c r="M678" t="s">
        <v>143</v>
      </c>
      <c r="N678" t="s">
        <v>145</v>
      </c>
      <c r="O678" t="b">
        <v>1</v>
      </c>
      <c r="P678" t="b">
        <v>0</v>
      </c>
      <c r="Q678" s="6">
        <v>7</v>
      </c>
      <c r="R678" s="6">
        <v>0.6</v>
      </c>
      <c r="S678" t="s">
        <v>304</v>
      </c>
      <c r="T678" t="s">
        <v>147</v>
      </c>
      <c r="U678" s="6">
        <v>12</v>
      </c>
      <c r="V678" s="6">
        <v>23</v>
      </c>
      <c r="W678" t="b">
        <v>1</v>
      </c>
      <c r="X678">
        <v>6</v>
      </c>
      <c r="Y678">
        <v>2</v>
      </c>
      <c r="Z678">
        <v>18</v>
      </c>
      <c r="AA678" s="6">
        <v>28.186274509803919</v>
      </c>
      <c r="AB678">
        <f>--PizzaDelivery[[#This Row],[Is Delayed]]</f>
        <v>1</v>
      </c>
    </row>
    <row r="679" spans="1:28">
      <c r="A679" t="s">
        <v>942</v>
      </c>
      <c r="B679" t="s">
        <v>157</v>
      </c>
      <c r="C679" t="s">
        <v>192</v>
      </c>
      <c r="D679" s="1">
        <v>45892</v>
      </c>
      <c r="E679" s="5">
        <v>0.83333333333333337</v>
      </c>
      <c r="F679" s="1">
        <v>45892</v>
      </c>
      <c r="G679" s="5">
        <v>0.86458333333333337</v>
      </c>
      <c r="H679">
        <v>45</v>
      </c>
      <c r="I679" t="s">
        <v>167</v>
      </c>
      <c r="J679" t="s">
        <v>168</v>
      </c>
      <c r="K679">
        <v>5</v>
      </c>
      <c r="L679">
        <v>8</v>
      </c>
      <c r="M679" t="s">
        <v>153</v>
      </c>
      <c r="N679" t="s">
        <v>169</v>
      </c>
      <c r="O679" t="b">
        <v>1</v>
      </c>
      <c r="P679" t="b">
        <v>1</v>
      </c>
      <c r="Q679" s="6">
        <v>5.625</v>
      </c>
      <c r="R679" s="6">
        <v>0.625</v>
      </c>
      <c r="S679" t="s">
        <v>304</v>
      </c>
      <c r="T679" t="s">
        <v>171</v>
      </c>
      <c r="U679" s="6">
        <v>19.2</v>
      </c>
      <c r="V679" s="6">
        <v>25.8</v>
      </c>
      <c r="W679" t="b">
        <v>1</v>
      </c>
      <c r="X679">
        <v>20</v>
      </c>
      <c r="Y679">
        <v>3</v>
      </c>
      <c r="Z679">
        <v>20</v>
      </c>
      <c r="AA679" s="6">
        <v>28.844221105527641</v>
      </c>
      <c r="AB679">
        <f>--PizzaDelivery[[#This Row],[Is Delayed]]</f>
        <v>1</v>
      </c>
    </row>
    <row r="680" spans="1:28">
      <c r="A680" t="s">
        <v>943</v>
      </c>
      <c r="B680" t="s">
        <v>173</v>
      </c>
      <c r="C680" t="s">
        <v>190</v>
      </c>
      <c r="D680" s="1">
        <v>45893</v>
      </c>
      <c r="E680" s="5">
        <v>0.8125</v>
      </c>
      <c r="F680" s="1">
        <v>45893</v>
      </c>
      <c r="G680" s="5">
        <v>0.83333333333333337</v>
      </c>
      <c r="H680">
        <v>30</v>
      </c>
      <c r="I680" t="s">
        <v>143</v>
      </c>
      <c r="J680" t="s">
        <v>655</v>
      </c>
      <c r="K680">
        <v>3</v>
      </c>
      <c r="L680">
        <v>4.5</v>
      </c>
      <c r="M680" t="s">
        <v>143</v>
      </c>
      <c r="N680" t="s">
        <v>162</v>
      </c>
      <c r="O680" t="b">
        <v>1</v>
      </c>
      <c r="P680" t="b">
        <v>1</v>
      </c>
      <c r="Q680" s="6">
        <v>6.666666666666667</v>
      </c>
      <c r="R680" s="6">
        <v>0.66666666666666663</v>
      </c>
      <c r="S680" t="s">
        <v>304</v>
      </c>
      <c r="T680" t="s">
        <v>147</v>
      </c>
      <c r="U680" s="6">
        <v>10.8</v>
      </c>
      <c r="V680" s="6">
        <v>19.2</v>
      </c>
      <c r="W680" t="b">
        <v>0</v>
      </c>
      <c r="X680">
        <v>6</v>
      </c>
      <c r="Y680">
        <v>2</v>
      </c>
      <c r="Z680">
        <v>19</v>
      </c>
      <c r="AA680" s="6">
        <v>30.286458333333329</v>
      </c>
      <c r="AB680">
        <f>--PizzaDelivery[[#This Row],[Is Delayed]]</f>
        <v>0</v>
      </c>
    </row>
    <row r="681" spans="1:28">
      <c r="A681" t="s">
        <v>944</v>
      </c>
      <c r="B681" t="s">
        <v>142</v>
      </c>
      <c r="C681" t="s">
        <v>194</v>
      </c>
      <c r="D681" s="1">
        <v>45894</v>
      </c>
      <c r="E681" s="5">
        <v>0.75</v>
      </c>
      <c r="F681" s="1">
        <v>45894</v>
      </c>
      <c r="G681" s="5">
        <v>0.77430555555555558</v>
      </c>
      <c r="H681">
        <v>35</v>
      </c>
      <c r="I681" t="s">
        <v>151</v>
      </c>
      <c r="J681" t="s">
        <v>152</v>
      </c>
      <c r="K681">
        <v>4</v>
      </c>
      <c r="L681">
        <v>6</v>
      </c>
      <c r="M681" t="s">
        <v>143</v>
      </c>
      <c r="N681" t="s">
        <v>145</v>
      </c>
      <c r="O681" t="b">
        <v>1</v>
      </c>
      <c r="P681" t="b">
        <v>0</v>
      </c>
      <c r="Q681" s="6">
        <v>5.833333333333333</v>
      </c>
      <c r="R681" s="6">
        <v>0.66666666666666663</v>
      </c>
      <c r="S681" t="s">
        <v>304</v>
      </c>
      <c r="T681" t="s">
        <v>147</v>
      </c>
      <c r="U681" s="6">
        <v>14.4</v>
      </c>
      <c r="V681" s="6">
        <v>20.6</v>
      </c>
      <c r="W681" t="b">
        <v>1</v>
      </c>
      <c r="X681">
        <v>12</v>
      </c>
      <c r="Y681">
        <v>2</v>
      </c>
      <c r="Z681">
        <v>18</v>
      </c>
      <c r="AA681" s="6">
        <v>30.259433962264151</v>
      </c>
      <c r="AB681">
        <f>--PizzaDelivery[[#This Row],[Is Delayed]]</f>
        <v>1</v>
      </c>
    </row>
    <row r="682" spans="1:28">
      <c r="A682" t="s">
        <v>945</v>
      </c>
      <c r="B682" t="s">
        <v>165</v>
      </c>
      <c r="C682" t="s">
        <v>333</v>
      </c>
      <c r="D682" s="1">
        <v>45895</v>
      </c>
      <c r="E682" s="5">
        <v>0.80208333333333337</v>
      </c>
      <c r="F682" s="1">
        <v>45895</v>
      </c>
      <c r="G682" s="5">
        <v>0.82291666666666663</v>
      </c>
      <c r="H682">
        <v>30</v>
      </c>
      <c r="I682" t="s">
        <v>143</v>
      </c>
      <c r="J682" t="s">
        <v>144</v>
      </c>
      <c r="K682">
        <v>2</v>
      </c>
      <c r="L682">
        <v>4</v>
      </c>
      <c r="M682" t="s">
        <v>161</v>
      </c>
      <c r="N682" t="s">
        <v>154</v>
      </c>
      <c r="O682" t="b">
        <v>1</v>
      </c>
      <c r="P682" t="b">
        <v>0</v>
      </c>
      <c r="Q682" s="6">
        <v>7.5</v>
      </c>
      <c r="R682" s="6">
        <v>0.5</v>
      </c>
      <c r="S682" t="s">
        <v>304</v>
      </c>
      <c r="T682" t="s">
        <v>147</v>
      </c>
      <c r="U682" s="6">
        <v>9.6</v>
      </c>
      <c r="V682" s="6">
        <v>20.399999999999999</v>
      </c>
      <c r="W682" t="b">
        <v>0</v>
      </c>
      <c r="X682">
        <v>4</v>
      </c>
      <c r="Y682">
        <v>1</v>
      </c>
      <c r="Z682">
        <v>19</v>
      </c>
      <c r="AA682" s="6">
        <v>29.948453608247419</v>
      </c>
      <c r="AB682">
        <f>--PizzaDelivery[[#This Row],[Is Delayed]]</f>
        <v>0</v>
      </c>
    </row>
    <row r="683" spans="1:28">
      <c r="A683" t="s">
        <v>946</v>
      </c>
      <c r="B683" t="s">
        <v>149</v>
      </c>
      <c r="C683" t="s">
        <v>337</v>
      </c>
      <c r="D683" s="1">
        <v>45896</v>
      </c>
      <c r="E683" s="5">
        <v>0.85416666666666663</v>
      </c>
      <c r="F683" s="1">
        <v>45896</v>
      </c>
      <c r="G683" s="5">
        <v>0.875</v>
      </c>
      <c r="H683">
        <v>30</v>
      </c>
      <c r="I683" t="s">
        <v>143</v>
      </c>
      <c r="J683" t="s">
        <v>591</v>
      </c>
      <c r="K683">
        <v>3</v>
      </c>
      <c r="L683">
        <v>5</v>
      </c>
      <c r="M683" t="s">
        <v>143</v>
      </c>
      <c r="N683" t="s">
        <v>162</v>
      </c>
      <c r="O683" t="b">
        <v>1</v>
      </c>
      <c r="P683" t="b">
        <v>0</v>
      </c>
      <c r="Q683" s="6">
        <v>6</v>
      </c>
      <c r="R683" s="6">
        <v>0.6</v>
      </c>
      <c r="S683" t="s">
        <v>304</v>
      </c>
      <c r="T683" t="s">
        <v>147</v>
      </c>
      <c r="U683" s="6">
        <v>12</v>
      </c>
      <c r="V683" s="6">
        <v>18</v>
      </c>
      <c r="W683" t="b">
        <v>0</v>
      </c>
      <c r="X683">
        <v>6</v>
      </c>
      <c r="Y683">
        <v>2</v>
      </c>
      <c r="Z683">
        <v>20</v>
      </c>
      <c r="AA683" s="6">
        <v>28.186274509803919</v>
      </c>
      <c r="AB683">
        <f>--PizzaDelivery[[#This Row],[Is Delayed]]</f>
        <v>0</v>
      </c>
    </row>
    <row r="684" spans="1:28">
      <c r="A684" t="s">
        <v>947</v>
      </c>
      <c r="B684" t="s">
        <v>157</v>
      </c>
      <c r="C684" t="s">
        <v>339</v>
      </c>
      <c r="D684" s="1">
        <v>45897</v>
      </c>
      <c r="E684" s="5">
        <v>0.78125</v>
      </c>
      <c r="F684" s="1">
        <v>45897</v>
      </c>
      <c r="G684" s="5">
        <v>0.80902777777777779</v>
      </c>
      <c r="H684">
        <v>40</v>
      </c>
      <c r="I684" t="s">
        <v>167</v>
      </c>
      <c r="J684" t="s">
        <v>168</v>
      </c>
      <c r="K684">
        <v>5</v>
      </c>
      <c r="L684">
        <v>7.5</v>
      </c>
      <c r="M684" t="s">
        <v>153</v>
      </c>
      <c r="N684" t="s">
        <v>145</v>
      </c>
      <c r="O684" t="b">
        <v>1</v>
      </c>
      <c r="P684" t="b">
        <v>0</v>
      </c>
      <c r="Q684" s="6">
        <v>5.333333333333333</v>
      </c>
      <c r="R684" s="6">
        <v>0.66666666666666663</v>
      </c>
      <c r="S684" t="s">
        <v>304</v>
      </c>
      <c r="T684" t="s">
        <v>147</v>
      </c>
      <c r="U684" s="6">
        <v>18</v>
      </c>
      <c r="V684" s="6">
        <v>22</v>
      </c>
      <c r="W684" t="b">
        <v>1</v>
      </c>
      <c r="X684">
        <v>20</v>
      </c>
      <c r="Y684">
        <v>3</v>
      </c>
      <c r="Z684">
        <v>18</v>
      </c>
      <c r="AA684" s="6">
        <v>28.844221105527641</v>
      </c>
      <c r="AB684">
        <f>--PizzaDelivery[[#This Row],[Is Delayed]]</f>
        <v>1</v>
      </c>
    </row>
    <row r="685" spans="1:28">
      <c r="A685" t="s">
        <v>948</v>
      </c>
      <c r="B685" t="s">
        <v>173</v>
      </c>
      <c r="C685" t="s">
        <v>690</v>
      </c>
      <c r="D685" s="1">
        <v>45898</v>
      </c>
      <c r="E685" s="5">
        <v>0.79166666666666663</v>
      </c>
      <c r="F685" s="1">
        <v>45898</v>
      </c>
      <c r="G685" s="5">
        <v>0.8125</v>
      </c>
      <c r="H685">
        <v>30</v>
      </c>
      <c r="I685" t="s">
        <v>143</v>
      </c>
      <c r="J685" t="s">
        <v>655</v>
      </c>
      <c r="K685">
        <v>3</v>
      </c>
      <c r="L685">
        <v>4</v>
      </c>
      <c r="M685" t="s">
        <v>143</v>
      </c>
      <c r="N685" t="s">
        <v>169</v>
      </c>
      <c r="O685" t="b">
        <v>1</v>
      </c>
      <c r="P685" t="b">
        <v>0</v>
      </c>
      <c r="Q685" s="6">
        <v>7.5</v>
      </c>
      <c r="R685" s="6">
        <v>0.75</v>
      </c>
      <c r="S685" t="s">
        <v>304</v>
      </c>
      <c r="T685" t="s">
        <v>171</v>
      </c>
      <c r="U685" s="6">
        <v>9.6</v>
      </c>
      <c r="V685" s="6">
        <v>20.399999999999999</v>
      </c>
      <c r="W685" t="b">
        <v>0</v>
      </c>
      <c r="X685">
        <v>6</v>
      </c>
      <c r="Y685">
        <v>2</v>
      </c>
      <c r="Z685">
        <v>19</v>
      </c>
      <c r="AA685" s="6">
        <v>30.286458333333329</v>
      </c>
      <c r="AB685">
        <f>--PizzaDelivery[[#This Row],[Is Delayed]]</f>
        <v>0</v>
      </c>
    </row>
    <row r="686" spans="1:28">
      <c r="A686" t="s">
        <v>949</v>
      </c>
      <c r="B686" t="s">
        <v>142</v>
      </c>
      <c r="C686" t="s">
        <v>807</v>
      </c>
      <c r="D686" s="1">
        <v>45899</v>
      </c>
      <c r="E686" s="5">
        <v>0.84375</v>
      </c>
      <c r="F686" s="1">
        <v>45899</v>
      </c>
      <c r="G686" s="5">
        <v>0.86458333333333337</v>
      </c>
      <c r="H686">
        <v>30</v>
      </c>
      <c r="I686" t="s">
        <v>151</v>
      </c>
      <c r="J686" t="s">
        <v>657</v>
      </c>
      <c r="K686">
        <v>4</v>
      </c>
      <c r="L686">
        <v>5.5</v>
      </c>
      <c r="M686" t="s">
        <v>143</v>
      </c>
      <c r="N686" t="s">
        <v>162</v>
      </c>
      <c r="O686" t="b">
        <v>1</v>
      </c>
      <c r="P686" t="b">
        <v>1</v>
      </c>
      <c r="Q686" s="6">
        <v>5.4545454545454541</v>
      </c>
      <c r="R686" s="6">
        <v>0.72727272727272729</v>
      </c>
      <c r="S686" t="s">
        <v>304</v>
      </c>
      <c r="T686" t="s">
        <v>147</v>
      </c>
      <c r="U686" s="6">
        <v>13.2</v>
      </c>
      <c r="V686" s="6">
        <v>16.8</v>
      </c>
      <c r="W686" t="b">
        <v>0</v>
      </c>
      <c r="X686">
        <v>12</v>
      </c>
      <c r="Y686">
        <v>2</v>
      </c>
      <c r="Z686">
        <v>20</v>
      </c>
      <c r="AA686" s="6">
        <v>30.259433962264151</v>
      </c>
      <c r="AB686">
        <f>--PizzaDelivery[[#This Row],[Is Delayed]]</f>
        <v>0</v>
      </c>
    </row>
    <row r="687" spans="1:28">
      <c r="A687" t="s">
        <v>950</v>
      </c>
      <c r="B687" t="s">
        <v>165</v>
      </c>
      <c r="C687" t="s">
        <v>817</v>
      </c>
      <c r="D687" s="1">
        <v>45900</v>
      </c>
      <c r="E687" s="5">
        <v>0.77083333333333337</v>
      </c>
      <c r="F687" s="1">
        <v>45900</v>
      </c>
      <c r="G687" s="5">
        <v>0.79166666666666663</v>
      </c>
      <c r="H687">
        <v>30</v>
      </c>
      <c r="I687" t="s">
        <v>143</v>
      </c>
      <c r="J687" t="s">
        <v>144</v>
      </c>
      <c r="K687">
        <v>2</v>
      </c>
      <c r="L687">
        <v>4</v>
      </c>
      <c r="M687" t="s">
        <v>161</v>
      </c>
      <c r="N687" t="s">
        <v>154</v>
      </c>
      <c r="O687" t="b">
        <v>1</v>
      </c>
      <c r="P687" t="b">
        <v>1</v>
      </c>
      <c r="Q687" s="6">
        <v>7.5</v>
      </c>
      <c r="R687" s="6">
        <v>0.5</v>
      </c>
      <c r="S687" t="s">
        <v>304</v>
      </c>
      <c r="T687" t="s">
        <v>147</v>
      </c>
      <c r="U687" s="6">
        <v>9.6</v>
      </c>
      <c r="V687" s="6">
        <v>20.399999999999999</v>
      </c>
      <c r="W687" t="b">
        <v>0</v>
      </c>
      <c r="X687">
        <v>4</v>
      </c>
      <c r="Y687">
        <v>1</v>
      </c>
      <c r="Z687">
        <v>18</v>
      </c>
      <c r="AA687" s="6">
        <v>29.948453608247419</v>
      </c>
      <c r="AB687">
        <f>--PizzaDelivery[[#This Row],[Is Delayed]]</f>
        <v>0</v>
      </c>
    </row>
    <row r="688" spans="1:28">
      <c r="A688" t="s">
        <v>951</v>
      </c>
      <c r="B688" t="s">
        <v>149</v>
      </c>
      <c r="C688" t="s">
        <v>819</v>
      </c>
      <c r="D688" s="1">
        <v>45901</v>
      </c>
      <c r="E688" s="5">
        <v>0.82291666666666663</v>
      </c>
      <c r="F688" s="1">
        <v>45901</v>
      </c>
      <c r="G688" s="5">
        <v>0.84375</v>
      </c>
      <c r="H688">
        <v>30</v>
      </c>
      <c r="I688" t="s">
        <v>143</v>
      </c>
      <c r="J688" t="s">
        <v>591</v>
      </c>
      <c r="K688">
        <v>3</v>
      </c>
      <c r="L688">
        <v>5</v>
      </c>
      <c r="M688" t="s">
        <v>143</v>
      </c>
      <c r="N688" t="s">
        <v>145</v>
      </c>
      <c r="O688" t="b">
        <v>1</v>
      </c>
      <c r="P688" t="b">
        <v>0</v>
      </c>
      <c r="Q688" s="6">
        <v>6</v>
      </c>
      <c r="R688" s="6">
        <v>0.6</v>
      </c>
      <c r="S688" t="s">
        <v>442</v>
      </c>
      <c r="T688" t="s">
        <v>147</v>
      </c>
      <c r="U688" s="6">
        <v>12</v>
      </c>
      <c r="V688" s="6">
        <v>18</v>
      </c>
      <c r="W688" t="b">
        <v>0</v>
      </c>
      <c r="X688">
        <v>6</v>
      </c>
      <c r="Y688">
        <v>2</v>
      </c>
      <c r="Z688">
        <v>19</v>
      </c>
      <c r="AA688" s="6">
        <v>28.186274509803919</v>
      </c>
      <c r="AB688">
        <f>--PizzaDelivery[[#This Row],[Is Delayed]]</f>
        <v>0</v>
      </c>
    </row>
    <row r="689" spans="1:28">
      <c r="A689" t="s">
        <v>952</v>
      </c>
      <c r="B689" t="s">
        <v>157</v>
      </c>
      <c r="C689" t="s">
        <v>693</v>
      </c>
      <c r="D689" s="1">
        <v>45902</v>
      </c>
      <c r="E689" s="5">
        <v>0.83333333333333337</v>
      </c>
      <c r="F689" s="1">
        <v>45902</v>
      </c>
      <c r="G689" s="5">
        <v>0.86111111111111116</v>
      </c>
      <c r="H689">
        <v>40</v>
      </c>
      <c r="I689" t="s">
        <v>167</v>
      </c>
      <c r="J689" t="s">
        <v>168</v>
      </c>
      <c r="K689">
        <v>5</v>
      </c>
      <c r="L689">
        <v>8</v>
      </c>
      <c r="M689" t="s">
        <v>153</v>
      </c>
      <c r="N689" t="s">
        <v>162</v>
      </c>
      <c r="O689" t="b">
        <v>1</v>
      </c>
      <c r="P689" t="b">
        <v>0</v>
      </c>
      <c r="Q689" s="6">
        <v>5</v>
      </c>
      <c r="R689" s="6">
        <v>0.625</v>
      </c>
      <c r="S689" t="s">
        <v>442</v>
      </c>
      <c r="T689" t="s">
        <v>147</v>
      </c>
      <c r="U689" s="6">
        <v>19.2</v>
      </c>
      <c r="V689" s="6">
        <v>20.8</v>
      </c>
      <c r="W689" t="b">
        <v>1</v>
      </c>
      <c r="X689">
        <v>20</v>
      </c>
      <c r="Y689">
        <v>3</v>
      </c>
      <c r="Z689">
        <v>20</v>
      </c>
      <c r="AA689" s="6">
        <v>28.844221105527641</v>
      </c>
      <c r="AB689">
        <f>--PizzaDelivery[[#This Row],[Is Delayed]]</f>
        <v>1</v>
      </c>
    </row>
    <row r="690" spans="1:28">
      <c r="A690" t="s">
        <v>953</v>
      </c>
      <c r="B690" t="s">
        <v>173</v>
      </c>
      <c r="C690" t="s">
        <v>695</v>
      </c>
      <c r="D690" s="1">
        <v>45903</v>
      </c>
      <c r="E690" s="5">
        <v>0.76041666666666663</v>
      </c>
      <c r="F690" s="1">
        <v>45903</v>
      </c>
      <c r="G690" s="5">
        <v>0.78125</v>
      </c>
      <c r="H690">
        <v>30</v>
      </c>
      <c r="I690" t="s">
        <v>143</v>
      </c>
      <c r="J690" t="s">
        <v>655</v>
      </c>
      <c r="K690">
        <v>3</v>
      </c>
      <c r="L690">
        <v>4</v>
      </c>
      <c r="M690" t="s">
        <v>143</v>
      </c>
      <c r="N690" t="s">
        <v>145</v>
      </c>
      <c r="O690" t="b">
        <v>1</v>
      </c>
      <c r="P690" t="b">
        <v>0</v>
      </c>
      <c r="Q690" s="6">
        <v>7.5</v>
      </c>
      <c r="R690" s="6">
        <v>0.75</v>
      </c>
      <c r="S690" t="s">
        <v>442</v>
      </c>
      <c r="T690" t="s">
        <v>147</v>
      </c>
      <c r="U690" s="6">
        <v>9.6</v>
      </c>
      <c r="V690" s="6">
        <v>20.399999999999999</v>
      </c>
      <c r="W690" t="b">
        <v>0</v>
      </c>
      <c r="X690">
        <v>6</v>
      </c>
      <c r="Y690">
        <v>2</v>
      </c>
      <c r="Z690">
        <v>18</v>
      </c>
      <c r="AA690" s="6">
        <v>30.286458333333329</v>
      </c>
      <c r="AB690">
        <f>--PizzaDelivery[[#This Row],[Is Delayed]]</f>
        <v>0</v>
      </c>
    </row>
    <row r="691" spans="1:28">
      <c r="A691" t="s">
        <v>954</v>
      </c>
      <c r="B691" t="s">
        <v>142</v>
      </c>
      <c r="C691" t="s">
        <v>697</v>
      </c>
      <c r="D691" s="1">
        <v>45904</v>
      </c>
      <c r="E691" s="5">
        <v>0.8125</v>
      </c>
      <c r="F691" s="1">
        <v>45904</v>
      </c>
      <c r="G691" s="5">
        <v>0.83333333333333337</v>
      </c>
      <c r="H691">
        <v>30</v>
      </c>
      <c r="I691" t="s">
        <v>151</v>
      </c>
      <c r="J691" t="s">
        <v>152</v>
      </c>
      <c r="K691">
        <v>4</v>
      </c>
      <c r="L691">
        <v>6</v>
      </c>
      <c r="M691" t="s">
        <v>143</v>
      </c>
      <c r="N691" t="s">
        <v>169</v>
      </c>
      <c r="O691" t="b">
        <v>1</v>
      </c>
      <c r="P691" t="b">
        <v>0</v>
      </c>
      <c r="Q691" s="6">
        <v>5</v>
      </c>
      <c r="R691" s="6">
        <v>0.66666666666666663</v>
      </c>
      <c r="S691" t="s">
        <v>442</v>
      </c>
      <c r="T691" t="s">
        <v>171</v>
      </c>
      <c r="U691" s="6">
        <v>14.4</v>
      </c>
      <c r="V691" s="6">
        <v>15.6</v>
      </c>
      <c r="W691" t="b">
        <v>0</v>
      </c>
      <c r="X691">
        <v>12</v>
      </c>
      <c r="Y691">
        <v>2</v>
      </c>
      <c r="Z691">
        <v>19</v>
      </c>
      <c r="AA691" s="6">
        <v>30.259433962264151</v>
      </c>
      <c r="AB691">
        <f>--PizzaDelivery[[#This Row],[Is Delayed]]</f>
        <v>0</v>
      </c>
    </row>
    <row r="692" spans="1:28">
      <c r="A692" t="s">
        <v>955</v>
      </c>
      <c r="B692" t="s">
        <v>165</v>
      </c>
      <c r="C692" t="s">
        <v>699</v>
      </c>
      <c r="D692" s="1">
        <v>45905</v>
      </c>
      <c r="E692" s="5">
        <v>0.86458333333333337</v>
      </c>
      <c r="F692" s="1">
        <v>45905</v>
      </c>
      <c r="G692" s="5">
        <v>0.88541666666666663</v>
      </c>
      <c r="H692">
        <v>30</v>
      </c>
      <c r="I692" t="s">
        <v>143</v>
      </c>
      <c r="J692" t="s">
        <v>144</v>
      </c>
      <c r="K692">
        <v>2</v>
      </c>
      <c r="L692">
        <v>4</v>
      </c>
      <c r="M692" t="s">
        <v>161</v>
      </c>
      <c r="N692" t="s">
        <v>154</v>
      </c>
      <c r="O692" t="b">
        <v>1</v>
      </c>
      <c r="P692" t="b">
        <v>0</v>
      </c>
      <c r="Q692" s="6">
        <v>7.5</v>
      </c>
      <c r="R692" s="6">
        <v>0.5</v>
      </c>
      <c r="S692" t="s">
        <v>442</v>
      </c>
      <c r="T692" t="s">
        <v>147</v>
      </c>
      <c r="U692" s="6">
        <v>9.6</v>
      </c>
      <c r="V692" s="6">
        <v>20.399999999999999</v>
      </c>
      <c r="W692" t="b">
        <v>0</v>
      </c>
      <c r="X692">
        <v>4</v>
      </c>
      <c r="Y692">
        <v>1</v>
      </c>
      <c r="Z692">
        <v>20</v>
      </c>
      <c r="AA692" s="6">
        <v>29.948453608247419</v>
      </c>
      <c r="AB692">
        <f>--PizzaDelivery[[#This Row],[Is Delayed]]</f>
        <v>0</v>
      </c>
    </row>
    <row r="693" spans="1:28">
      <c r="A693" t="s">
        <v>956</v>
      </c>
      <c r="B693" t="s">
        <v>149</v>
      </c>
      <c r="C693" t="s">
        <v>701</v>
      </c>
      <c r="D693" s="1">
        <v>45906</v>
      </c>
      <c r="E693" s="5">
        <v>0.75</v>
      </c>
      <c r="F693" s="1">
        <v>45906</v>
      </c>
      <c r="G693" s="5">
        <v>0.77083333333333337</v>
      </c>
      <c r="H693">
        <v>30</v>
      </c>
      <c r="I693" t="s">
        <v>143</v>
      </c>
      <c r="J693" t="s">
        <v>591</v>
      </c>
      <c r="K693">
        <v>3</v>
      </c>
      <c r="L693">
        <v>5</v>
      </c>
      <c r="M693" t="s">
        <v>143</v>
      </c>
      <c r="N693" t="s">
        <v>162</v>
      </c>
      <c r="O693" t="b">
        <v>1</v>
      </c>
      <c r="P693" t="b">
        <v>1</v>
      </c>
      <c r="Q693" s="6">
        <v>6</v>
      </c>
      <c r="R693" s="6">
        <v>0.6</v>
      </c>
      <c r="S693" t="s">
        <v>442</v>
      </c>
      <c r="T693" t="s">
        <v>147</v>
      </c>
      <c r="U693" s="6">
        <v>12</v>
      </c>
      <c r="V693" s="6">
        <v>18</v>
      </c>
      <c r="W693" t="b">
        <v>0</v>
      </c>
      <c r="X693">
        <v>6</v>
      </c>
      <c r="Y693">
        <v>2</v>
      </c>
      <c r="Z693">
        <v>18</v>
      </c>
      <c r="AA693" s="6">
        <v>28.186274509803919</v>
      </c>
      <c r="AB693">
        <f>--PizzaDelivery[[#This Row],[Is Delayed]]</f>
        <v>0</v>
      </c>
    </row>
    <row r="694" spans="1:28">
      <c r="A694" t="s">
        <v>957</v>
      </c>
      <c r="B694" t="s">
        <v>157</v>
      </c>
      <c r="C694" t="s">
        <v>703</v>
      </c>
      <c r="D694" s="1">
        <v>45907</v>
      </c>
      <c r="E694" s="5">
        <v>0.80208333333333337</v>
      </c>
      <c r="F694" s="1">
        <v>45907</v>
      </c>
      <c r="G694" s="5">
        <v>0.82986111111111116</v>
      </c>
      <c r="H694">
        <v>40</v>
      </c>
      <c r="I694" t="s">
        <v>167</v>
      </c>
      <c r="J694" t="s">
        <v>168</v>
      </c>
      <c r="K694">
        <v>5</v>
      </c>
      <c r="L694">
        <v>7</v>
      </c>
      <c r="M694" t="s">
        <v>153</v>
      </c>
      <c r="N694" t="s">
        <v>145</v>
      </c>
      <c r="O694" t="b">
        <v>1</v>
      </c>
      <c r="P694" t="b">
        <v>1</v>
      </c>
      <c r="Q694" s="6">
        <v>5.7142857142857144</v>
      </c>
      <c r="R694" s="6">
        <v>0.7142857142857143</v>
      </c>
      <c r="S694" t="s">
        <v>442</v>
      </c>
      <c r="T694" t="s">
        <v>147</v>
      </c>
      <c r="U694" s="6">
        <v>16.8</v>
      </c>
      <c r="V694" s="6">
        <v>23.2</v>
      </c>
      <c r="W694" t="b">
        <v>1</v>
      </c>
      <c r="X694">
        <v>20</v>
      </c>
      <c r="Y694">
        <v>3</v>
      </c>
      <c r="Z694">
        <v>19</v>
      </c>
      <c r="AA694" s="6">
        <v>28.844221105527641</v>
      </c>
      <c r="AB694">
        <f>--PizzaDelivery[[#This Row],[Is Delayed]]</f>
        <v>1</v>
      </c>
    </row>
    <row r="695" spans="1:28">
      <c r="A695" t="s">
        <v>958</v>
      </c>
      <c r="B695" t="s">
        <v>173</v>
      </c>
      <c r="C695" t="s">
        <v>705</v>
      </c>
      <c r="D695" s="1">
        <v>45908</v>
      </c>
      <c r="E695" s="5">
        <v>0.85416666666666663</v>
      </c>
      <c r="F695" s="1">
        <v>45908</v>
      </c>
      <c r="G695" s="5">
        <v>0.875</v>
      </c>
      <c r="H695">
        <v>30</v>
      </c>
      <c r="I695" t="s">
        <v>143</v>
      </c>
      <c r="J695" t="s">
        <v>655</v>
      </c>
      <c r="K695">
        <v>3</v>
      </c>
      <c r="L695">
        <v>4.5</v>
      </c>
      <c r="M695" t="s">
        <v>143</v>
      </c>
      <c r="N695" t="s">
        <v>169</v>
      </c>
      <c r="O695" t="b">
        <v>1</v>
      </c>
      <c r="P695" t="b">
        <v>0</v>
      </c>
      <c r="Q695" s="6">
        <v>6.666666666666667</v>
      </c>
      <c r="R695" s="6">
        <v>0.66666666666666663</v>
      </c>
      <c r="S695" t="s">
        <v>442</v>
      </c>
      <c r="T695" t="s">
        <v>171</v>
      </c>
      <c r="U695" s="6">
        <v>10.8</v>
      </c>
      <c r="V695" s="6">
        <v>19.2</v>
      </c>
      <c r="W695" t="b">
        <v>0</v>
      </c>
      <c r="X695">
        <v>6</v>
      </c>
      <c r="Y695">
        <v>2</v>
      </c>
      <c r="Z695">
        <v>20</v>
      </c>
      <c r="AA695" s="6">
        <v>30.286458333333329</v>
      </c>
      <c r="AB695">
        <f>--PizzaDelivery[[#This Row],[Is Delayed]]</f>
        <v>0</v>
      </c>
    </row>
    <row r="696" spans="1:28">
      <c r="A696" t="s">
        <v>959</v>
      </c>
      <c r="B696" t="s">
        <v>142</v>
      </c>
      <c r="C696" t="s">
        <v>709</v>
      </c>
      <c r="D696" s="1">
        <v>45909</v>
      </c>
      <c r="E696" s="5">
        <v>0.78125</v>
      </c>
      <c r="F696" s="1">
        <v>45909</v>
      </c>
      <c r="G696" s="5">
        <v>0.80208333333333337</v>
      </c>
      <c r="H696">
        <v>30</v>
      </c>
      <c r="I696" t="s">
        <v>151</v>
      </c>
      <c r="J696" t="s">
        <v>657</v>
      </c>
      <c r="K696">
        <v>4</v>
      </c>
      <c r="L696">
        <v>5.5</v>
      </c>
      <c r="M696" t="s">
        <v>143</v>
      </c>
      <c r="N696" t="s">
        <v>162</v>
      </c>
      <c r="O696" t="b">
        <v>1</v>
      </c>
      <c r="P696" t="b">
        <v>0</v>
      </c>
      <c r="Q696" s="6">
        <v>5.4545454545454541</v>
      </c>
      <c r="R696" s="6">
        <v>0.72727272727272729</v>
      </c>
      <c r="S696" t="s">
        <v>442</v>
      </c>
      <c r="T696" t="s">
        <v>147</v>
      </c>
      <c r="U696" s="6">
        <v>13.2</v>
      </c>
      <c r="V696" s="6">
        <v>16.8</v>
      </c>
      <c r="W696" t="b">
        <v>0</v>
      </c>
      <c r="X696">
        <v>12</v>
      </c>
      <c r="Y696">
        <v>2</v>
      </c>
      <c r="Z696">
        <v>18</v>
      </c>
      <c r="AA696" s="6">
        <v>30.259433962264151</v>
      </c>
      <c r="AB696">
        <f>--PizzaDelivery[[#This Row],[Is Delayed]]</f>
        <v>0</v>
      </c>
    </row>
    <row r="697" spans="1:28">
      <c r="A697" t="s">
        <v>960</v>
      </c>
      <c r="B697" t="s">
        <v>165</v>
      </c>
      <c r="C697" t="s">
        <v>188</v>
      </c>
      <c r="D697" s="1">
        <v>45910</v>
      </c>
      <c r="E697" s="5">
        <v>0.79166666666666663</v>
      </c>
      <c r="F697" s="1">
        <v>45910</v>
      </c>
      <c r="G697" s="5">
        <v>0.8125</v>
      </c>
      <c r="H697">
        <v>30</v>
      </c>
      <c r="I697" t="s">
        <v>143</v>
      </c>
      <c r="J697" t="s">
        <v>144</v>
      </c>
      <c r="K697">
        <v>2</v>
      </c>
      <c r="L697">
        <v>4</v>
      </c>
      <c r="M697" t="s">
        <v>161</v>
      </c>
      <c r="N697" t="s">
        <v>154</v>
      </c>
      <c r="O697" t="b">
        <v>1</v>
      </c>
      <c r="P697" t="b">
        <v>0</v>
      </c>
      <c r="Q697" s="6">
        <v>7.5</v>
      </c>
      <c r="R697" s="6">
        <v>0.5</v>
      </c>
      <c r="S697" t="s">
        <v>442</v>
      </c>
      <c r="T697" t="s">
        <v>147</v>
      </c>
      <c r="U697" s="6">
        <v>9.6</v>
      </c>
      <c r="V697" s="6">
        <v>20.399999999999999</v>
      </c>
      <c r="W697" t="b">
        <v>0</v>
      </c>
      <c r="X697">
        <v>4</v>
      </c>
      <c r="Y697">
        <v>1</v>
      </c>
      <c r="Z697">
        <v>19</v>
      </c>
      <c r="AA697" s="6">
        <v>29.948453608247419</v>
      </c>
      <c r="AB697">
        <f>--PizzaDelivery[[#This Row],[Is Delayed]]</f>
        <v>0</v>
      </c>
    </row>
    <row r="698" spans="1:28">
      <c r="A698" t="s">
        <v>961</v>
      </c>
      <c r="B698" t="s">
        <v>149</v>
      </c>
      <c r="C698" t="s">
        <v>712</v>
      </c>
      <c r="D698" s="1">
        <v>45911</v>
      </c>
      <c r="E698" s="5">
        <v>0.84375</v>
      </c>
      <c r="F698" s="1">
        <v>45911</v>
      </c>
      <c r="G698" s="5">
        <v>0.86458333333333337</v>
      </c>
      <c r="H698">
        <v>30</v>
      </c>
      <c r="I698" t="s">
        <v>143</v>
      </c>
      <c r="J698" t="s">
        <v>591</v>
      </c>
      <c r="K698">
        <v>3</v>
      </c>
      <c r="L698">
        <v>5</v>
      </c>
      <c r="M698" t="s">
        <v>143</v>
      </c>
      <c r="N698" t="s">
        <v>162</v>
      </c>
      <c r="O698" t="b">
        <v>1</v>
      </c>
      <c r="P698" t="b">
        <v>0</v>
      </c>
      <c r="Q698" s="6">
        <v>6</v>
      </c>
      <c r="R698" s="6">
        <v>0.6</v>
      </c>
      <c r="S698" t="s">
        <v>442</v>
      </c>
      <c r="T698" t="s">
        <v>147</v>
      </c>
      <c r="U698" s="6">
        <v>12</v>
      </c>
      <c r="V698" s="6">
        <v>18</v>
      </c>
      <c r="W698" t="b">
        <v>0</v>
      </c>
      <c r="X698">
        <v>6</v>
      </c>
      <c r="Y698">
        <v>2</v>
      </c>
      <c r="Z698">
        <v>20</v>
      </c>
      <c r="AA698" s="6">
        <v>28.186274509803919</v>
      </c>
      <c r="AB698">
        <f>--PizzaDelivery[[#This Row],[Is Delayed]]</f>
        <v>0</v>
      </c>
    </row>
    <row r="699" spans="1:28">
      <c r="A699" t="s">
        <v>962</v>
      </c>
      <c r="B699" t="s">
        <v>157</v>
      </c>
      <c r="C699" t="s">
        <v>693</v>
      </c>
      <c r="D699" s="1">
        <v>45912</v>
      </c>
      <c r="E699" s="5">
        <v>0.8125</v>
      </c>
      <c r="F699" s="1">
        <v>45912</v>
      </c>
      <c r="G699" s="5">
        <v>0.83333333333333337</v>
      </c>
      <c r="H699">
        <v>30</v>
      </c>
      <c r="I699" t="s">
        <v>167</v>
      </c>
      <c r="J699" t="s">
        <v>168</v>
      </c>
      <c r="K699">
        <v>5</v>
      </c>
      <c r="L699">
        <v>6</v>
      </c>
      <c r="M699" t="s">
        <v>153</v>
      </c>
      <c r="N699" t="s">
        <v>145</v>
      </c>
      <c r="O699" t="b">
        <v>1</v>
      </c>
      <c r="P699" t="b">
        <v>0</v>
      </c>
      <c r="Q699" s="6">
        <v>5</v>
      </c>
      <c r="R699" s="6">
        <v>0.83333333333333337</v>
      </c>
      <c r="S699" t="s">
        <v>442</v>
      </c>
      <c r="T699" t="s">
        <v>147</v>
      </c>
      <c r="U699" s="6">
        <v>14.4</v>
      </c>
      <c r="V699" s="6">
        <v>15.6</v>
      </c>
      <c r="W699" t="b">
        <v>0</v>
      </c>
      <c r="X699">
        <v>20</v>
      </c>
      <c r="Y699">
        <v>3</v>
      </c>
      <c r="Z699">
        <v>19</v>
      </c>
      <c r="AA699" s="6">
        <v>28.844221105527641</v>
      </c>
      <c r="AB699">
        <f>--PizzaDelivery[[#This Row],[Is Delayed]]</f>
        <v>0</v>
      </c>
    </row>
    <row r="700" spans="1:28">
      <c r="A700" t="s">
        <v>963</v>
      </c>
      <c r="B700" t="s">
        <v>173</v>
      </c>
      <c r="C700" t="s">
        <v>695</v>
      </c>
      <c r="D700" s="1">
        <v>45913</v>
      </c>
      <c r="E700" s="5">
        <v>0.78125</v>
      </c>
      <c r="F700" s="1">
        <v>45913</v>
      </c>
      <c r="G700" s="5">
        <v>0.80208333333333337</v>
      </c>
      <c r="H700">
        <v>30</v>
      </c>
      <c r="I700" t="s">
        <v>143</v>
      </c>
      <c r="J700" t="s">
        <v>655</v>
      </c>
      <c r="K700">
        <v>3</v>
      </c>
      <c r="L700">
        <v>4.5</v>
      </c>
      <c r="M700" t="s">
        <v>143</v>
      </c>
      <c r="N700" t="s">
        <v>169</v>
      </c>
      <c r="O700" t="b">
        <v>1</v>
      </c>
      <c r="P700" t="b">
        <v>1</v>
      </c>
      <c r="Q700" s="6">
        <v>6.666666666666667</v>
      </c>
      <c r="R700" s="6">
        <v>0.66666666666666663</v>
      </c>
      <c r="S700" t="s">
        <v>442</v>
      </c>
      <c r="T700" t="s">
        <v>171</v>
      </c>
      <c r="U700" s="6">
        <v>10.8</v>
      </c>
      <c r="V700" s="6">
        <v>19.2</v>
      </c>
      <c r="W700" t="b">
        <v>0</v>
      </c>
      <c r="X700">
        <v>6</v>
      </c>
      <c r="Y700">
        <v>2</v>
      </c>
      <c r="Z700">
        <v>18</v>
      </c>
      <c r="AA700" s="6">
        <v>30.286458333333329</v>
      </c>
      <c r="AB700">
        <f>--PizzaDelivery[[#This Row],[Is Delayed]]</f>
        <v>0</v>
      </c>
    </row>
    <row r="701" spans="1:28">
      <c r="A701" t="s">
        <v>964</v>
      </c>
      <c r="B701" t="s">
        <v>142</v>
      </c>
      <c r="C701" t="s">
        <v>697</v>
      </c>
      <c r="D701" s="1">
        <v>45914</v>
      </c>
      <c r="E701" s="5">
        <v>0.83333333333333337</v>
      </c>
      <c r="F701" s="1">
        <v>45914</v>
      </c>
      <c r="G701" s="5">
        <v>0.85416666666666663</v>
      </c>
      <c r="H701">
        <v>30</v>
      </c>
      <c r="I701" t="s">
        <v>151</v>
      </c>
      <c r="J701" t="s">
        <v>657</v>
      </c>
      <c r="K701">
        <v>4</v>
      </c>
      <c r="L701">
        <v>5.5</v>
      </c>
      <c r="M701" t="s">
        <v>143</v>
      </c>
      <c r="N701" t="s">
        <v>162</v>
      </c>
      <c r="O701" t="b">
        <v>1</v>
      </c>
      <c r="P701" t="b">
        <v>1</v>
      </c>
      <c r="Q701" s="6">
        <v>5.4545454545454541</v>
      </c>
      <c r="R701" s="6">
        <v>0.72727272727272729</v>
      </c>
      <c r="S701" t="s">
        <v>442</v>
      </c>
      <c r="T701" t="s">
        <v>147</v>
      </c>
      <c r="U701" s="6">
        <v>13.2</v>
      </c>
      <c r="V701" s="6">
        <v>16.8</v>
      </c>
      <c r="W701" t="b">
        <v>0</v>
      </c>
      <c r="X701">
        <v>12</v>
      </c>
      <c r="Y701">
        <v>2</v>
      </c>
      <c r="Z701">
        <v>20</v>
      </c>
      <c r="AA701" s="6">
        <v>30.259433962264151</v>
      </c>
      <c r="AB701">
        <f>--PizzaDelivery[[#This Row],[Is Delayed]]</f>
        <v>0</v>
      </c>
    </row>
    <row r="702" spans="1:28">
      <c r="A702" t="s">
        <v>965</v>
      </c>
      <c r="B702" t="s">
        <v>165</v>
      </c>
      <c r="C702" t="s">
        <v>188</v>
      </c>
      <c r="D702" s="1">
        <v>45915</v>
      </c>
      <c r="E702" s="5">
        <v>0.80208333333333337</v>
      </c>
      <c r="F702" s="1">
        <v>45915</v>
      </c>
      <c r="G702" s="5">
        <v>0.82291666666666663</v>
      </c>
      <c r="H702">
        <v>30</v>
      </c>
      <c r="I702" t="s">
        <v>143</v>
      </c>
      <c r="J702" t="s">
        <v>144</v>
      </c>
      <c r="K702">
        <v>2</v>
      </c>
      <c r="L702">
        <v>4</v>
      </c>
      <c r="M702" t="s">
        <v>161</v>
      </c>
      <c r="N702" t="s">
        <v>154</v>
      </c>
      <c r="O702" t="b">
        <v>1</v>
      </c>
      <c r="P702" t="b">
        <v>0</v>
      </c>
      <c r="Q702" s="6">
        <v>7.5</v>
      </c>
      <c r="R702" s="6">
        <v>0.5</v>
      </c>
      <c r="S702" t="s">
        <v>442</v>
      </c>
      <c r="T702" t="s">
        <v>147</v>
      </c>
      <c r="U702" s="6">
        <v>9.6</v>
      </c>
      <c r="V702" s="6">
        <v>20.399999999999999</v>
      </c>
      <c r="W702" t="b">
        <v>0</v>
      </c>
      <c r="X702">
        <v>4</v>
      </c>
      <c r="Y702">
        <v>1</v>
      </c>
      <c r="Z702">
        <v>19</v>
      </c>
      <c r="AA702" s="6">
        <v>29.948453608247419</v>
      </c>
      <c r="AB702">
        <f>--PizzaDelivery[[#This Row],[Is Delayed]]</f>
        <v>0</v>
      </c>
    </row>
    <row r="703" spans="1:28">
      <c r="A703" t="s">
        <v>966</v>
      </c>
      <c r="B703" t="s">
        <v>149</v>
      </c>
      <c r="C703" t="s">
        <v>712</v>
      </c>
      <c r="D703" s="1">
        <v>45916</v>
      </c>
      <c r="E703" s="5">
        <v>0.85416666666666663</v>
      </c>
      <c r="F703" s="1">
        <v>45916</v>
      </c>
      <c r="G703" s="5">
        <v>0.875</v>
      </c>
      <c r="H703">
        <v>30</v>
      </c>
      <c r="I703" t="s">
        <v>143</v>
      </c>
      <c r="J703" t="s">
        <v>591</v>
      </c>
      <c r="K703">
        <v>3</v>
      </c>
      <c r="L703">
        <v>5</v>
      </c>
      <c r="M703" t="s">
        <v>143</v>
      </c>
      <c r="N703" t="s">
        <v>145</v>
      </c>
      <c r="O703" t="b">
        <v>1</v>
      </c>
      <c r="P703" t="b">
        <v>0</v>
      </c>
      <c r="Q703" s="6">
        <v>6</v>
      </c>
      <c r="R703" s="6">
        <v>0.6</v>
      </c>
      <c r="S703" t="s">
        <v>442</v>
      </c>
      <c r="T703" t="s">
        <v>147</v>
      </c>
      <c r="U703" s="6">
        <v>12</v>
      </c>
      <c r="V703" s="6">
        <v>18</v>
      </c>
      <c r="W703" t="b">
        <v>0</v>
      </c>
      <c r="X703">
        <v>6</v>
      </c>
      <c r="Y703">
        <v>2</v>
      </c>
      <c r="Z703">
        <v>20</v>
      </c>
      <c r="AA703" s="6">
        <v>28.186274509803919</v>
      </c>
      <c r="AB703">
        <f>--PizzaDelivery[[#This Row],[Is Delayed]]</f>
        <v>0</v>
      </c>
    </row>
    <row r="704" spans="1:28">
      <c r="A704" t="s">
        <v>967</v>
      </c>
      <c r="B704" t="s">
        <v>157</v>
      </c>
      <c r="C704" t="s">
        <v>693</v>
      </c>
      <c r="D704" s="1">
        <v>45917</v>
      </c>
      <c r="E704" s="5">
        <v>0.82291666666666663</v>
      </c>
      <c r="F704" s="1">
        <v>45917</v>
      </c>
      <c r="G704" s="5">
        <v>0.84375</v>
      </c>
      <c r="H704">
        <v>30</v>
      </c>
      <c r="I704" t="s">
        <v>167</v>
      </c>
      <c r="J704" t="s">
        <v>168</v>
      </c>
      <c r="K704">
        <v>5</v>
      </c>
      <c r="L704">
        <v>6</v>
      </c>
      <c r="M704" t="s">
        <v>153</v>
      </c>
      <c r="N704" t="s">
        <v>162</v>
      </c>
      <c r="O704" t="b">
        <v>1</v>
      </c>
      <c r="P704" t="b">
        <v>0</v>
      </c>
      <c r="Q704" s="6">
        <v>5</v>
      </c>
      <c r="R704" s="6">
        <v>0.83333333333333337</v>
      </c>
      <c r="S704" t="s">
        <v>442</v>
      </c>
      <c r="T704" t="s">
        <v>147</v>
      </c>
      <c r="U704" s="6">
        <v>14.4</v>
      </c>
      <c r="V704" s="6">
        <v>15.6</v>
      </c>
      <c r="W704" t="b">
        <v>0</v>
      </c>
      <c r="X704">
        <v>20</v>
      </c>
      <c r="Y704">
        <v>3</v>
      </c>
      <c r="Z704">
        <v>19</v>
      </c>
      <c r="AA704" s="6">
        <v>28.844221105527641</v>
      </c>
      <c r="AB704">
        <f>--PizzaDelivery[[#This Row],[Is Delayed]]</f>
        <v>0</v>
      </c>
    </row>
    <row r="705" spans="1:28">
      <c r="A705" t="s">
        <v>968</v>
      </c>
      <c r="B705" t="s">
        <v>173</v>
      </c>
      <c r="C705" t="s">
        <v>695</v>
      </c>
      <c r="D705" s="1">
        <v>45918</v>
      </c>
      <c r="E705" s="5">
        <v>0.75</v>
      </c>
      <c r="F705" s="1">
        <v>45918</v>
      </c>
      <c r="G705" s="5">
        <v>0.77083333333333337</v>
      </c>
      <c r="H705">
        <v>30</v>
      </c>
      <c r="I705" t="s">
        <v>143</v>
      </c>
      <c r="J705" t="s">
        <v>655</v>
      </c>
      <c r="K705">
        <v>3</v>
      </c>
      <c r="L705">
        <v>4.5</v>
      </c>
      <c r="M705" t="s">
        <v>143</v>
      </c>
      <c r="N705" t="s">
        <v>169</v>
      </c>
      <c r="O705" t="b">
        <v>1</v>
      </c>
      <c r="P705" t="b">
        <v>0</v>
      </c>
      <c r="Q705" s="6">
        <v>6.666666666666667</v>
      </c>
      <c r="R705" s="6">
        <v>0.66666666666666663</v>
      </c>
      <c r="S705" t="s">
        <v>442</v>
      </c>
      <c r="T705" t="s">
        <v>171</v>
      </c>
      <c r="U705" s="6">
        <v>10.8</v>
      </c>
      <c r="V705" s="6">
        <v>19.2</v>
      </c>
      <c r="W705" t="b">
        <v>0</v>
      </c>
      <c r="X705">
        <v>6</v>
      </c>
      <c r="Y705">
        <v>2</v>
      </c>
      <c r="Z705">
        <v>18</v>
      </c>
      <c r="AA705" s="6">
        <v>30.286458333333329</v>
      </c>
      <c r="AB705">
        <f>--PizzaDelivery[[#This Row],[Is Delayed]]</f>
        <v>0</v>
      </c>
    </row>
    <row r="706" spans="1:28">
      <c r="A706" t="s">
        <v>969</v>
      </c>
      <c r="B706" t="s">
        <v>142</v>
      </c>
      <c r="C706" t="s">
        <v>697</v>
      </c>
      <c r="D706" s="1">
        <v>45919</v>
      </c>
      <c r="E706" s="5">
        <v>0.84375</v>
      </c>
      <c r="F706" s="1">
        <v>45919</v>
      </c>
      <c r="G706" s="5">
        <v>0.86458333333333337</v>
      </c>
      <c r="H706">
        <v>30</v>
      </c>
      <c r="I706" t="s">
        <v>151</v>
      </c>
      <c r="J706" t="s">
        <v>657</v>
      </c>
      <c r="K706">
        <v>4</v>
      </c>
      <c r="L706">
        <v>5.5</v>
      </c>
      <c r="M706" t="s">
        <v>143</v>
      </c>
      <c r="N706" t="s">
        <v>162</v>
      </c>
      <c r="O706" t="b">
        <v>1</v>
      </c>
      <c r="P706" t="b">
        <v>0</v>
      </c>
      <c r="Q706" s="6">
        <v>5.4545454545454541</v>
      </c>
      <c r="R706" s="6">
        <v>0.72727272727272729</v>
      </c>
      <c r="S706" t="s">
        <v>442</v>
      </c>
      <c r="T706" t="s">
        <v>147</v>
      </c>
      <c r="U706" s="6">
        <v>13.2</v>
      </c>
      <c r="V706" s="6">
        <v>16.8</v>
      </c>
      <c r="W706" t="b">
        <v>0</v>
      </c>
      <c r="X706">
        <v>12</v>
      </c>
      <c r="Y706">
        <v>2</v>
      </c>
      <c r="Z706">
        <v>20</v>
      </c>
      <c r="AA706" s="6">
        <v>30.259433962264151</v>
      </c>
      <c r="AB706">
        <f>--PizzaDelivery[[#This Row],[Is Delayed]]</f>
        <v>0</v>
      </c>
    </row>
    <row r="707" spans="1:28">
      <c r="A707" t="s">
        <v>970</v>
      </c>
      <c r="B707" t="s">
        <v>165</v>
      </c>
      <c r="C707" t="s">
        <v>188</v>
      </c>
      <c r="D707" s="1">
        <v>45920</v>
      </c>
      <c r="E707" s="5">
        <v>0.8125</v>
      </c>
      <c r="F707" s="1">
        <v>45920</v>
      </c>
      <c r="G707" s="5">
        <v>0.83333333333333337</v>
      </c>
      <c r="H707">
        <v>30</v>
      </c>
      <c r="I707" t="s">
        <v>143</v>
      </c>
      <c r="J707" t="s">
        <v>144</v>
      </c>
      <c r="K707">
        <v>2</v>
      </c>
      <c r="L707">
        <v>4</v>
      </c>
      <c r="M707" t="s">
        <v>161</v>
      </c>
      <c r="N707" t="s">
        <v>154</v>
      </c>
      <c r="O707" t="b">
        <v>1</v>
      </c>
      <c r="P707" t="b">
        <v>1</v>
      </c>
      <c r="Q707" s="6">
        <v>7.5</v>
      </c>
      <c r="R707" s="6">
        <v>0.5</v>
      </c>
      <c r="S707" t="s">
        <v>442</v>
      </c>
      <c r="T707" t="s">
        <v>147</v>
      </c>
      <c r="U707" s="6">
        <v>9.6</v>
      </c>
      <c r="V707" s="6">
        <v>20.399999999999999</v>
      </c>
      <c r="W707" t="b">
        <v>0</v>
      </c>
      <c r="X707">
        <v>4</v>
      </c>
      <c r="Y707">
        <v>1</v>
      </c>
      <c r="Z707">
        <v>19</v>
      </c>
      <c r="AA707" s="6">
        <v>29.948453608247419</v>
      </c>
      <c r="AB707">
        <f>--PizzaDelivery[[#This Row],[Is Delayed]]</f>
        <v>0</v>
      </c>
    </row>
    <row r="708" spans="1:28">
      <c r="A708" t="s">
        <v>971</v>
      </c>
      <c r="B708" t="s">
        <v>149</v>
      </c>
      <c r="C708" t="s">
        <v>712</v>
      </c>
      <c r="D708" s="1">
        <v>45921</v>
      </c>
      <c r="E708" s="5">
        <v>0.86458333333333337</v>
      </c>
      <c r="F708" s="1">
        <v>45921</v>
      </c>
      <c r="G708" s="5">
        <v>0.88541666666666663</v>
      </c>
      <c r="H708">
        <v>30</v>
      </c>
      <c r="I708" t="s">
        <v>143</v>
      </c>
      <c r="J708" t="s">
        <v>591</v>
      </c>
      <c r="K708">
        <v>3</v>
      </c>
      <c r="L708">
        <v>5</v>
      </c>
      <c r="M708" t="s">
        <v>143</v>
      </c>
      <c r="N708" t="s">
        <v>145</v>
      </c>
      <c r="O708" t="b">
        <v>1</v>
      </c>
      <c r="P708" t="b">
        <v>1</v>
      </c>
      <c r="Q708" s="6">
        <v>6</v>
      </c>
      <c r="R708" s="6">
        <v>0.6</v>
      </c>
      <c r="S708" t="s">
        <v>442</v>
      </c>
      <c r="T708" t="s">
        <v>147</v>
      </c>
      <c r="U708" s="6">
        <v>12</v>
      </c>
      <c r="V708" s="6">
        <v>18</v>
      </c>
      <c r="W708" t="b">
        <v>0</v>
      </c>
      <c r="X708">
        <v>6</v>
      </c>
      <c r="Y708">
        <v>2</v>
      </c>
      <c r="Z708">
        <v>20</v>
      </c>
      <c r="AA708" s="6">
        <v>28.186274509803919</v>
      </c>
      <c r="AB708">
        <f>--PizzaDelivery[[#This Row],[Is Delayed]]</f>
        <v>0</v>
      </c>
    </row>
    <row r="709" spans="1:28">
      <c r="A709" t="s">
        <v>972</v>
      </c>
      <c r="B709" t="s">
        <v>157</v>
      </c>
      <c r="C709" t="s">
        <v>693</v>
      </c>
      <c r="D709" s="1">
        <v>45922</v>
      </c>
      <c r="E709" s="5">
        <v>0.79166666666666663</v>
      </c>
      <c r="F709" s="1">
        <v>45922</v>
      </c>
      <c r="G709" s="5">
        <v>0.8125</v>
      </c>
      <c r="H709">
        <v>30</v>
      </c>
      <c r="I709" t="s">
        <v>167</v>
      </c>
      <c r="J709" t="s">
        <v>168</v>
      </c>
      <c r="K709">
        <v>5</v>
      </c>
      <c r="L709">
        <v>6</v>
      </c>
      <c r="M709" t="s">
        <v>153</v>
      </c>
      <c r="N709" t="s">
        <v>162</v>
      </c>
      <c r="O709" t="b">
        <v>1</v>
      </c>
      <c r="P709" t="b">
        <v>0</v>
      </c>
      <c r="Q709" s="6">
        <v>5</v>
      </c>
      <c r="R709" s="6">
        <v>0.83333333333333337</v>
      </c>
      <c r="S709" t="s">
        <v>442</v>
      </c>
      <c r="T709" t="s">
        <v>147</v>
      </c>
      <c r="U709" s="6">
        <v>14.4</v>
      </c>
      <c r="V709" s="6">
        <v>15.6</v>
      </c>
      <c r="W709" t="b">
        <v>0</v>
      </c>
      <c r="X709">
        <v>20</v>
      </c>
      <c r="Y709">
        <v>3</v>
      </c>
      <c r="Z709">
        <v>19</v>
      </c>
      <c r="AA709" s="6">
        <v>28.844221105527641</v>
      </c>
      <c r="AB709">
        <f>--PizzaDelivery[[#This Row],[Is Delayed]]</f>
        <v>0</v>
      </c>
    </row>
    <row r="710" spans="1:28">
      <c r="A710" t="s">
        <v>973</v>
      </c>
      <c r="B710" t="s">
        <v>173</v>
      </c>
      <c r="C710" t="s">
        <v>695</v>
      </c>
      <c r="D710" s="1">
        <v>45923</v>
      </c>
      <c r="E710" s="5">
        <v>0.76041666666666663</v>
      </c>
      <c r="F710" s="1">
        <v>45923</v>
      </c>
      <c r="G710" s="5">
        <v>0.78125</v>
      </c>
      <c r="H710">
        <v>30</v>
      </c>
      <c r="I710" t="s">
        <v>143</v>
      </c>
      <c r="J710" t="s">
        <v>655</v>
      </c>
      <c r="K710">
        <v>3</v>
      </c>
      <c r="L710">
        <v>4.5</v>
      </c>
      <c r="M710" t="s">
        <v>143</v>
      </c>
      <c r="N710" t="s">
        <v>169</v>
      </c>
      <c r="O710" t="b">
        <v>1</v>
      </c>
      <c r="P710" t="b">
        <v>0</v>
      </c>
      <c r="Q710" s="6">
        <v>6.666666666666667</v>
      </c>
      <c r="R710" s="6">
        <v>0.66666666666666663</v>
      </c>
      <c r="S710" t="s">
        <v>442</v>
      </c>
      <c r="T710" t="s">
        <v>171</v>
      </c>
      <c r="U710" s="6">
        <v>10.8</v>
      </c>
      <c r="V710" s="6">
        <v>19.2</v>
      </c>
      <c r="W710" t="b">
        <v>0</v>
      </c>
      <c r="X710">
        <v>6</v>
      </c>
      <c r="Y710">
        <v>2</v>
      </c>
      <c r="Z710">
        <v>18</v>
      </c>
      <c r="AA710" s="6">
        <v>30.286458333333329</v>
      </c>
      <c r="AB710">
        <f>--PizzaDelivery[[#This Row],[Is Delayed]]</f>
        <v>0</v>
      </c>
    </row>
    <row r="711" spans="1:28">
      <c r="A711" t="s">
        <v>974</v>
      </c>
      <c r="B711" t="s">
        <v>142</v>
      </c>
      <c r="C711" t="s">
        <v>697</v>
      </c>
      <c r="D711" s="1">
        <v>45924</v>
      </c>
      <c r="E711" s="5">
        <v>0.8125</v>
      </c>
      <c r="F711" s="1">
        <v>45924</v>
      </c>
      <c r="G711" s="5">
        <v>0.83333333333333337</v>
      </c>
      <c r="H711">
        <v>30</v>
      </c>
      <c r="I711" t="s">
        <v>151</v>
      </c>
      <c r="J711" t="s">
        <v>657</v>
      </c>
      <c r="K711">
        <v>4</v>
      </c>
      <c r="L711">
        <v>5.5</v>
      </c>
      <c r="M711" t="s">
        <v>143</v>
      </c>
      <c r="N711" t="s">
        <v>162</v>
      </c>
      <c r="O711" t="b">
        <v>1</v>
      </c>
      <c r="P711" t="b">
        <v>0</v>
      </c>
      <c r="Q711" s="6">
        <v>5.4545454545454541</v>
      </c>
      <c r="R711" s="6">
        <v>0.72727272727272729</v>
      </c>
      <c r="S711" t="s">
        <v>442</v>
      </c>
      <c r="T711" t="s">
        <v>147</v>
      </c>
      <c r="U711" s="6">
        <v>13.2</v>
      </c>
      <c r="V711" s="6">
        <v>16.8</v>
      </c>
      <c r="W711" t="b">
        <v>0</v>
      </c>
      <c r="X711">
        <v>12</v>
      </c>
      <c r="Y711">
        <v>2</v>
      </c>
      <c r="Z711">
        <v>19</v>
      </c>
      <c r="AA711" s="6">
        <v>30.259433962264151</v>
      </c>
      <c r="AB711">
        <f>--PizzaDelivery[[#This Row],[Is Delayed]]</f>
        <v>0</v>
      </c>
    </row>
    <row r="712" spans="1:28">
      <c r="A712" t="s">
        <v>975</v>
      </c>
      <c r="B712" t="s">
        <v>165</v>
      </c>
      <c r="C712" t="s">
        <v>188</v>
      </c>
      <c r="D712" s="1">
        <v>45925</v>
      </c>
      <c r="E712" s="5">
        <v>0.86458333333333337</v>
      </c>
      <c r="F712" s="1">
        <v>45925</v>
      </c>
      <c r="G712" s="5">
        <v>0.88541666666666663</v>
      </c>
      <c r="H712">
        <v>30</v>
      </c>
      <c r="I712" t="s">
        <v>143</v>
      </c>
      <c r="J712" t="s">
        <v>144</v>
      </c>
      <c r="K712">
        <v>2</v>
      </c>
      <c r="L712">
        <v>4</v>
      </c>
      <c r="M712" t="s">
        <v>161</v>
      </c>
      <c r="N712" t="s">
        <v>154</v>
      </c>
      <c r="O712" t="b">
        <v>1</v>
      </c>
      <c r="P712" t="b">
        <v>0</v>
      </c>
      <c r="Q712" s="6">
        <v>7.5</v>
      </c>
      <c r="R712" s="6">
        <v>0.5</v>
      </c>
      <c r="S712" t="s">
        <v>442</v>
      </c>
      <c r="T712" t="s">
        <v>147</v>
      </c>
      <c r="U712" s="6">
        <v>9.6</v>
      </c>
      <c r="V712" s="6">
        <v>20.399999999999999</v>
      </c>
      <c r="W712" t="b">
        <v>0</v>
      </c>
      <c r="X712">
        <v>4</v>
      </c>
      <c r="Y712">
        <v>1</v>
      </c>
      <c r="Z712">
        <v>20</v>
      </c>
      <c r="AA712" s="6">
        <v>29.948453608247419</v>
      </c>
      <c r="AB712">
        <f>--PizzaDelivery[[#This Row],[Is Delayed]]</f>
        <v>0</v>
      </c>
    </row>
    <row r="713" spans="1:28">
      <c r="A713" t="s">
        <v>976</v>
      </c>
      <c r="B713" t="s">
        <v>149</v>
      </c>
      <c r="C713" t="s">
        <v>712</v>
      </c>
      <c r="D713" s="1">
        <v>45926</v>
      </c>
      <c r="E713" s="5">
        <v>0.75</v>
      </c>
      <c r="F713" s="1">
        <v>45926</v>
      </c>
      <c r="G713" s="5">
        <v>0.77083333333333337</v>
      </c>
      <c r="H713">
        <v>30</v>
      </c>
      <c r="I713" t="s">
        <v>143</v>
      </c>
      <c r="J713" t="s">
        <v>591</v>
      </c>
      <c r="K713">
        <v>3</v>
      </c>
      <c r="L713">
        <v>5</v>
      </c>
      <c r="M713" t="s">
        <v>143</v>
      </c>
      <c r="N713" t="s">
        <v>145</v>
      </c>
      <c r="O713" t="b">
        <v>1</v>
      </c>
      <c r="P713" t="b">
        <v>0</v>
      </c>
      <c r="Q713" s="6">
        <v>6</v>
      </c>
      <c r="R713" s="6">
        <v>0.6</v>
      </c>
      <c r="S713" t="s">
        <v>442</v>
      </c>
      <c r="T713" t="s">
        <v>147</v>
      </c>
      <c r="U713" s="6">
        <v>12</v>
      </c>
      <c r="V713" s="6">
        <v>18</v>
      </c>
      <c r="W713" t="b">
        <v>0</v>
      </c>
      <c r="X713">
        <v>6</v>
      </c>
      <c r="Y713">
        <v>2</v>
      </c>
      <c r="Z713">
        <v>18</v>
      </c>
      <c r="AA713" s="6">
        <v>28.186274509803919</v>
      </c>
      <c r="AB713">
        <f>--PizzaDelivery[[#This Row],[Is Delayed]]</f>
        <v>0</v>
      </c>
    </row>
    <row r="714" spans="1:28">
      <c r="A714" t="s">
        <v>977</v>
      </c>
      <c r="B714" t="s">
        <v>157</v>
      </c>
      <c r="C714" t="s">
        <v>693</v>
      </c>
      <c r="D714" s="1">
        <v>45927</v>
      </c>
      <c r="E714" s="5">
        <v>0.80208333333333337</v>
      </c>
      <c r="F714" s="1">
        <v>45927</v>
      </c>
      <c r="G714" s="5">
        <v>0.82291666666666663</v>
      </c>
      <c r="H714">
        <v>30</v>
      </c>
      <c r="I714" t="s">
        <v>167</v>
      </c>
      <c r="J714" t="s">
        <v>168</v>
      </c>
      <c r="K714">
        <v>5</v>
      </c>
      <c r="L714">
        <v>6</v>
      </c>
      <c r="M714" t="s">
        <v>153</v>
      </c>
      <c r="N714" t="s">
        <v>162</v>
      </c>
      <c r="O714" t="b">
        <v>1</v>
      </c>
      <c r="P714" t="b">
        <v>1</v>
      </c>
      <c r="Q714" s="6">
        <v>5</v>
      </c>
      <c r="R714" s="6">
        <v>0.83333333333333337</v>
      </c>
      <c r="S714" t="s">
        <v>442</v>
      </c>
      <c r="T714" t="s">
        <v>147</v>
      </c>
      <c r="U714" s="6">
        <v>14.4</v>
      </c>
      <c r="V714" s="6">
        <v>15.6</v>
      </c>
      <c r="W714" t="b">
        <v>0</v>
      </c>
      <c r="X714">
        <v>20</v>
      </c>
      <c r="Y714">
        <v>3</v>
      </c>
      <c r="Z714">
        <v>19</v>
      </c>
      <c r="AA714" s="6">
        <v>28.844221105527641</v>
      </c>
      <c r="AB714">
        <f>--PizzaDelivery[[#This Row],[Is Delayed]]</f>
        <v>0</v>
      </c>
    </row>
    <row r="715" spans="1:28">
      <c r="A715" t="s">
        <v>978</v>
      </c>
      <c r="B715" t="s">
        <v>173</v>
      </c>
      <c r="C715" t="s">
        <v>695</v>
      </c>
      <c r="D715" s="1">
        <v>45928</v>
      </c>
      <c r="E715" s="5">
        <v>0.85416666666666663</v>
      </c>
      <c r="F715" s="1">
        <v>45928</v>
      </c>
      <c r="G715" s="5">
        <v>0.875</v>
      </c>
      <c r="H715">
        <v>30</v>
      </c>
      <c r="I715" t="s">
        <v>143</v>
      </c>
      <c r="J715" t="s">
        <v>655</v>
      </c>
      <c r="K715">
        <v>3</v>
      </c>
      <c r="L715">
        <v>4.5</v>
      </c>
      <c r="M715" t="s">
        <v>143</v>
      </c>
      <c r="N715" t="s">
        <v>169</v>
      </c>
      <c r="O715" t="b">
        <v>1</v>
      </c>
      <c r="P715" t="b">
        <v>1</v>
      </c>
      <c r="Q715" s="6">
        <v>6.666666666666667</v>
      </c>
      <c r="R715" s="6">
        <v>0.66666666666666663</v>
      </c>
      <c r="S715" t="s">
        <v>442</v>
      </c>
      <c r="T715" t="s">
        <v>171</v>
      </c>
      <c r="U715" s="6">
        <v>10.8</v>
      </c>
      <c r="V715" s="6">
        <v>19.2</v>
      </c>
      <c r="W715" t="b">
        <v>0</v>
      </c>
      <c r="X715">
        <v>6</v>
      </c>
      <c r="Y715">
        <v>2</v>
      </c>
      <c r="Z715">
        <v>20</v>
      </c>
      <c r="AA715" s="6">
        <v>30.286458333333329</v>
      </c>
      <c r="AB715">
        <f>--PizzaDelivery[[#This Row],[Is Delayed]]</f>
        <v>0</v>
      </c>
    </row>
    <row r="716" spans="1:28">
      <c r="A716" t="s">
        <v>979</v>
      </c>
      <c r="B716" t="s">
        <v>142</v>
      </c>
      <c r="C716" t="s">
        <v>697</v>
      </c>
      <c r="D716" s="1">
        <v>45929</v>
      </c>
      <c r="E716" s="5">
        <v>0.79166666666666663</v>
      </c>
      <c r="F716" s="1">
        <v>45929</v>
      </c>
      <c r="G716" s="5">
        <v>0.8125</v>
      </c>
      <c r="H716">
        <v>30</v>
      </c>
      <c r="I716" t="s">
        <v>151</v>
      </c>
      <c r="J716" t="s">
        <v>657</v>
      </c>
      <c r="K716">
        <v>4</v>
      </c>
      <c r="L716">
        <v>5.5</v>
      </c>
      <c r="M716" t="s">
        <v>143</v>
      </c>
      <c r="N716" t="s">
        <v>162</v>
      </c>
      <c r="O716" t="b">
        <v>1</v>
      </c>
      <c r="P716" t="b">
        <v>0</v>
      </c>
      <c r="Q716" s="6">
        <v>5.4545454545454541</v>
      </c>
      <c r="R716" s="6">
        <v>0.72727272727272729</v>
      </c>
      <c r="S716" t="s">
        <v>442</v>
      </c>
      <c r="T716" t="s">
        <v>147</v>
      </c>
      <c r="U716" s="6">
        <v>13.2</v>
      </c>
      <c r="V716" s="6">
        <v>16.8</v>
      </c>
      <c r="W716" t="b">
        <v>0</v>
      </c>
      <c r="X716">
        <v>12</v>
      </c>
      <c r="Y716">
        <v>2</v>
      </c>
      <c r="Z716">
        <v>19</v>
      </c>
      <c r="AA716" s="6">
        <v>30.259433962264151</v>
      </c>
      <c r="AB716">
        <f>--PizzaDelivery[[#This Row],[Is Delayed]]</f>
        <v>0</v>
      </c>
    </row>
    <row r="717" spans="1:28">
      <c r="A717" t="s">
        <v>980</v>
      </c>
      <c r="B717" t="s">
        <v>165</v>
      </c>
      <c r="C717" t="s">
        <v>188</v>
      </c>
      <c r="D717" s="1">
        <v>45930</v>
      </c>
      <c r="E717" s="5">
        <v>0.84375</v>
      </c>
      <c r="F717" s="1">
        <v>45930</v>
      </c>
      <c r="G717" s="5">
        <v>0.86458333333333337</v>
      </c>
      <c r="H717">
        <v>30</v>
      </c>
      <c r="I717" t="s">
        <v>143</v>
      </c>
      <c r="J717" t="s">
        <v>144</v>
      </c>
      <c r="K717">
        <v>2</v>
      </c>
      <c r="L717">
        <v>4</v>
      </c>
      <c r="M717" t="s">
        <v>161</v>
      </c>
      <c r="N717" t="s">
        <v>154</v>
      </c>
      <c r="O717" t="b">
        <v>1</v>
      </c>
      <c r="P717" t="b">
        <v>0</v>
      </c>
      <c r="Q717" s="6">
        <v>7.5</v>
      </c>
      <c r="R717" s="6">
        <v>0.5</v>
      </c>
      <c r="S717" t="s">
        <v>442</v>
      </c>
      <c r="T717" t="s">
        <v>147</v>
      </c>
      <c r="U717" s="6">
        <v>9.6</v>
      </c>
      <c r="V717" s="6">
        <v>20.399999999999999</v>
      </c>
      <c r="W717" t="b">
        <v>0</v>
      </c>
      <c r="X717">
        <v>4</v>
      </c>
      <c r="Y717">
        <v>1</v>
      </c>
      <c r="Z717">
        <v>20</v>
      </c>
      <c r="AA717" s="6">
        <v>29.948453608247419</v>
      </c>
      <c r="AB717">
        <f>--PizzaDelivery[[#This Row],[Is Delayed]]</f>
        <v>0</v>
      </c>
    </row>
    <row r="718" spans="1:28">
      <c r="A718" t="s">
        <v>981</v>
      </c>
      <c r="B718" t="s">
        <v>149</v>
      </c>
      <c r="C718" t="s">
        <v>712</v>
      </c>
      <c r="D718" s="1">
        <v>45931</v>
      </c>
      <c r="E718" s="5">
        <v>0.77083333333333337</v>
      </c>
      <c r="F718" s="1">
        <v>45931</v>
      </c>
      <c r="G718" s="5">
        <v>0.79166666666666663</v>
      </c>
      <c r="H718">
        <v>30</v>
      </c>
      <c r="I718" t="s">
        <v>143</v>
      </c>
      <c r="J718" t="s">
        <v>591</v>
      </c>
      <c r="K718">
        <v>3</v>
      </c>
      <c r="L718">
        <v>5</v>
      </c>
      <c r="M718" t="s">
        <v>143</v>
      </c>
      <c r="N718" t="s">
        <v>145</v>
      </c>
      <c r="O718" t="b">
        <v>1</v>
      </c>
      <c r="P718" t="b">
        <v>0</v>
      </c>
      <c r="Q718" s="6">
        <v>6</v>
      </c>
      <c r="R718" s="6">
        <v>0.6</v>
      </c>
      <c r="S718" t="s">
        <v>488</v>
      </c>
      <c r="T718" t="s">
        <v>147</v>
      </c>
      <c r="U718" s="6">
        <v>12</v>
      </c>
      <c r="V718" s="6">
        <v>18</v>
      </c>
      <c r="W718" t="b">
        <v>0</v>
      </c>
      <c r="X718">
        <v>6</v>
      </c>
      <c r="Y718">
        <v>2</v>
      </c>
      <c r="Z718">
        <v>18</v>
      </c>
      <c r="AA718" s="6">
        <v>28.186274509803919</v>
      </c>
      <c r="AB718">
        <f>--PizzaDelivery[[#This Row],[Is Delayed]]</f>
        <v>0</v>
      </c>
    </row>
    <row r="719" spans="1:28">
      <c r="A719" t="s">
        <v>982</v>
      </c>
      <c r="B719" t="s">
        <v>157</v>
      </c>
      <c r="C719" t="s">
        <v>693</v>
      </c>
      <c r="D719" s="1">
        <v>45932</v>
      </c>
      <c r="E719" s="5">
        <v>0.82291666666666663</v>
      </c>
      <c r="F719" s="1">
        <v>45932</v>
      </c>
      <c r="G719" s="5">
        <v>0.84375</v>
      </c>
      <c r="H719">
        <v>30</v>
      </c>
      <c r="I719" t="s">
        <v>167</v>
      </c>
      <c r="J719" t="s">
        <v>168</v>
      </c>
      <c r="K719">
        <v>5</v>
      </c>
      <c r="L719">
        <v>6</v>
      </c>
      <c r="M719" t="s">
        <v>153</v>
      </c>
      <c r="N719" t="s">
        <v>162</v>
      </c>
      <c r="O719" t="b">
        <v>1</v>
      </c>
      <c r="P719" t="b">
        <v>0</v>
      </c>
      <c r="Q719" s="6">
        <v>5</v>
      </c>
      <c r="R719" s="6">
        <v>0.83333333333333337</v>
      </c>
      <c r="S719" t="s">
        <v>488</v>
      </c>
      <c r="T719" t="s">
        <v>147</v>
      </c>
      <c r="U719" s="6">
        <v>14.4</v>
      </c>
      <c r="V719" s="6">
        <v>15.6</v>
      </c>
      <c r="W719" t="b">
        <v>0</v>
      </c>
      <c r="X719">
        <v>20</v>
      </c>
      <c r="Y719">
        <v>3</v>
      </c>
      <c r="Z719">
        <v>19</v>
      </c>
      <c r="AA719" s="6">
        <v>28.844221105527641</v>
      </c>
      <c r="AB719">
        <f>--PizzaDelivery[[#This Row],[Is Delayed]]</f>
        <v>0</v>
      </c>
    </row>
    <row r="720" spans="1:28">
      <c r="A720" t="s">
        <v>983</v>
      </c>
      <c r="B720" t="s">
        <v>173</v>
      </c>
      <c r="C720" t="s">
        <v>695</v>
      </c>
      <c r="D720" s="1">
        <v>45933</v>
      </c>
      <c r="E720" s="5">
        <v>0.75</v>
      </c>
      <c r="F720" s="1">
        <v>45933</v>
      </c>
      <c r="G720" s="5">
        <v>0.77083333333333337</v>
      </c>
      <c r="H720">
        <v>30</v>
      </c>
      <c r="I720" t="s">
        <v>143</v>
      </c>
      <c r="J720" t="s">
        <v>655</v>
      </c>
      <c r="K720">
        <v>3</v>
      </c>
      <c r="L720">
        <v>4.5</v>
      </c>
      <c r="M720" t="s">
        <v>143</v>
      </c>
      <c r="N720" t="s">
        <v>169</v>
      </c>
      <c r="O720" t="b">
        <v>1</v>
      </c>
      <c r="P720" t="b">
        <v>0</v>
      </c>
      <c r="Q720" s="6">
        <v>6.666666666666667</v>
      </c>
      <c r="R720" s="6">
        <v>0.66666666666666663</v>
      </c>
      <c r="S720" t="s">
        <v>488</v>
      </c>
      <c r="T720" t="s">
        <v>171</v>
      </c>
      <c r="U720" s="6">
        <v>10.8</v>
      </c>
      <c r="V720" s="6">
        <v>19.2</v>
      </c>
      <c r="W720" t="b">
        <v>0</v>
      </c>
      <c r="X720">
        <v>6</v>
      </c>
      <c r="Y720">
        <v>2</v>
      </c>
      <c r="Z720">
        <v>18</v>
      </c>
      <c r="AA720" s="6">
        <v>30.286458333333329</v>
      </c>
      <c r="AB720">
        <f>--PizzaDelivery[[#This Row],[Is Delayed]]</f>
        <v>0</v>
      </c>
    </row>
    <row r="721" spans="1:28">
      <c r="A721" t="s">
        <v>984</v>
      </c>
      <c r="B721" t="s">
        <v>142</v>
      </c>
      <c r="C721" t="s">
        <v>697</v>
      </c>
      <c r="D721" s="1">
        <v>45934</v>
      </c>
      <c r="E721" s="5">
        <v>0.80208333333333337</v>
      </c>
      <c r="F721" s="1">
        <v>45934</v>
      </c>
      <c r="G721" s="5">
        <v>0.82291666666666663</v>
      </c>
      <c r="H721">
        <v>30</v>
      </c>
      <c r="I721" t="s">
        <v>151</v>
      </c>
      <c r="J721" t="s">
        <v>657</v>
      </c>
      <c r="K721">
        <v>4</v>
      </c>
      <c r="L721">
        <v>5.5</v>
      </c>
      <c r="M721" t="s">
        <v>143</v>
      </c>
      <c r="N721" t="s">
        <v>162</v>
      </c>
      <c r="O721" t="b">
        <v>1</v>
      </c>
      <c r="P721" t="b">
        <v>1</v>
      </c>
      <c r="Q721" s="6">
        <v>5.4545454545454541</v>
      </c>
      <c r="R721" s="6">
        <v>0.72727272727272729</v>
      </c>
      <c r="S721" t="s">
        <v>488</v>
      </c>
      <c r="T721" t="s">
        <v>147</v>
      </c>
      <c r="U721" s="6">
        <v>13.2</v>
      </c>
      <c r="V721" s="6">
        <v>16.8</v>
      </c>
      <c r="W721" t="b">
        <v>0</v>
      </c>
      <c r="X721">
        <v>12</v>
      </c>
      <c r="Y721">
        <v>2</v>
      </c>
      <c r="Z721">
        <v>19</v>
      </c>
      <c r="AA721" s="6">
        <v>30.259433962264151</v>
      </c>
      <c r="AB721">
        <f>--PizzaDelivery[[#This Row],[Is Delayed]]</f>
        <v>0</v>
      </c>
    </row>
    <row r="722" spans="1:28">
      <c r="A722" t="s">
        <v>985</v>
      </c>
      <c r="B722" t="s">
        <v>165</v>
      </c>
      <c r="C722" t="s">
        <v>188</v>
      </c>
      <c r="D722" s="1">
        <v>45935</v>
      </c>
      <c r="E722" s="5">
        <v>0.85416666666666663</v>
      </c>
      <c r="F722" s="1">
        <v>45935</v>
      </c>
      <c r="G722" s="5">
        <v>0.875</v>
      </c>
      <c r="H722">
        <v>30</v>
      </c>
      <c r="I722" t="s">
        <v>143</v>
      </c>
      <c r="J722" t="s">
        <v>144</v>
      </c>
      <c r="K722">
        <v>2</v>
      </c>
      <c r="L722">
        <v>4</v>
      </c>
      <c r="M722" t="s">
        <v>161</v>
      </c>
      <c r="N722" t="s">
        <v>154</v>
      </c>
      <c r="O722" t="b">
        <v>1</v>
      </c>
      <c r="P722" t="b">
        <v>1</v>
      </c>
      <c r="Q722" s="6">
        <v>7.5</v>
      </c>
      <c r="R722" s="6">
        <v>0.5</v>
      </c>
      <c r="S722" t="s">
        <v>488</v>
      </c>
      <c r="T722" t="s">
        <v>147</v>
      </c>
      <c r="U722" s="6">
        <v>9.6</v>
      </c>
      <c r="V722" s="6">
        <v>20.399999999999999</v>
      </c>
      <c r="W722" t="b">
        <v>0</v>
      </c>
      <c r="X722">
        <v>4</v>
      </c>
      <c r="Y722">
        <v>1</v>
      </c>
      <c r="Z722">
        <v>20</v>
      </c>
      <c r="AA722" s="6">
        <v>29.948453608247419</v>
      </c>
      <c r="AB722">
        <f>--PizzaDelivery[[#This Row],[Is Delayed]]</f>
        <v>0</v>
      </c>
    </row>
    <row r="723" spans="1:28">
      <c r="A723" t="s">
        <v>986</v>
      </c>
      <c r="B723" t="s">
        <v>149</v>
      </c>
      <c r="C723" t="s">
        <v>712</v>
      </c>
      <c r="D723" s="1">
        <v>45936</v>
      </c>
      <c r="E723" s="5">
        <v>0.78125</v>
      </c>
      <c r="F723" s="1">
        <v>45936</v>
      </c>
      <c r="G723" s="5">
        <v>0.80208333333333337</v>
      </c>
      <c r="H723">
        <v>30</v>
      </c>
      <c r="I723" t="s">
        <v>143</v>
      </c>
      <c r="J723" t="s">
        <v>591</v>
      </c>
      <c r="K723">
        <v>3</v>
      </c>
      <c r="L723">
        <v>5</v>
      </c>
      <c r="M723" t="s">
        <v>143</v>
      </c>
      <c r="N723" t="s">
        <v>145</v>
      </c>
      <c r="O723" t="b">
        <v>1</v>
      </c>
      <c r="P723" t="b">
        <v>0</v>
      </c>
      <c r="Q723" s="6">
        <v>6</v>
      </c>
      <c r="R723" s="6">
        <v>0.6</v>
      </c>
      <c r="S723" t="s">
        <v>488</v>
      </c>
      <c r="T723" t="s">
        <v>147</v>
      </c>
      <c r="U723" s="6">
        <v>12</v>
      </c>
      <c r="V723" s="6">
        <v>18</v>
      </c>
      <c r="W723" t="b">
        <v>0</v>
      </c>
      <c r="X723">
        <v>6</v>
      </c>
      <c r="Y723">
        <v>2</v>
      </c>
      <c r="Z723">
        <v>18</v>
      </c>
      <c r="AA723" s="6">
        <v>28.186274509803919</v>
      </c>
      <c r="AB723">
        <f>--PizzaDelivery[[#This Row],[Is Delayed]]</f>
        <v>0</v>
      </c>
    </row>
    <row r="724" spans="1:28">
      <c r="A724" t="s">
        <v>987</v>
      </c>
      <c r="B724" t="s">
        <v>157</v>
      </c>
      <c r="C724" t="s">
        <v>693</v>
      </c>
      <c r="D724" s="1">
        <v>45937</v>
      </c>
      <c r="E724" s="5">
        <v>0.79166666666666663</v>
      </c>
      <c r="F724" s="1">
        <v>45937</v>
      </c>
      <c r="G724" s="5">
        <v>0.8125</v>
      </c>
      <c r="H724">
        <v>30</v>
      </c>
      <c r="I724" t="s">
        <v>167</v>
      </c>
      <c r="J724" t="s">
        <v>168</v>
      </c>
      <c r="K724">
        <v>5</v>
      </c>
      <c r="L724">
        <v>6</v>
      </c>
      <c r="M724" t="s">
        <v>153</v>
      </c>
      <c r="N724" t="s">
        <v>162</v>
      </c>
      <c r="O724" t="b">
        <v>1</v>
      </c>
      <c r="P724" t="b">
        <v>0</v>
      </c>
      <c r="Q724" s="6">
        <v>5</v>
      </c>
      <c r="R724" s="6">
        <v>0.83333333333333337</v>
      </c>
      <c r="S724" t="s">
        <v>488</v>
      </c>
      <c r="T724" t="s">
        <v>147</v>
      </c>
      <c r="U724" s="6">
        <v>14.4</v>
      </c>
      <c r="V724" s="6">
        <v>15.6</v>
      </c>
      <c r="W724" t="b">
        <v>0</v>
      </c>
      <c r="X724">
        <v>20</v>
      </c>
      <c r="Y724">
        <v>3</v>
      </c>
      <c r="Z724">
        <v>19</v>
      </c>
      <c r="AA724" s="6">
        <v>28.844221105527641</v>
      </c>
      <c r="AB724">
        <f>--PizzaDelivery[[#This Row],[Is Delayed]]</f>
        <v>0</v>
      </c>
    </row>
    <row r="725" spans="1:28">
      <c r="A725" t="s">
        <v>988</v>
      </c>
      <c r="B725" t="s">
        <v>173</v>
      </c>
      <c r="C725" t="s">
        <v>695</v>
      </c>
      <c r="D725" s="1">
        <v>45938</v>
      </c>
      <c r="E725" s="5">
        <v>0.84375</v>
      </c>
      <c r="F725" s="1">
        <v>45938</v>
      </c>
      <c r="G725" s="5">
        <v>0.86458333333333337</v>
      </c>
      <c r="H725">
        <v>30</v>
      </c>
      <c r="I725" t="s">
        <v>143</v>
      </c>
      <c r="J725" t="s">
        <v>655</v>
      </c>
      <c r="K725">
        <v>3</v>
      </c>
      <c r="L725">
        <v>4.5</v>
      </c>
      <c r="M725" t="s">
        <v>143</v>
      </c>
      <c r="N725" t="s">
        <v>162</v>
      </c>
      <c r="O725" t="b">
        <v>1</v>
      </c>
      <c r="P725" t="b">
        <v>0</v>
      </c>
      <c r="Q725" s="6">
        <v>6.666666666666667</v>
      </c>
      <c r="R725" s="6">
        <v>0.66666666666666663</v>
      </c>
      <c r="S725" t="s">
        <v>488</v>
      </c>
      <c r="T725" t="s">
        <v>147</v>
      </c>
      <c r="U725" s="6">
        <v>10.8</v>
      </c>
      <c r="V725" s="6">
        <v>19.2</v>
      </c>
      <c r="W725" t="b">
        <v>0</v>
      </c>
      <c r="X725">
        <v>6</v>
      </c>
      <c r="Y725">
        <v>2</v>
      </c>
      <c r="Z725">
        <v>20</v>
      </c>
      <c r="AA725" s="6">
        <v>30.286458333333329</v>
      </c>
      <c r="AB725">
        <f>--PizzaDelivery[[#This Row],[Is Delayed]]</f>
        <v>0</v>
      </c>
    </row>
    <row r="726" spans="1:28">
      <c r="A726" t="s">
        <v>989</v>
      </c>
      <c r="B726" t="s">
        <v>149</v>
      </c>
      <c r="C726" t="s">
        <v>712</v>
      </c>
      <c r="D726" s="1">
        <v>45939</v>
      </c>
      <c r="E726" s="5">
        <v>0.85416666666666663</v>
      </c>
      <c r="F726" s="1">
        <v>45939</v>
      </c>
      <c r="G726" s="5">
        <v>0.875</v>
      </c>
      <c r="H726">
        <v>30</v>
      </c>
      <c r="I726" t="s">
        <v>143</v>
      </c>
      <c r="J726" t="s">
        <v>591</v>
      </c>
      <c r="K726">
        <v>3</v>
      </c>
      <c r="L726">
        <v>5</v>
      </c>
      <c r="M726" t="s">
        <v>143</v>
      </c>
      <c r="N726" t="s">
        <v>162</v>
      </c>
      <c r="O726" t="b">
        <v>1</v>
      </c>
      <c r="P726" t="b">
        <v>0</v>
      </c>
      <c r="Q726" s="6">
        <v>6</v>
      </c>
      <c r="R726" s="6">
        <v>0.6</v>
      </c>
      <c r="S726" t="s">
        <v>488</v>
      </c>
      <c r="T726" t="s">
        <v>147</v>
      </c>
      <c r="U726" s="6">
        <v>12</v>
      </c>
      <c r="V726" s="6">
        <v>18</v>
      </c>
      <c r="W726" t="b">
        <v>0</v>
      </c>
      <c r="X726">
        <v>6</v>
      </c>
      <c r="Y726">
        <v>2</v>
      </c>
      <c r="Z726">
        <v>20</v>
      </c>
      <c r="AA726" s="6">
        <v>28.186274509803919</v>
      </c>
      <c r="AB726">
        <f>--PizzaDelivery[[#This Row],[Is Delayed]]</f>
        <v>0</v>
      </c>
    </row>
    <row r="727" spans="1:28">
      <c r="A727" t="s">
        <v>990</v>
      </c>
      <c r="B727" t="s">
        <v>157</v>
      </c>
      <c r="C727" t="s">
        <v>693</v>
      </c>
      <c r="D727" s="1">
        <v>45940</v>
      </c>
      <c r="E727" s="5">
        <v>0.82291666666666663</v>
      </c>
      <c r="F727" s="1">
        <v>45940</v>
      </c>
      <c r="G727" s="5">
        <v>0.84375</v>
      </c>
      <c r="H727">
        <v>30</v>
      </c>
      <c r="I727" t="s">
        <v>167</v>
      </c>
      <c r="J727" t="s">
        <v>168</v>
      </c>
      <c r="K727">
        <v>5</v>
      </c>
      <c r="L727">
        <v>6</v>
      </c>
      <c r="M727" t="s">
        <v>153</v>
      </c>
      <c r="N727" t="s">
        <v>145</v>
      </c>
      <c r="O727" t="b">
        <v>1</v>
      </c>
      <c r="P727" t="b">
        <v>0</v>
      </c>
      <c r="Q727" s="6">
        <v>5</v>
      </c>
      <c r="R727" s="6">
        <v>0.83333333333333337</v>
      </c>
      <c r="S727" t="s">
        <v>488</v>
      </c>
      <c r="T727" t="s">
        <v>147</v>
      </c>
      <c r="U727" s="6">
        <v>14.4</v>
      </c>
      <c r="V727" s="6">
        <v>15.6</v>
      </c>
      <c r="W727" t="b">
        <v>0</v>
      </c>
      <c r="X727">
        <v>20</v>
      </c>
      <c r="Y727">
        <v>3</v>
      </c>
      <c r="Z727">
        <v>19</v>
      </c>
      <c r="AA727" s="6">
        <v>28.844221105527641</v>
      </c>
      <c r="AB727">
        <f>--PizzaDelivery[[#This Row],[Is Delayed]]</f>
        <v>0</v>
      </c>
    </row>
    <row r="728" spans="1:28">
      <c r="A728" t="s">
        <v>991</v>
      </c>
      <c r="B728" t="s">
        <v>173</v>
      </c>
      <c r="C728" t="s">
        <v>695</v>
      </c>
      <c r="D728" s="1">
        <v>45941</v>
      </c>
      <c r="E728" s="5">
        <v>0.75</v>
      </c>
      <c r="F728" s="1">
        <v>45941</v>
      </c>
      <c r="G728" s="5">
        <v>0.77083333333333337</v>
      </c>
      <c r="H728">
        <v>30</v>
      </c>
      <c r="I728" t="s">
        <v>143</v>
      </c>
      <c r="J728" t="s">
        <v>655</v>
      </c>
      <c r="K728">
        <v>3</v>
      </c>
      <c r="L728">
        <v>4.5</v>
      </c>
      <c r="M728" t="s">
        <v>143</v>
      </c>
      <c r="N728" t="s">
        <v>169</v>
      </c>
      <c r="O728" t="b">
        <v>1</v>
      </c>
      <c r="P728" t="b">
        <v>1</v>
      </c>
      <c r="Q728" s="6">
        <v>6.666666666666667</v>
      </c>
      <c r="R728" s="6">
        <v>0.66666666666666663</v>
      </c>
      <c r="S728" t="s">
        <v>488</v>
      </c>
      <c r="T728" t="s">
        <v>171</v>
      </c>
      <c r="U728" s="6">
        <v>10.8</v>
      </c>
      <c r="V728" s="6">
        <v>19.2</v>
      </c>
      <c r="W728" t="b">
        <v>0</v>
      </c>
      <c r="X728">
        <v>6</v>
      </c>
      <c r="Y728">
        <v>2</v>
      </c>
      <c r="Z728">
        <v>18</v>
      </c>
      <c r="AA728" s="6">
        <v>30.286458333333329</v>
      </c>
      <c r="AB728">
        <f>--PizzaDelivery[[#This Row],[Is Delayed]]</f>
        <v>0</v>
      </c>
    </row>
    <row r="729" spans="1:28">
      <c r="A729" t="s">
        <v>992</v>
      </c>
      <c r="B729" t="s">
        <v>142</v>
      </c>
      <c r="C729" t="s">
        <v>697</v>
      </c>
      <c r="D729" s="1">
        <v>45942</v>
      </c>
      <c r="E729" s="5">
        <v>0.80208333333333337</v>
      </c>
      <c r="F729" s="1">
        <v>45942</v>
      </c>
      <c r="G729" s="5">
        <v>0.82291666666666663</v>
      </c>
      <c r="H729">
        <v>30</v>
      </c>
      <c r="I729" t="s">
        <v>151</v>
      </c>
      <c r="J729" t="s">
        <v>657</v>
      </c>
      <c r="K729">
        <v>4</v>
      </c>
      <c r="L729">
        <v>5.5</v>
      </c>
      <c r="M729" t="s">
        <v>143</v>
      </c>
      <c r="N729" t="s">
        <v>162</v>
      </c>
      <c r="O729" t="b">
        <v>1</v>
      </c>
      <c r="P729" t="b">
        <v>1</v>
      </c>
      <c r="Q729" s="6">
        <v>5.4545454545454541</v>
      </c>
      <c r="R729" s="6">
        <v>0.72727272727272729</v>
      </c>
      <c r="S729" t="s">
        <v>488</v>
      </c>
      <c r="T729" t="s">
        <v>147</v>
      </c>
      <c r="U729" s="6">
        <v>13.2</v>
      </c>
      <c r="V729" s="6">
        <v>16.8</v>
      </c>
      <c r="W729" t="b">
        <v>0</v>
      </c>
      <c r="X729">
        <v>12</v>
      </c>
      <c r="Y729">
        <v>2</v>
      </c>
      <c r="Z729">
        <v>19</v>
      </c>
      <c r="AA729" s="6">
        <v>30.259433962264151</v>
      </c>
      <c r="AB729">
        <f>--PizzaDelivery[[#This Row],[Is Delayed]]</f>
        <v>0</v>
      </c>
    </row>
    <row r="730" spans="1:28">
      <c r="A730" t="s">
        <v>993</v>
      </c>
      <c r="B730" t="s">
        <v>165</v>
      </c>
      <c r="C730" t="s">
        <v>188</v>
      </c>
      <c r="D730" s="1">
        <v>45943</v>
      </c>
      <c r="E730" s="5">
        <v>0.85416666666666663</v>
      </c>
      <c r="F730" s="1">
        <v>45943</v>
      </c>
      <c r="G730" s="5">
        <v>0.875</v>
      </c>
      <c r="H730">
        <v>30</v>
      </c>
      <c r="I730" t="s">
        <v>143</v>
      </c>
      <c r="J730" t="s">
        <v>144</v>
      </c>
      <c r="K730">
        <v>2</v>
      </c>
      <c r="L730">
        <v>4</v>
      </c>
      <c r="M730" t="s">
        <v>161</v>
      </c>
      <c r="N730" t="s">
        <v>154</v>
      </c>
      <c r="O730" t="b">
        <v>1</v>
      </c>
      <c r="P730" t="b">
        <v>0</v>
      </c>
      <c r="Q730" s="6">
        <v>7.5</v>
      </c>
      <c r="R730" s="6">
        <v>0.5</v>
      </c>
      <c r="S730" t="s">
        <v>488</v>
      </c>
      <c r="T730" t="s">
        <v>147</v>
      </c>
      <c r="U730" s="6">
        <v>9.6</v>
      </c>
      <c r="V730" s="6">
        <v>20.399999999999999</v>
      </c>
      <c r="W730" t="b">
        <v>0</v>
      </c>
      <c r="X730">
        <v>4</v>
      </c>
      <c r="Y730">
        <v>1</v>
      </c>
      <c r="Z730">
        <v>20</v>
      </c>
      <c r="AA730" s="6">
        <v>29.948453608247419</v>
      </c>
      <c r="AB730">
        <f>--PizzaDelivery[[#This Row],[Is Delayed]]</f>
        <v>0</v>
      </c>
    </row>
    <row r="731" spans="1:28">
      <c r="A731" t="s">
        <v>994</v>
      </c>
      <c r="B731" t="s">
        <v>149</v>
      </c>
      <c r="C731" t="s">
        <v>712</v>
      </c>
      <c r="D731" s="1">
        <v>45944</v>
      </c>
      <c r="E731" s="5">
        <v>0.78125</v>
      </c>
      <c r="F731" s="1">
        <v>45944</v>
      </c>
      <c r="G731" s="5">
        <v>0.80208333333333337</v>
      </c>
      <c r="H731">
        <v>30</v>
      </c>
      <c r="I731" t="s">
        <v>143</v>
      </c>
      <c r="J731" t="s">
        <v>591</v>
      </c>
      <c r="K731">
        <v>3</v>
      </c>
      <c r="L731">
        <v>5</v>
      </c>
      <c r="M731" t="s">
        <v>143</v>
      </c>
      <c r="N731" t="s">
        <v>145</v>
      </c>
      <c r="O731" t="b">
        <v>1</v>
      </c>
      <c r="P731" t="b">
        <v>0</v>
      </c>
      <c r="Q731" s="6">
        <v>6</v>
      </c>
      <c r="R731" s="6">
        <v>0.6</v>
      </c>
      <c r="S731" t="s">
        <v>488</v>
      </c>
      <c r="T731" t="s">
        <v>147</v>
      </c>
      <c r="U731" s="6">
        <v>12</v>
      </c>
      <c r="V731" s="6">
        <v>18</v>
      </c>
      <c r="W731" t="b">
        <v>0</v>
      </c>
      <c r="X731">
        <v>6</v>
      </c>
      <c r="Y731">
        <v>2</v>
      </c>
      <c r="Z731">
        <v>18</v>
      </c>
      <c r="AA731" s="6">
        <v>28.186274509803919</v>
      </c>
      <c r="AB731">
        <f>--PizzaDelivery[[#This Row],[Is Delayed]]</f>
        <v>0</v>
      </c>
    </row>
    <row r="732" spans="1:28">
      <c r="A732" t="s">
        <v>995</v>
      </c>
      <c r="B732" t="s">
        <v>157</v>
      </c>
      <c r="C732" t="s">
        <v>693</v>
      </c>
      <c r="D732" s="1">
        <v>45945</v>
      </c>
      <c r="E732" s="5">
        <v>0.79166666666666663</v>
      </c>
      <c r="F732" s="1">
        <v>45945</v>
      </c>
      <c r="G732" s="5">
        <v>0.8125</v>
      </c>
      <c r="H732">
        <v>30</v>
      </c>
      <c r="I732" t="s">
        <v>167</v>
      </c>
      <c r="J732" t="s">
        <v>168</v>
      </c>
      <c r="K732">
        <v>5</v>
      </c>
      <c r="L732">
        <v>6</v>
      </c>
      <c r="M732" t="s">
        <v>153</v>
      </c>
      <c r="N732" t="s">
        <v>162</v>
      </c>
      <c r="O732" t="b">
        <v>1</v>
      </c>
      <c r="P732" t="b">
        <v>0</v>
      </c>
      <c r="Q732" s="6">
        <v>5</v>
      </c>
      <c r="R732" s="6">
        <v>0.83333333333333337</v>
      </c>
      <c r="S732" t="s">
        <v>488</v>
      </c>
      <c r="T732" t="s">
        <v>147</v>
      </c>
      <c r="U732" s="6">
        <v>14.4</v>
      </c>
      <c r="V732" s="6">
        <v>15.6</v>
      </c>
      <c r="W732" t="b">
        <v>0</v>
      </c>
      <c r="X732">
        <v>20</v>
      </c>
      <c r="Y732">
        <v>3</v>
      </c>
      <c r="Z732">
        <v>19</v>
      </c>
      <c r="AA732" s="6">
        <v>28.844221105527641</v>
      </c>
      <c r="AB732">
        <f>--PizzaDelivery[[#This Row],[Is Delayed]]</f>
        <v>0</v>
      </c>
    </row>
    <row r="733" spans="1:28">
      <c r="A733" t="s">
        <v>996</v>
      </c>
      <c r="B733" t="s">
        <v>173</v>
      </c>
      <c r="C733" t="s">
        <v>695</v>
      </c>
      <c r="D733" s="1">
        <v>45946</v>
      </c>
      <c r="E733" s="5">
        <v>0.84375</v>
      </c>
      <c r="F733" s="1">
        <v>45946</v>
      </c>
      <c r="G733" s="5">
        <v>0.86458333333333337</v>
      </c>
      <c r="H733">
        <v>30</v>
      </c>
      <c r="I733" t="s">
        <v>143</v>
      </c>
      <c r="J733" t="s">
        <v>655</v>
      </c>
      <c r="K733">
        <v>3</v>
      </c>
      <c r="L733">
        <v>4.5</v>
      </c>
      <c r="M733" t="s">
        <v>143</v>
      </c>
      <c r="N733" t="s">
        <v>169</v>
      </c>
      <c r="O733" t="b">
        <v>1</v>
      </c>
      <c r="P733" t="b">
        <v>0</v>
      </c>
      <c r="Q733" s="6">
        <v>6.666666666666667</v>
      </c>
      <c r="R733" s="6">
        <v>0.66666666666666663</v>
      </c>
      <c r="S733" t="s">
        <v>488</v>
      </c>
      <c r="T733" t="s">
        <v>171</v>
      </c>
      <c r="U733" s="6">
        <v>10.8</v>
      </c>
      <c r="V733" s="6">
        <v>19.2</v>
      </c>
      <c r="W733" t="b">
        <v>0</v>
      </c>
      <c r="X733">
        <v>6</v>
      </c>
      <c r="Y733">
        <v>2</v>
      </c>
      <c r="Z733">
        <v>20</v>
      </c>
      <c r="AA733" s="6">
        <v>30.286458333333329</v>
      </c>
      <c r="AB733">
        <f>--PizzaDelivery[[#This Row],[Is Delayed]]</f>
        <v>0</v>
      </c>
    </row>
    <row r="734" spans="1:28">
      <c r="A734" t="s">
        <v>997</v>
      </c>
      <c r="B734" t="s">
        <v>142</v>
      </c>
      <c r="C734" t="s">
        <v>697</v>
      </c>
      <c r="D734" s="1">
        <v>45947</v>
      </c>
      <c r="E734" s="5">
        <v>0.8125</v>
      </c>
      <c r="F734" s="1">
        <v>45947</v>
      </c>
      <c r="G734" s="5">
        <v>0.83333333333333337</v>
      </c>
      <c r="H734">
        <v>30</v>
      </c>
      <c r="I734" t="s">
        <v>151</v>
      </c>
      <c r="J734" t="s">
        <v>657</v>
      </c>
      <c r="K734">
        <v>4</v>
      </c>
      <c r="L734">
        <v>5.5</v>
      </c>
      <c r="M734" t="s">
        <v>143</v>
      </c>
      <c r="N734" t="s">
        <v>162</v>
      </c>
      <c r="O734" t="b">
        <v>1</v>
      </c>
      <c r="P734" t="b">
        <v>0</v>
      </c>
      <c r="Q734" s="6">
        <v>5.4545454545454541</v>
      </c>
      <c r="R734" s="6">
        <v>0.72727272727272729</v>
      </c>
      <c r="S734" t="s">
        <v>488</v>
      </c>
      <c r="T734" t="s">
        <v>147</v>
      </c>
      <c r="U734" s="6">
        <v>13.2</v>
      </c>
      <c r="V734" s="6">
        <v>16.8</v>
      </c>
      <c r="W734" t="b">
        <v>0</v>
      </c>
      <c r="X734">
        <v>12</v>
      </c>
      <c r="Y734">
        <v>2</v>
      </c>
      <c r="Z734">
        <v>19</v>
      </c>
      <c r="AA734" s="6">
        <v>30.259433962264151</v>
      </c>
      <c r="AB734">
        <f>--PizzaDelivery[[#This Row],[Is Delayed]]</f>
        <v>0</v>
      </c>
    </row>
    <row r="735" spans="1:28">
      <c r="A735" t="s">
        <v>998</v>
      </c>
      <c r="B735" t="s">
        <v>165</v>
      </c>
      <c r="C735" t="s">
        <v>188</v>
      </c>
      <c r="D735" s="1">
        <v>45948</v>
      </c>
      <c r="E735" s="5">
        <v>0.86458333333333337</v>
      </c>
      <c r="F735" s="1">
        <v>45948</v>
      </c>
      <c r="G735" s="5">
        <v>0.88541666666666663</v>
      </c>
      <c r="H735">
        <v>30</v>
      </c>
      <c r="I735" t="s">
        <v>143</v>
      </c>
      <c r="J735" t="s">
        <v>144</v>
      </c>
      <c r="K735">
        <v>2</v>
      </c>
      <c r="L735">
        <v>4</v>
      </c>
      <c r="M735" t="s">
        <v>161</v>
      </c>
      <c r="N735" t="s">
        <v>154</v>
      </c>
      <c r="O735" t="b">
        <v>1</v>
      </c>
      <c r="P735" t="b">
        <v>1</v>
      </c>
      <c r="Q735" s="6">
        <v>7.5</v>
      </c>
      <c r="R735" s="6">
        <v>0.5</v>
      </c>
      <c r="S735" t="s">
        <v>488</v>
      </c>
      <c r="T735" t="s">
        <v>147</v>
      </c>
      <c r="U735" s="6">
        <v>9.6</v>
      </c>
      <c r="V735" s="6">
        <v>20.399999999999999</v>
      </c>
      <c r="W735" t="b">
        <v>0</v>
      </c>
      <c r="X735">
        <v>4</v>
      </c>
      <c r="Y735">
        <v>1</v>
      </c>
      <c r="Z735">
        <v>20</v>
      </c>
      <c r="AA735" s="6">
        <v>29.948453608247419</v>
      </c>
      <c r="AB735">
        <f>--PizzaDelivery[[#This Row],[Is Delayed]]</f>
        <v>0</v>
      </c>
    </row>
    <row r="736" spans="1:28">
      <c r="A736" t="s">
        <v>999</v>
      </c>
      <c r="B736" t="s">
        <v>149</v>
      </c>
      <c r="C736" t="s">
        <v>712</v>
      </c>
      <c r="D736" s="1">
        <v>45949</v>
      </c>
      <c r="E736" s="5">
        <v>0.75</v>
      </c>
      <c r="F736" s="1">
        <v>45949</v>
      </c>
      <c r="G736" s="5">
        <v>0.77083333333333337</v>
      </c>
      <c r="H736">
        <v>30</v>
      </c>
      <c r="I736" t="s">
        <v>143</v>
      </c>
      <c r="J736" t="s">
        <v>591</v>
      </c>
      <c r="K736">
        <v>3</v>
      </c>
      <c r="L736">
        <v>5</v>
      </c>
      <c r="M736" t="s">
        <v>143</v>
      </c>
      <c r="N736" t="s">
        <v>145</v>
      </c>
      <c r="O736" t="b">
        <v>1</v>
      </c>
      <c r="P736" t="b">
        <v>1</v>
      </c>
      <c r="Q736" s="6">
        <v>6</v>
      </c>
      <c r="R736" s="6">
        <v>0.6</v>
      </c>
      <c r="S736" t="s">
        <v>488</v>
      </c>
      <c r="T736" t="s">
        <v>147</v>
      </c>
      <c r="U736" s="6">
        <v>12</v>
      </c>
      <c r="V736" s="6">
        <v>18</v>
      </c>
      <c r="W736" t="b">
        <v>0</v>
      </c>
      <c r="X736">
        <v>6</v>
      </c>
      <c r="Y736">
        <v>2</v>
      </c>
      <c r="Z736">
        <v>18</v>
      </c>
      <c r="AA736" s="6">
        <v>28.186274509803919</v>
      </c>
      <c r="AB736">
        <f>--PizzaDelivery[[#This Row],[Is Delayed]]</f>
        <v>0</v>
      </c>
    </row>
    <row r="737" spans="1:28">
      <c r="A737" t="s">
        <v>1000</v>
      </c>
      <c r="B737" t="s">
        <v>157</v>
      </c>
      <c r="C737" t="s">
        <v>693</v>
      </c>
      <c r="D737" s="1">
        <v>45950</v>
      </c>
      <c r="E737" s="5">
        <v>0.80208333333333337</v>
      </c>
      <c r="F737" s="1">
        <v>45950</v>
      </c>
      <c r="G737" s="5">
        <v>0.82291666666666663</v>
      </c>
      <c r="H737">
        <v>30</v>
      </c>
      <c r="I737" t="s">
        <v>167</v>
      </c>
      <c r="J737" t="s">
        <v>168</v>
      </c>
      <c r="K737">
        <v>5</v>
      </c>
      <c r="L737">
        <v>6</v>
      </c>
      <c r="M737" t="s">
        <v>153</v>
      </c>
      <c r="N737" t="s">
        <v>162</v>
      </c>
      <c r="O737" t="b">
        <v>1</v>
      </c>
      <c r="P737" t="b">
        <v>0</v>
      </c>
      <c r="Q737" s="6">
        <v>5</v>
      </c>
      <c r="R737" s="6">
        <v>0.83333333333333337</v>
      </c>
      <c r="S737" t="s">
        <v>488</v>
      </c>
      <c r="T737" t="s">
        <v>147</v>
      </c>
      <c r="U737" s="6">
        <v>14.4</v>
      </c>
      <c r="V737" s="6">
        <v>15.6</v>
      </c>
      <c r="W737" t="b">
        <v>0</v>
      </c>
      <c r="X737">
        <v>20</v>
      </c>
      <c r="Y737">
        <v>3</v>
      </c>
      <c r="Z737">
        <v>19</v>
      </c>
      <c r="AA737" s="6">
        <v>28.844221105527641</v>
      </c>
      <c r="AB737">
        <f>--PizzaDelivery[[#This Row],[Is Delayed]]</f>
        <v>0</v>
      </c>
    </row>
    <row r="738" spans="1:28">
      <c r="A738" t="s">
        <v>1001</v>
      </c>
      <c r="B738" t="s">
        <v>173</v>
      </c>
      <c r="C738" t="s">
        <v>695</v>
      </c>
      <c r="D738" s="1">
        <v>45951</v>
      </c>
      <c r="E738" s="5">
        <v>0.85416666666666663</v>
      </c>
      <c r="F738" s="1">
        <v>45951</v>
      </c>
      <c r="G738" s="5">
        <v>0.875</v>
      </c>
      <c r="H738">
        <v>30</v>
      </c>
      <c r="I738" t="s">
        <v>143</v>
      </c>
      <c r="J738" t="s">
        <v>655</v>
      </c>
      <c r="K738">
        <v>3</v>
      </c>
      <c r="L738">
        <v>4.5</v>
      </c>
      <c r="M738" t="s">
        <v>143</v>
      </c>
      <c r="N738" t="s">
        <v>169</v>
      </c>
      <c r="O738" t="b">
        <v>1</v>
      </c>
      <c r="P738" t="b">
        <v>0</v>
      </c>
      <c r="Q738" s="6">
        <v>6.666666666666667</v>
      </c>
      <c r="R738" s="6">
        <v>0.66666666666666663</v>
      </c>
      <c r="S738" t="s">
        <v>488</v>
      </c>
      <c r="T738" t="s">
        <v>171</v>
      </c>
      <c r="U738" s="6">
        <v>10.8</v>
      </c>
      <c r="V738" s="6">
        <v>19.2</v>
      </c>
      <c r="W738" t="b">
        <v>0</v>
      </c>
      <c r="X738">
        <v>6</v>
      </c>
      <c r="Y738">
        <v>2</v>
      </c>
      <c r="Z738">
        <v>20</v>
      </c>
      <c r="AA738" s="6">
        <v>30.286458333333329</v>
      </c>
      <c r="AB738">
        <f>--PizzaDelivery[[#This Row],[Is Delayed]]</f>
        <v>0</v>
      </c>
    </row>
    <row r="739" spans="1:28">
      <c r="A739" t="s">
        <v>1002</v>
      </c>
      <c r="B739" t="s">
        <v>142</v>
      </c>
      <c r="C739" t="s">
        <v>697</v>
      </c>
      <c r="D739" s="1">
        <v>45952</v>
      </c>
      <c r="E739" s="5">
        <v>0.79166666666666663</v>
      </c>
      <c r="F739" s="1">
        <v>45952</v>
      </c>
      <c r="G739" s="5">
        <v>0.8125</v>
      </c>
      <c r="H739">
        <v>30</v>
      </c>
      <c r="I739" t="s">
        <v>151</v>
      </c>
      <c r="J739" t="s">
        <v>657</v>
      </c>
      <c r="K739">
        <v>4</v>
      </c>
      <c r="L739">
        <v>5.5</v>
      </c>
      <c r="M739" t="s">
        <v>143</v>
      </c>
      <c r="N739" t="s">
        <v>162</v>
      </c>
      <c r="O739" t="b">
        <v>1</v>
      </c>
      <c r="P739" t="b">
        <v>0</v>
      </c>
      <c r="Q739" s="6">
        <v>5.4545454545454541</v>
      </c>
      <c r="R739" s="6">
        <v>0.72727272727272729</v>
      </c>
      <c r="S739" t="s">
        <v>488</v>
      </c>
      <c r="T739" t="s">
        <v>147</v>
      </c>
      <c r="U739" s="6">
        <v>13.2</v>
      </c>
      <c r="V739" s="6">
        <v>16.8</v>
      </c>
      <c r="W739" t="b">
        <v>0</v>
      </c>
      <c r="X739">
        <v>12</v>
      </c>
      <c r="Y739">
        <v>2</v>
      </c>
      <c r="Z739">
        <v>19</v>
      </c>
      <c r="AA739" s="6">
        <v>30.259433962264151</v>
      </c>
      <c r="AB739">
        <f>--PizzaDelivery[[#This Row],[Is Delayed]]</f>
        <v>0</v>
      </c>
    </row>
    <row r="740" spans="1:28">
      <c r="A740" t="s">
        <v>1003</v>
      </c>
      <c r="B740" t="s">
        <v>165</v>
      </c>
      <c r="C740" t="s">
        <v>188</v>
      </c>
      <c r="D740" s="1">
        <v>45953</v>
      </c>
      <c r="E740" s="5">
        <v>0.84375</v>
      </c>
      <c r="F740" s="1">
        <v>45953</v>
      </c>
      <c r="G740" s="5">
        <v>0.86458333333333337</v>
      </c>
      <c r="H740">
        <v>30</v>
      </c>
      <c r="I740" t="s">
        <v>143</v>
      </c>
      <c r="J740" t="s">
        <v>144</v>
      </c>
      <c r="K740">
        <v>2</v>
      </c>
      <c r="L740">
        <v>4</v>
      </c>
      <c r="M740" t="s">
        <v>161</v>
      </c>
      <c r="N740" t="s">
        <v>154</v>
      </c>
      <c r="O740" t="b">
        <v>1</v>
      </c>
      <c r="P740" t="b">
        <v>0</v>
      </c>
      <c r="Q740" s="6">
        <v>7.5</v>
      </c>
      <c r="R740" s="6">
        <v>0.5</v>
      </c>
      <c r="S740" t="s">
        <v>488</v>
      </c>
      <c r="T740" t="s">
        <v>147</v>
      </c>
      <c r="U740" s="6">
        <v>9.6</v>
      </c>
      <c r="V740" s="6">
        <v>20.399999999999999</v>
      </c>
      <c r="W740" t="b">
        <v>0</v>
      </c>
      <c r="X740">
        <v>4</v>
      </c>
      <c r="Y740">
        <v>1</v>
      </c>
      <c r="Z740">
        <v>20</v>
      </c>
      <c r="AA740" s="6">
        <v>29.948453608247419</v>
      </c>
      <c r="AB740">
        <f>--PizzaDelivery[[#This Row],[Is Delayed]]</f>
        <v>0</v>
      </c>
    </row>
    <row r="741" spans="1:28">
      <c r="A741" t="s">
        <v>1004</v>
      </c>
      <c r="B741" t="s">
        <v>149</v>
      </c>
      <c r="C741" t="s">
        <v>712</v>
      </c>
      <c r="D741" s="1">
        <v>45954</v>
      </c>
      <c r="E741" s="5">
        <v>0.77083333333333337</v>
      </c>
      <c r="F741" s="1">
        <v>45954</v>
      </c>
      <c r="G741" s="5">
        <v>0.79166666666666663</v>
      </c>
      <c r="H741">
        <v>30</v>
      </c>
      <c r="I741" t="s">
        <v>143</v>
      </c>
      <c r="J741" t="s">
        <v>591</v>
      </c>
      <c r="K741">
        <v>3</v>
      </c>
      <c r="L741">
        <v>5</v>
      </c>
      <c r="M741" t="s">
        <v>143</v>
      </c>
      <c r="N741" t="s">
        <v>145</v>
      </c>
      <c r="O741" t="b">
        <v>1</v>
      </c>
      <c r="P741" t="b">
        <v>0</v>
      </c>
      <c r="Q741" s="6">
        <v>6</v>
      </c>
      <c r="R741" s="6">
        <v>0.6</v>
      </c>
      <c r="S741" t="s">
        <v>488</v>
      </c>
      <c r="T741" t="s">
        <v>147</v>
      </c>
      <c r="U741" s="6">
        <v>12</v>
      </c>
      <c r="V741" s="6">
        <v>18</v>
      </c>
      <c r="W741" t="b">
        <v>0</v>
      </c>
      <c r="X741">
        <v>6</v>
      </c>
      <c r="Y741">
        <v>2</v>
      </c>
      <c r="Z741">
        <v>18</v>
      </c>
      <c r="AA741" s="6">
        <v>28.186274509803919</v>
      </c>
      <c r="AB741">
        <f>--PizzaDelivery[[#This Row],[Is Delayed]]</f>
        <v>0</v>
      </c>
    </row>
    <row r="742" spans="1:28">
      <c r="A742" t="s">
        <v>1005</v>
      </c>
      <c r="B742" t="s">
        <v>157</v>
      </c>
      <c r="C742" t="s">
        <v>693</v>
      </c>
      <c r="D742" s="1">
        <v>45955</v>
      </c>
      <c r="E742" s="5">
        <v>0.82291666666666663</v>
      </c>
      <c r="F742" s="1">
        <v>45955</v>
      </c>
      <c r="G742" s="5">
        <v>0.84375</v>
      </c>
      <c r="H742">
        <v>30</v>
      </c>
      <c r="I742" t="s">
        <v>167</v>
      </c>
      <c r="J742" t="s">
        <v>168</v>
      </c>
      <c r="K742">
        <v>5</v>
      </c>
      <c r="L742">
        <v>6</v>
      </c>
      <c r="M742" t="s">
        <v>153</v>
      </c>
      <c r="N742" t="s">
        <v>162</v>
      </c>
      <c r="O742" t="b">
        <v>1</v>
      </c>
      <c r="P742" t="b">
        <v>1</v>
      </c>
      <c r="Q742" s="6">
        <v>5</v>
      </c>
      <c r="R742" s="6">
        <v>0.83333333333333337</v>
      </c>
      <c r="S742" t="s">
        <v>488</v>
      </c>
      <c r="T742" t="s">
        <v>147</v>
      </c>
      <c r="U742" s="6">
        <v>14.4</v>
      </c>
      <c r="V742" s="6">
        <v>15.6</v>
      </c>
      <c r="W742" t="b">
        <v>0</v>
      </c>
      <c r="X742">
        <v>20</v>
      </c>
      <c r="Y742">
        <v>3</v>
      </c>
      <c r="Z742">
        <v>19</v>
      </c>
      <c r="AA742" s="6">
        <v>28.844221105527641</v>
      </c>
      <c r="AB742">
        <f>--PizzaDelivery[[#This Row],[Is Delayed]]</f>
        <v>0</v>
      </c>
    </row>
    <row r="743" spans="1:28">
      <c r="A743" t="s">
        <v>1006</v>
      </c>
      <c r="B743" t="s">
        <v>173</v>
      </c>
      <c r="C743" t="s">
        <v>695</v>
      </c>
      <c r="D743" s="1">
        <v>45956</v>
      </c>
      <c r="E743" s="5">
        <v>0.75</v>
      </c>
      <c r="F743" s="1">
        <v>45956</v>
      </c>
      <c r="G743" s="5">
        <v>0.77083333333333337</v>
      </c>
      <c r="H743">
        <v>30</v>
      </c>
      <c r="I743" t="s">
        <v>143</v>
      </c>
      <c r="J743" t="s">
        <v>655</v>
      </c>
      <c r="K743">
        <v>3</v>
      </c>
      <c r="L743">
        <v>4.5</v>
      </c>
      <c r="M743" t="s">
        <v>143</v>
      </c>
      <c r="N743" t="s">
        <v>169</v>
      </c>
      <c r="O743" t="b">
        <v>1</v>
      </c>
      <c r="P743" t="b">
        <v>1</v>
      </c>
      <c r="Q743" s="6">
        <v>6.666666666666667</v>
      </c>
      <c r="R743" s="6">
        <v>0.66666666666666663</v>
      </c>
      <c r="S743" t="s">
        <v>488</v>
      </c>
      <c r="T743" t="s">
        <v>171</v>
      </c>
      <c r="U743" s="6">
        <v>10.8</v>
      </c>
      <c r="V743" s="6">
        <v>19.2</v>
      </c>
      <c r="W743" t="b">
        <v>0</v>
      </c>
      <c r="X743">
        <v>6</v>
      </c>
      <c r="Y743">
        <v>2</v>
      </c>
      <c r="Z743">
        <v>18</v>
      </c>
      <c r="AA743" s="6">
        <v>30.286458333333329</v>
      </c>
      <c r="AB743">
        <f>--PizzaDelivery[[#This Row],[Is Delayed]]</f>
        <v>0</v>
      </c>
    </row>
    <row r="744" spans="1:28">
      <c r="A744" t="s">
        <v>1007</v>
      </c>
      <c r="B744" t="s">
        <v>142</v>
      </c>
      <c r="C744" t="s">
        <v>697</v>
      </c>
      <c r="D744" s="1">
        <v>45957</v>
      </c>
      <c r="E744" s="5">
        <v>0.80208333333333337</v>
      </c>
      <c r="F744" s="1">
        <v>45957</v>
      </c>
      <c r="G744" s="5">
        <v>0.82291666666666663</v>
      </c>
      <c r="H744">
        <v>30</v>
      </c>
      <c r="I744" t="s">
        <v>151</v>
      </c>
      <c r="J744" t="s">
        <v>657</v>
      </c>
      <c r="K744">
        <v>4</v>
      </c>
      <c r="L744">
        <v>5.5</v>
      </c>
      <c r="M744" t="s">
        <v>143</v>
      </c>
      <c r="N744" t="s">
        <v>162</v>
      </c>
      <c r="O744" t="b">
        <v>1</v>
      </c>
      <c r="P744" t="b">
        <v>0</v>
      </c>
      <c r="Q744" s="6">
        <v>5.4545454545454541</v>
      </c>
      <c r="R744" s="6">
        <v>0.72727272727272729</v>
      </c>
      <c r="S744" t="s">
        <v>488</v>
      </c>
      <c r="T744" t="s">
        <v>147</v>
      </c>
      <c r="U744" s="6">
        <v>13.2</v>
      </c>
      <c r="V744" s="6">
        <v>16.8</v>
      </c>
      <c r="W744" t="b">
        <v>0</v>
      </c>
      <c r="X744">
        <v>12</v>
      </c>
      <c r="Y744">
        <v>2</v>
      </c>
      <c r="Z744">
        <v>19</v>
      </c>
      <c r="AA744" s="6">
        <v>30.259433962264151</v>
      </c>
      <c r="AB744">
        <f>--PizzaDelivery[[#This Row],[Is Delayed]]</f>
        <v>0</v>
      </c>
    </row>
    <row r="745" spans="1:28">
      <c r="A745" t="s">
        <v>1008</v>
      </c>
      <c r="B745" t="s">
        <v>165</v>
      </c>
      <c r="C745" t="s">
        <v>188</v>
      </c>
      <c r="D745" s="1">
        <v>45958</v>
      </c>
      <c r="E745" s="5">
        <v>0.85416666666666663</v>
      </c>
      <c r="F745" s="1">
        <v>45958</v>
      </c>
      <c r="G745" s="5">
        <v>0.875</v>
      </c>
      <c r="H745">
        <v>30</v>
      </c>
      <c r="I745" t="s">
        <v>143</v>
      </c>
      <c r="J745" t="s">
        <v>144</v>
      </c>
      <c r="K745">
        <v>2</v>
      </c>
      <c r="L745">
        <v>4</v>
      </c>
      <c r="M745" t="s">
        <v>161</v>
      </c>
      <c r="N745" t="s">
        <v>154</v>
      </c>
      <c r="O745" t="b">
        <v>1</v>
      </c>
      <c r="P745" t="b">
        <v>0</v>
      </c>
      <c r="Q745" s="6">
        <v>7.5</v>
      </c>
      <c r="R745" s="6">
        <v>0.5</v>
      </c>
      <c r="S745" t="s">
        <v>488</v>
      </c>
      <c r="T745" t="s">
        <v>147</v>
      </c>
      <c r="U745" s="6">
        <v>9.6</v>
      </c>
      <c r="V745" s="6">
        <v>20.399999999999999</v>
      </c>
      <c r="W745" t="b">
        <v>0</v>
      </c>
      <c r="X745">
        <v>4</v>
      </c>
      <c r="Y745">
        <v>1</v>
      </c>
      <c r="Z745">
        <v>20</v>
      </c>
      <c r="AA745" s="6">
        <v>29.948453608247419</v>
      </c>
      <c r="AB745">
        <f>--PizzaDelivery[[#This Row],[Is Delayed]]</f>
        <v>0</v>
      </c>
    </row>
    <row r="746" spans="1:28">
      <c r="A746" t="s">
        <v>1009</v>
      </c>
      <c r="B746" t="s">
        <v>149</v>
      </c>
      <c r="C746" t="s">
        <v>712</v>
      </c>
      <c r="D746" s="1">
        <v>45959</v>
      </c>
      <c r="E746" s="5">
        <v>0.78125</v>
      </c>
      <c r="F746" s="1">
        <v>45959</v>
      </c>
      <c r="G746" s="5">
        <v>0.80208333333333337</v>
      </c>
      <c r="H746">
        <v>30</v>
      </c>
      <c r="I746" t="s">
        <v>143</v>
      </c>
      <c r="J746" t="s">
        <v>591</v>
      </c>
      <c r="K746">
        <v>3</v>
      </c>
      <c r="L746">
        <v>5</v>
      </c>
      <c r="M746" t="s">
        <v>143</v>
      </c>
      <c r="N746" t="s">
        <v>145</v>
      </c>
      <c r="O746" t="b">
        <v>1</v>
      </c>
      <c r="P746" t="b">
        <v>0</v>
      </c>
      <c r="Q746" s="6">
        <v>6</v>
      </c>
      <c r="R746" s="6">
        <v>0.6</v>
      </c>
      <c r="S746" t="s">
        <v>488</v>
      </c>
      <c r="T746" t="s">
        <v>147</v>
      </c>
      <c r="U746" s="6">
        <v>12</v>
      </c>
      <c r="V746" s="6">
        <v>18</v>
      </c>
      <c r="W746" t="b">
        <v>0</v>
      </c>
      <c r="X746">
        <v>6</v>
      </c>
      <c r="Y746">
        <v>2</v>
      </c>
      <c r="Z746">
        <v>18</v>
      </c>
      <c r="AA746" s="6">
        <v>28.186274509803919</v>
      </c>
      <c r="AB746">
        <f>--PizzaDelivery[[#This Row],[Is Delayed]]</f>
        <v>0</v>
      </c>
    </row>
    <row r="747" spans="1:28">
      <c r="A747" t="s">
        <v>1010</v>
      </c>
      <c r="B747" t="s">
        <v>157</v>
      </c>
      <c r="C747" t="s">
        <v>693</v>
      </c>
      <c r="D747" s="1">
        <v>45960</v>
      </c>
      <c r="E747" s="5">
        <v>0.79166666666666663</v>
      </c>
      <c r="F747" s="1">
        <v>45960</v>
      </c>
      <c r="G747" s="5">
        <v>0.8125</v>
      </c>
      <c r="H747">
        <v>30</v>
      </c>
      <c r="I747" t="s">
        <v>167</v>
      </c>
      <c r="J747" t="s">
        <v>168</v>
      </c>
      <c r="K747">
        <v>5</v>
      </c>
      <c r="L747">
        <v>6</v>
      </c>
      <c r="M747" t="s">
        <v>153</v>
      </c>
      <c r="N747" t="s">
        <v>162</v>
      </c>
      <c r="O747" t="b">
        <v>1</v>
      </c>
      <c r="P747" t="b">
        <v>0</v>
      </c>
      <c r="Q747" s="6">
        <v>5</v>
      </c>
      <c r="R747" s="6">
        <v>0.83333333333333337</v>
      </c>
      <c r="S747" t="s">
        <v>488</v>
      </c>
      <c r="T747" t="s">
        <v>147</v>
      </c>
      <c r="U747" s="6">
        <v>14.4</v>
      </c>
      <c r="V747" s="6">
        <v>15.6</v>
      </c>
      <c r="W747" t="b">
        <v>0</v>
      </c>
      <c r="X747">
        <v>20</v>
      </c>
      <c r="Y747">
        <v>3</v>
      </c>
      <c r="Z747">
        <v>19</v>
      </c>
      <c r="AA747" s="6">
        <v>28.844221105527641</v>
      </c>
      <c r="AB747">
        <f>--PizzaDelivery[[#This Row],[Is Delayed]]</f>
        <v>0</v>
      </c>
    </row>
    <row r="748" spans="1:28">
      <c r="A748" t="s">
        <v>1011</v>
      </c>
      <c r="B748" t="s">
        <v>173</v>
      </c>
      <c r="C748" t="s">
        <v>695</v>
      </c>
      <c r="D748" s="1">
        <v>45961</v>
      </c>
      <c r="E748" s="5">
        <v>0.84375</v>
      </c>
      <c r="F748" s="1">
        <v>45961</v>
      </c>
      <c r="G748" s="5">
        <v>0.86458333333333337</v>
      </c>
      <c r="H748">
        <v>30</v>
      </c>
      <c r="I748" t="s">
        <v>143</v>
      </c>
      <c r="J748" t="s">
        <v>655</v>
      </c>
      <c r="K748">
        <v>3</v>
      </c>
      <c r="L748">
        <v>4.5</v>
      </c>
      <c r="M748" t="s">
        <v>143</v>
      </c>
      <c r="N748" t="s">
        <v>169</v>
      </c>
      <c r="O748" t="b">
        <v>1</v>
      </c>
      <c r="P748" t="b">
        <v>0</v>
      </c>
      <c r="Q748" s="6">
        <v>6.666666666666667</v>
      </c>
      <c r="R748" s="6">
        <v>0.66666666666666663</v>
      </c>
      <c r="S748" t="s">
        <v>488</v>
      </c>
      <c r="T748" t="s">
        <v>171</v>
      </c>
      <c r="U748" s="6">
        <v>10.8</v>
      </c>
      <c r="V748" s="6">
        <v>19.2</v>
      </c>
      <c r="W748" t="b">
        <v>0</v>
      </c>
      <c r="X748">
        <v>6</v>
      </c>
      <c r="Y748">
        <v>2</v>
      </c>
      <c r="Z748">
        <v>20</v>
      </c>
      <c r="AA748" s="6">
        <v>30.286458333333329</v>
      </c>
      <c r="AB748">
        <f>--PizzaDelivery[[#This Row],[Is Delayed]]</f>
        <v>0</v>
      </c>
    </row>
    <row r="749" spans="1:28">
      <c r="A749" t="s">
        <v>1012</v>
      </c>
      <c r="B749" t="s">
        <v>142</v>
      </c>
      <c r="C749" t="s">
        <v>697</v>
      </c>
      <c r="D749" s="1">
        <v>45962</v>
      </c>
      <c r="E749" s="5">
        <v>0.8125</v>
      </c>
      <c r="F749" s="1">
        <v>45962</v>
      </c>
      <c r="G749" s="5">
        <v>0.83333333333333337</v>
      </c>
      <c r="H749">
        <v>30</v>
      </c>
      <c r="I749" t="s">
        <v>151</v>
      </c>
      <c r="J749" t="s">
        <v>657</v>
      </c>
      <c r="K749">
        <v>4</v>
      </c>
      <c r="L749">
        <v>5.5</v>
      </c>
      <c r="M749" t="s">
        <v>143</v>
      </c>
      <c r="N749" t="s">
        <v>162</v>
      </c>
      <c r="O749" t="b">
        <v>1</v>
      </c>
      <c r="P749" t="b">
        <v>1</v>
      </c>
      <c r="Q749" s="6">
        <v>5.4545454545454541</v>
      </c>
      <c r="R749" s="6">
        <v>0.72727272727272729</v>
      </c>
      <c r="S749" t="s">
        <v>570</v>
      </c>
      <c r="T749" t="s">
        <v>147</v>
      </c>
      <c r="U749" s="6">
        <v>13.2</v>
      </c>
      <c r="V749" s="6">
        <v>16.8</v>
      </c>
      <c r="W749" t="b">
        <v>0</v>
      </c>
      <c r="X749">
        <v>12</v>
      </c>
      <c r="Y749">
        <v>2</v>
      </c>
      <c r="Z749">
        <v>19</v>
      </c>
      <c r="AA749" s="6">
        <v>30.259433962264151</v>
      </c>
      <c r="AB749">
        <f>--PizzaDelivery[[#This Row],[Is Delayed]]</f>
        <v>0</v>
      </c>
    </row>
    <row r="750" spans="1:28">
      <c r="A750" t="s">
        <v>1013</v>
      </c>
      <c r="B750" t="s">
        <v>165</v>
      </c>
      <c r="C750" t="s">
        <v>188</v>
      </c>
      <c r="D750" s="1">
        <v>45963</v>
      </c>
      <c r="E750" s="5">
        <v>0.86458333333333337</v>
      </c>
      <c r="F750" s="1">
        <v>45963</v>
      </c>
      <c r="G750" s="5">
        <v>0.88541666666666663</v>
      </c>
      <c r="H750">
        <v>30</v>
      </c>
      <c r="I750" t="s">
        <v>143</v>
      </c>
      <c r="J750" t="s">
        <v>144</v>
      </c>
      <c r="K750">
        <v>2</v>
      </c>
      <c r="L750">
        <v>4</v>
      </c>
      <c r="M750" t="s">
        <v>161</v>
      </c>
      <c r="N750" t="s">
        <v>154</v>
      </c>
      <c r="O750" t="b">
        <v>1</v>
      </c>
      <c r="P750" t="b">
        <v>1</v>
      </c>
      <c r="Q750" s="6">
        <v>7.5</v>
      </c>
      <c r="R750" s="6">
        <v>0.5</v>
      </c>
      <c r="S750" t="s">
        <v>570</v>
      </c>
      <c r="T750" t="s">
        <v>147</v>
      </c>
      <c r="U750" s="6">
        <v>9.6</v>
      </c>
      <c r="V750" s="6">
        <v>20.399999999999999</v>
      </c>
      <c r="W750" t="b">
        <v>0</v>
      </c>
      <c r="X750">
        <v>4</v>
      </c>
      <c r="Y750">
        <v>1</v>
      </c>
      <c r="Z750">
        <v>20</v>
      </c>
      <c r="AA750" s="6">
        <v>29.948453608247419</v>
      </c>
      <c r="AB750">
        <f>--PizzaDelivery[[#This Row],[Is Delayed]]</f>
        <v>0</v>
      </c>
    </row>
    <row r="751" spans="1:28">
      <c r="A751" t="s">
        <v>1014</v>
      </c>
      <c r="B751" t="s">
        <v>149</v>
      </c>
      <c r="C751" t="s">
        <v>712</v>
      </c>
      <c r="D751" s="1">
        <v>45964</v>
      </c>
      <c r="E751" s="5">
        <v>0.75</v>
      </c>
      <c r="F751" s="1">
        <v>45964</v>
      </c>
      <c r="G751" s="5">
        <v>0.77083333333333337</v>
      </c>
      <c r="H751">
        <v>30</v>
      </c>
      <c r="I751" t="s">
        <v>143</v>
      </c>
      <c r="J751" t="s">
        <v>591</v>
      </c>
      <c r="K751">
        <v>3</v>
      </c>
      <c r="L751">
        <v>5</v>
      </c>
      <c r="M751" t="s">
        <v>143</v>
      </c>
      <c r="N751" t="s">
        <v>145</v>
      </c>
      <c r="O751" t="b">
        <v>1</v>
      </c>
      <c r="P751" t="b">
        <v>0</v>
      </c>
      <c r="Q751" s="6">
        <v>6</v>
      </c>
      <c r="R751" s="6">
        <v>0.6</v>
      </c>
      <c r="S751" t="s">
        <v>570</v>
      </c>
      <c r="T751" t="s">
        <v>147</v>
      </c>
      <c r="U751" s="6">
        <v>12</v>
      </c>
      <c r="V751" s="6">
        <v>18</v>
      </c>
      <c r="W751" t="b">
        <v>0</v>
      </c>
      <c r="X751">
        <v>6</v>
      </c>
      <c r="Y751">
        <v>2</v>
      </c>
      <c r="Z751">
        <v>18</v>
      </c>
      <c r="AA751" s="6">
        <v>28.186274509803919</v>
      </c>
      <c r="AB751">
        <f>--PizzaDelivery[[#This Row],[Is Delayed]]</f>
        <v>0</v>
      </c>
    </row>
    <row r="752" spans="1:28">
      <c r="A752" t="s">
        <v>1015</v>
      </c>
      <c r="B752" t="s">
        <v>157</v>
      </c>
      <c r="C752" t="s">
        <v>693</v>
      </c>
      <c r="D752" s="1">
        <v>45965</v>
      </c>
      <c r="E752" s="5">
        <v>0.80208333333333337</v>
      </c>
      <c r="F752" s="1">
        <v>45965</v>
      </c>
      <c r="G752" s="5">
        <v>0.82291666666666663</v>
      </c>
      <c r="H752">
        <v>30</v>
      </c>
      <c r="I752" t="s">
        <v>167</v>
      </c>
      <c r="J752" t="s">
        <v>168</v>
      </c>
      <c r="K752">
        <v>5</v>
      </c>
      <c r="L752">
        <v>6</v>
      </c>
      <c r="M752" t="s">
        <v>153</v>
      </c>
      <c r="N752" t="s">
        <v>162</v>
      </c>
      <c r="O752" t="b">
        <v>1</v>
      </c>
      <c r="P752" t="b">
        <v>0</v>
      </c>
      <c r="Q752" s="6">
        <v>5</v>
      </c>
      <c r="R752" s="6">
        <v>0.83333333333333337</v>
      </c>
      <c r="S752" t="s">
        <v>570</v>
      </c>
      <c r="T752" t="s">
        <v>147</v>
      </c>
      <c r="U752" s="6">
        <v>14.4</v>
      </c>
      <c r="V752" s="6">
        <v>15.6</v>
      </c>
      <c r="W752" t="b">
        <v>0</v>
      </c>
      <c r="X752">
        <v>20</v>
      </c>
      <c r="Y752">
        <v>3</v>
      </c>
      <c r="Z752">
        <v>19</v>
      </c>
      <c r="AA752" s="6">
        <v>28.844221105527641</v>
      </c>
      <c r="AB752">
        <f>--PizzaDelivery[[#This Row],[Is Delayed]]</f>
        <v>0</v>
      </c>
    </row>
    <row r="753" spans="1:28">
      <c r="A753" t="s">
        <v>1016</v>
      </c>
      <c r="B753" t="s">
        <v>173</v>
      </c>
      <c r="C753" t="s">
        <v>695</v>
      </c>
      <c r="D753" s="1">
        <v>45966</v>
      </c>
      <c r="E753" s="5">
        <v>0.85416666666666663</v>
      </c>
      <c r="F753" s="1">
        <v>45966</v>
      </c>
      <c r="G753" s="5">
        <v>0.875</v>
      </c>
      <c r="H753">
        <v>30</v>
      </c>
      <c r="I753" t="s">
        <v>143</v>
      </c>
      <c r="J753" t="s">
        <v>655</v>
      </c>
      <c r="K753">
        <v>3</v>
      </c>
      <c r="L753">
        <v>4.5</v>
      </c>
      <c r="M753" t="s">
        <v>143</v>
      </c>
      <c r="N753" t="s">
        <v>162</v>
      </c>
      <c r="O753" t="b">
        <v>1</v>
      </c>
      <c r="P753" t="b">
        <v>0</v>
      </c>
      <c r="Q753" s="6">
        <v>6.666666666666667</v>
      </c>
      <c r="R753" s="6">
        <v>0.66666666666666663</v>
      </c>
      <c r="S753" t="s">
        <v>570</v>
      </c>
      <c r="T753" t="s">
        <v>147</v>
      </c>
      <c r="U753" s="6">
        <v>10.8</v>
      </c>
      <c r="V753" s="6">
        <v>19.2</v>
      </c>
      <c r="W753" t="b">
        <v>0</v>
      </c>
      <c r="X753">
        <v>6</v>
      </c>
      <c r="Y753">
        <v>2</v>
      </c>
      <c r="Z753">
        <v>20</v>
      </c>
      <c r="AA753" s="6">
        <v>30.286458333333329</v>
      </c>
      <c r="AB753">
        <f>--PizzaDelivery[[#This Row],[Is Delayed]]</f>
        <v>0</v>
      </c>
    </row>
    <row r="754" spans="1:28">
      <c r="A754" t="s">
        <v>1017</v>
      </c>
      <c r="B754" t="s">
        <v>149</v>
      </c>
      <c r="C754" t="s">
        <v>712</v>
      </c>
      <c r="D754" s="1">
        <v>45967</v>
      </c>
      <c r="E754" s="5">
        <v>0.78125</v>
      </c>
      <c r="F754" s="1">
        <v>45967</v>
      </c>
      <c r="G754" s="5">
        <v>0.80208333333333337</v>
      </c>
      <c r="H754">
        <v>30</v>
      </c>
      <c r="I754" t="s">
        <v>143</v>
      </c>
      <c r="J754" t="s">
        <v>1018</v>
      </c>
      <c r="K754">
        <v>3</v>
      </c>
      <c r="L754">
        <v>5</v>
      </c>
      <c r="M754" t="s">
        <v>143</v>
      </c>
      <c r="N754" t="s">
        <v>162</v>
      </c>
      <c r="O754" t="b">
        <v>1</v>
      </c>
      <c r="P754" t="b">
        <v>0</v>
      </c>
      <c r="Q754" s="6">
        <v>6</v>
      </c>
      <c r="R754" s="6">
        <v>0.6</v>
      </c>
      <c r="S754" t="s">
        <v>570</v>
      </c>
      <c r="T754" t="s">
        <v>147</v>
      </c>
      <c r="U754" s="6">
        <v>12</v>
      </c>
      <c r="V754" s="6">
        <v>18</v>
      </c>
      <c r="W754" t="b">
        <v>0</v>
      </c>
      <c r="X754">
        <v>6</v>
      </c>
      <c r="Y754">
        <v>2</v>
      </c>
      <c r="Z754">
        <v>18</v>
      </c>
      <c r="AA754" s="6">
        <v>28.186274509803919</v>
      </c>
      <c r="AB754">
        <f>--PizzaDelivery[[#This Row],[Is Delayed]]</f>
        <v>0</v>
      </c>
    </row>
    <row r="755" spans="1:28">
      <c r="A755" t="s">
        <v>1019</v>
      </c>
      <c r="B755" t="s">
        <v>157</v>
      </c>
      <c r="C755" t="s">
        <v>693</v>
      </c>
      <c r="D755" s="1">
        <v>45968</v>
      </c>
      <c r="E755" s="5">
        <v>0.79166666666666663</v>
      </c>
      <c r="F755" s="1">
        <v>45968</v>
      </c>
      <c r="G755" s="5">
        <v>0.8125</v>
      </c>
      <c r="H755">
        <v>30</v>
      </c>
      <c r="I755" t="s">
        <v>167</v>
      </c>
      <c r="J755" t="s">
        <v>168</v>
      </c>
      <c r="K755">
        <v>5</v>
      </c>
      <c r="L755">
        <v>6</v>
      </c>
      <c r="M755" t="s">
        <v>153</v>
      </c>
      <c r="N755" t="s">
        <v>145</v>
      </c>
      <c r="O755" t="b">
        <v>1</v>
      </c>
      <c r="P755" t="b">
        <v>0</v>
      </c>
      <c r="Q755" s="6">
        <v>5</v>
      </c>
      <c r="R755" s="6">
        <v>0.83333333333333337</v>
      </c>
      <c r="S755" t="s">
        <v>570</v>
      </c>
      <c r="T755" t="s">
        <v>147</v>
      </c>
      <c r="U755" s="6">
        <v>14.4</v>
      </c>
      <c r="V755" s="6">
        <v>15.6</v>
      </c>
      <c r="W755" t="b">
        <v>0</v>
      </c>
      <c r="X755">
        <v>20</v>
      </c>
      <c r="Y755">
        <v>3</v>
      </c>
      <c r="Z755">
        <v>19</v>
      </c>
      <c r="AA755" s="6">
        <v>28.844221105527641</v>
      </c>
      <c r="AB755">
        <f>--PizzaDelivery[[#This Row],[Is Delayed]]</f>
        <v>0</v>
      </c>
    </row>
    <row r="756" spans="1:28">
      <c r="A756" t="s">
        <v>1020</v>
      </c>
      <c r="B756" t="s">
        <v>173</v>
      </c>
      <c r="C756" t="s">
        <v>695</v>
      </c>
      <c r="D756" s="1">
        <v>45969</v>
      </c>
      <c r="E756" s="5">
        <v>0.84375</v>
      </c>
      <c r="F756" s="1">
        <v>45969</v>
      </c>
      <c r="G756" s="5">
        <v>0.86458333333333337</v>
      </c>
      <c r="H756">
        <v>30</v>
      </c>
      <c r="I756" t="s">
        <v>143</v>
      </c>
      <c r="J756" t="s">
        <v>1021</v>
      </c>
      <c r="K756">
        <v>3</v>
      </c>
      <c r="L756">
        <v>4.5</v>
      </c>
      <c r="M756" t="s">
        <v>143</v>
      </c>
      <c r="N756" t="s">
        <v>169</v>
      </c>
      <c r="O756" t="b">
        <v>1</v>
      </c>
      <c r="P756" t="b">
        <v>1</v>
      </c>
      <c r="Q756" s="6">
        <v>6.666666666666667</v>
      </c>
      <c r="R756" s="6">
        <v>0.66666666666666663</v>
      </c>
      <c r="S756" t="s">
        <v>570</v>
      </c>
      <c r="T756" t="s">
        <v>171</v>
      </c>
      <c r="U756" s="6">
        <v>10.8</v>
      </c>
      <c r="V756" s="6">
        <v>19.2</v>
      </c>
      <c r="W756" t="b">
        <v>0</v>
      </c>
      <c r="X756">
        <v>6</v>
      </c>
      <c r="Y756">
        <v>2</v>
      </c>
      <c r="Z756">
        <v>20</v>
      </c>
      <c r="AA756" s="6">
        <v>30.286458333333329</v>
      </c>
      <c r="AB756">
        <f>--PizzaDelivery[[#This Row],[Is Delayed]]</f>
        <v>0</v>
      </c>
    </row>
    <row r="757" spans="1:28">
      <c r="A757" t="s">
        <v>1022</v>
      </c>
      <c r="B757" t="s">
        <v>142</v>
      </c>
      <c r="C757" t="s">
        <v>697</v>
      </c>
      <c r="D757" s="1">
        <v>45970</v>
      </c>
      <c r="E757" s="5">
        <v>0.8125</v>
      </c>
      <c r="F757" s="1">
        <v>45970</v>
      </c>
      <c r="G757" s="5">
        <v>0.83333333333333337</v>
      </c>
      <c r="H757">
        <v>30</v>
      </c>
      <c r="I757" t="s">
        <v>151</v>
      </c>
      <c r="J757" t="s">
        <v>657</v>
      </c>
      <c r="K757">
        <v>4</v>
      </c>
      <c r="L757">
        <v>5.5</v>
      </c>
      <c r="M757" t="s">
        <v>143</v>
      </c>
      <c r="N757" t="s">
        <v>162</v>
      </c>
      <c r="O757" t="b">
        <v>1</v>
      </c>
      <c r="P757" t="b">
        <v>1</v>
      </c>
      <c r="Q757" s="6">
        <v>5.4545454545454541</v>
      </c>
      <c r="R757" s="6">
        <v>0.72727272727272729</v>
      </c>
      <c r="S757" t="s">
        <v>570</v>
      </c>
      <c r="T757" t="s">
        <v>147</v>
      </c>
      <c r="U757" s="6">
        <v>13.2</v>
      </c>
      <c r="V757" s="6">
        <v>16.8</v>
      </c>
      <c r="W757" t="b">
        <v>0</v>
      </c>
      <c r="X757">
        <v>12</v>
      </c>
      <c r="Y757">
        <v>2</v>
      </c>
      <c r="Z757">
        <v>19</v>
      </c>
      <c r="AA757" s="6">
        <v>30.259433962264151</v>
      </c>
      <c r="AB757">
        <f>--PizzaDelivery[[#This Row],[Is Delayed]]</f>
        <v>0</v>
      </c>
    </row>
    <row r="758" spans="1:28">
      <c r="A758" t="s">
        <v>1023</v>
      </c>
      <c r="B758" t="s">
        <v>165</v>
      </c>
      <c r="C758" t="s">
        <v>188</v>
      </c>
      <c r="D758" s="1">
        <v>45971</v>
      </c>
      <c r="E758" s="5">
        <v>0.86458333333333337</v>
      </c>
      <c r="F758" s="1">
        <v>45971</v>
      </c>
      <c r="G758" s="5">
        <v>0.88541666666666663</v>
      </c>
      <c r="H758">
        <v>30</v>
      </c>
      <c r="I758" t="s">
        <v>143</v>
      </c>
      <c r="J758" t="s">
        <v>144</v>
      </c>
      <c r="K758">
        <v>2</v>
      </c>
      <c r="L758">
        <v>4</v>
      </c>
      <c r="M758" t="s">
        <v>161</v>
      </c>
      <c r="N758" t="s">
        <v>154</v>
      </c>
      <c r="O758" t="b">
        <v>1</v>
      </c>
      <c r="P758" t="b">
        <v>0</v>
      </c>
      <c r="Q758" s="6">
        <v>7.5</v>
      </c>
      <c r="R758" s="6">
        <v>0.5</v>
      </c>
      <c r="S758" t="s">
        <v>570</v>
      </c>
      <c r="T758" t="s">
        <v>147</v>
      </c>
      <c r="U758" s="6">
        <v>9.6</v>
      </c>
      <c r="V758" s="6">
        <v>20.399999999999999</v>
      </c>
      <c r="W758" t="b">
        <v>0</v>
      </c>
      <c r="X758">
        <v>4</v>
      </c>
      <c r="Y758">
        <v>1</v>
      </c>
      <c r="Z758">
        <v>20</v>
      </c>
      <c r="AA758" s="6">
        <v>29.948453608247419</v>
      </c>
      <c r="AB758">
        <f>--PizzaDelivery[[#This Row],[Is Delayed]]</f>
        <v>0</v>
      </c>
    </row>
    <row r="759" spans="1:28">
      <c r="A759" t="s">
        <v>1024</v>
      </c>
      <c r="B759" t="s">
        <v>149</v>
      </c>
      <c r="C759" t="s">
        <v>712</v>
      </c>
      <c r="D759" s="1">
        <v>45972</v>
      </c>
      <c r="E759" s="5">
        <v>0.75</v>
      </c>
      <c r="F759" s="1">
        <v>45972</v>
      </c>
      <c r="G759" s="5">
        <v>0.77083333333333337</v>
      </c>
      <c r="H759">
        <v>30</v>
      </c>
      <c r="I759" t="s">
        <v>143</v>
      </c>
      <c r="J759" t="s">
        <v>1018</v>
      </c>
      <c r="K759">
        <v>3</v>
      </c>
      <c r="L759">
        <v>5</v>
      </c>
      <c r="M759" t="s">
        <v>143</v>
      </c>
      <c r="N759" t="s">
        <v>145</v>
      </c>
      <c r="O759" t="b">
        <v>1</v>
      </c>
      <c r="P759" t="b">
        <v>0</v>
      </c>
      <c r="Q759" s="6">
        <v>6</v>
      </c>
      <c r="R759" s="6">
        <v>0.6</v>
      </c>
      <c r="S759" t="s">
        <v>570</v>
      </c>
      <c r="T759" t="s">
        <v>147</v>
      </c>
      <c r="U759" s="6">
        <v>12</v>
      </c>
      <c r="V759" s="6">
        <v>18</v>
      </c>
      <c r="W759" t="b">
        <v>0</v>
      </c>
      <c r="X759">
        <v>6</v>
      </c>
      <c r="Y759">
        <v>2</v>
      </c>
      <c r="Z759">
        <v>18</v>
      </c>
      <c r="AA759" s="6">
        <v>28.186274509803919</v>
      </c>
      <c r="AB759">
        <f>--PizzaDelivery[[#This Row],[Is Delayed]]</f>
        <v>0</v>
      </c>
    </row>
    <row r="760" spans="1:28">
      <c r="A760" t="s">
        <v>1025</v>
      </c>
      <c r="B760" t="s">
        <v>157</v>
      </c>
      <c r="C760" t="s">
        <v>693</v>
      </c>
      <c r="D760" s="1">
        <v>45973</v>
      </c>
      <c r="E760" s="5">
        <v>0.80208333333333337</v>
      </c>
      <c r="F760" s="1">
        <v>45973</v>
      </c>
      <c r="G760" s="5">
        <v>0.82291666666666663</v>
      </c>
      <c r="H760">
        <v>30</v>
      </c>
      <c r="I760" t="s">
        <v>167</v>
      </c>
      <c r="J760" t="s">
        <v>168</v>
      </c>
      <c r="K760">
        <v>5</v>
      </c>
      <c r="L760">
        <v>6</v>
      </c>
      <c r="M760" t="s">
        <v>153</v>
      </c>
      <c r="N760" t="s">
        <v>162</v>
      </c>
      <c r="O760" t="b">
        <v>1</v>
      </c>
      <c r="P760" t="b">
        <v>0</v>
      </c>
      <c r="Q760" s="6">
        <v>5</v>
      </c>
      <c r="R760" s="6">
        <v>0.83333333333333337</v>
      </c>
      <c r="S760" t="s">
        <v>570</v>
      </c>
      <c r="T760" t="s">
        <v>147</v>
      </c>
      <c r="U760" s="6">
        <v>14.4</v>
      </c>
      <c r="V760" s="6">
        <v>15.6</v>
      </c>
      <c r="W760" t="b">
        <v>0</v>
      </c>
      <c r="X760">
        <v>20</v>
      </c>
      <c r="Y760">
        <v>3</v>
      </c>
      <c r="Z760">
        <v>19</v>
      </c>
      <c r="AA760" s="6">
        <v>28.844221105527641</v>
      </c>
      <c r="AB760">
        <f>--PizzaDelivery[[#This Row],[Is Delayed]]</f>
        <v>0</v>
      </c>
    </row>
    <row r="761" spans="1:28">
      <c r="A761" t="s">
        <v>1026</v>
      </c>
      <c r="B761" t="s">
        <v>173</v>
      </c>
      <c r="C761" t="s">
        <v>695</v>
      </c>
      <c r="D761" s="1">
        <v>45974</v>
      </c>
      <c r="E761" s="5">
        <v>0.85416666666666663</v>
      </c>
      <c r="F761" s="1">
        <v>45974</v>
      </c>
      <c r="G761" s="5">
        <v>0.875</v>
      </c>
      <c r="H761">
        <v>30</v>
      </c>
      <c r="I761" t="s">
        <v>143</v>
      </c>
      <c r="J761" t="s">
        <v>1021</v>
      </c>
      <c r="K761">
        <v>3</v>
      </c>
      <c r="L761">
        <v>4.5</v>
      </c>
      <c r="M761" t="s">
        <v>143</v>
      </c>
      <c r="N761" t="s">
        <v>169</v>
      </c>
      <c r="O761" t="b">
        <v>1</v>
      </c>
      <c r="P761" t="b">
        <v>0</v>
      </c>
      <c r="Q761" s="6">
        <v>6.666666666666667</v>
      </c>
      <c r="R761" s="6">
        <v>0.66666666666666663</v>
      </c>
      <c r="S761" t="s">
        <v>570</v>
      </c>
      <c r="T761" t="s">
        <v>171</v>
      </c>
      <c r="U761" s="6">
        <v>10.8</v>
      </c>
      <c r="V761" s="6">
        <v>19.2</v>
      </c>
      <c r="W761" t="b">
        <v>0</v>
      </c>
      <c r="X761">
        <v>6</v>
      </c>
      <c r="Y761">
        <v>2</v>
      </c>
      <c r="Z761">
        <v>20</v>
      </c>
      <c r="AA761" s="6">
        <v>30.286458333333329</v>
      </c>
      <c r="AB761">
        <f>--PizzaDelivery[[#This Row],[Is Delayed]]</f>
        <v>0</v>
      </c>
    </row>
    <row r="762" spans="1:28">
      <c r="A762" t="s">
        <v>1027</v>
      </c>
      <c r="B762" t="s">
        <v>142</v>
      </c>
      <c r="C762" t="s">
        <v>697</v>
      </c>
      <c r="D762" s="1">
        <v>45975</v>
      </c>
      <c r="E762" s="5">
        <v>0.79166666666666663</v>
      </c>
      <c r="F762" s="1">
        <v>45975</v>
      </c>
      <c r="G762" s="5">
        <v>0.8125</v>
      </c>
      <c r="H762">
        <v>30</v>
      </c>
      <c r="I762" t="s">
        <v>151</v>
      </c>
      <c r="J762" t="s">
        <v>657</v>
      </c>
      <c r="K762">
        <v>4</v>
      </c>
      <c r="L762">
        <v>5.5</v>
      </c>
      <c r="M762" t="s">
        <v>143</v>
      </c>
      <c r="N762" t="s">
        <v>162</v>
      </c>
      <c r="O762" t="b">
        <v>1</v>
      </c>
      <c r="P762" t="b">
        <v>0</v>
      </c>
      <c r="Q762" s="6">
        <v>5.4545454545454541</v>
      </c>
      <c r="R762" s="6">
        <v>0.72727272727272729</v>
      </c>
      <c r="S762" t="s">
        <v>570</v>
      </c>
      <c r="T762" t="s">
        <v>147</v>
      </c>
      <c r="U762" s="6">
        <v>13.2</v>
      </c>
      <c r="V762" s="6">
        <v>16.8</v>
      </c>
      <c r="W762" t="b">
        <v>0</v>
      </c>
      <c r="X762">
        <v>12</v>
      </c>
      <c r="Y762">
        <v>2</v>
      </c>
      <c r="Z762">
        <v>19</v>
      </c>
      <c r="AA762" s="6">
        <v>30.259433962264151</v>
      </c>
      <c r="AB762">
        <f>--PizzaDelivery[[#This Row],[Is Delayed]]</f>
        <v>0</v>
      </c>
    </row>
    <row r="763" spans="1:28">
      <c r="A763" t="s">
        <v>1028</v>
      </c>
      <c r="B763" t="s">
        <v>165</v>
      </c>
      <c r="C763" t="s">
        <v>188</v>
      </c>
      <c r="D763" s="1">
        <v>45976</v>
      </c>
      <c r="E763" s="5">
        <v>0.84375</v>
      </c>
      <c r="F763" s="1">
        <v>45976</v>
      </c>
      <c r="G763" s="5">
        <v>0.86458333333333337</v>
      </c>
      <c r="H763">
        <v>30</v>
      </c>
      <c r="I763" t="s">
        <v>143</v>
      </c>
      <c r="J763" t="s">
        <v>144</v>
      </c>
      <c r="K763">
        <v>2</v>
      </c>
      <c r="L763">
        <v>4</v>
      </c>
      <c r="M763" t="s">
        <v>161</v>
      </c>
      <c r="N763" t="s">
        <v>154</v>
      </c>
      <c r="O763" t="b">
        <v>1</v>
      </c>
      <c r="P763" t="b">
        <v>1</v>
      </c>
      <c r="Q763" s="6">
        <v>7.5</v>
      </c>
      <c r="R763" s="6">
        <v>0.5</v>
      </c>
      <c r="S763" t="s">
        <v>570</v>
      </c>
      <c r="T763" t="s">
        <v>147</v>
      </c>
      <c r="U763" s="6">
        <v>9.6</v>
      </c>
      <c r="V763" s="6">
        <v>20.399999999999999</v>
      </c>
      <c r="W763" t="b">
        <v>0</v>
      </c>
      <c r="X763">
        <v>4</v>
      </c>
      <c r="Y763">
        <v>1</v>
      </c>
      <c r="Z763">
        <v>20</v>
      </c>
      <c r="AA763" s="6">
        <v>29.948453608247419</v>
      </c>
      <c r="AB763">
        <f>--PizzaDelivery[[#This Row],[Is Delayed]]</f>
        <v>0</v>
      </c>
    </row>
    <row r="764" spans="1:28">
      <c r="A764" t="s">
        <v>1029</v>
      </c>
      <c r="B764" t="s">
        <v>149</v>
      </c>
      <c r="C764" t="s">
        <v>712</v>
      </c>
      <c r="D764" s="1">
        <v>45977</v>
      </c>
      <c r="E764" s="5">
        <v>0.77083333333333337</v>
      </c>
      <c r="F764" s="1">
        <v>45977</v>
      </c>
      <c r="G764" s="5">
        <v>0.79166666666666663</v>
      </c>
      <c r="H764">
        <v>30</v>
      </c>
      <c r="I764" t="s">
        <v>143</v>
      </c>
      <c r="J764" t="s">
        <v>1018</v>
      </c>
      <c r="K764">
        <v>3</v>
      </c>
      <c r="L764">
        <v>5</v>
      </c>
      <c r="M764" t="s">
        <v>143</v>
      </c>
      <c r="N764" t="s">
        <v>145</v>
      </c>
      <c r="O764" t="b">
        <v>1</v>
      </c>
      <c r="P764" t="b">
        <v>1</v>
      </c>
      <c r="Q764" s="6">
        <v>6</v>
      </c>
      <c r="R764" s="6">
        <v>0.6</v>
      </c>
      <c r="S764" t="s">
        <v>570</v>
      </c>
      <c r="T764" t="s">
        <v>147</v>
      </c>
      <c r="U764" s="6">
        <v>12</v>
      </c>
      <c r="V764" s="6">
        <v>18</v>
      </c>
      <c r="W764" t="b">
        <v>0</v>
      </c>
      <c r="X764">
        <v>6</v>
      </c>
      <c r="Y764">
        <v>2</v>
      </c>
      <c r="Z764">
        <v>18</v>
      </c>
      <c r="AA764" s="6">
        <v>28.186274509803919</v>
      </c>
      <c r="AB764">
        <f>--PizzaDelivery[[#This Row],[Is Delayed]]</f>
        <v>0</v>
      </c>
    </row>
    <row r="765" spans="1:28">
      <c r="A765" t="s">
        <v>1030</v>
      </c>
      <c r="B765" t="s">
        <v>157</v>
      </c>
      <c r="C765" t="s">
        <v>693</v>
      </c>
      <c r="D765" s="1">
        <v>45978</v>
      </c>
      <c r="E765" s="5">
        <v>0.82291666666666663</v>
      </c>
      <c r="F765" s="1">
        <v>45978</v>
      </c>
      <c r="G765" s="5">
        <v>0.84375</v>
      </c>
      <c r="H765">
        <v>30</v>
      </c>
      <c r="I765" t="s">
        <v>167</v>
      </c>
      <c r="J765" t="s">
        <v>168</v>
      </c>
      <c r="K765">
        <v>5</v>
      </c>
      <c r="L765">
        <v>6</v>
      </c>
      <c r="M765" t="s">
        <v>153</v>
      </c>
      <c r="N765" t="s">
        <v>162</v>
      </c>
      <c r="O765" t="b">
        <v>1</v>
      </c>
      <c r="P765" t="b">
        <v>0</v>
      </c>
      <c r="Q765" s="6">
        <v>5</v>
      </c>
      <c r="R765" s="6">
        <v>0.83333333333333337</v>
      </c>
      <c r="S765" t="s">
        <v>570</v>
      </c>
      <c r="T765" t="s">
        <v>147</v>
      </c>
      <c r="U765" s="6">
        <v>14.4</v>
      </c>
      <c r="V765" s="6">
        <v>15.6</v>
      </c>
      <c r="W765" t="b">
        <v>0</v>
      </c>
      <c r="X765">
        <v>20</v>
      </c>
      <c r="Y765">
        <v>3</v>
      </c>
      <c r="Z765">
        <v>19</v>
      </c>
      <c r="AA765" s="6">
        <v>28.844221105527641</v>
      </c>
      <c r="AB765">
        <f>--PizzaDelivery[[#This Row],[Is Delayed]]</f>
        <v>0</v>
      </c>
    </row>
    <row r="766" spans="1:28">
      <c r="A766" t="s">
        <v>1031</v>
      </c>
      <c r="B766" t="s">
        <v>173</v>
      </c>
      <c r="C766" t="s">
        <v>695</v>
      </c>
      <c r="D766" s="1">
        <v>45979</v>
      </c>
      <c r="E766" s="5">
        <v>0.83333333333333337</v>
      </c>
      <c r="F766" s="1">
        <v>45979</v>
      </c>
      <c r="G766" s="5">
        <v>0.85416666666666663</v>
      </c>
      <c r="H766">
        <v>30</v>
      </c>
      <c r="I766" t="s">
        <v>143</v>
      </c>
      <c r="J766" t="s">
        <v>1021</v>
      </c>
      <c r="K766">
        <v>3</v>
      </c>
      <c r="L766">
        <v>4.5</v>
      </c>
      <c r="M766" t="s">
        <v>143</v>
      </c>
      <c r="N766" t="s">
        <v>169</v>
      </c>
      <c r="O766" t="b">
        <v>1</v>
      </c>
      <c r="P766" t="b">
        <v>0</v>
      </c>
      <c r="Q766" s="6">
        <v>6.666666666666667</v>
      </c>
      <c r="R766" s="6">
        <v>0.66666666666666663</v>
      </c>
      <c r="S766" t="s">
        <v>570</v>
      </c>
      <c r="T766" t="s">
        <v>171</v>
      </c>
      <c r="U766" s="6">
        <v>10.8</v>
      </c>
      <c r="V766" s="6">
        <v>19.2</v>
      </c>
      <c r="W766" t="b">
        <v>0</v>
      </c>
      <c r="X766">
        <v>6</v>
      </c>
      <c r="Y766">
        <v>2</v>
      </c>
      <c r="Z766">
        <v>20</v>
      </c>
      <c r="AA766" s="6">
        <v>30.286458333333329</v>
      </c>
      <c r="AB766">
        <f>--PizzaDelivery[[#This Row],[Is Delayed]]</f>
        <v>0</v>
      </c>
    </row>
    <row r="767" spans="1:28">
      <c r="A767" t="s">
        <v>1032</v>
      </c>
      <c r="B767" t="s">
        <v>142</v>
      </c>
      <c r="C767" t="s">
        <v>697</v>
      </c>
      <c r="D767" s="1">
        <v>45980</v>
      </c>
      <c r="E767" s="5">
        <v>0.80208333333333337</v>
      </c>
      <c r="F767" s="1">
        <v>45980</v>
      </c>
      <c r="G767" s="5">
        <v>0.82291666666666663</v>
      </c>
      <c r="H767">
        <v>30</v>
      </c>
      <c r="I767" t="s">
        <v>151</v>
      </c>
      <c r="J767" t="s">
        <v>657</v>
      </c>
      <c r="K767">
        <v>4</v>
      </c>
      <c r="L767">
        <v>5.5</v>
      </c>
      <c r="M767" t="s">
        <v>143</v>
      </c>
      <c r="N767" t="s">
        <v>162</v>
      </c>
      <c r="O767" t="b">
        <v>1</v>
      </c>
      <c r="P767" t="b">
        <v>0</v>
      </c>
      <c r="Q767" s="6">
        <v>5.4545454545454541</v>
      </c>
      <c r="R767" s="6">
        <v>0.72727272727272729</v>
      </c>
      <c r="S767" t="s">
        <v>570</v>
      </c>
      <c r="T767" t="s">
        <v>147</v>
      </c>
      <c r="U767" s="6">
        <v>13.2</v>
      </c>
      <c r="V767" s="6">
        <v>16.8</v>
      </c>
      <c r="W767" t="b">
        <v>0</v>
      </c>
      <c r="X767">
        <v>12</v>
      </c>
      <c r="Y767">
        <v>2</v>
      </c>
      <c r="Z767">
        <v>19</v>
      </c>
      <c r="AA767" s="6">
        <v>30.259433962264151</v>
      </c>
      <c r="AB767">
        <f>--PizzaDelivery[[#This Row],[Is Delayed]]</f>
        <v>0</v>
      </c>
    </row>
    <row r="768" spans="1:28">
      <c r="A768" t="s">
        <v>1033</v>
      </c>
      <c r="B768" t="s">
        <v>165</v>
      </c>
      <c r="C768" t="s">
        <v>188</v>
      </c>
      <c r="D768" s="1">
        <v>45981</v>
      </c>
      <c r="E768" s="5">
        <v>0.85416666666666663</v>
      </c>
      <c r="F768" s="1">
        <v>45981</v>
      </c>
      <c r="G768" s="5">
        <v>0.875</v>
      </c>
      <c r="H768">
        <v>30</v>
      </c>
      <c r="I768" t="s">
        <v>143</v>
      </c>
      <c r="J768" t="s">
        <v>144</v>
      </c>
      <c r="K768">
        <v>2</v>
      </c>
      <c r="L768">
        <v>4</v>
      </c>
      <c r="M768" t="s">
        <v>161</v>
      </c>
      <c r="N768" t="s">
        <v>154</v>
      </c>
      <c r="O768" t="b">
        <v>1</v>
      </c>
      <c r="P768" t="b">
        <v>0</v>
      </c>
      <c r="Q768" s="6">
        <v>7.5</v>
      </c>
      <c r="R768" s="6">
        <v>0.5</v>
      </c>
      <c r="S768" t="s">
        <v>570</v>
      </c>
      <c r="T768" t="s">
        <v>147</v>
      </c>
      <c r="U768" s="6">
        <v>9.6</v>
      </c>
      <c r="V768" s="6">
        <v>20.399999999999999</v>
      </c>
      <c r="W768" t="b">
        <v>0</v>
      </c>
      <c r="X768">
        <v>4</v>
      </c>
      <c r="Y768">
        <v>1</v>
      </c>
      <c r="Z768">
        <v>20</v>
      </c>
      <c r="AA768" s="6">
        <v>29.948453608247419</v>
      </c>
      <c r="AB768">
        <f>--PizzaDelivery[[#This Row],[Is Delayed]]</f>
        <v>0</v>
      </c>
    </row>
    <row r="769" spans="1:28">
      <c r="A769" t="s">
        <v>1034</v>
      </c>
      <c r="B769" t="s">
        <v>149</v>
      </c>
      <c r="C769" t="s">
        <v>712</v>
      </c>
      <c r="D769" s="1">
        <v>45982</v>
      </c>
      <c r="E769" s="5">
        <v>0.78125</v>
      </c>
      <c r="F769" s="1">
        <v>45982</v>
      </c>
      <c r="G769" s="5">
        <v>0.80208333333333337</v>
      </c>
      <c r="H769">
        <v>30</v>
      </c>
      <c r="I769" t="s">
        <v>143</v>
      </c>
      <c r="J769" t="s">
        <v>1018</v>
      </c>
      <c r="K769">
        <v>3</v>
      </c>
      <c r="L769">
        <v>5</v>
      </c>
      <c r="M769" t="s">
        <v>143</v>
      </c>
      <c r="N769" t="s">
        <v>145</v>
      </c>
      <c r="O769" t="b">
        <v>1</v>
      </c>
      <c r="P769" t="b">
        <v>0</v>
      </c>
      <c r="Q769" s="6">
        <v>6</v>
      </c>
      <c r="R769" s="6">
        <v>0.6</v>
      </c>
      <c r="S769" t="s">
        <v>570</v>
      </c>
      <c r="T769" t="s">
        <v>147</v>
      </c>
      <c r="U769" s="6">
        <v>12</v>
      </c>
      <c r="V769" s="6">
        <v>18</v>
      </c>
      <c r="W769" t="b">
        <v>0</v>
      </c>
      <c r="X769">
        <v>6</v>
      </c>
      <c r="Y769">
        <v>2</v>
      </c>
      <c r="Z769">
        <v>18</v>
      </c>
      <c r="AA769" s="6">
        <v>28.186274509803919</v>
      </c>
      <c r="AB769">
        <f>--PizzaDelivery[[#This Row],[Is Delayed]]</f>
        <v>0</v>
      </c>
    </row>
    <row r="770" spans="1:28">
      <c r="A770" t="s">
        <v>1035</v>
      </c>
      <c r="B770" t="s">
        <v>157</v>
      </c>
      <c r="C770" t="s">
        <v>693</v>
      </c>
      <c r="D770" s="1">
        <v>45983</v>
      </c>
      <c r="E770" s="5">
        <v>0.79166666666666663</v>
      </c>
      <c r="F770" s="1">
        <v>45983</v>
      </c>
      <c r="G770" s="5">
        <v>0.8125</v>
      </c>
      <c r="H770">
        <v>30</v>
      </c>
      <c r="I770" t="s">
        <v>167</v>
      </c>
      <c r="J770" t="s">
        <v>168</v>
      </c>
      <c r="K770">
        <v>5</v>
      </c>
      <c r="L770">
        <v>6</v>
      </c>
      <c r="M770" t="s">
        <v>153</v>
      </c>
      <c r="N770" t="s">
        <v>162</v>
      </c>
      <c r="O770" t="b">
        <v>1</v>
      </c>
      <c r="P770" t="b">
        <v>1</v>
      </c>
      <c r="Q770" s="6">
        <v>5</v>
      </c>
      <c r="R770" s="6">
        <v>0.83333333333333337</v>
      </c>
      <c r="S770" t="s">
        <v>570</v>
      </c>
      <c r="T770" t="s">
        <v>147</v>
      </c>
      <c r="U770" s="6">
        <v>14.4</v>
      </c>
      <c r="V770" s="6">
        <v>15.6</v>
      </c>
      <c r="W770" t="b">
        <v>0</v>
      </c>
      <c r="X770">
        <v>20</v>
      </c>
      <c r="Y770">
        <v>3</v>
      </c>
      <c r="Z770">
        <v>19</v>
      </c>
      <c r="AA770" s="6">
        <v>28.844221105527641</v>
      </c>
      <c r="AB770">
        <f>--PizzaDelivery[[#This Row],[Is Delayed]]</f>
        <v>0</v>
      </c>
    </row>
    <row r="771" spans="1:28">
      <c r="A771" t="s">
        <v>1036</v>
      </c>
      <c r="B771" t="s">
        <v>173</v>
      </c>
      <c r="C771" t="s">
        <v>695</v>
      </c>
      <c r="D771" s="1">
        <v>45984</v>
      </c>
      <c r="E771" s="5">
        <v>0.84375</v>
      </c>
      <c r="F771" s="1">
        <v>45984</v>
      </c>
      <c r="G771" s="5">
        <v>0.86458333333333337</v>
      </c>
      <c r="H771">
        <v>30</v>
      </c>
      <c r="I771" t="s">
        <v>143</v>
      </c>
      <c r="J771" t="s">
        <v>1021</v>
      </c>
      <c r="K771">
        <v>3</v>
      </c>
      <c r="L771">
        <v>4.5</v>
      </c>
      <c r="M771" t="s">
        <v>143</v>
      </c>
      <c r="N771" t="s">
        <v>169</v>
      </c>
      <c r="O771" t="b">
        <v>1</v>
      </c>
      <c r="P771" t="b">
        <v>1</v>
      </c>
      <c r="Q771" s="6">
        <v>6.666666666666667</v>
      </c>
      <c r="R771" s="6">
        <v>0.66666666666666663</v>
      </c>
      <c r="S771" t="s">
        <v>570</v>
      </c>
      <c r="T771" t="s">
        <v>171</v>
      </c>
      <c r="U771" s="6">
        <v>10.8</v>
      </c>
      <c r="V771" s="6">
        <v>19.2</v>
      </c>
      <c r="W771" t="b">
        <v>0</v>
      </c>
      <c r="X771">
        <v>6</v>
      </c>
      <c r="Y771">
        <v>2</v>
      </c>
      <c r="Z771">
        <v>20</v>
      </c>
      <c r="AA771" s="6">
        <v>30.286458333333329</v>
      </c>
      <c r="AB771">
        <f>--PizzaDelivery[[#This Row],[Is Delayed]]</f>
        <v>0</v>
      </c>
    </row>
    <row r="772" spans="1:28">
      <c r="A772" t="s">
        <v>1037</v>
      </c>
      <c r="B772" t="s">
        <v>142</v>
      </c>
      <c r="C772" t="s">
        <v>697</v>
      </c>
      <c r="D772" s="1">
        <v>45985</v>
      </c>
      <c r="E772" s="5">
        <v>0.8125</v>
      </c>
      <c r="F772" s="1">
        <v>45985</v>
      </c>
      <c r="G772" s="5">
        <v>0.83333333333333337</v>
      </c>
      <c r="H772">
        <v>30</v>
      </c>
      <c r="I772" t="s">
        <v>151</v>
      </c>
      <c r="J772" t="s">
        <v>657</v>
      </c>
      <c r="K772">
        <v>4</v>
      </c>
      <c r="L772">
        <v>5.5</v>
      </c>
      <c r="M772" t="s">
        <v>143</v>
      </c>
      <c r="N772" t="s">
        <v>162</v>
      </c>
      <c r="O772" t="b">
        <v>1</v>
      </c>
      <c r="P772" t="b">
        <v>0</v>
      </c>
      <c r="Q772" s="6">
        <v>5.4545454545454541</v>
      </c>
      <c r="R772" s="6">
        <v>0.72727272727272729</v>
      </c>
      <c r="S772" t="s">
        <v>570</v>
      </c>
      <c r="T772" t="s">
        <v>147</v>
      </c>
      <c r="U772" s="6">
        <v>13.2</v>
      </c>
      <c r="V772" s="6">
        <v>16.8</v>
      </c>
      <c r="W772" t="b">
        <v>0</v>
      </c>
      <c r="X772">
        <v>12</v>
      </c>
      <c r="Y772">
        <v>2</v>
      </c>
      <c r="Z772">
        <v>19</v>
      </c>
      <c r="AA772" s="6">
        <v>30.259433962264151</v>
      </c>
      <c r="AB772">
        <f>--PizzaDelivery[[#This Row],[Is Delayed]]</f>
        <v>0</v>
      </c>
    </row>
    <row r="773" spans="1:28">
      <c r="A773" t="s">
        <v>1038</v>
      </c>
      <c r="B773" t="s">
        <v>165</v>
      </c>
      <c r="C773" t="s">
        <v>188</v>
      </c>
      <c r="D773" s="1">
        <v>45986</v>
      </c>
      <c r="E773" s="5">
        <v>0.86458333333333337</v>
      </c>
      <c r="F773" s="1">
        <v>45986</v>
      </c>
      <c r="G773" s="5">
        <v>0.88541666666666663</v>
      </c>
      <c r="H773">
        <v>30</v>
      </c>
      <c r="I773" t="s">
        <v>143</v>
      </c>
      <c r="J773" t="s">
        <v>144</v>
      </c>
      <c r="K773">
        <v>2</v>
      </c>
      <c r="L773">
        <v>4</v>
      </c>
      <c r="M773" t="s">
        <v>161</v>
      </c>
      <c r="N773" t="s">
        <v>154</v>
      </c>
      <c r="O773" t="b">
        <v>1</v>
      </c>
      <c r="P773" t="b">
        <v>0</v>
      </c>
      <c r="Q773" s="6">
        <v>7.5</v>
      </c>
      <c r="R773" s="6">
        <v>0.5</v>
      </c>
      <c r="S773" t="s">
        <v>570</v>
      </c>
      <c r="T773" t="s">
        <v>147</v>
      </c>
      <c r="U773" s="6">
        <v>9.6</v>
      </c>
      <c r="V773" s="6">
        <v>20.399999999999999</v>
      </c>
      <c r="W773" t="b">
        <v>0</v>
      </c>
      <c r="X773">
        <v>4</v>
      </c>
      <c r="Y773">
        <v>1</v>
      </c>
      <c r="Z773">
        <v>20</v>
      </c>
      <c r="AA773" s="6">
        <v>29.948453608247419</v>
      </c>
      <c r="AB773">
        <f>--PizzaDelivery[[#This Row],[Is Delayed]]</f>
        <v>0</v>
      </c>
    </row>
    <row r="774" spans="1:28">
      <c r="A774" t="s">
        <v>1039</v>
      </c>
      <c r="B774" t="s">
        <v>149</v>
      </c>
      <c r="C774" t="s">
        <v>712</v>
      </c>
      <c r="D774" s="1">
        <v>45987</v>
      </c>
      <c r="E774" s="5">
        <v>0.75</v>
      </c>
      <c r="F774" s="1">
        <v>45987</v>
      </c>
      <c r="G774" s="5">
        <v>0.77083333333333337</v>
      </c>
      <c r="H774">
        <v>30</v>
      </c>
      <c r="I774" t="s">
        <v>143</v>
      </c>
      <c r="J774" t="s">
        <v>1018</v>
      </c>
      <c r="K774">
        <v>3</v>
      </c>
      <c r="L774">
        <v>5</v>
      </c>
      <c r="M774" t="s">
        <v>143</v>
      </c>
      <c r="N774" t="s">
        <v>145</v>
      </c>
      <c r="O774" t="b">
        <v>1</v>
      </c>
      <c r="P774" t="b">
        <v>0</v>
      </c>
      <c r="Q774" s="6">
        <v>6</v>
      </c>
      <c r="R774" s="6">
        <v>0.6</v>
      </c>
      <c r="S774" t="s">
        <v>570</v>
      </c>
      <c r="T774" t="s">
        <v>147</v>
      </c>
      <c r="U774" s="6">
        <v>12</v>
      </c>
      <c r="V774" s="6">
        <v>18</v>
      </c>
      <c r="W774" t="b">
        <v>0</v>
      </c>
      <c r="X774">
        <v>6</v>
      </c>
      <c r="Y774">
        <v>2</v>
      </c>
      <c r="Z774">
        <v>18</v>
      </c>
      <c r="AA774" s="6">
        <v>28.186274509803919</v>
      </c>
      <c r="AB774">
        <f>--PizzaDelivery[[#This Row],[Is Delayed]]</f>
        <v>0</v>
      </c>
    </row>
    <row r="775" spans="1:28">
      <c r="A775" t="s">
        <v>1040</v>
      </c>
      <c r="B775" t="s">
        <v>157</v>
      </c>
      <c r="C775" t="s">
        <v>693</v>
      </c>
      <c r="D775" s="1">
        <v>45988</v>
      </c>
      <c r="E775" s="5">
        <v>0.80208333333333337</v>
      </c>
      <c r="F775" s="1">
        <v>45988</v>
      </c>
      <c r="G775" s="5">
        <v>0.82291666666666663</v>
      </c>
      <c r="H775">
        <v>30</v>
      </c>
      <c r="I775" t="s">
        <v>167</v>
      </c>
      <c r="J775" t="s">
        <v>168</v>
      </c>
      <c r="K775">
        <v>5</v>
      </c>
      <c r="L775">
        <v>6</v>
      </c>
      <c r="M775" t="s">
        <v>153</v>
      </c>
      <c r="N775" t="s">
        <v>162</v>
      </c>
      <c r="O775" t="b">
        <v>1</v>
      </c>
      <c r="P775" t="b">
        <v>0</v>
      </c>
      <c r="Q775" s="6">
        <v>5</v>
      </c>
      <c r="R775" s="6">
        <v>0.83333333333333337</v>
      </c>
      <c r="S775" t="s">
        <v>570</v>
      </c>
      <c r="T775" t="s">
        <v>147</v>
      </c>
      <c r="U775" s="6">
        <v>14.4</v>
      </c>
      <c r="V775" s="6">
        <v>15.6</v>
      </c>
      <c r="W775" t="b">
        <v>0</v>
      </c>
      <c r="X775">
        <v>20</v>
      </c>
      <c r="Y775">
        <v>3</v>
      </c>
      <c r="Z775">
        <v>19</v>
      </c>
      <c r="AA775" s="6">
        <v>28.844221105527641</v>
      </c>
      <c r="AB775">
        <f>--PizzaDelivery[[#This Row],[Is Delayed]]</f>
        <v>0</v>
      </c>
    </row>
    <row r="776" spans="1:28">
      <c r="A776" t="s">
        <v>1041</v>
      </c>
      <c r="B776" t="s">
        <v>173</v>
      </c>
      <c r="C776" t="s">
        <v>695</v>
      </c>
      <c r="D776" s="1">
        <v>45989</v>
      </c>
      <c r="E776" s="5">
        <v>0.85416666666666663</v>
      </c>
      <c r="F776" s="1">
        <v>45989</v>
      </c>
      <c r="G776" s="5">
        <v>0.875</v>
      </c>
      <c r="H776">
        <v>30</v>
      </c>
      <c r="I776" t="s">
        <v>143</v>
      </c>
      <c r="J776" t="s">
        <v>1021</v>
      </c>
      <c r="K776">
        <v>3</v>
      </c>
      <c r="L776">
        <v>4.5</v>
      </c>
      <c r="M776" t="s">
        <v>143</v>
      </c>
      <c r="N776" t="s">
        <v>169</v>
      </c>
      <c r="O776" t="b">
        <v>1</v>
      </c>
      <c r="P776" t="b">
        <v>0</v>
      </c>
      <c r="Q776" s="6">
        <v>6.666666666666667</v>
      </c>
      <c r="R776" s="6">
        <v>0.66666666666666663</v>
      </c>
      <c r="S776" t="s">
        <v>570</v>
      </c>
      <c r="T776" t="s">
        <v>171</v>
      </c>
      <c r="U776" s="6">
        <v>10.8</v>
      </c>
      <c r="V776" s="6">
        <v>19.2</v>
      </c>
      <c r="W776" t="b">
        <v>0</v>
      </c>
      <c r="X776">
        <v>6</v>
      </c>
      <c r="Y776">
        <v>2</v>
      </c>
      <c r="Z776">
        <v>20</v>
      </c>
      <c r="AA776" s="6">
        <v>30.286458333333329</v>
      </c>
      <c r="AB776">
        <f>--PizzaDelivery[[#This Row],[Is Delayed]]</f>
        <v>0</v>
      </c>
    </row>
    <row r="777" spans="1:28">
      <c r="A777" t="s">
        <v>1042</v>
      </c>
      <c r="B777" t="s">
        <v>142</v>
      </c>
      <c r="C777" t="s">
        <v>697</v>
      </c>
      <c r="D777" s="1">
        <v>45990</v>
      </c>
      <c r="E777" s="5">
        <v>0.79166666666666663</v>
      </c>
      <c r="F777" s="1">
        <v>45990</v>
      </c>
      <c r="G777" s="5">
        <v>0.8125</v>
      </c>
      <c r="H777">
        <v>30</v>
      </c>
      <c r="I777" t="s">
        <v>151</v>
      </c>
      <c r="J777" t="s">
        <v>657</v>
      </c>
      <c r="K777">
        <v>4</v>
      </c>
      <c r="L777">
        <v>5.5</v>
      </c>
      <c r="M777" t="s">
        <v>143</v>
      </c>
      <c r="N777" t="s">
        <v>162</v>
      </c>
      <c r="O777" t="b">
        <v>1</v>
      </c>
      <c r="P777" t="b">
        <v>1</v>
      </c>
      <c r="Q777" s="6">
        <v>5.4545454545454541</v>
      </c>
      <c r="R777" s="6">
        <v>0.72727272727272729</v>
      </c>
      <c r="S777" t="s">
        <v>570</v>
      </c>
      <c r="T777" t="s">
        <v>147</v>
      </c>
      <c r="U777" s="6">
        <v>13.2</v>
      </c>
      <c r="V777" s="6">
        <v>16.8</v>
      </c>
      <c r="W777" t="b">
        <v>0</v>
      </c>
      <c r="X777">
        <v>12</v>
      </c>
      <c r="Y777">
        <v>2</v>
      </c>
      <c r="Z777">
        <v>19</v>
      </c>
      <c r="AA777" s="6">
        <v>30.259433962264151</v>
      </c>
      <c r="AB777">
        <f>--PizzaDelivery[[#This Row],[Is Delayed]]</f>
        <v>0</v>
      </c>
    </row>
    <row r="778" spans="1:28">
      <c r="A778" t="s">
        <v>1043</v>
      </c>
      <c r="B778" t="s">
        <v>165</v>
      </c>
      <c r="C778" t="s">
        <v>188</v>
      </c>
      <c r="D778" s="1">
        <v>45991</v>
      </c>
      <c r="E778" s="5">
        <v>0.84375</v>
      </c>
      <c r="F778" s="1">
        <v>45991</v>
      </c>
      <c r="G778" s="5">
        <v>0.86458333333333337</v>
      </c>
      <c r="H778">
        <v>30</v>
      </c>
      <c r="I778" t="s">
        <v>143</v>
      </c>
      <c r="J778" t="s">
        <v>144</v>
      </c>
      <c r="K778">
        <v>2</v>
      </c>
      <c r="L778">
        <v>4</v>
      </c>
      <c r="M778" t="s">
        <v>161</v>
      </c>
      <c r="N778" t="s">
        <v>154</v>
      </c>
      <c r="O778" t="b">
        <v>1</v>
      </c>
      <c r="P778" t="b">
        <v>1</v>
      </c>
      <c r="Q778" s="6">
        <v>7.5</v>
      </c>
      <c r="R778" s="6">
        <v>0.5</v>
      </c>
      <c r="S778" t="s">
        <v>570</v>
      </c>
      <c r="T778" t="s">
        <v>147</v>
      </c>
      <c r="U778" s="6">
        <v>9.6</v>
      </c>
      <c r="V778" s="6">
        <v>20.399999999999999</v>
      </c>
      <c r="W778" t="b">
        <v>0</v>
      </c>
      <c r="X778">
        <v>4</v>
      </c>
      <c r="Y778">
        <v>1</v>
      </c>
      <c r="Z778">
        <v>20</v>
      </c>
      <c r="AA778" s="6">
        <v>29.948453608247419</v>
      </c>
      <c r="AB778">
        <f>--PizzaDelivery[[#This Row],[Is Delayed]]</f>
        <v>0</v>
      </c>
    </row>
    <row r="779" spans="1:28">
      <c r="A779" t="s">
        <v>1044</v>
      </c>
      <c r="B779" t="s">
        <v>149</v>
      </c>
      <c r="C779" t="s">
        <v>712</v>
      </c>
      <c r="D779" s="1">
        <v>45992</v>
      </c>
      <c r="E779" s="5">
        <v>0.77083333333333337</v>
      </c>
      <c r="F779" s="1">
        <v>45992</v>
      </c>
      <c r="G779" s="5">
        <v>0.79166666666666663</v>
      </c>
      <c r="H779">
        <v>30</v>
      </c>
      <c r="I779" t="s">
        <v>143</v>
      </c>
      <c r="J779" t="s">
        <v>1018</v>
      </c>
      <c r="K779">
        <v>3</v>
      </c>
      <c r="L779">
        <v>5</v>
      </c>
      <c r="M779" t="s">
        <v>143</v>
      </c>
      <c r="N779" t="s">
        <v>145</v>
      </c>
      <c r="O779" t="b">
        <v>1</v>
      </c>
      <c r="P779" t="b">
        <v>0</v>
      </c>
      <c r="Q779" s="6">
        <v>6</v>
      </c>
      <c r="R779" s="6">
        <v>0.6</v>
      </c>
      <c r="S779" t="s">
        <v>603</v>
      </c>
      <c r="T779" t="s">
        <v>147</v>
      </c>
      <c r="U779" s="6">
        <v>12</v>
      </c>
      <c r="V779" s="6">
        <v>18</v>
      </c>
      <c r="W779" t="b">
        <v>0</v>
      </c>
      <c r="X779">
        <v>6</v>
      </c>
      <c r="Y779">
        <v>2</v>
      </c>
      <c r="Z779">
        <v>18</v>
      </c>
      <c r="AA779" s="6">
        <v>28.186274509803919</v>
      </c>
      <c r="AB779">
        <f>--PizzaDelivery[[#This Row],[Is Delayed]]</f>
        <v>0</v>
      </c>
    </row>
    <row r="780" spans="1:28">
      <c r="A780" t="s">
        <v>1045</v>
      </c>
      <c r="B780" t="s">
        <v>157</v>
      </c>
      <c r="C780" t="s">
        <v>693</v>
      </c>
      <c r="D780" s="1">
        <v>45993</v>
      </c>
      <c r="E780" s="5">
        <v>0.82291666666666663</v>
      </c>
      <c r="F780" s="1">
        <v>45993</v>
      </c>
      <c r="G780" s="5">
        <v>0.84375</v>
      </c>
      <c r="H780">
        <v>30</v>
      </c>
      <c r="I780" t="s">
        <v>167</v>
      </c>
      <c r="J780" t="s">
        <v>168</v>
      </c>
      <c r="K780">
        <v>5</v>
      </c>
      <c r="L780">
        <v>6</v>
      </c>
      <c r="M780" t="s">
        <v>153</v>
      </c>
      <c r="N780" t="s">
        <v>162</v>
      </c>
      <c r="O780" t="b">
        <v>1</v>
      </c>
      <c r="P780" t="b">
        <v>0</v>
      </c>
      <c r="Q780" s="6">
        <v>5</v>
      </c>
      <c r="R780" s="6">
        <v>0.83333333333333337</v>
      </c>
      <c r="S780" t="s">
        <v>603</v>
      </c>
      <c r="T780" t="s">
        <v>147</v>
      </c>
      <c r="U780" s="6">
        <v>14.4</v>
      </c>
      <c r="V780" s="6">
        <v>15.6</v>
      </c>
      <c r="W780" t="b">
        <v>0</v>
      </c>
      <c r="X780">
        <v>20</v>
      </c>
      <c r="Y780">
        <v>3</v>
      </c>
      <c r="Z780">
        <v>19</v>
      </c>
      <c r="AA780" s="6">
        <v>28.844221105527641</v>
      </c>
      <c r="AB780">
        <f>--PizzaDelivery[[#This Row],[Is Delayed]]</f>
        <v>0</v>
      </c>
    </row>
    <row r="781" spans="1:28">
      <c r="A781" t="s">
        <v>1046</v>
      </c>
      <c r="B781" t="s">
        <v>173</v>
      </c>
      <c r="C781" t="s">
        <v>695</v>
      </c>
      <c r="D781" s="1">
        <v>45994</v>
      </c>
      <c r="E781" s="5">
        <v>0.83333333333333337</v>
      </c>
      <c r="F781" s="1">
        <v>45994</v>
      </c>
      <c r="G781" s="5">
        <v>0.85416666666666663</v>
      </c>
      <c r="H781">
        <v>30</v>
      </c>
      <c r="I781" t="s">
        <v>143</v>
      </c>
      <c r="J781" t="s">
        <v>1021</v>
      </c>
      <c r="K781">
        <v>3</v>
      </c>
      <c r="L781">
        <v>4.5</v>
      </c>
      <c r="M781" t="s">
        <v>143</v>
      </c>
      <c r="N781" t="s">
        <v>169</v>
      </c>
      <c r="O781" t="b">
        <v>1</v>
      </c>
      <c r="P781" t="b">
        <v>0</v>
      </c>
      <c r="Q781" s="6">
        <v>6.666666666666667</v>
      </c>
      <c r="R781" s="6">
        <v>0.66666666666666663</v>
      </c>
      <c r="S781" t="s">
        <v>603</v>
      </c>
      <c r="T781" t="s">
        <v>171</v>
      </c>
      <c r="U781" s="6">
        <v>10.8</v>
      </c>
      <c r="V781" s="6">
        <v>19.2</v>
      </c>
      <c r="W781" t="b">
        <v>0</v>
      </c>
      <c r="X781">
        <v>6</v>
      </c>
      <c r="Y781">
        <v>2</v>
      </c>
      <c r="Z781">
        <v>20</v>
      </c>
      <c r="AA781" s="6">
        <v>30.286458333333329</v>
      </c>
      <c r="AB781">
        <f>--PizzaDelivery[[#This Row],[Is Delayed]]</f>
        <v>0</v>
      </c>
    </row>
    <row r="782" spans="1:28">
      <c r="A782" t="s">
        <v>1047</v>
      </c>
      <c r="B782" t="s">
        <v>149</v>
      </c>
      <c r="C782" t="s">
        <v>712</v>
      </c>
      <c r="D782" s="1">
        <v>45995</v>
      </c>
      <c r="E782" s="5">
        <v>0.76041666666666663</v>
      </c>
      <c r="F782" s="1">
        <v>45995</v>
      </c>
      <c r="G782" s="5">
        <v>0.78125</v>
      </c>
      <c r="H782">
        <v>30</v>
      </c>
      <c r="I782" t="s">
        <v>143</v>
      </c>
      <c r="J782" t="s">
        <v>1018</v>
      </c>
      <c r="K782">
        <v>3</v>
      </c>
      <c r="L782">
        <v>5</v>
      </c>
      <c r="M782" t="s">
        <v>143</v>
      </c>
      <c r="N782" t="s">
        <v>162</v>
      </c>
      <c r="O782" t="b">
        <v>1</v>
      </c>
      <c r="P782" t="b">
        <v>0</v>
      </c>
      <c r="Q782" s="6">
        <v>6</v>
      </c>
      <c r="R782" s="6">
        <v>0.6</v>
      </c>
      <c r="S782" t="s">
        <v>603</v>
      </c>
      <c r="T782" t="s">
        <v>147</v>
      </c>
      <c r="U782" s="6">
        <v>12</v>
      </c>
      <c r="V782" s="6">
        <v>18</v>
      </c>
      <c r="W782" t="b">
        <v>0</v>
      </c>
      <c r="X782">
        <v>6</v>
      </c>
      <c r="Y782">
        <v>2</v>
      </c>
      <c r="Z782">
        <v>18</v>
      </c>
      <c r="AA782" s="6">
        <v>28.186274509803919</v>
      </c>
      <c r="AB782">
        <f>--PizzaDelivery[[#This Row],[Is Delayed]]</f>
        <v>0</v>
      </c>
    </row>
    <row r="783" spans="1:28">
      <c r="A783" t="s">
        <v>1048</v>
      </c>
      <c r="B783" t="s">
        <v>157</v>
      </c>
      <c r="C783" t="s">
        <v>693</v>
      </c>
      <c r="D783" s="1">
        <v>45996</v>
      </c>
      <c r="E783" s="5">
        <v>0.8125</v>
      </c>
      <c r="F783" s="1">
        <v>45996</v>
      </c>
      <c r="G783" s="5">
        <v>0.83333333333333337</v>
      </c>
      <c r="H783">
        <v>30</v>
      </c>
      <c r="I783" t="s">
        <v>167</v>
      </c>
      <c r="J783" t="s">
        <v>168</v>
      </c>
      <c r="K783">
        <v>5</v>
      </c>
      <c r="L783">
        <v>6</v>
      </c>
      <c r="M783" t="s">
        <v>153</v>
      </c>
      <c r="N783" t="s">
        <v>145</v>
      </c>
      <c r="O783" t="b">
        <v>1</v>
      </c>
      <c r="P783" t="b">
        <v>0</v>
      </c>
      <c r="Q783" s="6">
        <v>5</v>
      </c>
      <c r="R783" s="6">
        <v>0.83333333333333337</v>
      </c>
      <c r="S783" t="s">
        <v>603</v>
      </c>
      <c r="T783" t="s">
        <v>147</v>
      </c>
      <c r="U783" s="6">
        <v>14.4</v>
      </c>
      <c r="V783" s="6">
        <v>15.6</v>
      </c>
      <c r="W783" t="b">
        <v>0</v>
      </c>
      <c r="X783">
        <v>20</v>
      </c>
      <c r="Y783">
        <v>3</v>
      </c>
      <c r="Z783">
        <v>19</v>
      </c>
      <c r="AA783" s="6">
        <v>28.844221105527641</v>
      </c>
      <c r="AB783">
        <f>--PizzaDelivery[[#This Row],[Is Delayed]]</f>
        <v>0</v>
      </c>
    </row>
    <row r="784" spans="1:28">
      <c r="A784" t="s">
        <v>1049</v>
      </c>
      <c r="B784" t="s">
        <v>173</v>
      </c>
      <c r="C784" t="s">
        <v>695</v>
      </c>
      <c r="D784" s="1">
        <v>45997</v>
      </c>
      <c r="E784" s="5">
        <v>0.86458333333333337</v>
      </c>
      <c r="F784" s="1">
        <v>45997</v>
      </c>
      <c r="G784" s="5">
        <v>0.88541666666666663</v>
      </c>
      <c r="H784">
        <v>30</v>
      </c>
      <c r="I784" t="s">
        <v>143</v>
      </c>
      <c r="J784" t="s">
        <v>1021</v>
      </c>
      <c r="K784">
        <v>3</v>
      </c>
      <c r="L784">
        <v>4.5</v>
      </c>
      <c r="M784" t="s">
        <v>143</v>
      </c>
      <c r="N784" t="s">
        <v>169</v>
      </c>
      <c r="O784" t="b">
        <v>1</v>
      </c>
      <c r="P784" t="b">
        <v>1</v>
      </c>
      <c r="Q784" s="6">
        <v>6.666666666666667</v>
      </c>
      <c r="R784" s="6">
        <v>0.66666666666666663</v>
      </c>
      <c r="S784" t="s">
        <v>603</v>
      </c>
      <c r="T784" t="s">
        <v>171</v>
      </c>
      <c r="U784" s="6">
        <v>10.8</v>
      </c>
      <c r="V784" s="6">
        <v>19.2</v>
      </c>
      <c r="W784" t="b">
        <v>0</v>
      </c>
      <c r="X784">
        <v>6</v>
      </c>
      <c r="Y784">
        <v>2</v>
      </c>
      <c r="Z784">
        <v>20</v>
      </c>
      <c r="AA784" s="6">
        <v>30.286458333333329</v>
      </c>
      <c r="AB784">
        <f>--PizzaDelivery[[#This Row],[Is Delayed]]</f>
        <v>0</v>
      </c>
    </row>
    <row r="785" spans="1:28">
      <c r="A785" t="s">
        <v>1050</v>
      </c>
      <c r="B785" t="s">
        <v>142</v>
      </c>
      <c r="C785" t="s">
        <v>697</v>
      </c>
      <c r="D785" s="1">
        <v>45998</v>
      </c>
      <c r="E785" s="5">
        <v>0.79166666666666663</v>
      </c>
      <c r="F785" s="1">
        <v>45998</v>
      </c>
      <c r="G785" s="5">
        <v>0.8125</v>
      </c>
      <c r="H785">
        <v>30</v>
      </c>
      <c r="I785" t="s">
        <v>151</v>
      </c>
      <c r="J785" t="s">
        <v>657</v>
      </c>
      <c r="K785">
        <v>4</v>
      </c>
      <c r="L785">
        <v>5.5</v>
      </c>
      <c r="M785" t="s">
        <v>143</v>
      </c>
      <c r="N785" t="s">
        <v>162</v>
      </c>
      <c r="O785" t="b">
        <v>1</v>
      </c>
      <c r="P785" t="b">
        <v>1</v>
      </c>
      <c r="Q785" s="6">
        <v>5.4545454545454541</v>
      </c>
      <c r="R785" s="6">
        <v>0.72727272727272729</v>
      </c>
      <c r="S785" t="s">
        <v>603</v>
      </c>
      <c r="T785" t="s">
        <v>147</v>
      </c>
      <c r="U785" s="6">
        <v>13.2</v>
      </c>
      <c r="V785" s="6">
        <v>16.8</v>
      </c>
      <c r="W785" t="b">
        <v>0</v>
      </c>
      <c r="X785">
        <v>12</v>
      </c>
      <c r="Y785">
        <v>2</v>
      </c>
      <c r="Z785">
        <v>19</v>
      </c>
      <c r="AA785" s="6">
        <v>30.259433962264151</v>
      </c>
      <c r="AB785">
        <f>--PizzaDelivery[[#This Row],[Is Delayed]]</f>
        <v>0</v>
      </c>
    </row>
    <row r="786" spans="1:28">
      <c r="A786" t="s">
        <v>1051</v>
      </c>
      <c r="B786" t="s">
        <v>165</v>
      </c>
      <c r="C786" t="s">
        <v>188</v>
      </c>
      <c r="D786" s="1">
        <v>45999</v>
      </c>
      <c r="E786" s="5">
        <v>0.84375</v>
      </c>
      <c r="F786" s="1">
        <v>45999</v>
      </c>
      <c r="G786" s="5">
        <v>0.86458333333333337</v>
      </c>
      <c r="H786">
        <v>30</v>
      </c>
      <c r="I786" t="s">
        <v>143</v>
      </c>
      <c r="J786" t="s">
        <v>144</v>
      </c>
      <c r="K786">
        <v>2</v>
      </c>
      <c r="L786">
        <v>4</v>
      </c>
      <c r="M786" t="s">
        <v>161</v>
      </c>
      <c r="N786" t="s">
        <v>154</v>
      </c>
      <c r="O786" t="b">
        <v>1</v>
      </c>
      <c r="P786" t="b">
        <v>0</v>
      </c>
      <c r="Q786" s="6">
        <v>7.5</v>
      </c>
      <c r="R786" s="6">
        <v>0.5</v>
      </c>
      <c r="S786" t="s">
        <v>603</v>
      </c>
      <c r="T786" t="s">
        <v>147</v>
      </c>
      <c r="U786" s="6">
        <v>9.6</v>
      </c>
      <c r="V786" s="6">
        <v>20.399999999999999</v>
      </c>
      <c r="W786" t="b">
        <v>0</v>
      </c>
      <c r="X786">
        <v>4</v>
      </c>
      <c r="Y786">
        <v>1</v>
      </c>
      <c r="Z786">
        <v>20</v>
      </c>
      <c r="AA786" s="6">
        <v>29.948453608247419</v>
      </c>
      <c r="AB786">
        <f>--PizzaDelivery[[#This Row],[Is Delayed]]</f>
        <v>0</v>
      </c>
    </row>
    <row r="787" spans="1:28">
      <c r="A787" t="s">
        <v>1052</v>
      </c>
      <c r="B787" t="s">
        <v>149</v>
      </c>
      <c r="C787" t="s">
        <v>712</v>
      </c>
      <c r="D787" s="1">
        <v>46000</v>
      </c>
      <c r="E787" s="5">
        <v>0.77083333333333337</v>
      </c>
      <c r="F787" s="1">
        <v>46000</v>
      </c>
      <c r="G787" s="5">
        <v>0.79166666666666663</v>
      </c>
      <c r="H787">
        <v>30</v>
      </c>
      <c r="I787" t="s">
        <v>143</v>
      </c>
      <c r="J787" t="s">
        <v>1018</v>
      </c>
      <c r="K787">
        <v>3</v>
      </c>
      <c r="L787">
        <v>5</v>
      </c>
      <c r="M787" t="s">
        <v>143</v>
      </c>
      <c r="N787" t="s">
        <v>145</v>
      </c>
      <c r="O787" t="b">
        <v>1</v>
      </c>
      <c r="P787" t="b">
        <v>0</v>
      </c>
      <c r="Q787" s="6">
        <v>6</v>
      </c>
      <c r="R787" s="6">
        <v>0.6</v>
      </c>
      <c r="S787" t="s">
        <v>603</v>
      </c>
      <c r="T787" t="s">
        <v>147</v>
      </c>
      <c r="U787" s="6">
        <v>12</v>
      </c>
      <c r="V787" s="6">
        <v>18</v>
      </c>
      <c r="W787" t="b">
        <v>0</v>
      </c>
      <c r="X787">
        <v>6</v>
      </c>
      <c r="Y787">
        <v>2</v>
      </c>
      <c r="Z787">
        <v>18</v>
      </c>
      <c r="AA787" s="6">
        <v>28.186274509803919</v>
      </c>
      <c r="AB787">
        <f>--PizzaDelivery[[#This Row],[Is Delayed]]</f>
        <v>0</v>
      </c>
    </row>
    <row r="788" spans="1:28">
      <c r="A788" t="s">
        <v>1053</v>
      </c>
      <c r="B788" t="s">
        <v>157</v>
      </c>
      <c r="C788" t="s">
        <v>693</v>
      </c>
      <c r="D788" s="1">
        <v>46001</v>
      </c>
      <c r="E788" s="5">
        <v>0.82291666666666663</v>
      </c>
      <c r="F788" s="1">
        <v>46001</v>
      </c>
      <c r="G788" s="5">
        <v>0.84375</v>
      </c>
      <c r="H788">
        <v>30</v>
      </c>
      <c r="I788" t="s">
        <v>167</v>
      </c>
      <c r="J788" t="s">
        <v>168</v>
      </c>
      <c r="K788">
        <v>5</v>
      </c>
      <c r="L788">
        <v>6</v>
      </c>
      <c r="M788" t="s">
        <v>153</v>
      </c>
      <c r="N788" t="s">
        <v>162</v>
      </c>
      <c r="O788" t="b">
        <v>1</v>
      </c>
      <c r="P788" t="b">
        <v>0</v>
      </c>
      <c r="Q788" s="6">
        <v>5</v>
      </c>
      <c r="R788" s="6">
        <v>0.83333333333333337</v>
      </c>
      <c r="S788" t="s">
        <v>603</v>
      </c>
      <c r="T788" t="s">
        <v>147</v>
      </c>
      <c r="U788" s="6">
        <v>14.4</v>
      </c>
      <c r="V788" s="6">
        <v>15.6</v>
      </c>
      <c r="W788" t="b">
        <v>0</v>
      </c>
      <c r="X788">
        <v>20</v>
      </c>
      <c r="Y788">
        <v>3</v>
      </c>
      <c r="Z788">
        <v>19</v>
      </c>
      <c r="AA788" s="6">
        <v>28.844221105527641</v>
      </c>
      <c r="AB788">
        <f>--PizzaDelivery[[#This Row],[Is Delayed]]</f>
        <v>0</v>
      </c>
    </row>
    <row r="789" spans="1:28">
      <c r="A789" t="s">
        <v>1054</v>
      </c>
      <c r="B789" t="s">
        <v>173</v>
      </c>
      <c r="C789" t="s">
        <v>695</v>
      </c>
      <c r="D789" s="1">
        <v>46002</v>
      </c>
      <c r="E789" s="5">
        <v>0.83333333333333337</v>
      </c>
      <c r="F789" s="1">
        <v>46002</v>
      </c>
      <c r="G789" s="5">
        <v>0.85416666666666663</v>
      </c>
      <c r="H789">
        <v>30</v>
      </c>
      <c r="I789" t="s">
        <v>143</v>
      </c>
      <c r="J789" t="s">
        <v>1021</v>
      </c>
      <c r="K789">
        <v>3</v>
      </c>
      <c r="L789">
        <v>4.5</v>
      </c>
      <c r="M789" t="s">
        <v>143</v>
      </c>
      <c r="N789" t="s">
        <v>169</v>
      </c>
      <c r="O789" t="b">
        <v>1</v>
      </c>
      <c r="P789" t="b">
        <v>0</v>
      </c>
      <c r="Q789" s="6">
        <v>6.666666666666667</v>
      </c>
      <c r="R789" s="6">
        <v>0.66666666666666663</v>
      </c>
      <c r="S789" t="s">
        <v>603</v>
      </c>
      <c r="T789" t="s">
        <v>171</v>
      </c>
      <c r="U789" s="6">
        <v>10.8</v>
      </c>
      <c r="V789" s="6">
        <v>19.2</v>
      </c>
      <c r="W789" t="b">
        <v>0</v>
      </c>
      <c r="X789">
        <v>6</v>
      </c>
      <c r="Y789">
        <v>2</v>
      </c>
      <c r="Z789">
        <v>20</v>
      </c>
      <c r="AA789" s="6">
        <v>30.286458333333329</v>
      </c>
      <c r="AB789">
        <f>--PizzaDelivery[[#This Row],[Is Delayed]]</f>
        <v>0</v>
      </c>
    </row>
    <row r="790" spans="1:28">
      <c r="A790" t="s">
        <v>1055</v>
      </c>
      <c r="B790" t="s">
        <v>142</v>
      </c>
      <c r="C790" t="s">
        <v>697</v>
      </c>
      <c r="D790" s="1">
        <v>46003</v>
      </c>
      <c r="E790" s="5">
        <v>0.80208333333333337</v>
      </c>
      <c r="F790" s="1">
        <v>46003</v>
      </c>
      <c r="G790" s="5">
        <v>0.82291666666666663</v>
      </c>
      <c r="H790">
        <v>30</v>
      </c>
      <c r="I790" t="s">
        <v>151</v>
      </c>
      <c r="J790" t="s">
        <v>657</v>
      </c>
      <c r="K790">
        <v>4</v>
      </c>
      <c r="L790">
        <v>5.5</v>
      </c>
      <c r="M790" t="s">
        <v>143</v>
      </c>
      <c r="N790" t="s">
        <v>162</v>
      </c>
      <c r="O790" t="b">
        <v>1</v>
      </c>
      <c r="P790" t="b">
        <v>0</v>
      </c>
      <c r="Q790" s="6">
        <v>5.4545454545454541</v>
      </c>
      <c r="R790" s="6">
        <v>0.72727272727272729</v>
      </c>
      <c r="S790" t="s">
        <v>603</v>
      </c>
      <c r="T790" t="s">
        <v>147</v>
      </c>
      <c r="U790" s="6">
        <v>13.2</v>
      </c>
      <c r="V790" s="6">
        <v>16.8</v>
      </c>
      <c r="W790" t="b">
        <v>0</v>
      </c>
      <c r="X790">
        <v>12</v>
      </c>
      <c r="Y790">
        <v>2</v>
      </c>
      <c r="Z790">
        <v>19</v>
      </c>
      <c r="AA790" s="6">
        <v>30.259433962264151</v>
      </c>
      <c r="AB790">
        <f>--PizzaDelivery[[#This Row],[Is Delayed]]</f>
        <v>0</v>
      </c>
    </row>
    <row r="791" spans="1:28">
      <c r="A791" t="s">
        <v>1056</v>
      </c>
      <c r="B791" t="s">
        <v>165</v>
      </c>
      <c r="C791" t="s">
        <v>188</v>
      </c>
      <c r="D791" s="1">
        <v>46004</v>
      </c>
      <c r="E791" s="5">
        <v>0.85416666666666663</v>
      </c>
      <c r="F791" s="1">
        <v>46004</v>
      </c>
      <c r="G791" s="5">
        <v>0.875</v>
      </c>
      <c r="H791">
        <v>30</v>
      </c>
      <c r="I791" t="s">
        <v>143</v>
      </c>
      <c r="J791" t="s">
        <v>144</v>
      </c>
      <c r="K791">
        <v>2</v>
      </c>
      <c r="L791">
        <v>4</v>
      </c>
      <c r="M791" t="s">
        <v>161</v>
      </c>
      <c r="N791" t="s">
        <v>154</v>
      </c>
      <c r="O791" t="b">
        <v>1</v>
      </c>
      <c r="P791" t="b">
        <v>1</v>
      </c>
      <c r="Q791" s="6">
        <v>7.5</v>
      </c>
      <c r="R791" s="6">
        <v>0.5</v>
      </c>
      <c r="S791" t="s">
        <v>603</v>
      </c>
      <c r="T791" t="s">
        <v>147</v>
      </c>
      <c r="U791" s="6">
        <v>9.6</v>
      </c>
      <c r="V791" s="6">
        <v>20.399999999999999</v>
      </c>
      <c r="W791" t="b">
        <v>0</v>
      </c>
      <c r="X791">
        <v>4</v>
      </c>
      <c r="Y791">
        <v>1</v>
      </c>
      <c r="Z791">
        <v>20</v>
      </c>
      <c r="AA791" s="6">
        <v>29.948453608247419</v>
      </c>
      <c r="AB791">
        <f>--PizzaDelivery[[#This Row],[Is Delayed]]</f>
        <v>0</v>
      </c>
    </row>
    <row r="792" spans="1:28">
      <c r="A792" t="s">
        <v>1057</v>
      </c>
      <c r="B792" t="s">
        <v>149</v>
      </c>
      <c r="C792" t="s">
        <v>712</v>
      </c>
      <c r="D792" s="1">
        <v>46005</v>
      </c>
      <c r="E792" s="5">
        <v>0.78125</v>
      </c>
      <c r="F792" s="1">
        <v>46005</v>
      </c>
      <c r="G792" s="5">
        <v>0.80208333333333337</v>
      </c>
      <c r="H792">
        <v>30</v>
      </c>
      <c r="I792" t="s">
        <v>143</v>
      </c>
      <c r="J792" t="s">
        <v>1018</v>
      </c>
      <c r="K792">
        <v>3</v>
      </c>
      <c r="L792">
        <v>5</v>
      </c>
      <c r="M792" t="s">
        <v>143</v>
      </c>
      <c r="N792" t="s">
        <v>145</v>
      </c>
      <c r="O792" t="b">
        <v>1</v>
      </c>
      <c r="P792" t="b">
        <v>1</v>
      </c>
      <c r="Q792" s="6">
        <v>6</v>
      </c>
      <c r="R792" s="6">
        <v>0.6</v>
      </c>
      <c r="S792" t="s">
        <v>603</v>
      </c>
      <c r="T792" t="s">
        <v>147</v>
      </c>
      <c r="U792" s="6">
        <v>12</v>
      </c>
      <c r="V792" s="6">
        <v>18</v>
      </c>
      <c r="W792" t="b">
        <v>0</v>
      </c>
      <c r="X792">
        <v>6</v>
      </c>
      <c r="Y792">
        <v>2</v>
      </c>
      <c r="Z792">
        <v>18</v>
      </c>
      <c r="AA792" s="6">
        <v>28.186274509803919</v>
      </c>
      <c r="AB792">
        <f>--PizzaDelivery[[#This Row],[Is Delayed]]</f>
        <v>0</v>
      </c>
    </row>
    <row r="793" spans="1:28">
      <c r="A793" t="s">
        <v>1058</v>
      </c>
      <c r="B793" t="s">
        <v>157</v>
      </c>
      <c r="C793" t="s">
        <v>693</v>
      </c>
      <c r="D793" s="1">
        <v>46006</v>
      </c>
      <c r="E793" s="5">
        <v>0.79166666666666663</v>
      </c>
      <c r="F793" s="1">
        <v>46006</v>
      </c>
      <c r="G793" s="5">
        <v>0.8125</v>
      </c>
      <c r="H793">
        <v>30</v>
      </c>
      <c r="I793" t="s">
        <v>167</v>
      </c>
      <c r="J793" t="s">
        <v>168</v>
      </c>
      <c r="K793">
        <v>5</v>
      </c>
      <c r="L793">
        <v>6</v>
      </c>
      <c r="M793" t="s">
        <v>153</v>
      </c>
      <c r="N793" t="s">
        <v>162</v>
      </c>
      <c r="O793" t="b">
        <v>1</v>
      </c>
      <c r="P793" t="b">
        <v>0</v>
      </c>
      <c r="Q793" s="6">
        <v>5</v>
      </c>
      <c r="R793" s="6">
        <v>0.83333333333333337</v>
      </c>
      <c r="S793" t="s">
        <v>603</v>
      </c>
      <c r="T793" t="s">
        <v>147</v>
      </c>
      <c r="U793" s="6">
        <v>14.4</v>
      </c>
      <c r="V793" s="6">
        <v>15.6</v>
      </c>
      <c r="W793" t="b">
        <v>0</v>
      </c>
      <c r="X793">
        <v>20</v>
      </c>
      <c r="Y793">
        <v>3</v>
      </c>
      <c r="Z793">
        <v>19</v>
      </c>
      <c r="AA793" s="6">
        <v>28.844221105527641</v>
      </c>
      <c r="AB793">
        <f>--PizzaDelivery[[#This Row],[Is Delayed]]</f>
        <v>0</v>
      </c>
    </row>
    <row r="794" spans="1:28">
      <c r="A794" t="s">
        <v>1059</v>
      </c>
      <c r="B794" t="s">
        <v>173</v>
      </c>
      <c r="C794" t="s">
        <v>695</v>
      </c>
      <c r="D794" s="1">
        <v>46007</v>
      </c>
      <c r="E794" s="5">
        <v>0.84375</v>
      </c>
      <c r="F794" s="1">
        <v>46007</v>
      </c>
      <c r="G794" s="5">
        <v>0.86458333333333337</v>
      </c>
      <c r="H794">
        <v>30</v>
      </c>
      <c r="I794" t="s">
        <v>143</v>
      </c>
      <c r="J794" t="s">
        <v>1021</v>
      </c>
      <c r="K794">
        <v>3</v>
      </c>
      <c r="L794">
        <v>4.5</v>
      </c>
      <c r="M794" t="s">
        <v>143</v>
      </c>
      <c r="N794" t="s">
        <v>169</v>
      </c>
      <c r="O794" t="b">
        <v>1</v>
      </c>
      <c r="P794" t="b">
        <v>0</v>
      </c>
      <c r="Q794" s="6">
        <v>6.666666666666667</v>
      </c>
      <c r="R794" s="6">
        <v>0.66666666666666663</v>
      </c>
      <c r="S794" t="s">
        <v>603</v>
      </c>
      <c r="T794" t="s">
        <v>171</v>
      </c>
      <c r="U794" s="6">
        <v>10.8</v>
      </c>
      <c r="V794" s="6">
        <v>19.2</v>
      </c>
      <c r="W794" t="b">
        <v>0</v>
      </c>
      <c r="X794">
        <v>6</v>
      </c>
      <c r="Y794">
        <v>2</v>
      </c>
      <c r="Z794">
        <v>20</v>
      </c>
      <c r="AA794" s="6">
        <v>30.286458333333329</v>
      </c>
      <c r="AB794">
        <f>--PizzaDelivery[[#This Row],[Is Delayed]]</f>
        <v>0</v>
      </c>
    </row>
    <row r="795" spans="1:28">
      <c r="A795" t="s">
        <v>1060</v>
      </c>
      <c r="B795" t="s">
        <v>142</v>
      </c>
      <c r="C795" t="s">
        <v>697</v>
      </c>
      <c r="D795" s="1">
        <v>46008</v>
      </c>
      <c r="E795" s="5">
        <v>0.8125</v>
      </c>
      <c r="F795" s="1">
        <v>46008</v>
      </c>
      <c r="G795" s="5">
        <v>0.83333333333333337</v>
      </c>
      <c r="H795">
        <v>30</v>
      </c>
      <c r="I795" t="s">
        <v>151</v>
      </c>
      <c r="J795" t="s">
        <v>657</v>
      </c>
      <c r="K795">
        <v>4</v>
      </c>
      <c r="L795">
        <v>5.5</v>
      </c>
      <c r="M795" t="s">
        <v>143</v>
      </c>
      <c r="N795" t="s">
        <v>162</v>
      </c>
      <c r="O795" t="b">
        <v>1</v>
      </c>
      <c r="P795" t="b">
        <v>0</v>
      </c>
      <c r="Q795" s="6">
        <v>5.4545454545454541</v>
      </c>
      <c r="R795" s="6">
        <v>0.72727272727272729</v>
      </c>
      <c r="S795" t="s">
        <v>603</v>
      </c>
      <c r="T795" t="s">
        <v>147</v>
      </c>
      <c r="U795" s="6">
        <v>13.2</v>
      </c>
      <c r="V795" s="6">
        <v>16.8</v>
      </c>
      <c r="W795" t="b">
        <v>0</v>
      </c>
      <c r="X795">
        <v>12</v>
      </c>
      <c r="Y795">
        <v>2</v>
      </c>
      <c r="Z795">
        <v>19</v>
      </c>
      <c r="AA795" s="6">
        <v>30.259433962264151</v>
      </c>
      <c r="AB795">
        <f>--PizzaDelivery[[#This Row],[Is Delayed]]</f>
        <v>0</v>
      </c>
    </row>
    <row r="796" spans="1:28">
      <c r="A796" t="s">
        <v>1061</v>
      </c>
      <c r="B796" t="s">
        <v>165</v>
      </c>
      <c r="C796" t="s">
        <v>188</v>
      </c>
      <c r="D796" s="1">
        <v>46009</v>
      </c>
      <c r="E796" s="5">
        <v>0.86458333333333337</v>
      </c>
      <c r="F796" s="1">
        <v>46009</v>
      </c>
      <c r="G796" s="5">
        <v>0.88541666666666663</v>
      </c>
      <c r="H796">
        <v>30</v>
      </c>
      <c r="I796" t="s">
        <v>143</v>
      </c>
      <c r="J796" t="s">
        <v>144</v>
      </c>
      <c r="K796">
        <v>2</v>
      </c>
      <c r="L796">
        <v>4</v>
      </c>
      <c r="M796" t="s">
        <v>161</v>
      </c>
      <c r="N796" t="s">
        <v>154</v>
      </c>
      <c r="O796" t="b">
        <v>1</v>
      </c>
      <c r="P796" t="b">
        <v>0</v>
      </c>
      <c r="Q796" s="6">
        <v>7.5</v>
      </c>
      <c r="R796" s="6">
        <v>0.5</v>
      </c>
      <c r="S796" t="s">
        <v>603</v>
      </c>
      <c r="T796" t="s">
        <v>147</v>
      </c>
      <c r="U796" s="6">
        <v>9.6</v>
      </c>
      <c r="V796" s="6">
        <v>20.399999999999999</v>
      </c>
      <c r="W796" t="b">
        <v>0</v>
      </c>
      <c r="X796">
        <v>4</v>
      </c>
      <c r="Y796">
        <v>1</v>
      </c>
      <c r="Z796">
        <v>20</v>
      </c>
      <c r="AA796" s="6">
        <v>29.948453608247419</v>
      </c>
      <c r="AB796">
        <f>--PizzaDelivery[[#This Row],[Is Delayed]]</f>
        <v>0</v>
      </c>
    </row>
    <row r="797" spans="1:28">
      <c r="A797" t="s">
        <v>1062</v>
      </c>
      <c r="B797" t="s">
        <v>149</v>
      </c>
      <c r="C797" t="s">
        <v>712</v>
      </c>
      <c r="D797" s="1">
        <v>46010</v>
      </c>
      <c r="E797" s="5">
        <v>0.75</v>
      </c>
      <c r="F797" s="1">
        <v>46010</v>
      </c>
      <c r="G797" s="5">
        <v>0.77083333333333337</v>
      </c>
      <c r="H797">
        <v>30</v>
      </c>
      <c r="I797" t="s">
        <v>143</v>
      </c>
      <c r="J797" t="s">
        <v>1018</v>
      </c>
      <c r="K797">
        <v>3</v>
      </c>
      <c r="L797">
        <v>5</v>
      </c>
      <c r="M797" t="s">
        <v>143</v>
      </c>
      <c r="N797" t="s">
        <v>145</v>
      </c>
      <c r="O797" t="b">
        <v>1</v>
      </c>
      <c r="P797" t="b">
        <v>0</v>
      </c>
      <c r="Q797" s="6">
        <v>6</v>
      </c>
      <c r="R797" s="6">
        <v>0.6</v>
      </c>
      <c r="S797" t="s">
        <v>603</v>
      </c>
      <c r="T797" t="s">
        <v>147</v>
      </c>
      <c r="U797" s="6">
        <v>12</v>
      </c>
      <c r="V797" s="6">
        <v>18</v>
      </c>
      <c r="W797" t="b">
        <v>0</v>
      </c>
      <c r="X797">
        <v>6</v>
      </c>
      <c r="Y797">
        <v>2</v>
      </c>
      <c r="Z797">
        <v>18</v>
      </c>
      <c r="AA797" s="6">
        <v>28.186274509803919</v>
      </c>
      <c r="AB797">
        <f>--PizzaDelivery[[#This Row],[Is Delayed]]</f>
        <v>0</v>
      </c>
    </row>
    <row r="798" spans="1:28">
      <c r="A798" t="s">
        <v>1063</v>
      </c>
      <c r="B798" t="s">
        <v>157</v>
      </c>
      <c r="C798" t="s">
        <v>693</v>
      </c>
      <c r="D798" s="1">
        <v>46011</v>
      </c>
      <c r="E798" s="5">
        <v>0.80208333333333337</v>
      </c>
      <c r="F798" s="1">
        <v>46011</v>
      </c>
      <c r="G798" s="5">
        <v>0.82291666666666663</v>
      </c>
      <c r="H798">
        <v>30</v>
      </c>
      <c r="I798" t="s">
        <v>167</v>
      </c>
      <c r="J798" t="s">
        <v>168</v>
      </c>
      <c r="K798">
        <v>5</v>
      </c>
      <c r="L798">
        <v>6</v>
      </c>
      <c r="M798" t="s">
        <v>153</v>
      </c>
      <c r="N798" t="s">
        <v>162</v>
      </c>
      <c r="O798" t="b">
        <v>1</v>
      </c>
      <c r="P798" t="b">
        <v>1</v>
      </c>
      <c r="Q798" s="6">
        <v>5</v>
      </c>
      <c r="R798" s="6">
        <v>0.83333333333333337</v>
      </c>
      <c r="S798" t="s">
        <v>603</v>
      </c>
      <c r="T798" t="s">
        <v>147</v>
      </c>
      <c r="U798" s="6">
        <v>14.4</v>
      </c>
      <c r="V798" s="6">
        <v>15.6</v>
      </c>
      <c r="W798" t="b">
        <v>0</v>
      </c>
      <c r="X798">
        <v>20</v>
      </c>
      <c r="Y798">
        <v>3</v>
      </c>
      <c r="Z798">
        <v>19</v>
      </c>
      <c r="AA798" s="6">
        <v>28.844221105527641</v>
      </c>
      <c r="AB798">
        <f>--PizzaDelivery[[#This Row],[Is Delayed]]</f>
        <v>0</v>
      </c>
    </row>
    <row r="799" spans="1:28">
      <c r="A799" t="s">
        <v>1064</v>
      </c>
      <c r="B799" t="s">
        <v>173</v>
      </c>
      <c r="C799" t="s">
        <v>695</v>
      </c>
      <c r="D799" s="1">
        <v>46012</v>
      </c>
      <c r="E799" s="5">
        <v>0.85416666666666663</v>
      </c>
      <c r="F799" s="1">
        <v>46012</v>
      </c>
      <c r="G799" s="5">
        <v>0.875</v>
      </c>
      <c r="H799">
        <v>30</v>
      </c>
      <c r="I799" t="s">
        <v>143</v>
      </c>
      <c r="J799" t="s">
        <v>1021</v>
      </c>
      <c r="K799">
        <v>3</v>
      </c>
      <c r="L799">
        <v>4.5</v>
      </c>
      <c r="M799" t="s">
        <v>143</v>
      </c>
      <c r="N799" t="s">
        <v>169</v>
      </c>
      <c r="O799" t="b">
        <v>1</v>
      </c>
      <c r="P799" t="b">
        <v>1</v>
      </c>
      <c r="Q799" s="6">
        <v>6.666666666666667</v>
      </c>
      <c r="R799" s="6">
        <v>0.66666666666666663</v>
      </c>
      <c r="S799" t="s">
        <v>603</v>
      </c>
      <c r="T799" t="s">
        <v>171</v>
      </c>
      <c r="U799" s="6">
        <v>10.8</v>
      </c>
      <c r="V799" s="6">
        <v>19.2</v>
      </c>
      <c r="W799" t="b">
        <v>0</v>
      </c>
      <c r="X799">
        <v>6</v>
      </c>
      <c r="Y799">
        <v>2</v>
      </c>
      <c r="Z799">
        <v>20</v>
      </c>
      <c r="AA799" s="6">
        <v>30.286458333333329</v>
      </c>
      <c r="AB799">
        <f>--PizzaDelivery[[#This Row],[Is Delayed]]</f>
        <v>0</v>
      </c>
    </row>
    <row r="800" spans="1:28">
      <c r="A800" t="s">
        <v>1065</v>
      </c>
      <c r="B800" t="s">
        <v>142</v>
      </c>
      <c r="C800" t="s">
        <v>697</v>
      </c>
      <c r="D800" s="1">
        <v>46013</v>
      </c>
      <c r="E800" s="5">
        <v>0.79166666666666663</v>
      </c>
      <c r="F800" s="1">
        <v>46013</v>
      </c>
      <c r="G800" s="5">
        <v>0.8125</v>
      </c>
      <c r="H800">
        <v>30</v>
      </c>
      <c r="I800" t="s">
        <v>151</v>
      </c>
      <c r="J800" t="s">
        <v>657</v>
      </c>
      <c r="K800">
        <v>4</v>
      </c>
      <c r="L800">
        <v>5.5</v>
      </c>
      <c r="M800" t="s">
        <v>143</v>
      </c>
      <c r="N800" t="s">
        <v>162</v>
      </c>
      <c r="O800" t="b">
        <v>1</v>
      </c>
      <c r="P800" t="b">
        <v>0</v>
      </c>
      <c r="Q800" s="6">
        <v>5.4545454545454541</v>
      </c>
      <c r="R800" s="6">
        <v>0.72727272727272729</v>
      </c>
      <c r="S800" t="s">
        <v>603</v>
      </c>
      <c r="T800" t="s">
        <v>147</v>
      </c>
      <c r="U800" s="6">
        <v>13.2</v>
      </c>
      <c r="V800" s="6">
        <v>16.8</v>
      </c>
      <c r="W800" t="b">
        <v>0</v>
      </c>
      <c r="X800">
        <v>12</v>
      </c>
      <c r="Y800">
        <v>2</v>
      </c>
      <c r="Z800">
        <v>19</v>
      </c>
      <c r="AA800" s="6">
        <v>30.259433962264151</v>
      </c>
      <c r="AB800">
        <f>--PizzaDelivery[[#This Row],[Is Delayed]]</f>
        <v>0</v>
      </c>
    </row>
    <row r="801" spans="1:28">
      <c r="A801" t="s">
        <v>1066</v>
      </c>
      <c r="B801" t="s">
        <v>165</v>
      </c>
      <c r="C801" t="s">
        <v>188</v>
      </c>
      <c r="D801" s="1">
        <v>46014</v>
      </c>
      <c r="E801" s="5">
        <v>0.84375</v>
      </c>
      <c r="F801" s="1">
        <v>46014</v>
      </c>
      <c r="G801" s="5">
        <v>0.86458333333333337</v>
      </c>
      <c r="H801">
        <v>30</v>
      </c>
      <c r="I801" t="s">
        <v>143</v>
      </c>
      <c r="J801" t="s">
        <v>144</v>
      </c>
      <c r="K801">
        <v>2</v>
      </c>
      <c r="L801">
        <v>4</v>
      </c>
      <c r="M801" t="s">
        <v>161</v>
      </c>
      <c r="N801" t="s">
        <v>154</v>
      </c>
      <c r="O801" t="b">
        <v>1</v>
      </c>
      <c r="P801" t="b">
        <v>0</v>
      </c>
      <c r="Q801" s="6">
        <v>7.5</v>
      </c>
      <c r="R801" s="6">
        <v>0.5</v>
      </c>
      <c r="S801" t="s">
        <v>603</v>
      </c>
      <c r="T801" t="s">
        <v>147</v>
      </c>
      <c r="U801" s="6">
        <v>9.6</v>
      </c>
      <c r="V801" s="6">
        <v>20.399999999999999</v>
      </c>
      <c r="W801" t="b">
        <v>0</v>
      </c>
      <c r="X801">
        <v>4</v>
      </c>
      <c r="Y801">
        <v>1</v>
      </c>
      <c r="Z801">
        <v>20</v>
      </c>
      <c r="AA801" s="6">
        <v>29.948453608247419</v>
      </c>
      <c r="AB801">
        <f>--PizzaDelivery[[#This Row],[Is Delayed]]</f>
        <v>0</v>
      </c>
    </row>
    <row r="802" spans="1:28">
      <c r="A802" t="s">
        <v>1067</v>
      </c>
      <c r="B802" t="s">
        <v>149</v>
      </c>
      <c r="C802" t="s">
        <v>712</v>
      </c>
      <c r="D802" s="1">
        <v>46015</v>
      </c>
      <c r="E802" s="5">
        <v>0.77083333333333337</v>
      </c>
      <c r="F802" s="1">
        <v>46015</v>
      </c>
      <c r="G802" s="5">
        <v>0.79166666666666663</v>
      </c>
      <c r="H802">
        <v>30</v>
      </c>
      <c r="I802" t="s">
        <v>143</v>
      </c>
      <c r="J802" t="s">
        <v>1018</v>
      </c>
      <c r="K802">
        <v>3</v>
      </c>
      <c r="L802">
        <v>5</v>
      </c>
      <c r="M802" t="s">
        <v>143</v>
      </c>
      <c r="N802" t="s">
        <v>145</v>
      </c>
      <c r="O802" t="b">
        <v>1</v>
      </c>
      <c r="P802" t="b">
        <v>0</v>
      </c>
      <c r="Q802" s="6">
        <v>6</v>
      </c>
      <c r="R802" s="6">
        <v>0.6</v>
      </c>
      <c r="S802" t="s">
        <v>603</v>
      </c>
      <c r="T802" t="s">
        <v>147</v>
      </c>
      <c r="U802" s="6">
        <v>12</v>
      </c>
      <c r="V802" s="6">
        <v>18</v>
      </c>
      <c r="W802" t="b">
        <v>0</v>
      </c>
      <c r="X802">
        <v>6</v>
      </c>
      <c r="Y802">
        <v>2</v>
      </c>
      <c r="Z802">
        <v>18</v>
      </c>
      <c r="AA802" s="6">
        <v>28.186274509803919</v>
      </c>
      <c r="AB802">
        <f>--PizzaDelivery[[#This Row],[Is Delayed]]</f>
        <v>0</v>
      </c>
    </row>
    <row r="803" spans="1:28">
      <c r="A803" t="s">
        <v>1068</v>
      </c>
      <c r="B803" t="s">
        <v>157</v>
      </c>
      <c r="C803" t="s">
        <v>693</v>
      </c>
      <c r="D803" s="1">
        <v>46016</v>
      </c>
      <c r="E803" s="5">
        <v>0.82291666666666663</v>
      </c>
      <c r="F803" s="1">
        <v>46016</v>
      </c>
      <c r="G803" s="5">
        <v>0.84375</v>
      </c>
      <c r="H803">
        <v>30</v>
      </c>
      <c r="I803" t="s">
        <v>167</v>
      </c>
      <c r="J803" t="s">
        <v>168</v>
      </c>
      <c r="K803">
        <v>5</v>
      </c>
      <c r="L803">
        <v>6</v>
      </c>
      <c r="M803" t="s">
        <v>153</v>
      </c>
      <c r="N803" t="s">
        <v>162</v>
      </c>
      <c r="O803" t="b">
        <v>1</v>
      </c>
      <c r="P803" t="b">
        <v>0</v>
      </c>
      <c r="Q803" s="6">
        <v>5</v>
      </c>
      <c r="R803" s="6">
        <v>0.83333333333333337</v>
      </c>
      <c r="S803" t="s">
        <v>603</v>
      </c>
      <c r="T803" t="s">
        <v>147</v>
      </c>
      <c r="U803" s="6">
        <v>14.4</v>
      </c>
      <c r="V803" s="6">
        <v>15.6</v>
      </c>
      <c r="W803" t="b">
        <v>0</v>
      </c>
      <c r="X803">
        <v>20</v>
      </c>
      <c r="Y803">
        <v>3</v>
      </c>
      <c r="Z803">
        <v>19</v>
      </c>
      <c r="AA803" s="6">
        <v>28.844221105527641</v>
      </c>
      <c r="AB803">
        <f>--PizzaDelivery[[#This Row],[Is Delayed]]</f>
        <v>0</v>
      </c>
    </row>
    <row r="804" spans="1:28">
      <c r="A804" t="s">
        <v>1069</v>
      </c>
      <c r="B804" t="s">
        <v>173</v>
      </c>
      <c r="C804" t="s">
        <v>695</v>
      </c>
      <c r="D804" s="1">
        <v>46017</v>
      </c>
      <c r="E804" s="5">
        <v>0.83333333333333337</v>
      </c>
      <c r="F804" s="1">
        <v>46017</v>
      </c>
      <c r="G804" s="5">
        <v>0.85416666666666663</v>
      </c>
      <c r="H804">
        <v>30</v>
      </c>
      <c r="I804" t="s">
        <v>143</v>
      </c>
      <c r="J804" t="s">
        <v>1021</v>
      </c>
      <c r="K804">
        <v>3</v>
      </c>
      <c r="L804">
        <v>4.5</v>
      </c>
      <c r="M804" t="s">
        <v>143</v>
      </c>
      <c r="N804" t="s">
        <v>169</v>
      </c>
      <c r="O804" t="b">
        <v>1</v>
      </c>
      <c r="P804" t="b">
        <v>0</v>
      </c>
      <c r="Q804" s="6">
        <v>6.666666666666667</v>
      </c>
      <c r="R804" s="6">
        <v>0.66666666666666663</v>
      </c>
      <c r="S804" t="s">
        <v>603</v>
      </c>
      <c r="T804" t="s">
        <v>171</v>
      </c>
      <c r="U804" s="6">
        <v>10.8</v>
      </c>
      <c r="V804" s="6">
        <v>19.2</v>
      </c>
      <c r="W804" t="b">
        <v>0</v>
      </c>
      <c r="X804">
        <v>6</v>
      </c>
      <c r="Y804">
        <v>2</v>
      </c>
      <c r="Z804">
        <v>20</v>
      </c>
      <c r="AA804" s="6">
        <v>30.286458333333329</v>
      </c>
      <c r="AB804">
        <f>--PizzaDelivery[[#This Row],[Is Delayed]]</f>
        <v>0</v>
      </c>
    </row>
    <row r="805" spans="1:28">
      <c r="A805" t="s">
        <v>1070</v>
      </c>
      <c r="B805" t="s">
        <v>142</v>
      </c>
      <c r="C805" t="s">
        <v>697</v>
      </c>
      <c r="D805" s="1">
        <v>46018</v>
      </c>
      <c r="E805" s="5">
        <v>0.80208333333333337</v>
      </c>
      <c r="F805" s="1">
        <v>46018</v>
      </c>
      <c r="G805" s="5">
        <v>0.82291666666666663</v>
      </c>
      <c r="H805">
        <v>30</v>
      </c>
      <c r="I805" t="s">
        <v>151</v>
      </c>
      <c r="J805" t="s">
        <v>657</v>
      </c>
      <c r="K805">
        <v>4</v>
      </c>
      <c r="L805">
        <v>5.5</v>
      </c>
      <c r="M805" t="s">
        <v>143</v>
      </c>
      <c r="N805" t="s">
        <v>162</v>
      </c>
      <c r="O805" t="b">
        <v>1</v>
      </c>
      <c r="P805" t="b">
        <v>1</v>
      </c>
      <c r="Q805" s="6">
        <v>5.4545454545454541</v>
      </c>
      <c r="R805" s="6">
        <v>0.72727272727272729</v>
      </c>
      <c r="S805" t="s">
        <v>603</v>
      </c>
      <c r="T805" t="s">
        <v>147</v>
      </c>
      <c r="U805" s="6">
        <v>13.2</v>
      </c>
      <c r="V805" s="6">
        <v>16.8</v>
      </c>
      <c r="W805" t="b">
        <v>0</v>
      </c>
      <c r="X805">
        <v>12</v>
      </c>
      <c r="Y805">
        <v>2</v>
      </c>
      <c r="Z805">
        <v>19</v>
      </c>
      <c r="AA805" s="6">
        <v>30.259433962264151</v>
      </c>
      <c r="AB805">
        <f>--PizzaDelivery[[#This Row],[Is Delayed]]</f>
        <v>0</v>
      </c>
    </row>
    <row r="806" spans="1:28">
      <c r="A806" t="s">
        <v>1071</v>
      </c>
      <c r="B806" t="s">
        <v>165</v>
      </c>
      <c r="C806" t="s">
        <v>188</v>
      </c>
      <c r="D806" s="1">
        <v>46019</v>
      </c>
      <c r="E806" s="5">
        <v>0.85416666666666663</v>
      </c>
      <c r="F806" s="1">
        <v>46019</v>
      </c>
      <c r="G806" s="5">
        <v>0.875</v>
      </c>
      <c r="H806">
        <v>30</v>
      </c>
      <c r="I806" t="s">
        <v>143</v>
      </c>
      <c r="J806" t="s">
        <v>144</v>
      </c>
      <c r="K806">
        <v>2</v>
      </c>
      <c r="L806">
        <v>4</v>
      </c>
      <c r="M806" t="s">
        <v>161</v>
      </c>
      <c r="N806" t="s">
        <v>154</v>
      </c>
      <c r="O806" t="b">
        <v>1</v>
      </c>
      <c r="P806" t="b">
        <v>1</v>
      </c>
      <c r="Q806" s="6">
        <v>7.5</v>
      </c>
      <c r="R806" s="6">
        <v>0.5</v>
      </c>
      <c r="S806" t="s">
        <v>603</v>
      </c>
      <c r="T806" t="s">
        <v>147</v>
      </c>
      <c r="U806" s="6">
        <v>9.6</v>
      </c>
      <c r="V806" s="6">
        <v>20.399999999999999</v>
      </c>
      <c r="W806" t="b">
        <v>0</v>
      </c>
      <c r="X806">
        <v>4</v>
      </c>
      <c r="Y806">
        <v>1</v>
      </c>
      <c r="Z806">
        <v>20</v>
      </c>
      <c r="AA806" s="6">
        <v>29.948453608247419</v>
      </c>
      <c r="AB806">
        <f>--PizzaDelivery[[#This Row],[Is Delayed]]</f>
        <v>0</v>
      </c>
    </row>
    <row r="807" spans="1:28">
      <c r="A807" t="s">
        <v>1072</v>
      </c>
      <c r="B807" t="s">
        <v>149</v>
      </c>
      <c r="C807" t="s">
        <v>712</v>
      </c>
      <c r="D807" s="1">
        <v>46020</v>
      </c>
      <c r="E807" s="5">
        <v>0.78125</v>
      </c>
      <c r="F807" s="1">
        <v>46020</v>
      </c>
      <c r="G807" s="5">
        <v>0.80208333333333337</v>
      </c>
      <c r="H807">
        <v>30</v>
      </c>
      <c r="I807" t="s">
        <v>143</v>
      </c>
      <c r="J807" t="s">
        <v>1018</v>
      </c>
      <c r="K807">
        <v>3</v>
      </c>
      <c r="L807">
        <v>5</v>
      </c>
      <c r="M807" t="s">
        <v>143</v>
      </c>
      <c r="N807" t="s">
        <v>145</v>
      </c>
      <c r="O807" t="b">
        <v>1</v>
      </c>
      <c r="P807" t="b">
        <v>0</v>
      </c>
      <c r="Q807" s="6">
        <v>6</v>
      </c>
      <c r="R807" s="6">
        <v>0.6</v>
      </c>
      <c r="S807" t="s">
        <v>603</v>
      </c>
      <c r="T807" t="s">
        <v>147</v>
      </c>
      <c r="U807" s="6">
        <v>12</v>
      </c>
      <c r="V807" s="6">
        <v>18</v>
      </c>
      <c r="W807" t="b">
        <v>0</v>
      </c>
      <c r="X807">
        <v>6</v>
      </c>
      <c r="Y807">
        <v>2</v>
      </c>
      <c r="Z807">
        <v>18</v>
      </c>
      <c r="AA807" s="6">
        <v>28.186274509803919</v>
      </c>
      <c r="AB807">
        <f>--PizzaDelivery[[#This Row],[Is Delayed]]</f>
        <v>0</v>
      </c>
    </row>
    <row r="808" spans="1:28">
      <c r="A808" t="s">
        <v>1073</v>
      </c>
      <c r="B808" t="s">
        <v>157</v>
      </c>
      <c r="C808" t="s">
        <v>693</v>
      </c>
      <c r="D808" s="1">
        <v>46021</v>
      </c>
      <c r="E808" s="5">
        <v>0.79166666666666663</v>
      </c>
      <c r="F808" s="1">
        <v>46021</v>
      </c>
      <c r="G808" s="5">
        <v>0.8125</v>
      </c>
      <c r="H808">
        <v>30</v>
      </c>
      <c r="I808" t="s">
        <v>167</v>
      </c>
      <c r="J808" t="s">
        <v>168</v>
      </c>
      <c r="K808">
        <v>5</v>
      </c>
      <c r="L808">
        <v>6</v>
      </c>
      <c r="M808" t="s">
        <v>153</v>
      </c>
      <c r="N808" t="s">
        <v>162</v>
      </c>
      <c r="O808" t="b">
        <v>1</v>
      </c>
      <c r="P808" t="b">
        <v>0</v>
      </c>
      <c r="Q808" s="6">
        <v>5</v>
      </c>
      <c r="R808" s="6">
        <v>0.83333333333333337</v>
      </c>
      <c r="S808" t="s">
        <v>603</v>
      </c>
      <c r="T808" t="s">
        <v>147</v>
      </c>
      <c r="U808" s="6">
        <v>14.4</v>
      </c>
      <c r="V808" s="6">
        <v>15.6</v>
      </c>
      <c r="W808" t="b">
        <v>0</v>
      </c>
      <c r="X808">
        <v>20</v>
      </c>
      <c r="Y808">
        <v>3</v>
      </c>
      <c r="Z808">
        <v>19</v>
      </c>
      <c r="AA808" s="6">
        <v>28.844221105527641</v>
      </c>
      <c r="AB808">
        <f>--PizzaDelivery[[#This Row],[Is Delayed]]</f>
        <v>0</v>
      </c>
    </row>
    <row r="809" spans="1:28">
      <c r="A809" t="s">
        <v>1074</v>
      </c>
      <c r="B809" t="s">
        <v>173</v>
      </c>
      <c r="C809" t="s">
        <v>695</v>
      </c>
      <c r="D809" s="1">
        <v>46022</v>
      </c>
      <c r="E809" s="5">
        <v>0.84375</v>
      </c>
      <c r="F809" s="1">
        <v>46022</v>
      </c>
      <c r="G809" s="5">
        <v>0.86458333333333337</v>
      </c>
      <c r="H809">
        <v>30</v>
      </c>
      <c r="I809" t="s">
        <v>143</v>
      </c>
      <c r="J809" t="s">
        <v>1021</v>
      </c>
      <c r="K809">
        <v>3</v>
      </c>
      <c r="L809">
        <v>4.5</v>
      </c>
      <c r="M809" t="s">
        <v>143</v>
      </c>
      <c r="N809" t="s">
        <v>169</v>
      </c>
      <c r="O809" t="b">
        <v>1</v>
      </c>
      <c r="P809" t="b">
        <v>0</v>
      </c>
      <c r="Q809" s="6">
        <v>6.666666666666667</v>
      </c>
      <c r="R809" s="6">
        <v>0.66666666666666663</v>
      </c>
      <c r="S809" t="s">
        <v>603</v>
      </c>
      <c r="T809" t="s">
        <v>171</v>
      </c>
      <c r="U809" s="6">
        <v>10.8</v>
      </c>
      <c r="V809" s="6">
        <v>19.2</v>
      </c>
      <c r="W809" t="b">
        <v>0</v>
      </c>
      <c r="X809">
        <v>6</v>
      </c>
      <c r="Y809">
        <v>2</v>
      </c>
      <c r="Z809">
        <v>20</v>
      </c>
      <c r="AA809" s="6">
        <v>30.286458333333329</v>
      </c>
      <c r="AB809">
        <f>--PizzaDelivery[[#This Row],[Is Delayed]]</f>
        <v>0</v>
      </c>
    </row>
    <row r="810" spans="1:28">
      <c r="A810" t="s">
        <v>1075</v>
      </c>
      <c r="B810" t="s">
        <v>149</v>
      </c>
      <c r="C810" t="s">
        <v>712</v>
      </c>
      <c r="D810" s="1">
        <v>46015</v>
      </c>
      <c r="E810" s="5">
        <v>0.77083333333333337</v>
      </c>
      <c r="F810" s="1">
        <v>46015</v>
      </c>
      <c r="G810" s="5">
        <v>0.79166666666666663</v>
      </c>
      <c r="H810">
        <v>30</v>
      </c>
      <c r="I810" t="s">
        <v>143</v>
      </c>
      <c r="J810" t="s">
        <v>1018</v>
      </c>
      <c r="K810">
        <v>3</v>
      </c>
      <c r="L810">
        <v>5</v>
      </c>
      <c r="M810" t="s">
        <v>143</v>
      </c>
      <c r="N810" t="s">
        <v>162</v>
      </c>
      <c r="O810" t="b">
        <v>1</v>
      </c>
      <c r="P810" t="b">
        <v>0</v>
      </c>
      <c r="Q810" s="6">
        <v>6</v>
      </c>
      <c r="R810" s="6">
        <v>0.6</v>
      </c>
      <c r="S810" t="s">
        <v>603</v>
      </c>
      <c r="T810" t="s">
        <v>147</v>
      </c>
      <c r="U810" s="6">
        <v>12</v>
      </c>
      <c r="V810" s="6">
        <v>18</v>
      </c>
      <c r="W810" t="b">
        <v>0</v>
      </c>
      <c r="X810">
        <v>6</v>
      </c>
      <c r="Y810">
        <v>2</v>
      </c>
      <c r="Z810">
        <v>18</v>
      </c>
      <c r="AA810" s="6">
        <v>28.186274509803919</v>
      </c>
      <c r="AB810">
        <f>--PizzaDelivery[[#This Row],[Is Delayed]]</f>
        <v>0</v>
      </c>
    </row>
    <row r="811" spans="1:28">
      <c r="A811" t="s">
        <v>1076</v>
      </c>
      <c r="B811" t="s">
        <v>157</v>
      </c>
      <c r="C811" t="s">
        <v>693</v>
      </c>
      <c r="D811" s="1">
        <v>46016</v>
      </c>
      <c r="E811" s="5">
        <v>0.82291666666666663</v>
      </c>
      <c r="F811" s="1">
        <v>46016</v>
      </c>
      <c r="G811" s="5">
        <v>0.84375</v>
      </c>
      <c r="H811">
        <v>30</v>
      </c>
      <c r="I811" t="s">
        <v>167</v>
      </c>
      <c r="J811" t="s">
        <v>168</v>
      </c>
      <c r="K811">
        <v>5</v>
      </c>
      <c r="L811">
        <v>6</v>
      </c>
      <c r="M811" t="s">
        <v>153</v>
      </c>
      <c r="N811" t="s">
        <v>145</v>
      </c>
      <c r="O811" t="b">
        <v>1</v>
      </c>
      <c r="P811" t="b">
        <v>0</v>
      </c>
      <c r="Q811" s="6">
        <v>5</v>
      </c>
      <c r="R811" s="6">
        <v>0.83333333333333337</v>
      </c>
      <c r="S811" t="s">
        <v>603</v>
      </c>
      <c r="T811" t="s">
        <v>147</v>
      </c>
      <c r="U811" s="6">
        <v>14.4</v>
      </c>
      <c r="V811" s="6">
        <v>15.6</v>
      </c>
      <c r="W811" t="b">
        <v>0</v>
      </c>
      <c r="X811">
        <v>20</v>
      </c>
      <c r="Y811">
        <v>3</v>
      </c>
      <c r="Z811">
        <v>19</v>
      </c>
      <c r="AA811" s="6">
        <v>28.844221105527641</v>
      </c>
      <c r="AB811">
        <f>--PizzaDelivery[[#This Row],[Is Delayed]]</f>
        <v>0</v>
      </c>
    </row>
    <row r="812" spans="1:28">
      <c r="A812" t="s">
        <v>1077</v>
      </c>
      <c r="B812" t="s">
        <v>173</v>
      </c>
      <c r="C812" t="s">
        <v>695</v>
      </c>
      <c r="D812" s="1">
        <v>46017</v>
      </c>
      <c r="E812" s="5">
        <v>0.83333333333333337</v>
      </c>
      <c r="F812" s="1">
        <v>46017</v>
      </c>
      <c r="G812" s="5">
        <v>0.85416666666666663</v>
      </c>
      <c r="H812">
        <v>30</v>
      </c>
      <c r="I812" t="s">
        <v>143</v>
      </c>
      <c r="J812" t="s">
        <v>1021</v>
      </c>
      <c r="K812">
        <v>3</v>
      </c>
      <c r="L812">
        <v>4.5</v>
      </c>
      <c r="M812" t="s">
        <v>143</v>
      </c>
      <c r="N812" t="s">
        <v>169</v>
      </c>
      <c r="O812" t="b">
        <v>1</v>
      </c>
      <c r="P812" t="b">
        <v>0</v>
      </c>
      <c r="Q812" s="6">
        <v>6.666666666666667</v>
      </c>
      <c r="R812" s="6">
        <v>0.66666666666666663</v>
      </c>
      <c r="S812" t="s">
        <v>603</v>
      </c>
      <c r="T812" t="s">
        <v>171</v>
      </c>
      <c r="U812" s="6">
        <v>10.8</v>
      </c>
      <c r="V812" s="6">
        <v>19.2</v>
      </c>
      <c r="W812" t="b">
        <v>0</v>
      </c>
      <c r="X812">
        <v>6</v>
      </c>
      <c r="Y812">
        <v>2</v>
      </c>
      <c r="Z812">
        <v>20</v>
      </c>
      <c r="AA812" s="6">
        <v>30.286458333333329</v>
      </c>
      <c r="AB812">
        <f>--PizzaDelivery[[#This Row],[Is Delayed]]</f>
        <v>0</v>
      </c>
    </row>
    <row r="813" spans="1:28">
      <c r="A813" t="s">
        <v>1078</v>
      </c>
      <c r="B813" t="s">
        <v>142</v>
      </c>
      <c r="C813" t="s">
        <v>697</v>
      </c>
      <c r="D813" s="1">
        <v>46018</v>
      </c>
      <c r="E813" s="5">
        <v>0.80208333333333337</v>
      </c>
      <c r="F813" s="1">
        <v>46018</v>
      </c>
      <c r="G813" s="5">
        <v>0.82291666666666663</v>
      </c>
      <c r="H813">
        <v>30</v>
      </c>
      <c r="I813" t="s">
        <v>151</v>
      </c>
      <c r="J813" t="s">
        <v>657</v>
      </c>
      <c r="K813">
        <v>4</v>
      </c>
      <c r="L813">
        <v>5.5</v>
      </c>
      <c r="M813" t="s">
        <v>143</v>
      </c>
      <c r="N813" t="s">
        <v>162</v>
      </c>
      <c r="O813" t="b">
        <v>1</v>
      </c>
      <c r="P813" t="b">
        <v>1</v>
      </c>
      <c r="Q813" s="6">
        <v>5.4545454545454541</v>
      </c>
      <c r="R813" s="6">
        <v>0.72727272727272729</v>
      </c>
      <c r="S813" t="s">
        <v>603</v>
      </c>
      <c r="T813" t="s">
        <v>147</v>
      </c>
      <c r="U813" s="6">
        <v>13.2</v>
      </c>
      <c r="V813" s="6">
        <v>16.8</v>
      </c>
      <c r="W813" t="b">
        <v>0</v>
      </c>
      <c r="X813">
        <v>12</v>
      </c>
      <c r="Y813">
        <v>2</v>
      </c>
      <c r="Z813">
        <v>19</v>
      </c>
      <c r="AA813" s="6">
        <v>30.259433962264151</v>
      </c>
      <c r="AB813">
        <f>--PizzaDelivery[[#This Row],[Is Delayed]]</f>
        <v>0</v>
      </c>
    </row>
    <row r="814" spans="1:28">
      <c r="A814" t="s">
        <v>1079</v>
      </c>
      <c r="B814" t="s">
        <v>165</v>
      </c>
      <c r="C814" t="s">
        <v>188</v>
      </c>
      <c r="D814" s="1">
        <v>46019</v>
      </c>
      <c r="E814" s="5">
        <v>0.85416666666666663</v>
      </c>
      <c r="F814" s="1">
        <v>46019</v>
      </c>
      <c r="G814" s="5">
        <v>0.875</v>
      </c>
      <c r="H814">
        <v>30</v>
      </c>
      <c r="I814" t="s">
        <v>143</v>
      </c>
      <c r="J814" t="s">
        <v>144</v>
      </c>
      <c r="K814">
        <v>2</v>
      </c>
      <c r="L814">
        <v>4</v>
      </c>
      <c r="M814" t="s">
        <v>161</v>
      </c>
      <c r="N814" t="s">
        <v>154</v>
      </c>
      <c r="O814" t="b">
        <v>1</v>
      </c>
      <c r="P814" t="b">
        <v>1</v>
      </c>
      <c r="Q814" s="6">
        <v>7.5</v>
      </c>
      <c r="R814" s="6">
        <v>0.5</v>
      </c>
      <c r="S814" t="s">
        <v>603</v>
      </c>
      <c r="T814" t="s">
        <v>147</v>
      </c>
      <c r="U814" s="6">
        <v>9.6</v>
      </c>
      <c r="V814" s="6">
        <v>20.399999999999999</v>
      </c>
      <c r="W814" t="b">
        <v>0</v>
      </c>
      <c r="X814">
        <v>4</v>
      </c>
      <c r="Y814">
        <v>1</v>
      </c>
      <c r="Z814">
        <v>20</v>
      </c>
      <c r="AA814" s="6">
        <v>29.948453608247419</v>
      </c>
      <c r="AB814">
        <f>--PizzaDelivery[[#This Row],[Is Delayed]]</f>
        <v>0</v>
      </c>
    </row>
    <row r="815" spans="1:28">
      <c r="A815" t="s">
        <v>1080</v>
      </c>
      <c r="B815" t="s">
        <v>149</v>
      </c>
      <c r="C815" t="s">
        <v>712</v>
      </c>
      <c r="D815" s="1">
        <v>46020</v>
      </c>
      <c r="E815" s="5">
        <v>0.78125</v>
      </c>
      <c r="F815" s="1">
        <v>46020</v>
      </c>
      <c r="G815" s="5">
        <v>0.80208333333333337</v>
      </c>
      <c r="H815">
        <v>30</v>
      </c>
      <c r="I815" t="s">
        <v>143</v>
      </c>
      <c r="J815" t="s">
        <v>1018</v>
      </c>
      <c r="K815">
        <v>3</v>
      </c>
      <c r="L815">
        <v>5</v>
      </c>
      <c r="M815" t="s">
        <v>143</v>
      </c>
      <c r="N815" t="s">
        <v>145</v>
      </c>
      <c r="O815" t="b">
        <v>1</v>
      </c>
      <c r="P815" t="b">
        <v>0</v>
      </c>
      <c r="Q815" s="6">
        <v>6</v>
      </c>
      <c r="R815" s="6">
        <v>0.6</v>
      </c>
      <c r="S815" t="s">
        <v>603</v>
      </c>
      <c r="T815" t="s">
        <v>147</v>
      </c>
      <c r="U815" s="6">
        <v>12</v>
      </c>
      <c r="V815" s="6">
        <v>18</v>
      </c>
      <c r="W815" t="b">
        <v>0</v>
      </c>
      <c r="X815">
        <v>6</v>
      </c>
      <c r="Y815">
        <v>2</v>
      </c>
      <c r="Z815">
        <v>18</v>
      </c>
      <c r="AA815" s="6">
        <v>28.186274509803919</v>
      </c>
      <c r="AB815">
        <f>--PizzaDelivery[[#This Row],[Is Delayed]]</f>
        <v>0</v>
      </c>
    </row>
    <row r="816" spans="1:28">
      <c r="A816" t="s">
        <v>1081</v>
      </c>
      <c r="B816" t="s">
        <v>157</v>
      </c>
      <c r="C816" t="s">
        <v>693</v>
      </c>
      <c r="D816" s="1">
        <v>46021</v>
      </c>
      <c r="E816" s="5">
        <v>0.79166666666666663</v>
      </c>
      <c r="F816" s="1">
        <v>46021</v>
      </c>
      <c r="G816" s="5">
        <v>0.8125</v>
      </c>
      <c r="H816">
        <v>30</v>
      </c>
      <c r="I816" t="s">
        <v>167</v>
      </c>
      <c r="J816" t="s">
        <v>168</v>
      </c>
      <c r="K816">
        <v>5</v>
      </c>
      <c r="L816">
        <v>6</v>
      </c>
      <c r="M816" t="s">
        <v>153</v>
      </c>
      <c r="N816" t="s">
        <v>162</v>
      </c>
      <c r="O816" t="b">
        <v>1</v>
      </c>
      <c r="P816" t="b">
        <v>0</v>
      </c>
      <c r="Q816" s="6">
        <v>5</v>
      </c>
      <c r="R816" s="6">
        <v>0.83333333333333337</v>
      </c>
      <c r="S816" t="s">
        <v>603</v>
      </c>
      <c r="T816" t="s">
        <v>147</v>
      </c>
      <c r="U816" s="6">
        <v>14.4</v>
      </c>
      <c r="V816" s="6">
        <v>15.6</v>
      </c>
      <c r="W816" t="b">
        <v>0</v>
      </c>
      <c r="X816">
        <v>20</v>
      </c>
      <c r="Y816">
        <v>3</v>
      </c>
      <c r="Z816">
        <v>19</v>
      </c>
      <c r="AA816" s="6">
        <v>28.844221105527641</v>
      </c>
      <c r="AB816">
        <f>--PizzaDelivery[[#This Row],[Is Delayed]]</f>
        <v>0</v>
      </c>
    </row>
    <row r="817" spans="1:28">
      <c r="A817" t="s">
        <v>1082</v>
      </c>
      <c r="B817" t="s">
        <v>173</v>
      </c>
      <c r="C817" t="s">
        <v>695</v>
      </c>
      <c r="D817" s="1">
        <v>46022</v>
      </c>
      <c r="E817" s="5">
        <v>0.84375</v>
      </c>
      <c r="F817" s="1">
        <v>46022</v>
      </c>
      <c r="G817" s="5">
        <v>0.86458333333333337</v>
      </c>
      <c r="H817">
        <v>30</v>
      </c>
      <c r="I817" t="s">
        <v>143</v>
      </c>
      <c r="J817" t="s">
        <v>1021</v>
      </c>
      <c r="K817">
        <v>3</v>
      </c>
      <c r="L817">
        <v>4.5</v>
      </c>
      <c r="M817" t="s">
        <v>143</v>
      </c>
      <c r="N817" t="s">
        <v>169</v>
      </c>
      <c r="O817" t="b">
        <v>1</v>
      </c>
      <c r="P817" t="b">
        <v>0</v>
      </c>
      <c r="Q817" s="6">
        <v>6.666666666666667</v>
      </c>
      <c r="R817" s="6">
        <v>0.66666666666666663</v>
      </c>
      <c r="S817" t="s">
        <v>603</v>
      </c>
      <c r="T817" t="s">
        <v>171</v>
      </c>
      <c r="U817" s="6">
        <v>10.8</v>
      </c>
      <c r="V817" s="6">
        <v>19.2</v>
      </c>
      <c r="W817" t="b">
        <v>0</v>
      </c>
      <c r="X817">
        <v>6</v>
      </c>
      <c r="Y817">
        <v>2</v>
      </c>
      <c r="Z817">
        <v>20</v>
      </c>
      <c r="AA817" s="6">
        <v>30.286458333333329</v>
      </c>
      <c r="AB817">
        <f>--PizzaDelivery[[#This Row],[Is Delayed]]</f>
        <v>0</v>
      </c>
    </row>
    <row r="818" spans="1:28">
      <c r="A818" t="s">
        <v>1083</v>
      </c>
      <c r="B818" t="s">
        <v>142</v>
      </c>
      <c r="C818" t="s">
        <v>697</v>
      </c>
      <c r="D818" s="1">
        <v>45658</v>
      </c>
      <c r="E818" s="5">
        <v>0.8125</v>
      </c>
      <c r="F818" s="1">
        <v>45658</v>
      </c>
      <c r="G818" s="5">
        <v>0.83333333333333337</v>
      </c>
      <c r="H818">
        <v>30</v>
      </c>
      <c r="I818" t="s">
        <v>151</v>
      </c>
      <c r="J818" t="s">
        <v>657</v>
      </c>
      <c r="K818">
        <v>4</v>
      </c>
      <c r="L818">
        <v>5.5</v>
      </c>
      <c r="M818" t="s">
        <v>143</v>
      </c>
      <c r="N818" t="s">
        <v>162</v>
      </c>
      <c r="O818" t="b">
        <v>1</v>
      </c>
      <c r="P818" t="b">
        <v>0</v>
      </c>
      <c r="Q818" s="6">
        <v>5.4545454545454541</v>
      </c>
      <c r="R818" s="6">
        <v>0.72727272727272729</v>
      </c>
      <c r="S818" t="s">
        <v>146</v>
      </c>
      <c r="T818" t="s">
        <v>147</v>
      </c>
      <c r="U818" s="6">
        <v>13.2</v>
      </c>
      <c r="V818" s="6">
        <v>16.8</v>
      </c>
      <c r="W818" t="b">
        <v>0</v>
      </c>
      <c r="X818">
        <v>12</v>
      </c>
      <c r="Y818">
        <v>2</v>
      </c>
      <c r="Z818">
        <v>19</v>
      </c>
      <c r="AA818" s="6">
        <v>30.259433962264151</v>
      </c>
      <c r="AB818">
        <f>--PizzaDelivery[[#This Row],[Is Delayed]]</f>
        <v>0</v>
      </c>
    </row>
    <row r="819" spans="1:28">
      <c r="A819" t="s">
        <v>1084</v>
      </c>
      <c r="B819" t="s">
        <v>165</v>
      </c>
      <c r="C819" t="s">
        <v>188</v>
      </c>
      <c r="D819" s="1">
        <v>45659</v>
      </c>
      <c r="E819" s="5">
        <v>0.86458333333333337</v>
      </c>
      <c r="F819" s="1">
        <v>45659</v>
      </c>
      <c r="G819" s="5">
        <v>0.88541666666666663</v>
      </c>
      <c r="H819">
        <v>30</v>
      </c>
      <c r="I819" t="s">
        <v>143</v>
      </c>
      <c r="J819" t="s">
        <v>144</v>
      </c>
      <c r="K819">
        <v>2</v>
      </c>
      <c r="L819">
        <v>4</v>
      </c>
      <c r="M819" t="s">
        <v>161</v>
      </c>
      <c r="N819" t="s">
        <v>154</v>
      </c>
      <c r="O819" t="b">
        <v>1</v>
      </c>
      <c r="P819" t="b">
        <v>0</v>
      </c>
      <c r="Q819" s="6">
        <v>7.5</v>
      </c>
      <c r="R819" s="6">
        <v>0.5</v>
      </c>
      <c r="S819" t="s">
        <v>146</v>
      </c>
      <c r="T819" t="s">
        <v>147</v>
      </c>
      <c r="U819" s="6">
        <v>9.6</v>
      </c>
      <c r="V819" s="6">
        <v>20.399999999999999</v>
      </c>
      <c r="W819" t="b">
        <v>0</v>
      </c>
      <c r="X819">
        <v>4</v>
      </c>
      <c r="Y819">
        <v>1</v>
      </c>
      <c r="Z819">
        <v>20</v>
      </c>
      <c r="AA819" s="6">
        <v>29.948453608247419</v>
      </c>
      <c r="AB819">
        <f>--PizzaDelivery[[#This Row],[Is Delayed]]</f>
        <v>0</v>
      </c>
    </row>
    <row r="820" spans="1:28">
      <c r="A820" t="s">
        <v>1085</v>
      </c>
      <c r="B820" t="s">
        <v>149</v>
      </c>
      <c r="C820" t="s">
        <v>712</v>
      </c>
      <c r="D820" s="1">
        <v>45660</v>
      </c>
      <c r="E820" s="5">
        <v>0.75</v>
      </c>
      <c r="F820" s="1">
        <v>45660</v>
      </c>
      <c r="G820" s="5">
        <v>0.77083333333333337</v>
      </c>
      <c r="H820">
        <v>30</v>
      </c>
      <c r="I820" t="s">
        <v>143</v>
      </c>
      <c r="J820" t="s">
        <v>1018</v>
      </c>
      <c r="K820">
        <v>3</v>
      </c>
      <c r="L820">
        <v>5</v>
      </c>
      <c r="M820" t="s">
        <v>143</v>
      </c>
      <c r="N820" t="s">
        <v>145</v>
      </c>
      <c r="O820" t="b">
        <v>1</v>
      </c>
      <c r="P820" t="b">
        <v>1</v>
      </c>
      <c r="Q820" s="6">
        <v>6</v>
      </c>
      <c r="R820" s="6">
        <v>0.6</v>
      </c>
      <c r="S820" t="s">
        <v>146</v>
      </c>
      <c r="T820" t="s">
        <v>147</v>
      </c>
      <c r="U820" s="6">
        <v>12</v>
      </c>
      <c r="V820" s="6">
        <v>18</v>
      </c>
      <c r="W820" t="b">
        <v>0</v>
      </c>
      <c r="X820">
        <v>6</v>
      </c>
      <c r="Y820">
        <v>2</v>
      </c>
      <c r="Z820">
        <v>18</v>
      </c>
      <c r="AA820" s="6">
        <v>28.186274509803919</v>
      </c>
      <c r="AB820">
        <f>--PizzaDelivery[[#This Row],[Is Delayed]]</f>
        <v>0</v>
      </c>
    </row>
    <row r="821" spans="1:28">
      <c r="A821" t="s">
        <v>1086</v>
      </c>
      <c r="B821" t="s">
        <v>157</v>
      </c>
      <c r="C821" t="s">
        <v>693</v>
      </c>
      <c r="D821" s="1">
        <v>45661</v>
      </c>
      <c r="E821" s="5">
        <v>0.80208333333333337</v>
      </c>
      <c r="F821" s="1">
        <v>45661</v>
      </c>
      <c r="G821" s="5">
        <v>0.82291666666666663</v>
      </c>
      <c r="H821">
        <v>30</v>
      </c>
      <c r="I821" t="s">
        <v>167</v>
      </c>
      <c r="J821" t="s">
        <v>168</v>
      </c>
      <c r="K821">
        <v>5</v>
      </c>
      <c r="L821">
        <v>6</v>
      </c>
      <c r="M821" t="s">
        <v>153</v>
      </c>
      <c r="N821" t="s">
        <v>162</v>
      </c>
      <c r="O821" t="b">
        <v>1</v>
      </c>
      <c r="P821" t="b">
        <v>1</v>
      </c>
      <c r="Q821" s="6">
        <v>5</v>
      </c>
      <c r="R821" s="6">
        <v>0.83333333333333337</v>
      </c>
      <c r="S821" t="s">
        <v>146</v>
      </c>
      <c r="T821" t="s">
        <v>147</v>
      </c>
      <c r="U821" s="6">
        <v>14.4</v>
      </c>
      <c r="V821" s="6">
        <v>15.6</v>
      </c>
      <c r="W821" t="b">
        <v>0</v>
      </c>
      <c r="X821">
        <v>20</v>
      </c>
      <c r="Y821">
        <v>3</v>
      </c>
      <c r="Z821">
        <v>19</v>
      </c>
      <c r="AA821" s="6">
        <v>28.844221105527641</v>
      </c>
      <c r="AB821">
        <f>--PizzaDelivery[[#This Row],[Is Delayed]]</f>
        <v>0</v>
      </c>
    </row>
    <row r="822" spans="1:28">
      <c r="A822" t="s">
        <v>1087</v>
      </c>
      <c r="B822" t="s">
        <v>173</v>
      </c>
      <c r="C822" t="s">
        <v>695</v>
      </c>
      <c r="D822" s="1">
        <v>45662</v>
      </c>
      <c r="E822" s="5">
        <v>0.85416666666666663</v>
      </c>
      <c r="F822" s="1">
        <v>45662</v>
      </c>
      <c r="G822" s="5">
        <v>0.875</v>
      </c>
      <c r="H822">
        <v>30</v>
      </c>
      <c r="I822" t="s">
        <v>143</v>
      </c>
      <c r="J822" t="s">
        <v>1021</v>
      </c>
      <c r="K822">
        <v>3</v>
      </c>
      <c r="L822">
        <v>4.5</v>
      </c>
      <c r="M822" t="s">
        <v>143</v>
      </c>
      <c r="N822" t="s">
        <v>169</v>
      </c>
      <c r="O822" t="b">
        <v>1</v>
      </c>
      <c r="P822" t="b">
        <v>0</v>
      </c>
      <c r="Q822" s="6">
        <v>6.666666666666667</v>
      </c>
      <c r="R822" s="6">
        <v>0.66666666666666663</v>
      </c>
      <c r="S822" t="s">
        <v>146</v>
      </c>
      <c r="T822" t="s">
        <v>171</v>
      </c>
      <c r="U822" s="6">
        <v>10.8</v>
      </c>
      <c r="V822" s="6">
        <v>19.2</v>
      </c>
      <c r="W822" t="b">
        <v>0</v>
      </c>
      <c r="X822">
        <v>6</v>
      </c>
      <c r="Y822">
        <v>2</v>
      </c>
      <c r="Z822">
        <v>20</v>
      </c>
      <c r="AA822" s="6">
        <v>30.286458333333329</v>
      </c>
      <c r="AB822">
        <f>--PizzaDelivery[[#This Row],[Is Delayed]]</f>
        <v>0</v>
      </c>
    </row>
    <row r="823" spans="1:28">
      <c r="A823" t="s">
        <v>1088</v>
      </c>
      <c r="B823" t="s">
        <v>142</v>
      </c>
      <c r="C823" t="s">
        <v>697</v>
      </c>
      <c r="D823" s="1">
        <v>45663</v>
      </c>
      <c r="E823" s="5">
        <v>0.79166666666666663</v>
      </c>
      <c r="F823" s="1">
        <v>45663</v>
      </c>
      <c r="G823" s="5">
        <v>0.8125</v>
      </c>
      <c r="H823">
        <v>30</v>
      </c>
      <c r="I823" t="s">
        <v>151</v>
      </c>
      <c r="J823" t="s">
        <v>657</v>
      </c>
      <c r="K823">
        <v>4</v>
      </c>
      <c r="L823">
        <v>5.5</v>
      </c>
      <c r="M823" t="s">
        <v>143</v>
      </c>
      <c r="N823" t="s">
        <v>162</v>
      </c>
      <c r="O823" t="b">
        <v>1</v>
      </c>
      <c r="P823" t="b">
        <v>0</v>
      </c>
      <c r="Q823" s="6">
        <v>5.4545454545454541</v>
      </c>
      <c r="R823" s="6">
        <v>0.72727272727272729</v>
      </c>
      <c r="S823" t="s">
        <v>146</v>
      </c>
      <c r="T823" t="s">
        <v>147</v>
      </c>
      <c r="U823" s="6">
        <v>13.2</v>
      </c>
      <c r="V823" s="6">
        <v>16.8</v>
      </c>
      <c r="W823" t="b">
        <v>0</v>
      </c>
      <c r="X823">
        <v>12</v>
      </c>
      <c r="Y823">
        <v>2</v>
      </c>
      <c r="Z823">
        <v>19</v>
      </c>
      <c r="AA823" s="6">
        <v>30.259433962264151</v>
      </c>
      <c r="AB823">
        <f>--PizzaDelivery[[#This Row],[Is Delayed]]</f>
        <v>0</v>
      </c>
    </row>
    <row r="824" spans="1:28">
      <c r="A824" t="s">
        <v>1089</v>
      </c>
      <c r="B824" t="s">
        <v>165</v>
      </c>
      <c r="C824" t="s">
        <v>188</v>
      </c>
      <c r="D824" s="1">
        <v>45664</v>
      </c>
      <c r="E824" s="5">
        <v>0.84375</v>
      </c>
      <c r="F824" s="1">
        <v>45664</v>
      </c>
      <c r="G824" s="5">
        <v>0.86458333333333337</v>
      </c>
      <c r="H824">
        <v>30</v>
      </c>
      <c r="I824" t="s">
        <v>143</v>
      </c>
      <c r="J824" t="s">
        <v>144</v>
      </c>
      <c r="K824">
        <v>2</v>
      </c>
      <c r="L824">
        <v>4</v>
      </c>
      <c r="M824" t="s">
        <v>161</v>
      </c>
      <c r="N824" t="s">
        <v>154</v>
      </c>
      <c r="O824" t="b">
        <v>1</v>
      </c>
      <c r="P824" t="b">
        <v>0</v>
      </c>
      <c r="Q824" s="6">
        <v>7.5</v>
      </c>
      <c r="R824" s="6">
        <v>0.5</v>
      </c>
      <c r="S824" t="s">
        <v>146</v>
      </c>
      <c r="T824" t="s">
        <v>147</v>
      </c>
      <c r="U824" s="6">
        <v>9.6</v>
      </c>
      <c r="V824" s="6">
        <v>20.399999999999999</v>
      </c>
      <c r="W824" t="b">
        <v>0</v>
      </c>
      <c r="X824">
        <v>4</v>
      </c>
      <c r="Y824">
        <v>1</v>
      </c>
      <c r="Z824">
        <v>20</v>
      </c>
      <c r="AA824" s="6">
        <v>29.948453608247419</v>
      </c>
      <c r="AB824">
        <f>--PizzaDelivery[[#This Row],[Is Delayed]]</f>
        <v>0</v>
      </c>
    </row>
    <row r="825" spans="1:28">
      <c r="A825" t="s">
        <v>1090</v>
      </c>
      <c r="B825" t="s">
        <v>149</v>
      </c>
      <c r="C825" t="s">
        <v>712</v>
      </c>
      <c r="D825" s="1">
        <v>45665</v>
      </c>
      <c r="E825" s="5">
        <v>0.77083333333333337</v>
      </c>
      <c r="F825" s="1">
        <v>45665</v>
      </c>
      <c r="G825" s="5">
        <v>0.79166666666666663</v>
      </c>
      <c r="H825">
        <v>30</v>
      </c>
      <c r="I825" t="s">
        <v>143</v>
      </c>
      <c r="J825" t="s">
        <v>1018</v>
      </c>
      <c r="K825">
        <v>3</v>
      </c>
      <c r="L825">
        <v>5</v>
      </c>
      <c r="M825" t="s">
        <v>143</v>
      </c>
      <c r="N825" t="s">
        <v>145</v>
      </c>
      <c r="O825" t="b">
        <v>1</v>
      </c>
      <c r="P825" t="b">
        <v>0</v>
      </c>
      <c r="Q825" s="6">
        <v>6</v>
      </c>
      <c r="R825" s="6">
        <v>0.6</v>
      </c>
      <c r="S825" t="s">
        <v>146</v>
      </c>
      <c r="T825" t="s">
        <v>147</v>
      </c>
      <c r="U825" s="6">
        <v>12</v>
      </c>
      <c r="V825" s="6">
        <v>18</v>
      </c>
      <c r="W825" t="b">
        <v>0</v>
      </c>
      <c r="X825">
        <v>6</v>
      </c>
      <c r="Y825">
        <v>2</v>
      </c>
      <c r="Z825">
        <v>18</v>
      </c>
      <c r="AA825" s="6">
        <v>28.186274509803919</v>
      </c>
      <c r="AB825">
        <f>--PizzaDelivery[[#This Row],[Is Delayed]]</f>
        <v>0</v>
      </c>
    </row>
    <row r="826" spans="1:28">
      <c r="A826" t="s">
        <v>1091</v>
      </c>
      <c r="B826" t="s">
        <v>157</v>
      </c>
      <c r="C826" t="s">
        <v>693</v>
      </c>
      <c r="D826" s="1">
        <v>45666</v>
      </c>
      <c r="E826" s="5">
        <v>0.82291666666666663</v>
      </c>
      <c r="F826" s="1">
        <v>45666</v>
      </c>
      <c r="G826" s="5">
        <v>0.84375</v>
      </c>
      <c r="H826">
        <v>30</v>
      </c>
      <c r="I826" t="s">
        <v>167</v>
      </c>
      <c r="J826" t="s">
        <v>168</v>
      </c>
      <c r="K826">
        <v>5</v>
      </c>
      <c r="L826">
        <v>6</v>
      </c>
      <c r="M826" t="s">
        <v>153</v>
      </c>
      <c r="N826" t="s">
        <v>162</v>
      </c>
      <c r="O826" t="b">
        <v>1</v>
      </c>
      <c r="P826" t="b">
        <v>0</v>
      </c>
      <c r="Q826" s="6">
        <v>5</v>
      </c>
      <c r="R826" s="6">
        <v>0.83333333333333337</v>
      </c>
      <c r="S826" t="s">
        <v>146</v>
      </c>
      <c r="T826" t="s">
        <v>147</v>
      </c>
      <c r="U826" s="6">
        <v>14.4</v>
      </c>
      <c r="V826" s="6">
        <v>15.6</v>
      </c>
      <c r="W826" t="b">
        <v>0</v>
      </c>
      <c r="X826">
        <v>20</v>
      </c>
      <c r="Y826">
        <v>3</v>
      </c>
      <c r="Z826">
        <v>19</v>
      </c>
      <c r="AA826" s="6">
        <v>28.844221105527641</v>
      </c>
      <c r="AB826">
        <f>--PizzaDelivery[[#This Row],[Is Delayed]]</f>
        <v>0</v>
      </c>
    </row>
    <row r="827" spans="1:28">
      <c r="A827" t="s">
        <v>1092</v>
      </c>
      <c r="B827" t="s">
        <v>173</v>
      </c>
      <c r="C827" t="s">
        <v>695</v>
      </c>
      <c r="D827" s="1">
        <v>45667</v>
      </c>
      <c r="E827" s="5">
        <v>0.83333333333333337</v>
      </c>
      <c r="F827" s="1">
        <v>45667</v>
      </c>
      <c r="G827" s="5">
        <v>0.85416666666666663</v>
      </c>
      <c r="H827">
        <v>30</v>
      </c>
      <c r="I827" t="s">
        <v>143</v>
      </c>
      <c r="J827" t="s">
        <v>1021</v>
      </c>
      <c r="K827">
        <v>3</v>
      </c>
      <c r="L827">
        <v>4.5</v>
      </c>
      <c r="M827" t="s">
        <v>143</v>
      </c>
      <c r="N827" t="s">
        <v>169</v>
      </c>
      <c r="O827" t="b">
        <v>1</v>
      </c>
      <c r="P827" t="b">
        <v>1</v>
      </c>
      <c r="Q827" s="6">
        <v>6.666666666666667</v>
      </c>
      <c r="R827" s="6">
        <v>0.66666666666666663</v>
      </c>
      <c r="S827" t="s">
        <v>146</v>
      </c>
      <c r="T827" t="s">
        <v>171</v>
      </c>
      <c r="U827" s="6">
        <v>10.8</v>
      </c>
      <c r="V827" s="6">
        <v>19.2</v>
      </c>
      <c r="W827" t="b">
        <v>0</v>
      </c>
      <c r="X827">
        <v>6</v>
      </c>
      <c r="Y827">
        <v>2</v>
      </c>
      <c r="Z827">
        <v>20</v>
      </c>
      <c r="AA827" s="6">
        <v>30.286458333333329</v>
      </c>
      <c r="AB827">
        <f>--PizzaDelivery[[#This Row],[Is Delayed]]</f>
        <v>0</v>
      </c>
    </row>
    <row r="828" spans="1:28">
      <c r="A828" t="s">
        <v>1093</v>
      </c>
      <c r="B828" t="s">
        <v>142</v>
      </c>
      <c r="C828" t="s">
        <v>697</v>
      </c>
      <c r="D828" s="1">
        <v>45668</v>
      </c>
      <c r="E828" s="5">
        <v>0.80208333333333337</v>
      </c>
      <c r="F828" s="1">
        <v>45668</v>
      </c>
      <c r="G828" s="5">
        <v>0.82291666666666663</v>
      </c>
      <c r="H828">
        <v>30</v>
      </c>
      <c r="I828" t="s">
        <v>151</v>
      </c>
      <c r="J828" t="s">
        <v>657</v>
      </c>
      <c r="K828">
        <v>4</v>
      </c>
      <c r="L828">
        <v>5.5</v>
      </c>
      <c r="M828" t="s">
        <v>143</v>
      </c>
      <c r="N828" t="s">
        <v>162</v>
      </c>
      <c r="O828" t="b">
        <v>1</v>
      </c>
      <c r="P828" t="b">
        <v>1</v>
      </c>
      <c r="Q828" s="6">
        <v>5.4545454545454541</v>
      </c>
      <c r="R828" s="6">
        <v>0.72727272727272729</v>
      </c>
      <c r="S828" t="s">
        <v>146</v>
      </c>
      <c r="T828" t="s">
        <v>147</v>
      </c>
      <c r="U828" s="6">
        <v>13.2</v>
      </c>
      <c r="V828" s="6">
        <v>16.8</v>
      </c>
      <c r="W828" t="b">
        <v>0</v>
      </c>
      <c r="X828">
        <v>12</v>
      </c>
      <c r="Y828">
        <v>2</v>
      </c>
      <c r="Z828">
        <v>19</v>
      </c>
      <c r="AA828" s="6">
        <v>30.259433962264151</v>
      </c>
      <c r="AB828">
        <f>--PizzaDelivery[[#This Row],[Is Delayed]]</f>
        <v>0</v>
      </c>
    </row>
    <row r="829" spans="1:28">
      <c r="A829" t="s">
        <v>1094</v>
      </c>
      <c r="B829" t="s">
        <v>165</v>
      </c>
      <c r="C829" t="s">
        <v>188</v>
      </c>
      <c r="D829" s="1">
        <v>45669</v>
      </c>
      <c r="E829" s="5">
        <v>0.85416666666666663</v>
      </c>
      <c r="F829" s="1">
        <v>45669</v>
      </c>
      <c r="G829" s="5">
        <v>0.875</v>
      </c>
      <c r="H829">
        <v>30</v>
      </c>
      <c r="I829" t="s">
        <v>143</v>
      </c>
      <c r="J829" t="s">
        <v>144</v>
      </c>
      <c r="K829">
        <v>2</v>
      </c>
      <c r="L829">
        <v>4</v>
      </c>
      <c r="M829" t="s">
        <v>161</v>
      </c>
      <c r="N829" t="s">
        <v>154</v>
      </c>
      <c r="O829" t="b">
        <v>1</v>
      </c>
      <c r="P829" t="b">
        <v>0</v>
      </c>
      <c r="Q829" s="6">
        <v>7.5</v>
      </c>
      <c r="R829" s="6">
        <v>0.5</v>
      </c>
      <c r="S829" t="s">
        <v>146</v>
      </c>
      <c r="T829" t="s">
        <v>147</v>
      </c>
      <c r="U829" s="6">
        <v>9.6</v>
      </c>
      <c r="V829" s="6">
        <v>20.399999999999999</v>
      </c>
      <c r="W829" t="b">
        <v>0</v>
      </c>
      <c r="X829">
        <v>4</v>
      </c>
      <c r="Y829">
        <v>1</v>
      </c>
      <c r="Z829">
        <v>20</v>
      </c>
      <c r="AA829" s="6">
        <v>29.948453608247419</v>
      </c>
      <c r="AB829">
        <f>--PizzaDelivery[[#This Row],[Is Delayed]]</f>
        <v>0</v>
      </c>
    </row>
    <row r="830" spans="1:28">
      <c r="A830" t="s">
        <v>1095</v>
      </c>
      <c r="B830" t="s">
        <v>149</v>
      </c>
      <c r="C830" t="s">
        <v>712</v>
      </c>
      <c r="D830" s="1">
        <v>45670</v>
      </c>
      <c r="E830" s="5">
        <v>0.78125</v>
      </c>
      <c r="F830" s="1">
        <v>45670</v>
      </c>
      <c r="G830" s="5">
        <v>0.80208333333333337</v>
      </c>
      <c r="H830">
        <v>30</v>
      </c>
      <c r="I830" t="s">
        <v>143</v>
      </c>
      <c r="J830" t="s">
        <v>1018</v>
      </c>
      <c r="K830">
        <v>3</v>
      </c>
      <c r="L830">
        <v>5</v>
      </c>
      <c r="M830" t="s">
        <v>143</v>
      </c>
      <c r="N830" t="s">
        <v>145</v>
      </c>
      <c r="O830" t="b">
        <v>1</v>
      </c>
      <c r="P830" t="b">
        <v>0</v>
      </c>
      <c r="Q830" s="6">
        <v>6</v>
      </c>
      <c r="R830" s="6">
        <v>0.6</v>
      </c>
      <c r="S830" t="s">
        <v>146</v>
      </c>
      <c r="T830" t="s">
        <v>147</v>
      </c>
      <c r="U830" s="6">
        <v>12</v>
      </c>
      <c r="V830" s="6">
        <v>18</v>
      </c>
      <c r="W830" t="b">
        <v>0</v>
      </c>
      <c r="X830">
        <v>6</v>
      </c>
      <c r="Y830">
        <v>2</v>
      </c>
      <c r="Z830">
        <v>18</v>
      </c>
      <c r="AA830" s="6">
        <v>28.186274509803919</v>
      </c>
      <c r="AB830">
        <f>--PizzaDelivery[[#This Row],[Is Delayed]]</f>
        <v>0</v>
      </c>
    </row>
    <row r="831" spans="1:28">
      <c r="A831" t="s">
        <v>1096</v>
      </c>
      <c r="B831" t="s">
        <v>157</v>
      </c>
      <c r="C831" t="s">
        <v>693</v>
      </c>
      <c r="D831" s="1">
        <v>45671</v>
      </c>
      <c r="E831" s="5">
        <v>0.79166666666666663</v>
      </c>
      <c r="F831" s="1">
        <v>45671</v>
      </c>
      <c r="G831" s="5">
        <v>0.8125</v>
      </c>
      <c r="H831">
        <v>30</v>
      </c>
      <c r="I831" t="s">
        <v>167</v>
      </c>
      <c r="J831" t="s">
        <v>168</v>
      </c>
      <c r="K831">
        <v>5</v>
      </c>
      <c r="L831">
        <v>6</v>
      </c>
      <c r="M831" t="s">
        <v>153</v>
      </c>
      <c r="N831" t="s">
        <v>162</v>
      </c>
      <c r="O831" t="b">
        <v>1</v>
      </c>
      <c r="P831" t="b">
        <v>0</v>
      </c>
      <c r="Q831" s="6">
        <v>5</v>
      </c>
      <c r="R831" s="6">
        <v>0.83333333333333337</v>
      </c>
      <c r="S831" t="s">
        <v>146</v>
      </c>
      <c r="T831" t="s">
        <v>147</v>
      </c>
      <c r="U831" s="6">
        <v>14.4</v>
      </c>
      <c r="V831" s="6">
        <v>15.6</v>
      </c>
      <c r="W831" t="b">
        <v>0</v>
      </c>
      <c r="X831">
        <v>20</v>
      </c>
      <c r="Y831">
        <v>3</v>
      </c>
      <c r="Z831">
        <v>19</v>
      </c>
      <c r="AA831" s="6">
        <v>28.844221105527641</v>
      </c>
      <c r="AB831">
        <f>--PizzaDelivery[[#This Row],[Is Delayed]]</f>
        <v>0</v>
      </c>
    </row>
    <row r="832" spans="1:28">
      <c r="A832" t="s">
        <v>1097</v>
      </c>
      <c r="B832" t="s">
        <v>173</v>
      </c>
      <c r="C832" t="s">
        <v>695</v>
      </c>
      <c r="D832" s="1">
        <v>45672</v>
      </c>
      <c r="E832" s="5">
        <v>0.84375</v>
      </c>
      <c r="F832" s="1">
        <v>45672</v>
      </c>
      <c r="G832" s="5">
        <v>0.86458333333333337</v>
      </c>
      <c r="H832">
        <v>30</v>
      </c>
      <c r="I832" t="s">
        <v>143</v>
      </c>
      <c r="J832" t="s">
        <v>1021</v>
      </c>
      <c r="K832">
        <v>3</v>
      </c>
      <c r="L832">
        <v>4.5</v>
      </c>
      <c r="M832" t="s">
        <v>143</v>
      </c>
      <c r="N832" t="s">
        <v>169</v>
      </c>
      <c r="O832" t="b">
        <v>1</v>
      </c>
      <c r="P832" t="b">
        <v>0</v>
      </c>
      <c r="Q832" s="6">
        <v>6.666666666666667</v>
      </c>
      <c r="R832" s="6">
        <v>0.66666666666666663</v>
      </c>
      <c r="S832" t="s">
        <v>146</v>
      </c>
      <c r="T832" t="s">
        <v>171</v>
      </c>
      <c r="U832" s="6">
        <v>10.8</v>
      </c>
      <c r="V832" s="6">
        <v>19.2</v>
      </c>
      <c r="W832" t="b">
        <v>0</v>
      </c>
      <c r="X832">
        <v>6</v>
      </c>
      <c r="Y832">
        <v>2</v>
      </c>
      <c r="Z832">
        <v>20</v>
      </c>
      <c r="AA832" s="6">
        <v>30.286458333333329</v>
      </c>
      <c r="AB832">
        <f>--PizzaDelivery[[#This Row],[Is Delayed]]</f>
        <v>0</v>
      </c>
    </row>
    <row r="833" spans="1:28">
      <c r="A833" t="s">
        <v>1098</v>
      </c>
      <c r="B833" t="s">
        <v>142</v>
      </c>
      <c r="C833" t="s">
        <v>697</v>
      </c>
      <c r="D833" s="1">
        <v>45673</v>
      </c>
      <c r="E833" s="5">
        <v>0.8125</v>
      </c>
      <c r="F833" s="1">
        <v>45673</v>
      </c>
      <c r="G833" s="5">
        <v>0.83333333333333337</v>
      </c>
      <c r="H833">
        <v>30</v>
      </c>
      <c r="I833" t="s">
        <v>151</v>
      </c>
      <c r="J833" t="s">
        <v>657</v>
      </c>
      <c r="K833">
        <v>4</v>
      </c>
      <c r="L833">
        <v>5.5</v>
      </c>
      <c r="M833" t="s">
        <v>143</v>
      </c>
      <c r="N833" t="s">
        <v>162</v>
      </c>
      <c r="O833" t="b">
        <v>1</v>
      </c>
      <c r="P833" t="b">
        <v>0</v>
      </c>
      <c r="Q833" s="6">
        <v>5.4545454545454541</v>
      </c>
      <c r="R833" s="6">
        <v>0.72727272727272729</v>
      </c>
      <c r="S833" t="s">
        <v>146</v>
      </c>
      <c r="T833" t="s">
        <v>147</v>
      </c>
      <c r="U833" s="6">
        <v>13.2</v>
      </c>
      <c r="V833" s="6">
        <v>16.8</v>
      </c>
      <c r="W833" t="b">
        <v>0</v>
      </c>
      <c r="X833">
        <v>12</v>
      </c>
      <c r="Y833">
        <v>2</v>
      </c>
      <c r="Z833">
        <v>19</v>
      </c>
      <c r="AA833" s="6">
        <v>30.259433962264151</v>
      </c>
      <c r="AB833">
        <f>--PizzaDelivery[[#This Row],[Is Delayed]]</f>
        <v>0</v>
      </c>
    </row>
    <row r="834" spans="1:28">
      <c r="A834" t="s">
        <v>1099</v>
      </c>
      <c r="B834" t="s">
        <v>165</v>
      </c>
      <c r="C834" t="s">
        <v>188</v>
      </c>
      <c r="D834" s="1">
        <v>45674</v>
      </c>
      <c r="E834" s="5">
        <v>0.86458333333333337</v>
      </c>
      <c r="F834" s="1">
        <v>45674</v>
      </c>
      <c r="G834" s="5">
        <v>0.88541666666666663</v>
      </c>
      <c r="H834">
        <v>30</v>
      </c>
      <c r="I834" t="s">
        <v>143</v>
      </c>
      <c r="J834" t="s">
        <v>144</v>
      </c>
      <c r="K834">
        <v>2</v>
      </c>
      <c r="L834">
        <v>4</v>
      </c>
      <c r="M834" t="s">
        <v>161</v>
      </c>
      <c r="N834" t="s">
        <v>154</v>
      </c>
      <c r="O834" t="b">
        <v>1</v>
      </c>
      <c r="P834" t="b">
        <v>1</v>
      </c>
      <c r="Q834" s="6">
        <v>7.5</v>
      </c>
      <c r="R834" s="6">
        <v>0.5</v>
      </c>
      <c r="S834" t="s">
        <v>146</v>
      </c>
      <c r="T834" t="s">
        <v>147</v>
      </c>
      <c r="U834" s="6">
        <v>9.6</v>
      </c>
      <c r="V834" s="6">
        <v>20.399999999999999</v>
      </c>
      <c r="W834" t="b">
        <v>0</v>
      </c>
      <c r="X834">
        <v>4</v>
      </c>
      <c r="Y834">
        <v>1</v>
      </c>
      <c r="Z834">
        <v>20</v>
      </c>
      <c r="AA834" s="6">
        <v>29.948453608247419</v>
      </c>
      <c r="AB834">
        <f>--PizzaDelivery[[#This Row],[Is Delayed]]</f>
        <v>0</v>
      </c>
    </row>
    <row r="835" spans="1:28">
      <c r="A835" t="s">
        <v>1100</v>
      </c>
      <c r="B835" t="s">
        <v>149</v>
      </c>
      <c r="C835" t="s">
        <v>712</v>
      </c>
      <c r="D835" s="1">
        <v>45675</v>
      </c>
      <c r="E835" s="5">
        <v>0.75</v>
      </c>
      <c r="F835" s="1">
        <v>45675</v>
      </c>
      <c r="G835" s="5">
        <v>0.77083333333333337</v>
      </c>
      <c r="H835">
        <v>30</v>
      </c>
      <c r="I835" t="s">
        <v>143</v>
      </c>
      <c r="J835" t="s">
        <v>1018</v>
      </c>
      <c r="K835">
        <v>3</v>
      </c>
      <c r="L835">
        <v>5</v>
      </c>
      <c r="M835" t="s">
        <v>143</v>
      </c>
      <c r="N835" t="s">
        <v>145</v>
      </c>
      <c r="O835" t="b">
        <v>1</v>
      </c>
      <c r="P835" t="b">
        <v>1</v>
      </c>
      <c r="Q835" s="6">
        <v>6</v>
      </c>
      <c r="R835" s="6">
        <v>0.6</v>
      </c>
      <c r="S835" t="s">
        <v>146</v>
      </c>
      <c r="T835" t="s">
        <v>147</v>
      </c>
      <c r="U835" s="6">
        <v>12</v>
      </c>
      <c r="V835" s="6">
        <v>18</v>
      </c>
      <c r="W835" t="b">
        <v>0</v>
      </c>
      <c r="X835">
        <v>6</v>
      </c>
      <c r="Y835">
        <v>2</v>
      </c>
      <c r="Z835">
        <v>18</v>
      </c>
      <c r="AA835" s="6">
        <v>28.186274509803919</v>
      </c>
      <c r="AB835">
        <f>--PizzaDelivery[[#This Row],[Is Delayed]]</f>
        <v>0</v>
      </c>
    </row>
    <row r="836" spans="1:28">
      <c r="A836" t="s">
        <v>1101</v>
      </c>
      <c r="B836" t="s">
        <v>157</v>
      </c>
      <c r="C836" t="s">
        <v>693</v>
      </c>
      <c r="D836" s="1">
        <v>45676</v>
      </c>
      <c r="E836" s="5">
        <v>0.80208333333333337</v>
      </c>
      <c r="F836" s="1">
        <v>45676</v>
      </c>
      <c r="G836" s="5">
        <v>0.82291666666666663</v>
      </c>
      <c r="H836">
        <v>30</v>
      </c>
      <c r="I836" t="s">
        <v>167</v>
      </c>
      <c r="J836" t="s">
        <v>168</v>
      </c>
      <c r="K836">
        <v>5</v>
      </c>
      <c r="L836">
        <v>6</v>
      </c>
      <c r="M836" t="s">
        <v>153</v>
      </c>
      <c r="N836" t="s">
        <v>162</v>
      </c>
      <c r="O836" t="b">
        <v>1</v>
      </c>
      <c r="P836" t="b">
        <v>0</v>
      </c>
      <c r="Q836" s="6">
        <v>5</v>
      </c>
      <c r="R836" s="6">
        <v>0.83333333333333337</v>
      </c>
      <c r="S836" t="s">
        <v>146</v>
      </c>
      <c r="T836" t="s">
        <v>147</v>
      </c>
      <c r="U836" s="6">
        <v>14.4</v>
      </c>
      <c r="V836" s="6">
        <v>15.6</v>
      </c>
      <c r="W836" t="b">
        <v>0</v>
      </c>
      <c r="X836">
        <v>20</v>
      </c>
      <c r="Y836">
        <v>3</v>
      </c>
      <c r="Z836">
        <v>19</v>
      </c>
      <c r="AA836" s="6">
        <v>28.844221105527641</v>
      </c>
      <c r="AB836">
        <f>--PizzaDelivery[[#This Row],[Is Delayed]]</f>
        <v>0</v>
      </c>
    </row>
    <row r="837" spans="1:28">
      <c r="A837" t="s">
        <v>1102</v>
      </c>
      <c r="B837" t="s">
        <v>173</v>
      </c>
      <c r="C837" t="s">
        <v>695</v>
      </c>
      <c r="D837" s="1">
        <v>45677</v>
      </c>
      <c r="E837" s="5">
        <v>0.85416666666666663</v>
      </c>
      <c r="F837" s="1">
        <v>45677</v>
      </c>
      <c r="G837" s="5">
        <v>0.875</v>
      </c>
      <c r="H837">
        <v>30</v>
      </c>
      <c r="I837" t="s">
        <v>143</v>
      </c>
      <c r="J837" t="s">
        <v>1021</v>
      </c>
      <c r="K837">
        <v>3</v>
      </c>
      <c r="L837">
        <v>4.5</v>
      </c>
      <c r="M837" t="s">
        <v>143</v>
      </c>
      <c r="N837" t="s">
        <v>169</v>
      </c>
      <c r="O837" t="b">
        <v>1</v>
      </c>
      <c r="P837" t="b">
        <v>0</v>
      </c>
      <c r="Q837" s="6">
        <v>6.666666666666667</v>
      </c>
      <c r="R837" s="6">
        <v>0.66666666666666663</v>
      </c>
      <c r="S837" t="s">
        <v>146</v>
      </c>
      <c r="T837" t="s">
        <v>171</v>
      </c>
      <c r="U837" s="6">
        <v>10.8</v>
      </c>
      <c r="V837" s="6">
        <v>19.2</v>
      </c>
      <c r="W837" t="b">
        <v>0</v>
      </c>
      <c r="X837">
        <v>6</v>
      </c>
      <c r="Y837">
        <v>2</v>
      </c>
      <c r="Z837">
        <v>20</v>
      </c>
      <c r="AA837" s="6">
        <v>30.286458333333329</v>
      </c>
      <c r="AB837">
        <f>--PizzaDelivery[[#This Row],[Is Delayed]]</f>
        <v>0</v>
      </c>
    </row>
    <row r="838" spans="1:28">
      <c r="A838" t="s">
        <v>1103</v>
      </c>
      <c r="B838" t="s">
        <v>149</v>
      </c>
      <c r="C838" t="s">
        <v>712</v>
      </c>
      <c r="D838" s="1">
        <v>45678</v>
      </c>
      <c r="E838" s="5">
        <v>0.75</v>
      </c>
      <c r="F838" s="1">
        <v>45678</v>
      </c>
      <c r="G838" s="5">
        <v>0.77083333333333337</v>
      </c>
      <c r="H838">
        <v>30</v>
      </c>
      <c r="I838" t="s">
        <v>143</v>
      </c>
      <c r="J838" t="s">
        <v>1018</v>
      </c>
      <c r="K838">
        <v>3</v>
      </c>
      <c r="L838">
        <v>5</v>
      </c>
      <c r="M838" t="s">
        <v>143</v>
      </c>
      <c r="N838" t="s">
        <v>162</v>
      </c>
      <c r="O838" t="b">
        <v>1</v>
      </c>
      <c r="P838" t="b">
        <v>0</v>
      </c>
      <c r="Q838" s="6">
        <v>6</v>
      </c>
      <c r="R838" s="6">
        <v>0.6</v>
      </c>
      <c r="S838" t="s">
        <v>146</v>
      </c>
      <c r="T838" t="s">
        <v>147</v>
      </c>
      <c r="U838" s="6">
        <v>12</v>
      </c>
      <c r="V838" s="6">
        <v>18</v>
      </c>
      <c r="W838" t="b">
        <v>0</v>
      </c>
      <c r="X838">
        <v>6</v>
      </c>
      <c r="Y838">
        <v>2</v>
      </c>
      <c r="Z838">
        <v>18</v>
      </c>
      <c r="AA838" s="6">
        <v>28.186274509803919</v>
      </c>
      <c r="AB838">
        <f>--PizzaDelivery[[#This Row],[Is Delayed]]</f>
        <v>0</v>
      </c>
    </row>
    <row r="839" spans="1:28">
      <c r="A839" t="s">
        <v>1104</v>
      </c>
      <c r="B839" t="s">
        <v>157</v>
      </c>
      <c r="C839" t="s">
        <v>693</v>
      </c>
      <c r="D839" s="1">
        <v>45679</v>
      </c>
      <c r="E839" s="5">
        <v>0.80208333333333337</v>
      </c>
      <c r="F839" s="1">
        <v>45679</v>
      </c>
      <c r="G839" s="5">
        <v>0.82291666666666663</v>
      </c>
      <c r="H839">
        <v>30</v>
      </c>
      <c r="I839" t="s">
        <v>167</v>
      </c>
      <c r="J839" t="s">
        <v>168</v>
      </c>
      <c r="K839">
        <v>5</v>
      </c>
      <c r="L839">
        <v>6</v>
      </c>
      <c r="M839" t="s">
        <v>153</v>
      </c>
      <c r="N839" t="s">
        <v>145</v>
      </c>
      <c r="O839" t="b">
        <v>1</v>
      </c>
      <c r="P839" t="b">
        <v>0</v>
      </c>
      <c r="Q839" s="6">
        <v>5</v>
      </c>
      <c r="R839" s="6">
        <v>0.83333333333333337</v>
      </c>
      <c r="S839" t="s">
        <v>146</v>
      </c>
      <c r="T839" t="s">
        <v>147</v>
      </c>
      <c r="U839" s="6">
        <v>14.4</v>
      </c>
      <c r="V839" s="6">
        <v>15.6</v>
      </c>
      <c r="W839" t="b">
        <v>0</v>
      </c>
      <c r="X839">
        <v>20</v>
      </c>
      <c r="Y839">
        <v>3</v>
      </c>
      <c r="Z839">
        <v>19</v>
      </c>
      <c r="AA839" s="6">
        <v>28.844221105527641</v>
      </c>
      <c r="AB839">
        <f>--PizzaDelivery[[#This Row],[Is Delayed]]</f>
        <v>0</v>
      </c>
    </row>
    <row r="840" spans="1:28">
      <c r="A840" t="s">
        <v>1105</v>
      </c>
      <c r="B840" t="s">
        <v>173</v>
      </c>
      <c r="C840" t="s">
        <v>695</v>
      </c>
      <c r="D840" s="1">
        <v>45680</v>
      </c>
      <c r="E840" s="5">
        <v>0.85416666666666663</v>
      </c>
      <c r="F840" s="1">
        <v>45680</v>
      </c>
      <c r="G840" s="5">
        <v>0.875</v>
      </c>
      <c r="H840">
        <v>30</v>
      </c>
      <c r="I840" t="s">
        <v>143</v>
      </c>
      <c r="J840" t="s">
        <v>1021</v>
      </c>
      <c r="K840">
        <v>3</v>
      </c>
      <c r="L840">
        <v>4.5</v>
      </c>
      <c r="M840" t="s">
        <v>143</v>
      </c>
      <c r="N840" t="s">
        <v>169</v>
      </c>
      <c r="O840" t="b">
        <v>1</v>
      </c>
      <c r="P840" t="b">
        <v>0</v>
      </c>
      <c r="Q840" s="6">
        <v>6.666666666666667</v>
      </c>
      <c r="R840" s="6">
        <v>0.66666666666666663</v>
      </c>
      <c r="S840" t="s">
        <v>146</v>
      </c>
      <c r="T840" t="s">
        <v>171</v>
      </c>
      <c r="U840" s="6">
        <v>10.8</v>
      </c>
      <c r="V840" s="6">
        <v>19.2</v>
      </c>
      <c r="W840" t="b">
        <v>0</v>
      </c>
      <c r="X840">
        <v>6</v>
      </c>
      <c r="Y840">
        <v>2</v>
      </c>
      <c r="Z840">
        <v>20</v>
      </c>
      <c r="AA840" s="6">
        <v>30.286458333333329</v>
      </c>
      <c r="AB840">
        <f>--PizzaDelivery[[#This Row],[Is Delayed]]</f>
        <v>0</v>
      </c>
    </row>
    <row r="841" spans="1:28">
      <c r="A841" t="s">
        <v>1106</v>
      </c>
      <c r="B841" t="s">
        <v>142</v>
      </c>
      <c r="C841" t="s">
        <v>697</v>
      </c>
      <c r="D841" s="1">
        <v>45681</v>
      </c>
      <c r="E841" s="5">
        <v>0.79166666666666663</v>
      </c>
      <c r="F841" s="1">
        <v>45681</v>
      </c>
      <c r="G841" s="5">
        <v>0.8125</v>
      </c>
      <c r="H841">
        <v>30</v>
      </c>
      <c r="I841" t="s">
        <v>151</v>
      </c>
      <c r="J841" t="s">
        <v>657</v>
      </c>
      <c r="K841">
        <v>4</v>
      </c>
      <c r="L841">
        <v>5.5</v>
      </c>
      <c r="M841" t="s">
        <v>143</v>
      </c>
      <c r="N841" t="s">
        <v>162</v>
      </c>
      <c r="O841" t="b">
        <v>1</v>
      </c>
      <c r="P841" t="b">
        <v>1</v>
      </c>
      <c r="Q841" s="6">
        <v>5.4545454545454541</v>
      </c>
      <c r="R841" s="6">
        <v>0.72727272727272729</v>
      </c>
      <c r="S841" t="s">
        <v>146</v>
      </c>
      <c r="T841" t="s">
        <v>147</v>
      </c>
      <c r="U841" s="6">
        <v>13.2</v>
      </c>
      <c r="V841" s="6">
        <v>16.8</v>
      </c>
      <c r="W841" t="b">
        <v>0</v>
      </c>
      <c r="X841">
        <v>12</v>
      </c>
      <c r="Y841">
        <v>2</v>
      </c>
      <c r="Z841">
        <v>19</v>
      </c>
      <c r="AA841" s="6">
        <v>30.259433962264151</v>
      </c>
      <c r="AB841">
        <f>--PizzaDelivery[[#This Row],[Is Delayed]]</f>
        <v>0</v>
      </c>
    </row>
    <row r="842" spans="1:28">
      <c r="A842" t="s">
        <v>1107</v>
      </c>
      <c r="B842" t="s">
        <v>165</v>
      </c>
      <c r="C842" t="s">
        <v>188</v>
      </c>
      <c r="D842" s="1">
        <v>45682</v>
      </c>
      <c r="E842" s="5">
        <v>0.84375</v>
      </c>
      <c r="F842" s="1">
        <v>45682</v>
      </c>
      <c r="G842" s="5">
        <v>0.86458333333333337</v>
      </c>
      <c r="H842">
        <v>30</v>
      </c>
      <c r="I842" t="s">
        <v>143</v>
      </c>
      <c r="J842" t="s">
        <v>144</v>
      </c>
      <c r="K842">
        <v>2</v>
      </c>
      <c r="L842">
        <v>4</v>
      </c>
      <c r="M842" t="s">
        <v>161</v>
      </c>
      <c r="N842" t="s">
        <v>154</v>
      </c>
      <c r="O842" t="b">
        <v>1</v>
      </c>
      <c r="P842" t="b">
        <v>1</v>
      </c>
      <c r="Q842" s="6">
        <v>7.5</v>
      </c>
      <c r="R842" s="6">
        <v>0.5</v>
      </c>
      <c r="S842" t="s">
        <v>146</v>
      </c>
      <c r="T842" t="s">
        <v>147</v>
      </c>
      <c r="U842" s="6">
        <v>9.6</v>
      </c>
      <c r="V842" s="6">
        <v>20.399999999999999</v>
      </c>
      <c r="W842" t="b">
        <v>0</v>
      </c>
      <c r="X842">
        <v>4</v>
      </c>
      <c r="Y842">
        <v>1</v>
      </c>
      <c r="Z842">
        <v>20</v>
      </c>
      <c r="AA842" s="6">
        <v>29.948453608247419</v>
      </c>
      <c r="AB842">
        <f>--PizzaDelivery[[#This Row],[Is Delayed]]</f>
        <v>0</v>
      </c>
    </row>
    <row r="843" spans="1:28">
      <c r="A843" t="s">
        <v>1108</v>
      </c>
      <c r="B843" t="s">
        <v>149</v>
      </c>
      <c r="C843" t="s">
        <v>712</v>
      </c>
      <c r="D843" s="1">
        <v>45683</v>
      </c>
      <c r="E843" s="5">
        <v>0.77083333333333337</v>
      </c>
      <c r="F843" s="1">
        <v>45683</v>
      </c>
      <c r="G843" s="5">
        <v>0.79166666666666663</v>
      </c>
      <c r="H843">
        <v>30</v>
      </c>
      <c r="I843" t="s">
        <v>143</v>
      </c>
      <c r="J843" t="s">
        <v>1018</v>
      </c>
      <c r="K843">
        <v>3</v>
      </c>
      <c r="L843">
        <v>5</v>
      </c>
      <c r="M843" t="s">
        <v>143</v>
      </c>
      <c r="N843" t="s">
        <v>145</v>
      </c>
      <c r="O843" t="b">
        <v>1</v>
      </c>
      <c r="P843" t="b">
        <v>0</v>
      </c>
      <c r="Q843" s="6">
        <v>6</v>
      </c>
      <c r="R843" s="6">
        <v>0.6</v>
      </c>
      <c r="S843" t="s">
        <v>146</v>
      </c>
      <c r="T843" t="s">
        <v>147</v>
      </c>
      <c r="U843" s="6">
        <v>12</v>
      </c>
      <c r="V843" s="6">
        <v>18</v>
      </c>
      <c r="W843" t="b">
        <v>0</v>
      </c>
      <c r="X843">
        <v>6</v>
      </c>
      <c r="Y843">
        <v>2</v>
      </c>
      <c r="Z843">
        <v>18</v>
      </c>
      <c r="AA843" s="6">
        <v>28.186274509803919</v>
      </c>
      <c r="AB843">
        <f>--PizzaDelivery[[#This Row],[Is Delayed]]</f>
        <v>0</v>
      </c>
    </row>
    <row r="844" spans="1:28">
      <c r="A844" t="s">
        <v>1109</v>
      </c>
      <c r="B844" t="s">
        <v>157</v>
      </c>
      <c r="C844" t="s">
        <v>693</v>
      </c>
      <c r="D844" s="1">
        <v>45684</v>
      </c>
      <c r="E844" s="5">
        <v>0.82291666666666663</v>
      </c>
      <c r="F844" s="1">
        <v>45684</v>
      </c>
      <c r="G844" s="5">
        <v>0.84375</v>
      </c>
      <c r="H844">
        <v>30</v>
      </c>
      <c r="I844" t="s">
        <v>167</v>
      </c>
      <c r="J844" t="s">
        <v>168</v>
      </c>
      <c r="K844">
        <v>5</v>
      </c>
      <c r="L844">
        <v>6</v>
      </c>
      <c r="M844" t="s">
        <v>153</v>
      </c>
      <c r="N844" t="s">
        <v>162</v>
      </c>
      <c r="O844" t="b">
        <v>1</v>
      </c>
      <c r="P844" t="b">
        <v>0</v>
      </c>
      <c r="Q844" s="6">
        <v>5</v>
      </c>
      <c r="R844" s="6">
        <v>0.83333333333333337</v>
      </c>
      <c r="S844" t="s">
        <v>146</v>
      </c>
      <c r="T844" t="s">
        <v>147</v>
      </c>
      <c r="U844" s="6">
        <v>14.4</v>
      </c>
      <c r="V844" s="6">
        <v>15.6</v>
      </c>
      <c r="W844" t="b">
        <v>0</v>
      </c>
      <c r="X844">
        <v>20</v>
      </c>
      <c r="Y844">
        <v>3</v>
      </c>
      <c r="Z844">
        <v>19</v>
      </c>
      <c r="AA844" s="6">
        <v>28.844221105527641</v>
      </c>
      <c r="AB844">
        <f>--PizzaDelivery[[#This Row],[Is Delayed]]</f>
        <v>0</v>
      </c>
    </row>
    <row r="845" spans="1:28">
      <c r="A845" t="s">
        <v>1110</v>
      </c>
      <c r="B845" t="s">
        <v>173</v>
      </c>
      <c r="C845" t="s">
        <v>695</v>
      </c>
      <c r="D845" s="1">
        <v>45685</v>
      </c>
      <c r="E845" s="5">
        <v>0.83333333333333337</v>
      </c>
      <c r="F845" s="1">
        <v>45685</v>
      </c>
      <c r="G845" s="5">
        <v>0.85416666666666663</v>
      </c>
      <c r="H845">
        <v>30</v>
      </c>
      <c r="I845" t="s">
        <v>143</v>
      </c>
      <c r="J845" t="s">
        <v>1021</v>
      </c>
      <c r="K845">
        <v>3</v>
      </c>
      <c r="L845">
        <v>4.5</v>
      </c>
      <c r="M845" t="s">
        <v>143</v>
      </c>
      <c r="N845" t="s">
        <v>169</v>
      </c>
      <c r="O845" t="b">
        <v>1</v>
      </c>
      <c r="P845" t="b">
        <v>0</v>
      </c>
      <c r="Q845" s="6">
        <v>6.666666666666667</v>
      </c>
      <c r="R845" s="6">
        <v>0.66666666666666663</v>
      </c>
      <c r="S845" t="s">
        <v>146</v>
      </c>
      <c r="T845" t="s">
        <v>171</v>
      </c>
      <c r="U845" s="6">
        <v>10.8</v>
      </c>
      <c r="V845" s="6">
        <v>19.2</v>
      </c>
      <c r="W845" t="b">
        <v>0</v>
      </c>
      <c r="X845">
        <v>6</v>
      </c>
      <c r="Y845">
        <v>2</v>
      </c>
      <c r="Z845">
        <v>20</v>
      </c>
      <c r="AA845" s="6">
        <v>30.286458333333329</v>
      </c>
      <c r="AB845">
        <f>--PizzaDelivery[[#This Row],[Is Delayed]]</f>
        <v>0</v>
      </c>
    </row>
    <row r="846" spans="1:28">
      <c r="A846" t="s">
        <v>1111</v>
      </c>
      <c r="B846" t="s">
        <v>142</v>
      </c>
      <c r="C846" t="s">
        <v>697</v>
      </c>
      <c r="D846" s="1">
        <v>45686</v>
      </c>
      <c r="E846" s="5">
        <v>0.80208333333333337</v>
      </c>
      <c r="F846" s="1">
        <v>45686</v>
      </c>
      <c r="G846" s="5">
        <v>0.82291666666666663</v>
      </c>
      <c r="H846">
        <v>30</v>
      </c>
      <c r="I846" t="s">
        <v>151</v>
      </c>
      <c r="J846" t="s">
        <v>657</v>
      </c>
      <c r="K846">
        <v>4</v>
      </c>
      <c r="L846">
        <v>5.5</v>
      </c>
      <c r="M846" t="s">
        <v>143</v>
      </c>
      <c r="N846" t="s">
        <v>162</v>
      </c>
      <c r="O846" t="b">
        <v>1</v>
      </c>
      <c r="P846" t="b">
        <v>0</v>
      </c>
      <c r="Q846" s="6">
        <v>5.4545454545454541</v>
      </c>
      <c r="R846" s="6">
        <v>0.72727272727272729</v>
      </c>
      <c r="S846" t="s">
        <v>146</v>
      </c>
      <c r="T846" t="s">
        <v>147</v>
      </c>
      <c r="U846" s="6">
        <v>13.2</v>
      </c>
      <c r="V846" s="6">
        <v>16.8</v>
      </c>
      <c r="W846" t="b">
        <v>0</v>
      </c>
      <c r="X846">
        <v>12</v>
      </c>
      <c r="Y846">
        <v>2</v>
      </c>
      <c r="Z846">
        <v>19</v>
      </c>
      <c r="AA846" s="6">
        <v>30.259433962264151</v>
      </c>
      <c r="AB846">
        <f>--PizzaDelivery[[#This Row],[Is Delayed]]</f>
        <v>0</v>
      </c>
    </row>
    <row r="847" spans="1:28">
      <c r="A847" t="s">
        <v>1112</v>
      </c>
      <c r="B847" t="s">
        <v>165</v>
      </c>
      <c r="C847" t="s">
        <v>188</v>
      </c>
      <c r="D847" s="1">
        <v>45687</v>
      </c>
      <c r="E847" s="5">
        <v>0.85416666666666663</v>
      </c>
      <c r="F847" s="1">
        <v>45687</v>
      </c>
      <c r="G847" s="5">
        <v>0.875</v>
      </c>
      <c r="H847">
        <v>30</v>
      </c>
      <c r="I847" t="s">
        <v>143</v>
      </c>
      <c r="J847" t="s">
        <v>144</v>
      </c>
      <c r="K847">
        <v>2</v>
      </c>
      <c r="L847">
        <v>4</v>
      </c>
      <c r="M847" t="s">
        <v>161</v>
      </c>
      <c r="N847" t="s">
        <v>154</v>
      </c>
      <c r="O847" t="b">
        <v>1</v>
      </c>
      <c r="P847" t="b">
        <v>0</v>
      </c>
      <c r="Q847" s="6">
        <v>7.5</v>
      </c>
      <c r="R847" s="6">
        <v>0.5</v>
      </c>
      <c r="S847" t="s">
        <v>146</v>
      </c>
      <c r="T847" t="s">
        <v>147</v>
      </c>
      <c r="U847" s="6">
        <v>9.6</v>
      </c>
      <c r="V847" s="6">
        <v>20.399999999999999</v>
      </c>
      <c r="W847" t="b">
        <v>0</v>
      </c>
      <c r="X847">
        <v>4</v>
      </c>
      <c r="Y847">
        <v>1</v>
      </c>
      <c r="Z847">
        <v>20</v>
      </c>
      <c r="AA847" s="6">
        <v>29.948453608247419</v>
      </c>
      <c r="AB847">
        <f>--PizzaDelivery[[#This Row],[Is Delayed]]</f>
        <v>0</v>
      </c>
    </row>
    <row r="848" spans="1:28">
      <c r="A848" t="s">
        <v>1113</v>
      </c>
      <c r="B848" t="s">
        <v>149</v>
      </c>
      <c r="C848" t="s">
        <v>712</v>
      </c>
      <c r="D848" s="1">
        <v>45688</v>
      </c>
      <c r="E848" s="5">
        <v>0.78125</v>
      </c>
      <c r="F848" s="1">
        <v>45688</v>
      </c>
      <c r="G848" s="5">
        <v>0.80208333333333337</v>
      </c>
      <c r="H848">
        <v>30</v>
      </c>
      <c r="I848" t="s">
        <v>143</v>
      </c>
      <c r="J848" t="s">
        <v>1018</v>
      </c>
      <c r="K848">
        <v>3</v>
      </c>
      <c r="L848">
        <v>5</v>
      </c>
      <c r="M848" t="s">
        <v>143</v>
      </c>
      <c r="N848" t="s">
        <v>145</v>
      </c>
      <c r="O848" t="b">
        <v>1</v>
      </c>
      <c r="P848" t="b">
        <v>1</v>
      </c>
      <c r="Q848" s="6">
        <v>6</v>
      </c>
      <c r="R848" s="6">
        <v>0.6</v>
      </c>
      <c r="S848" t="s">
        <v>146</v>
      </c>
      <c r="T848" t="s">
        <v>147</v>
      </c>
      <c r="U848" s="6">
        <v>12</v>
      </c>
      <c r="V848" s="6">
        <v>18</v>
      </c>
      <c r="W848" t="b">
        <v>0</v>
      </c>
      <c r="X848">
        <v>6</v>
      </c>
      <c r="Y848">
        <v>2</v>
      </c>
      <c r="Z848">
        <v>18</v>
      </c>
      <c r="AA848" s="6">
        <v>28.186274509803919</v>
      </c>
      <c r="AB848">
        <f>--PizzaDelivery[[#This Row],[Is Delayed]]</f>
        <v>0</v>
      </c>
    </row>
    <row r="849" spans="1:28">
      <c r="A849" t="s">
        <v>1114</v>
      </c>
      <c r="B849" t="s">
        <v>157</v>
      </c>
      <c r="C849" t="s">
        <v>693</v>
      </c>
      <c r="D849" s="1">
        <v>45689</v>
      </c>
      <c r="E849" s="5">
        <v>0.79166666666666663</v>
      </c>
      <c r="F849" s="1">
        <v>45689</v>
      </c>
      <c r="G849" s="5">
        <v>0.8125</v>
      </c>
      <c r="H849">
        <v>30</v>
      </c>
      <c r="I849" t="s">
        <v>167</v>
      </c>
      <c r="J849" t="s">
        <v>168</v>
      </c>
      <c r="K849">
        <v>5</v>
      </c>
      <c r="L849">
        <v>6</v>
      </c>
      <c r="M849" t="s">
        <v>153</v>
      </c>
      <c r="N849" t="s">
        <v>162</v>
      </c>
      <c r="O849" t="b">
        <v>1</v>
      </c>
      <c r="P849" t="b">
        <v>1</v>
      </c>
      <c r="Q849" s="6">
        <v>5</v>
      </c>
      <c r="R849" s="6">
        <v>0.83333333333333337</v>
      </c>
      <c r="S849" t="s">
        <v>155</v>
      </c>
      <c r="T849" t="s">
        <v>147</v>
      </c>
      <c r="U849" s="6">
        <v>14.4</v>
      </c>
      <c r="V849" s="6">
        <v>15.6</v>
      </c>
      <c r="W849" t="b">
        <v>0</v>
      </c>
      <c r="X849">
        <v>20</v>
      </c>
      <c r="Y849">
        <v>3</v>
      </c>
      <c r="Z849">
        <v>19</v>
      </c>
      <c r="AA849" s="6">
        <v>28.844221105527641</v>
      </c>
      <c r="AB849">
        <f>--PizzaDelivery[[#This Row],[Is Delayed]]</f>
        <v>0</v>
      </c>
    </row>
    <row r="850" spans="1:28">
      <c r="A850" t="s">
        <v>1115</v>
      </c>
      <c r="B850" t="s">
        <v>173</v>
      </c>
      <c r="C850" t="s">
        <v>695</v>
      </c>
      <c r="D850" s="1">
        <v>45690</v>
      </c>
      <c r="E850" s="5">
        <v>0.84375</v>
      </c>
      <c r="F850" s="1">
        <v>45690</v>
      </c>
      <c r="G850" s="5">
        <v>0.86458333333333337</v>
      </c>
      <c r="H850">
        <v>30</v>
      </c>
      <c r="I850" t="s">
        <v>143</v>
      </c>
      <c r="J850" t="s">
        <v>1021</v>
      </c>
      <c r="K850">
        <v>3</v>
      </c>
      <c r="L850">
        <v>4.5</v>
      </c>
      <c r="M850" t="s">
        <v>143</v>
      </c>
      <c r="N850" t="s">
        <v>169</v>
      </c>
      <c r="O850" t="b">
        <v>1</v>
      </c>
      <c r="P850" t="b">
        <v>0</v>
      </c>
      <c r="Q850" s="6">
        <v>6.666666666666667</v>
      </c>
      <c r="R850" s="6">
        <v>0.66666666666666663</v>
      </c>
      <c r="S850" t="s">
        <v>155</v>
      </c>
      <c r="T850" t="s">
        <v>171</v>
      </c>
      <c r="U850" s="6">
        <v>10.8</v>
      </c>
      <c r="V850" s="6">
        <v>19.2</v>
      </c>
      <c r="W850" t="b">
        <v>0</v>
      </c>
      <c r="X850">
        <v>6</v>
      </c>
      <c r="Y850">
        <v>2</v>
      </c>
      <c r="Z850">
        <v>20</v>
      </c>
      <c r="AA850" s="6">
        <v>30.286458333333329</v>
      </c>
      <c r="AB850">
        <f>--PizzaDelivery[[#This Row],[Is Delayed]]</f>
        <v>0</v>
      </c>
    </row>
    <row r="851" spans="1:28">
      <c r="A851" t="s">
        <v>1116</v>
      </c>
      <c r="B851" t="s">
        <v>142</v>
      </c>
      <c r="C851" t="s">
        <v>697</v>
      </c>
      <c r="D851" s="1">
        <v>45691</v>
      </c>
      <c r="E851" s="5">
        <v>0.8125</v>
      </c>
      <c r="F851" s="1">
        <v>45691</v>
      </c>
      <c r="G851" s="5">
        <v>0.83333333333333337</v>
      </c>
      <c r="H851">
        <v>30</v>
      </c>
      <c r="I851" t="s">
        <v>151</v>
      </c>
      <c r="J851" t="s">
        <v>657</v>
      </c>
      <c r="K851">
        <v>4</v>
      </c>
      <c r="L851">
        <v>5.5</v>
      </c>
      <c r="M851" t="s">
        <v>143</v>
      </c>
      <c r="N851" t="s">
        <v>162</v>
      </c>
      <c r="O851" t="b">
        <v>1</v>
      </c>
      <c r="P851" t="b">
        <v>0</v>
      </c>
      <c r="Q851" s="6">
        <v>5.4545454545454541</v>
      </c>
      <c r="R851" s="6">
        <v>0.72727272727272729</v>
      </c>
      <c r="S851" t="s">
        <v>155</v>
      </c>
      <c r="T851" t="s">
        <v>147</v>
      </c>
      <c r="U851" s="6">
        <v>13.2</v>
      </c>
      <c r="V851" s="6">
        <v>16.8</v>
      </c>
      <c r="W851" t="b">
        <v>0</v>
      </c>
      <c r="X851">
        <v>12</v>
      </c>
      <c r="Y851">
        <v>2</v>
      </c>
      <c r="Z851">
        <v>19</v>
      </c>
      <c r="AA851" s="6">
        <v>30.259433962264151</v>
      </c>
      <c r="AB851">
        <f>--PizzaDelivery[[#This Row],[Is Delayed]]</f>
        <v>0</v>
      </c>
    </row>
    <row r="852" spans="1:28">
      <c r="A852" t="s">
        <v>1117</v>
      </c>
      <c r="B852" t="s">
        <v>165</v>
      </c>
      <c r="C852" t="s">
        <v>188</v>
      </c>
      <c r="D852" s="1">
        <v>45692</v>
      </c>
      <c r="E852" s="5">
        <v>0.86458333333333337</v>
      </c>
      <c r="F852" s="1">
        <v>45692</v>
      </c>
      <c r="G852" s="5">
        <v>0.88541666666666663</v>
      </c>
      <c r="H852">
        <v>30</v>
      </c>
      <c r="I852" t="s">
        <v>143</v>
      </c>
      <c r="J852" t="s">
        <v>144</v>
      </c>
      <c r="K852">
        <v>2</v>
      </c>
      <c r="L852">
        <v>4</v>
      </c>
      <c r="M852" t="s">
        <v>161</v>
      </c>
      <c r="N852" t="s">
        <v>154</v>
      </c>
      <c r="O852" t="b">
        <v>1</v>
      </c>
      <c r="P852" t="b">
        <v>0</v>
      </c>
      <c r="Q852" s="6">
        <v>7.5</v>
      </c>
      <c r="R852" s="6">
        <v>0.5</v>
      </c>
      <c r="S852" t="s">
        <v>155</v>
      </c>
      <c r="T852" t="s">
        <v>147</v>
      </c>
      <c r="U852" s="6">
        <v>9.6</v>
      </c>
      <c r="V852" s="6">
        <v>20.399999999999999</v>
      </c>
      <c r="W852" t="b">
        <v>0</v>
      </c>
      <c r="X852">
        <v>4</v>
      </c>
      <c r="Y852">
        <v>1</v>
      </c>
      <c r="Z852">
        <v>20</v>
      </c>
      <c r="AA852" s="6">
        <v>29.948453608247419</v>
      </c>
      <c r="AB852">
        <f>--PizzaDelivery[[#This Row],[Is Delayed]]</f>
        <v>0</v>
      </c>
    </row>
    <row r="853" spans="1:28">
      <c r="A853" t="s">
        <v>1118</v>
      </c>
      <c r="B853" t="s">
        <v>149</v>
      </c>
      <c r="C853" t="s">
        <v>712</v>
      </c>
      <c r="D853" s="1">
        <v>45693</v>
      </c>
      <c r="E853" s="5">
        <v>0.75</v>
      </c>
      <c r="F853" s="1">
        <v>45693</v>
      </c>
      <c r="G853" s="5">
        <v>0.77083333333333337</v>
      </c>
      <c r="H853">
        <v>30</v>
      </c>
      <c r="I853" t="s">
        <v>143</v>
      </c>
      <c r="J853" t="s">
        <v>1018</v>
      </c>
      <c r="K853">
        <v>3</v>
      </c>
      <c r="L853">
        <v>5</v>
      </c>
      <c r="M853" t="s">
        <v>143</v>
      </c>
      <c r="N853" t="s">
        <v>145</v>
      </c>
      <c r="O853" t="b">
        <v>1</v>
      </c>
      <c r="P853" t="b">
        <v>0</v>
      </c>
      <c r="Q853" s="6">
        <v>6</v>
      </c>
      <c r="R853" s="6">
        <v>0.6</v>
      </c>
      <c r="S853" t="s">
        <v>155</v>
      </c>
      <c r="T853" t="s">
        <v>147</v>
      </c>
      <c r="U853" s="6">
        <v>12</v>
      </c>
      <c r="V853" s="6">
        <v>18</v>
      </c>
      <c r="W853" t="b">
        <v>0</v>
      </c>
      <c r="X853">
        <v>6</v>
      </c>
      <c r="Y853">
        <v>2</v>
      </c>
      <c r="Z853">
        <v>18</v>
      </c>
      <c r="AA853" s="6">
        <v>28.186274509803919</v>
      </c>
      <c r="AB853">
        <f>--PizzaDelivery[[#This Row],[Is Delayed]]</f>
        <v>0</v>
      </c>
    </row>
    <row r="854" spans="1:28">
      <c r="A854" t="s">
        <v>1119</v>
      </c>
      <c r="B854" t="s">
        <v>157</v>
      </c>
      <c r="C854" t="s">
        <v>693</v>
      </c>
      <c r="D854" s="1">
        <v>45694</v>
      </c>
      <c r="E854" s="5">
        <v>0.80208333333333337</v>
      </c>
      <c r="F854" s="1">
        <v>45694</v>
      </c>
      <c r="G854" s="5">
        <v>0.82291666666666663</v>
      </c>
      <c r="H854">
        <v>30</v>
      </c>
      <c r="I854" t="s">
        <v>167</v>
      </c>
      <c r="J854" t="s">
        <v>168</v>
      </c>
      <c r="K854">
        <v>5</v>
      </c>
      <c r="L854">
        <v>6</v>
      </c>
      <c r="M854" t="s">
        <v>153</v>
      </c>
      <c r="N854" t="s">
        <v>162</v>
      </c>
      <c r="O854" t="b">
        <v>1</v>
      </c>
      <c r="P854" t="b">
        <v>0</v>
      </c>
      <c r="Q854" s="6">
        <v>5</v>
      </c>
      <c r="R854" s="6">
        <v>0.83333333333333337</v>
      </c>
      <c r="S854" t="s">
        <v>155</v>
      </c>
      <c r="T854" t="s">
        <v>147</v>
      </c>
      <c r="U854" s="6">
        <v>14.4</v>
      </c>
      <c r="V854" s="6">
        <v>15.6</v>
      </c>
      <c r="W854" t="b">
        <v>0</v>
      </c>
      <c r="X854">
        <v>20</v>
      </c>
      <c r="Y854">
        <v>3</v>
      </c>
      <c r="Z854">
        <v>19</v>
      </c>
      <c r="AA854" s="6">
        <v>28.844221105527641</v>
      </c>
      <c r="AB854">
        <f>--PizzaDelivery[[#This Row],[Is Delayed]]</f>
        <v>0</v>
      </c>
    </row>
    <row r="855" spans="1:28">
      <c r="A855" t="s">
        <v>1120</v>
      </c>
      <c r="B855" t="s">
        <v>173</v>
      </c>
      <c r="C855" t="s">
        <v>695</v>
      </c>
      <c r="D855" s="1">
        <v>45695</v>
      </c>
      <c r="E855" s="5">
        <v>0.85416666666666663</v>
      </c>
      <c r="F855" s="1">
        <v>45695</v>
      </c>
      <c r="G855" s="5">
        <v>0.875</v>
      </c>
      <c r="H855">
        <v>30</v>
      </c>
      <c r="I855" t="s">
        <v>143</v>
      </c>
      <c r="J855" t="s">
        <v>1021</v>
      </c>
      <c r="K855">
        <v>3</v>
      </c>
      <c r="L855">
        <v>4.5</v>
      </c>
      <c r="M855" t="s">
        <v>143</v>
      </c>
      <c r="N855" t="s">
        <v>169</v>
      </c>
      <c r="O855" t="b">
        <v>1</v>
      </c>
      <c r="P855" t="b">
        <v>1</v>
      </c>
      <c r="Q855" s="6">
        <v>6.666666666666667</v>
      </c>
      <c r="R855" s="6">
        <v>0.66666666666666663</v>
      </c>
      <c r="S855" t="s">
        <v>155</v>
      </c>
      <c r="T855" t="s">
        <v>171</v>
      </c>
      <c r="U855" s="6">
        <v>10.8</v>
      </c>
      <c r="V855" s="6">
        <v>19.2</v>
      </c>
      <c r="W855" t="b">
        <v>0</v>
      </c>
      <c r="X855">
        <v>6</v>
      </c>
      <c r="Y855">
        <v>2</v>
      </c>
      <c r="Z855">
        <v>20</v>
      </c>
      <c r="AA855" s="6">
        <v>30.286458333333329</v>
      </c>
      <c r="AB855">
        <f>--PizzaDelivery[[#This Row],[Is Delayed]]</f>
        <v>0</v>
      </c>
    </row>
    <row r="856" spans="1:28">
      <c r="A856" t="s">
        <v>1121</v>
      </c>
      <c r="B856" t="s">
        <v>142</v>
      </c>
      <c r="C856" t="s">
        <v>697</v>
      </c>
      <c r="D856" s="1">
        <v>45696</v>
      </c>
      <c r="E856" s="5">
        <v>0.79166666666666663</v>
      </c>
      <c r="F856" s="1">
        <v>45696</v>
      </c>
      <c r="G856" s="5">
        <v>0.8125</v>
      </c>
      <c r="H856">
        <v>30</v>
      </c>
      <c r="I856" t="s">
        <v>151</v>
      </c>
      <c r="J856" t="s">
        <v>657</v>
      </c>
      <c r="K856">
        <v>4</v>
      </c>
      <c r="L856">
        <v>5.5</v>
      </c>
      <c r="M856" t="s">
        <v>143</v>
      </c>
      <c r="N856" t="s">
        <v>162</v>
      </c>
      <c r="O856" t="b">
        <v>1</v>
      </c>
      <c r="P856" t="b">
        <v>1</v>
      </c>
      <c r="Q856" s="6">
        <v>5.4545454545454541</v>
      </c>
      <c r="R856" s="6">
        <v>0.72727272727272729</v>
      </c>
      <c r="S856" t="s">
        <v>155</v>
      </c>
      <c r="T856" t="s">
        <v>147</v>
      </c>
      <c r="U856" s="6">
        <v>13.2</v>
      </c>
      <c r="V856" s="6">
        <v>16.8</v>
      </c>
      <c r="W856" t="b">
        <v>0</v>
      </c>
      <c r="X856">
        <v>12</v>
      </c>
      <c r="Y856">
        <v>2</v>
      </c>
      <c r="Z856">
        <v>19</v>
      </c>
      <c r="AA856" s="6">
        <v>30.259433962264151</v>
      </c>
      <c r="AB856">
        <f>--PizzaDelivery[[#This Row],[Is Delayed]]</f>
        <v>0</v>
      </c>
    </row>
    <row r="857" spans="1:28">
      <c r="A857" t="s">
        <v>1122</v>
      </c>
      <c r="B857" t="s">
        <v>165</v>
      </c>
      <c r="C857" t="s">
        <v>188</v>
      </c>
      <c r="D857" s="1">
        <v>45697</v>
      </c>
      <c r="E857" s="5">
        <v>0.84375</v>
      </c>
      <c r="F857" s="1">
        <v>45697</v>
      </c>
      <c r="G857" s="5">
        <v>0.86458333333333337</v>
      </c>
      <c r="H857">
        <v>30</v>
      </c>
      <c r="I857" t="s">
        <v>143</v>
      </c>
      <c r="J857" t="s">
        <v>144</v>
      </c>
      <c r="K857">
        <v>2</v>
      </c>
      <c r="L857">
        <v>4</v>
      </c>
      <c r="M857" t="s">
        <v>161</v>
      </c>
      <c r="N857" t="s">
        <v>154</v>
      </c>
      <c r="O857" t="b">
        <v>1</v>
      </c>
      <c r="P857" t="b">
        <v>0</v>
      </c>
      <c r="Q857" s="6">
        <v>7.5</v>
      </c>
      <c r="R857" s="6">
        <v>0.5</v>
      </c>
      <c r="S857" t="s">
        <v>155</v>
      </c>
      <c r="T857" t="s">
        <v>147</v>
      </c>
      <c r="U857" s="6">
        <v>9.6</v>
      </c>
      <c r="V857" s="6">
        <v>20.399999999999999</v>
      </c>
      <c r="W857" t="b">
        <v>0</v>
      </c>
      <c r="X857">
        <v>4</v>
      </c>
      <c r="Y857">
        <v>1</v>
      </c>
      <c r="Z857">
        <v>20</v>
      </c>
      <c r="AA857" s="6">
        <v>29.948453608247419</v>
      </c>
      <c r="AB857">
        <f>--PizzaDelivery[[#This Row],[Is Delayed]]</f>
        <v>0</v>
      </c>
    </row>
    <row r="858" spans="1:28">
      <c r="A858" t="s">
        <v>1123</v>
      </c>
      <c r="B858" t="s">
        <v>149</v>
      </c>
      <c r="C858" t="s">
        <v>712</v>
      </c>
      <c r="D858" s="1">
        <v>45698</v>
      </c>
      <c r="E858" s="5">
        <v>0.77083333333333337</v>
      </c>
      <c r="F858" s="1">
        <v>45698</v>
      </c>
      <c r="G858" s="5">
        <v>0.79166666666666663</v>
      </c>
      <c r="H858">
        <v>30</v>
      </c>
      <c r="I858" t="s">
        <v>143</v>
      </c>
      <c r="J858" t="s">
        <v>1018</v>
      </c>
      <c r="K858">
        <v>3</v>
      </c>
      <c r="L858">
        <v>5</v>
      </c>
      <c r="M858" t="s">
        <v>143</v>
      </c>
      <c r="N858" t="s">
        <v>145</v>
      </c>
      <c r="O858" t="b">
        <v>1</v>
      </c>
      <c r="P858" t="b">
        <v>0</v>
      </c>
      <c r="Q858" s="6">
        <v>6</v>
      </c>
      <c r="R858" s="6">
        <v>0.6</v>
      </c>
      <c r="S858" t="s">
        <v>155</v>
      </c>
      <c r="T858" t="s">
        <v>147</v>
      </c>
      <c r="U858" s="6">
        <v>12</v>
      </c>
      <c r="V858" s="6">
        <v>18</v>
      </c>
      <c r="W858" t="b">
        <v>0</v>
      </c>
      <c r="X858">
        <v>6</v>
      </c>
      <c r="Y858">
        <v>2</v>
      </c>
      <c r="Z858">
        <v>18</v>
      </c>
      <c r="AA858" s="6">
        <v>28.186274509803919</v>
      </c>
      <c r="AB858">
        <f>--PizzaDelivery[[#This Row],[Is Delayed]]</f>
        <v>0</v>
      </c>
    </row>
    <row r="859" spans="1:28">
      <c r="A859" t="s">
        <v>1124</v>
      </c>
      <c r="B859" t="s">
        <v>157</v>
      </c>
      <c r="C859" t="s">
        <v>693</v>
      </c>
      <c r="D859" s="1">
        <v>45699</v>
      </c>
      <c r="E859" s="5">
        <v>0.82291666666666663</v>
      </c>
      <c r="F859" s="1">
        <v>45699</v>
      </c>
      <c r="G859" s="5">
        <v>0.84375</v>
      </c>
      <c r="H859">
        <v>30</v>
      </c>
      <c r="I859" t="s">
        <v>167</v>
      </c>
      <c r="J859" t="s">
        <v>168</v>
      </c>
      <c r="K859">
        <v>5</v>
      </c>
      <c r="L859">
        <v>6</v>
      </c>
      <c r="M859" t="s">
        <v>153</v>
      </c>
      <c r="N859" t="s">
        <v>162</v>
      </c>
      <c r="O859" t="b">
        <v>1</v>
      </c>
      <c r="P859" t="b">
        <v>0</v>
      </c>
      <c r="Q859" s="6">
        <v>5</v>
      </c>
      <c r="R859" s="6">
        <v>0.83333333333333337</v>
      </c>
      <c r="S859" t="s">
        <v>155</v>
      </c>
      <c r="T859" t="s">
        <v>147</v>
      </c>
      <c r="U859" s="6">
        <v>14.4</v>
      </c>
      <c r="V859" s="6">
        <v>15.6</v>
      </c>
      <c r="W859" t="b">
        <v>0</v>
      </c>
      <c r="X859">
        <v>20</v>
      </c>
      <c r="Y859">
        <v>3</v>
      </c>
      <c r="Z859">
        <v>19</v>
      </c>
      <c r="AA859" s="6">
        <v>28.844221105527641</v>
      </c>
      <c r="AB859">
        <f>--PizzaDelivery[[#This Row],[Is Delayed]]</f>
        <v>0</v>
      </c>
    </row>
    <row r="860" spans="1:28">
      <c r="A860" t="s">
        <v>1125</v>
      </c>
      <c r="B860" t="s">
        <v>173</v>
      </c>
      <c r="C860" t="s">
        <v>695</v>
      </c>
      <c r="D860" s="1">
        <v>45700</v>
      </c>
      <c r="E860" s="5">
        <v>0.83333333333333337</v>
      </c>
      <c r="F860" s="1">
        <v>45700</v>
      </c>
      <c r="G860" s="5">
        <v>0.85416666666666663</v>
      </c>
      <c r="H860">
        <v>30</v>
      </c>
      <c r="I860" t="s">
        <v>143</v>
      </c>
      <c r="J860" t="s">
        <v>1021</v>
      </c>
      <c r="K860">
        <v>3</v>
      </c>
      <c r="L860">
        <v>4.5</v>
      </c>
      <c r="M860" t="s">
        <v>143</v>
      </c>
      <c r="N860" t="s">
        <v>169</v>
      </c>
      <c r="O860" t="b">
        <v>1</v>
      </c>
      <c r="P860" t="b">
        <v>0</v>
      </c>
      <c r="Q860" s="6">
        <v>6.666666666666667</v>
      </c>
      <c r="R860" s="6">
        <v>0.66666666666666663</v>
      </c>
      <c r="S860" t="s">
        <v>155</v>
      </c>
      <c r="T860" t="s">
        <v>171</v>
      </c>
      <c r="U860" s="6">
        <v>10.8</v>
      </c>
      <c r="V860" s="6">
        <v>19.2</v>
      </c>
      <c r="W860" t="b">
        <v>0</v>
      </c>
      <c r="X860">
        <v>6</v>
      </c>
      <c r="Y860">
        <v>2</v>
      </c>
      <c r="Z860">
        <v>20</v>
      </c>
      <c r="AA860" s="6">
        <v>30.286458333333329</v>
      </c>
      <c r="AB860">
        <f>--PizzaDelivery[[#This Row],[Is Delayed]]</f>
        <v>0</v>
      </c>
    </row>
    <row r="861" spans="1:28">
      <c r="A861" t="s">
        <v>1126</v>
      </c>
      <c r="B861" t="s">
        <v>142</v>
      </c>
      <c r="C861" t="s">
        <v>697</v>
      </c>
      <c r="D861" s="1">
        <v>45701</v>
      </c>
      <c r="E861" s="5">
        <v>0.80208333333333337</v>
      </c>
      <c r="F861" s="1">
        <v>45701</v>
      </c>
      <c r="G861" s="5">
        <v>0.82291666666666663</v>
      </c>
      <c r="H861">
        <v>30</v>
      </c>
      <c r="I861" t="s">
        <v>151</v>
      </c>
      <c r="J861" t="s">
        <v>657</v>
      </c>
      <c r="K861">
        <v>4</v>
      </c>
      <c r="L861">
        <v>5.5</v>
      </c>
      <c r="M861" t="s">
        <v>143</v>
      </c>
      <c r="N861" t="s">
        <v>162</v>
      </c>
      <c r="O861" t="b">
        <v>1</v>
      </c>
      <c r="P861" t="b">
        <v>0</v>
      </c>
      <c r="Q861" s="6">
        <v>5.4545454545454541</v>
      </c>
      <c r="R861" s="6">
        <v>0.72727272727272729</v>
      </c>
      <c r="S861" t="s">
        <v>155</v>
      </c>
      <c r="T861" t="s">
        <v>147</v>
      </c>
      <c r="U861" s="6">
        <v>13.2</v>
      </c>
      <c r="V861" s="6">
        <v>16.8</v>
      </c>
      <c r="W861" t="b">
        <v>0</v>
      </c>
      <c r="X861">
        <v>12</v>
      </c>
      <c r="Y861">
        <v>2</v>
      </c>
      <c r="Z861">
        <v>19</v>
      </c>
      <c r="AA861" s="6">
        <v>30.259433962264151</v>
      </c>
      <c r="AB861">
        <f>--PizzaDelivery[[#This Row],[Is Delayed]]</f>
        <v>0</v>
      </c>
    </row>
    <row r="862" spans="1:28">
      <c r="A862" t="s">
        <v>1127</v>
      </c>
      <c r="B862" t="s">
        <v>165</v>
      </c>
      <c r="C862" t="s">
        <v>188</v>
      </c>
      <c r="D862" s="1">
        <v>45702</v>
      </c>
      <c r="E862" s="5">
        <v>0.85416666666666663</v>
      </c>
      <c r="F862" s="1">
        <v>45702</v>
      </c>
      <c r="G862" s="5">
        <v>0.875</v>
      </c>
      <c r="H862">
        <v>30</v>
      </c>
      <c r="I862" t="s">
        <v>143</v>
      </c>
      <c r="J862" t="s">
        <v>144</v>
      </c>
      <c r="K862">
        <v>2</v>
      </c>
      <c r="L862">
        <v>4</v>
      </c>
      <c r="M862" t="s">
        <v>161</v>
      </c>
      <c r="N862" t="s">
        <v>154</v>
      </c>
      <c r="O862" t="b">
        <v>1</v>
      </c>
      <c r="P862" t="b">
        <v>1</v>
      </c>
      <c r="Q862" s="6">
        <v>7.5</v>
      </c>
      <c r="R862" s="6">
        <v>0.5</v>
      </c>
      <c r="S862" t="s">
        <v>155</v>
      </c>
      <c r="T862" t="s">
        <v>147</v>
      </c>
      <c r="U862" s="6">
        <v>9.6</v>
      </c>
      <c r="V862" s="6">
        <v>20.399999999999999</v>
      </c>
      <c r="W862" t="b">
        <v>0</v>
      </c>
      <c r="X862">
        <v>4</v>
      </c>
      <c r="Y862">
        <v>1</v>
      </c>
      <c r="Z862">
        <v>20</v>
      </c>
      <c r="AA862" s="6">
        <v>29.948453608247419</v>
      </c>
      <c r="AB862">
        <f>--PizzaDelivery[[#This Row],[Is Delayed]]</f>
        <v>0</v>
      </c>
    </row>
    <row r="863" spans="1:28">
      <c r="A863" t="s">
        <v>1128</v>
      </c>
      <c r="B863" t="s">
        <v>149</v>
      </c>
      <c r="C863" t="s">
        <v>712</v>
      </c>
      <c r="D863" s="1">
        <v>45703</v>
      </c>
      <c r="E863" s="5">
        <v>0.78125</v>
      </c>
      <c r="F863" s="1">
        <v>45703</v>
      </c>
      <c r="G863" s="5">
        <v>0.80208333333333337</v>
      </c>
      <c r="H863">
        <v>30</v>
      </c>
      <c r="I863" t="s">
        <v>143</v>
      </c>
      <c r="J863" t="s">
        <v>1018</v>
      </c>
      <c r="K863">
        <v>3</v>
      </c>
      <c r="L863">
        <v>5</v>
      </c>
      <c r="M863" t="s">
        <v>143</v>
      </c>
      <c r="N863" t="s">
        <v>145</v>
      </c>
      <c r="O863" t="b">
        <v>1</v>
      </c>
      <c r="P863" t="b">
        <v>1</v>
      </c>
      <c r="Q863" s="6">
        <v>6</v>
      </c>
      <c r="R863" s="6">
        <v>0.6</v>
      </c>
      <c r="S863" t="s">
        <v>155</v>
      </c>
      <c r="T863" t="s">
        <v>147</v>
      </c>
      <c r="U863" s="6">
        <v>12</v>
      </c>
      <c r="V863" s="6">
        <v>18</v>
      </c>
      <c r="W863" t="b">
        <v>0</v>
      </c>
      <c r="X863">
        <v>6</v>
      </c>
      <c r="Y863">
        <v>2</v>
      </c>
      <c r="Z863">
        <v>18</v>
      </c>
      <c r="AA863" s="6">
        <v>28.186274509803919</v>
      </c>
      <c r="AB863">
        <f>--PizzaDelivery[[#This Row],[Is Delayed]]</f>
        <v>0</v>
      </c>
    </row>
    <row r="864" spans="1:28">
      <c r="A864" t="s">
        <v>1129</v>
      </c>
      <c r="B864" t="s">
        <v>157</v>
      </c>
      <c r="C864" t="s">
        <v>693</v>
      </c>
      <c r="D864" s="1">
        <v>45704</v>
      </c>
      <c r="E864" s="5">
        <v>0.79166666666666663</v>
      </c>
      <c r="F864" s="1">
        <v>45704</v>
      </c>
      <c r="G864" s="5">
        <v>0.8125</v>
      </c>
      <c r="H864">
        <v>30</v>
      </c>
      <c r="I864" t="s">
        <v>167</v>
      </c>
      <c r="J864" t="s">
        <v>168</v>
      </c>
      <c r="K864">
        <v>5</v>
      </c>
      <c r="L864">
        <v>6</v>
      </c>
      <c r="M864" t="s">
        <v>153</v>
      </c>
      <c r="N864" t="s">
        <v>162</v>
      </c>
      <c r="O864" t="b">
        <v>1</v>
      </c>
      <c r="P864" t="b">
        <v>0</v>
      </c>
      <c r="Q864" s="6">
        <v>5</v>
      </c>
      <c r="R864" s="6">
        <v>0.83333333333333337</v>
      </c>
      <c r="S864" t="s">
        <v>155</v>
      </c>
      <c r="T864" t="s">
        <v>147</v>
      </c>
      <c r="U864" s="6">
        <v>14.4</v>
      </c>
      <c r="V864" s="6">
        <v>15.6</v>
      </c>
      <c r="W864" t="b">
        <v>0</v>
      </c>
      <c r="X864">
        <v>20</v>
      </c>
      <c r="Y864">
        <v>3</v>
      </c>
      <c r="Z864">
        <v>19</v>
      </c>
      <c r="AA864" s="6">
        <v>28.844221105527641</v>
      </c>
      <c r="AB864">
        <f>--PizzaDelivery[[#This Row],[Is Delayed]]</f>
        <v>0</v>
      </c>
    </row>
    <row r="865" spans="1:28">
      <c r="A865" t="s">
        <v>1130</v>
      </c>
      <c r="B865" t="s">
        <v>173</v>
      </c>
      <c r="C865" t="s">
        <v>695</v>
      </c>
      <c r="D865" s="1">
        <v>45705</v>
      </c>
      <c r="E865" s="5">
        <v>0.84375</v>
      </c>
      <c r="F865" s="1">
        <v>45705</v>
      </c>
      <c r="G865" s="5">
        <v>0.86458333333333337</v>
      </c>
      <c r="H865">
        <v>30</v>
      </c>
      <c r="I865" t="s">
        <v>143</v>
      </c>
      <c r="J865" t="s">
        <v>1021</v>
      </c>
      <c r="K865">
        <v>3</v>
      </c>
      <c r="L865">
        <v>4.5</v>
      </c>
      <c r="M865" t="s">
        <v>143</v>
      </c>
      <c r="N865" t="s">
        <v>169</v>
      </c>
      <c r="O865" t="b">
        <v>1</v>
      </c>
      <c r="P865" t="b">
        <v>0</v>
      </c>
      <c r="Q865" s="6">
        <v>6.666666666666667</v>
      </c>
      <c r="R865" s="6">
        <v>0.66666666666666663</v>
      </c>
      <c r="S865" t="s">
        <v>155</v>
      </c>
      <c r="T865" t="s">
        <v>171</v>
      </c>
      <c r="U865" s="6">
        <v>10.8</v>
      </c>
      <c r="V865" s="6">
        <v>19.2</v>
      </c>
      <c r="W865" t="b">
        <v>0</v>
      </c>
      <c r="X865">
        <v>6</v>
      </c>
      <c r="Y865">
        <v>2</v>
      </c>
      <c r="Z865">
        <v>20</v>
      </c>
      <c r="AA865" s="6">
        <v>30.286458333333329</v>
      </c>
      <c r="AB865">
        <f>--PizzaDelivery[[#This Row],[Is Delayed]]</f>
        <v>0</v>
      </c>
    </row>
    <row r="866" spans="1:28">
      <c r="A866" t="s">
        <v>1131</v>
      </c>
      <c r="B866" t="s">
        <v>149</v>
      </c>
      <c r="C866" t="s">
        <v>712</v>
      </c>
      <c r="D866" s="1">
        <v>45706</v>
      </c>
      <c r="E866" s="5">
        <v>0.77083333333333337</v>
      </c>
      <c r="F866" s="1">
        <v>45706</v>
      </c>
      <c r="G866" s="5">
        <v>0.79166666666666663</v>
      </c>
      <c r="H866">
        <v>30</v>
      </c>
      <c r="I866" t="s">
        <v>143</v>
      </c>
      <c r="J866" t="s">
        <v>1018</v>
      </c>
      <c r="K866">
        <v>3</v>
      </c>
      <c r="L866">
        <v>5</v>
      </c>
      <c r="M866" t="s">
        <v>143</v>
      </c>
      <c r="N866" t="s">
        <v>162</v>
      </c>
      <c r="O866" t="b">
        <v>1</v>
      </c>
      <c r="P866" t="b">
        <v>0</v>
      </c>
      <c r="Q866" s="6">
        <v>6</v>
      </c>
      <c r="R866" s="6">
        <v>0.6</v>
      </c>
      <c r="S866" t="s">
        <v>155</v>
      </c>
      <c r="T866" t="s">
        <v>147</v>
      </c>
      <c r="U866" s="6">
        <v>12</v>
      </c>
      <c r="V866" s="6">
        <v>18</v>
      </c>
      <c r="W866" t="b">
        <v>0</v>
      </c>
      <c r="X866">
        <v>6</v>
      </c>
      <c r="Y866">
        <v>2</v>
      </c>
      <c r="Z866">
        <v>18</v>
      </c>
      <c r="AA866" s="6">
        <v>28.186274509803919</v>
      </c>
      <c r="AB866">
        <f>--PizzaDelivery[[#This Row],[Is Delayed]]</f>
        <v>0</v>
      </c>
    </row>
    <row r="867" spans="1:28">
      <c r="A867" t="s">
        <v>1132</v>
      </c>
      <c r="B867" t="s">
        <v>157</v>
      </c>
      <c r="C867" t="s">
        <v>693</v>
      </c>
      <c r="D867" s="1">
        <v>45707</v>
      </c>
      <c r="E867" s="5">
        <v>0.82291666666666663</v>
      </c>
      <c r="F867" s="1">
        <v>45707</v>
      </c>
      <c r="G867" s="5">
        <v>0.84375</v>
      </c>
      <c r="H867">
        <v>30</v>
      </c>
      <c r="I867" t="s">
        <v>167</v>
      </c>
      <c r="J867" t="s">
        <v>168</v>
      </c>
      <c r="K867">
        <v>5</v>
      </c>
      <c r="L867">
        <v>6</v>
      </c>
      <c r="M867" t="s">
        <v>153</v>
      </c>
      <c r="N867" t="s">
        <v>145</v>
      </c>
      <c r="O867" t="b">
        <v>1</v>
      </c>
      <c r="P867" t="b">
        <v>0</v>
      </c>
      <c r="Q867" s="6">
        <v>5</v>
      </c>
      <c r="R867" s="6">
        <v>0.83333333333333337</v>
      </c>
      <c r="S867" t="s">
        <v>155</v>
      </c>
      <c r="T867" t="s">
        <v>147</v>
      </c>
      <c r="U867" s="6">
        <v>14.4</v>
      </c>
      <c r="V867" s="6">
        <v>15.6</v>
      </c>
      <c r="W867" t="b">
        <v>0</v>
      </c>
      <c r="X867">
        <v>20</v>
      </c>
      <c r="Y867">
        <v>3</v>
      </c>
      <c r="Z867">
        <v>19</v>
      </c>
      <c r="AA867" s="6">
        <v>28.844221105527641</v>
      </c>
      <c r="AB867">
        <f>--PizzaDelivery[[#This Row],[Is Delayed]]</f>
        <v>0</v>
      </c>
    </row>
    <row r="868" spans="1:28">
      <c r="A868" t="s">
        <v>1133</v>
      </c>
      <c r="B868" t="s">
        <v>173</v>
      </c>
      <c r="C868" t="s">
        <v>695</v>
      </c>
      <c r="D868" s="1">
        <v>45708</v>
      </c>
      <c r="E868" s="5">
        <v>0.83333333333333337</v>
      </c>
      <c r="F868" s="1">
        <v>45708</v>
      </c>
      <c r="G868" s="5">
        <v>0.85416666666666663</v>
      </c>
      <c r="H868">
        <v>30</v>
      </c>
      <c r="I868" t="s">
        <v>143</v>
      </c>
      <c r="J868" t="s">
        <v>1021</v>
      </c>
      <c r="K868">
        <v>3</v>
      </c>
      <c r="L868">
        <v>4.5</v>
      </c>
      <c r="M868" t="s">
        <v>143</v>
      </c>
      <c r="N868" t="s">
        <v>169</v>
      </c>
      <c r="O868" t="b">
        <v>1</v>
      </c>
      <c r="P868" t="b">
        <v>0</v>
      </c>
      <c r="Q868" s="6">
        <v>6.666666666666667</v>
      </c>
      <c r="R868" s="6">
        <v>0.66666666666666663</v>
      </c>
      <c r="S868" t="s">
        <v>155</v>
      </c>
      <c r="T868" t="s">
        <v>171</v>
      </c>
      <c r="U868" s="6">
        <v>10.8</v>
      </c>
      <c r="V868" s="6">
        <v>19.2</v>
      </c>
      <c r="W868" t="b">
        <v>0</v>
      </c>
      <c r="X868">
        <v>6</v>
      </c>
      <c r="Y868">
        <v>2</v>
      </c>
      <c r="Z868">
        <v>20</v>
      </c>
      <c r="AA868" s="6">
        <v>30.286458333333329</v>
      </c>
      <c r="AB868">
        <f>--PizzaDelivery[[#This Row],[Is Delayed]]</f>
        <v>0</v>
      </c>
    </row>
    <row r="869" spans="1:28">
      <c r="A869" t="s">
        <v>1134</v>
      </c>
      <c r="B869" t="s">
        <v>142</v>
      </c>
      <c r="C869" t="s">
        <v>697</v>
      </c>
      <c r="D869" s="1">
        <v>45709</v>
      </c>
      <c r="E869" s="5">
        <v>0.80208333333333337</v>
      </c>
      <c r="F869" s="1">
        <v>45709</v>
      </c>
      <c r="G869" s="5">
        <v>0.82291666666666663</v>
      </c>
      <c r="H869">
        <v>30</v>
      </c>
      <c r="I869" t="s">
        <v>151</v>
      </c>
      <c r="J869" t="s">
        <v>657</v>
      </c>
      <c r="K869">
        <v>4</v>
      </c>
      <c r="L869">
        <v>5.5</v>
      </c>
      <c r="M869" t="s">
        <v>143</v>
      </c>
      <c r="N869" t="s">
        <v>162</v>
      </c>
      <c r="O869" t="b">
        <v>1</v>
      </c>
      <c r="P869" t="b">
        <v>1</v>
      </c>
      <c r="Q869" s="6">
        <v>5.4545454545454541</v>
      </c>
      <c r="R869" s="6">
        <v>0.72727272727272729</v>
      </c>
      <c r="S869" t="s">
        <v>155</v>
      </c>
      <c r="T869" t="s">
        <v>147</v>
      </c>
      <c r="U869" s="6">
        <v>13.2</v>
      </c>
      <c r="V869" s="6">
        <v>16.8</v>
      </c>
      <c r="W869" t="b">
        <v>0</v>
      </c>
      <c r="X869">
        <v>12</v>
      </c>
      <c r="Y869">
        <v>2</v>
      </c>
      <c r="Z869">
        <v>19</v>
      </c>
      <c r="AA869" s="6">
        <v>30.259433962264151</v>
      </c>
      <c r="AB869">
        <f>--PizzaDelivery[[#This Row],[Is Delayed]]</f>
        <v>0</v>
      </c>
    </row>
    <row r="870" spans="1:28">
      <c r="A870" t="s">
        <v>1135</v>
      </c>
      <c r="B870" t="s">
        <v>165</v>
      </c>
      <c r="C870" t="s">
        <v>188</v>
      </c>
      <c r="D870" s="1">
        <v>45710</v>
      </c>
      <c r="E870" s="5">
        <v>0.85416666666666663</v>
      </c>
      <c r="F870" s="1">
        <v>45710</v>
      </c>
      <c r="G870" s="5">
        <v>0.875</v>
      </c>
      <c r="H870">
        <v>30</v>
      </c>
      <c r="I870" t="s">
        <v>143</v>
      </c>
      <c r="J870" t="s">
        <v>144</v>
      </c>
      <c r="K870">
        <v>2</v>
      </c>
      <c r="L870">
        <v>4</v>
      </c>
      <c r="M870" t="s">
        <v>161</v>
      </c>
      <c r="N870" t="s">
        <v>154</v>
      </c>
      <c r="O870" t="b">
        <v>1</v>
      </c>
      <c r="P870" t="b">
        <v>1</v>
      </c>
      <c r="Q870" s="6">
        <v>7.5</v>
      </c>
      <c r="R870" s="6">
        <v>0.5</v>
      </c>
      <c r="S870" t="s">
        <v>155</v>
      </c>
      <c r="T870" t="s">
        <v>147</v>
      </c>
      <c r="U870" s="6">
        <v>9.6</v>
      </c>
      <c r="V870" s="6">
        <v>20.399999999999999</v>
      </c>
      <c r="W870" t="b">
        <v>0</v>
      </c>
      <c r="X870">
        <v>4</v>
      </c>
      <c r="Y870">
        <v>1</v>
      </c>
      <c r="Z870">
        <v>20</v>
      </c>
      <c r="AA870" s="6">
        <v>29.948453608247419</v>
      </c>
      <c r="AB870">
        <f>--PizzaDelivery[[#This Row],[Is Delayed]]</f>
        <v>0</v>
      </c>
    </row>
    <row r="871" spans="1:28">
      <c r="A871" t="s">
        <v>1136</v>
      </c>
      <c r="B871" t="s">
        <v>149</v>
      </c>
      <c r="C871" t="s">
        <v>712</v>
      </c>
      <c r="D871" s="1">
        <v>45711</v>
      </c>
      <c r="E871" s="5">
        <v>0.75</v>
      </c>
      <c r="F871" s="1">
        <v>45711</v>
      </c>
      <c r="G871" s="5">
        <v>0.77083333333333337</v>
      </c>
      <c r="H871">
        <v>30</v>
      </c>
      <c r="I871" t="s">
        <v>143</v>
      </c>
      <c r="J871" t="s">
        <v>1018</v>
      </c>
      <c r="K871">
        <v>3</v>
      </c>
      <c r="L871">
        <v>5</v>
      </c>
      <c r="M871" t="s">
        <v>143</v>
      </c>
      <c r="N871" t="s">
        <v>145</v>
      </c>
      <c r="O871" t="b">
        <v>1</v>
      </c>
      <c r="P871" t="b">
        <v>0</v>
      </c>
      <c r="Q871" s="6">
        <v>6</v>
      </c>
      <c r="R871" s="6">
        <v>0.6</v>
      </c>
      <c r="S871" t="s">
        <v>155</v>
      </c>
      <c r="T871" t="s">
        <v>147</v>
      </c>
      <c r="U871" s="6">
        <v>12</v>
      </c>
      <c r="V871" s="6">
        <v>18</v>
      </c>
      <c r="W871" t="b">
        <v>0</v>
      </c>
      <c r="X871">
        <v>6</v>
      </c>
      <c r="Y871">
        <v>2</v>
      </c>
      <c r="Z871">
        <v>18</v>
      </c>
      <c r="AA871" s="6">
        <v>28.186274509803919</v>
      </c>
      <c r="AB871">
        <f>--PizzaDelivery[[#This Row],[Is Delayed]]</f>
        <v>0</v>
      </c>
    </row>
    <row r="872" spans="1:28">
      <c r="A872" t="s">
        <v>1137</v>
      </c>
      <c r="B872" t="s">
        <v>157</v>
      </c>
      <c r="C872" t="s">
        <v>693</v>
      </c>
      <c r="D872" s="1">
        <v>45712</v>
      </c>
      <c r="E872" s="5">
        <v>0.80208333333333337</v>
      </c>
      <c r="F872" s="1">
        <v>45712</v>
      </c>
      <c r="G872" s="5">
        <v>0.82291666666666663</v>
      </c>
      <c r="H872">
        <v>30</v>
      </c>
      <c r="I872" t="s">
        <v>167</v>
      </c>
      <c r="J872" t="s">
        <v>168</v>
      </c>
      <c r="K872">
        <v>5</v>
      </c>
      <c r="L872">
        <v>6</v>
      </c>
      <c r="M872" t="s">
        <v>153</v>
      </c>
      <c r="N872" t="s">
        <v>162</v>
      </c>
      <c r="O872" t="b">
        <v>1</v>
      </c>
      <c r="P872" t="b">
        <v>0</v>
      </c>
      <c r="Q872" s="6">
        <v>5</v>
      </c>
      <c r="R872" s="6">
        <v>0.83333333333333337</v>
      </c>
      <c r="S872" t="s">
        <v>155</v>
      </c>
      <c r="T872" t="s">
        <v>147</v>
      </c>
      <c r="U872" s="6">
        <v>14.4</v>
      </c>
      <c r="V872" s="6">
        <v>15.6</v>
      </c>
      <c r="W872" t="b">
        <v>0</v>
      </c>
      <c r="X872">
        <v>20</v>
      </c>
      <c r="Y872">
        <v>3</v>
      </c>
      <c r="Z872">
        <v>19</v>
      </c>
      <c r="AA872" s="6">
        <v>28.844221105527641</v>
      </c>
      <c r="AB872">
        <f>--PizzaDelivery[[#This Row],[Is Delayed]]</f>
        <v>0</v>
      </c>
    </row>
    <row r="873" spans="1:28">
      <c r="A873" t="s">
        <v>1138</v>
      </c>
      <c r="B873" t="s">
        <v>173</v>
      </c>
      <c r="C873" t="s">
        <v>695</v>
      </c>
      <c r="D873" s="1">
        <v>45713</v>
      </c>
      <c r="E873" s="5">
        <v>0.85416666666666663</v>
      </c>
      <c r="F873" s="1">
        <v>45713</v>
      </c>
      <c r="G873" s="5">
        <v>0.875</v>
      </c>
      <c r="H873">
        <v>30</v>
      </c>
      <c r="I873" t="s">
        <v>143</v>
      </c>
      <c r="J873" t="s">
        <v>1021</v>
      </c>
      <c r="K873">
        <v>3</v>
      </c>
      <c r="L873">
        <v>4.5</v>
      </c>
      <c r="M873" t="s">
        <v>143</v>
      </c>
      <c r="N873" t="s">
        <v>169</v>
      </c>
      <c r="O873" t="b">
        <v>1</v>
      </c>
      <c r="P873" t="b">
        <v>0</v>
      </c>
      <c r="Q873" s="6">
        <v>6.666666666666667</v>
      </c>
      <c r="R873" s="6">
        <v>0.66666666666666663</v>
      </c>
      <c r="S873" t="s">
        <v>155</v>
      </c>
      <c r="T873" t="s">
        <v>171</v>
      </c>
      <c r="U873" s="6">
        <v>10.8</v>
      </c>
      <c r="V873" s="6">
        <v>19.2</v>
      </c>
      <c r="W873" t="b">
        <v>0</v>
      </c>
      <c r="X873">
        <v>6</v>
      </c>
      <c r="Y873">
        <v>2</v>
      </c>
      <c r="Z873">
        <v>20</v>
      </c>
      <c r="AA873" s="6">
        <v>30.286458333333329</v>
      </c>
      <c r="AB873">
        <f>--PizzaDelivery[[#This Row],[Is Delayed]]</f>
        <v>0</v>
      </c>
    </row>
    <row r="874" spans="1:28">
      <c r="A874" t="s">
        <v>1139</v>
      </c>
      <c r="B874" t="s">
        <v>142</v>
      </c>
      <c r="C874" t="s">
        <v>697</v>
      </c>
      <c r="D874" s="1">
        <v>45714</v>
      </c>
      <c r="E874" s="5">
        <v>0.79166666666666663</v>
      </c>
      <c r="F874" s="1">
        <v>45714</v>
      </c>
      <c r="G874" s="5">
        <v>0.8125</v>
      </c>
      <c r="H874">
        <v>30</v>
      </c>
      <c r="I874" t="s">
        <v>151</v>
      </c>
      <c r="J874" t="s">
        <v>657</v>
      </c>
      <c r="K874">
        <v>4</v>
      </c>
      <c r="L874">
        <v>5.5</v>
      </c>
      <c r="M874" t="s">
        <v>143</v>
      </c>
      <c r="N874" t="s">
        <v>162</v>
      </c>
      <c r="O874" t="b">
        <v>1</v>
      </c>
      <c r="P874" t="b">
        <v>0</v>
      </c>
      <c r="Q874" s="6">
        <v>5.4545454545454541</v>
      </c>
      <c r="R874" s="6">
        <v>0.72727272727272729</v>
      </c>
      <c r="S874" t="s">
        <v>155</v>
      </c>
      <c r="T874" t="s">
        <v>147</v>
      </c>
      <c r="U874" s="6">
        <v>13.2</v>
      </c>
      <c r="V874" s="6">
        <v>16.8</v>
      </c>
      <c r="W874" t="b">
        <v>0</v>
      </c>
      <c r="X874">
        <v>12</v>
      </c>
      <c r="Y874">
        <v>2</v>
      </c>
      <c r="Z874">
        <v>19</v>
      </c>
      <c r="AA874" s="6">
        <v>30.259433962264151</v>
      </c>
      <c r="AB874">
        <f>--PizzaDelivery[[#This Row],[Is Delayed]]</f>
        <v>0</v>
      </c>
    </row>
    <row r="875" spans="1:28">
      <c r="A875" t="s">
        <v>1140</v>
      </c>
      <c r="B875" t="s">
        <v>165</v>
      </c>
      <c r="C875" t="s">
        <v>188</v>
      </c>
      <c r="D875" s="1">
        <v>45715</v>
      </c>
      <c r="E875" s="5">
        <v>0.84375</v>
      </c>
      <c r="F875" s="1">
        <v>45715</v>
      </c>
      <c r="G875" s="5">
        <v>0.86458333333333337</v>
      </c>
      <c r="H875">
        <v>30</v>
      </c>
      <c r="I875" t="s">
        <v>143</v>
      </c>
      <c r="J875" t="s">
        <v>144</v>
      </c>
      <c r="K875">
        <v>2</v>
      </c>
      <c r="L875">
        <v>4</v>
      </c>
      <c r="M875" t="s">
        <v>161</v>
      </c>
      <c r="N875" t="s">
        <v>154</v>
      </c>
      <c r="O875" t="b">
        <v>1</v>
      </c>
      <c r="P875" t="b">
        <v>0</v>
      </c>
      <c r="Q875" s="6">
        <v>7.5</v>
      </c>
      <c r="R875" s="6">
        <v>0.5</v>
      </c>
      <c r="S875" t="s">
        <v>155</v>
      </c>
      <c r="T875" t="s">
        <v>147</v>
      </c>
      <c r="U875" s="6">
        <v>9.6</v>
      </c>
      <c r="V875" s="6">
        <v>20.399999999999999</v>
      </c>
      <c r="W875" t="b">
        <v>0</v>
      </c>
      <c r="X875">
        <v>4</v>
      </c>
      <c r="Y875">
        <v>1</v>
      </c>
      <c r="Z875">
        <v>20</v>
      </c>
      <c r="AA875" s="6">
        <v>29.948453608247419</v>
      </c>
      <c r="AB875">
        <f>--PizzaDelivery[[#This Row],[Is Delayed]]</f>
        <v>0</v>
      </c>
    </row>
    <row r="876" spans="1:28">
      <c r="A876" t="s">
        <v>1141</v>
      </c>
      <c r="B876" t="s">
        <v>149</v>
      </c>
      <c r="C876" t="s">
        <v>712</v>
      </c>
      <c r="D876" s="1">
        <v>45716</v>
      </c>
      <c r="E876" s="5">
        <v>0.77083333333333337</v>
      </c>
      <c r="F876" s="1">
        <v>45716</v>
      </c>
      <c r="G876" s="5">
        <v>0.79166666666666663</v>
      </c>
      <c r="H876">
        <v>30</v>
      </c>
      <c r="I876" t="s">
        <v>143</v>
      </c>
      <c r="J876" t="s">
        <v>1018</v>
      </c>
      <c r="K876">
        <v>3</v>
      </c>
      <c r="L876">
        <v>5</v>
      </c>
      <c r="M876" t="s">
        <v>143</v>
      </c>
      <c r="N876" t="s">
        <v>145</v>
      </c>
      <c r="O876" t="b">
        <v>1</v>
      </c>
      <c r="P876" t="b">
        <v>1</v>
      </c>
      <c r="Q876" s="6">
        <v>6</v>
      </c>
      <c r="R876" s="6">
        <v>0.6</v>
      </c>
      <c r="S876" t="s">
        <v>155</v>
      </c>
      <c r="T876" t="s">
        <v>147</v>
      </c>
      <c r="U876" s="6">
        <v>12</v>
      </c>
      <c r="V876" s="6">
        <v>18</v>
      </c>
      <c r="W876" t="b">
        <v>0</v>
      </c>
      <c r="X876">
        <v>6</v>
      </c>
      <c r="Y876">
        <v>2</v>
      </c>
      <c r="Z876">
        <v>18</v>
      </c>
      <c r="AA876" s="6">
        <v>28.186274509803919</v>
      </c>
      <c r="AB876">
        <f>--PizzaDelivery[[#This Row],[Is Delayed]]</f>
        <v>0</v>
      </c>
    </row>
    <row r="877" spans="1:28">
      <c r="A877" t="s">
        <v>1142</v>
      </c>
      <c r="B877" t="s">
        <v>157</v>
      </c>
      <c r="C877" t="s">
        <v>693</v>
      </c>
      <c r="D877" s="1">
        <v>45717</v>
      </c>
      <c r="E877" s="5">
        <v>0.82291666666666663</v>
      </c>
      <c r="F877" s="1">
        <v>45717</v>
      </c>
      <c r="G877" s="5">
        <v>0.84375</v>
      </c>
      <c r="H877">
        <v>30</v>
      </c>
      <c r="I877" t="s">
        <v>167</v>
      </c>
      <c r="J877" t="s">
        <v>168</v>
      </c>
      <c r="K877">
        <v>5</v>
      </c>
      <c r="L877">
        <v>6</v>
      </c>
      <c r="M877" t="s">
        <v>153</v>
      </c>
      <c r="N877" t="s">
        <v>162</v>
      </c>
      <c r="O877" t="b">
        <v>1</v>
      </c>
      <c r="P877" t="b">
        <v>1</v>
      </c>
      <c r="Q877" s="6">
        <v>5</v>
      </c>
      <c r="R877" s="6">
        <v>0.83333333333333337</v>
      </c>
      <c r="S877" t="s">
        <v>163</v>
      </c>
      <c r="T877" t="s">
        <v>147</v>
      </c>
      <c r="U877" s="6">
        <v>14.4</v>
      </c>
      <c r="V877" s="6">
        <v>15.6</v>
      </c>
      <c r="W877" t="b">
        <v>0</v>
      </c>
      <c r="X877">
        <v>20</v>
      </c>
      <c r="Y877">
        <v>3</v>
      </c>
      <c r="Z877">
        <v>19</v>
      </c>
      <c r="AA877" s="6">
        <v>28.844221105527641</v>
      </c>
      <c r="AB877">
        <f>--PizzaDelivery[[#This Row],[Is Delayed]]</f>
        <v>0</v>
      </c>
    </row>
    <row r="878" spans="1:28">
      <c r="A878" t="s">
        <v>1143</v>
      </c>
      <c r="B878" t="s">
        <v>173</v>
      </c>
      <c r="C878" t="s">
        <v>695</v>
      </c>
      <c r="D878" s="1">
        <v>45718</v>
      </c>
      <c r="E878" s="5">
        <v>0.83333333333333337</v>
      </c>
      <c r="F878" s="1">
        <v>45718</v>
      </c>
      <c r="G878" s="5">
        <v>0.85416666666666663</v>
      </c>
      <c r="H878">
        <v>30</v>
      </c>
      <c r="I878" t="s">
        <v>143</v>
      </c>
      <c r="J878" t="s">
        <v>1021</v>
      </c>
      <c r="K878">
        <v>3</v>
      </c>
      <c r="L878">
        <v>4.5</v>
      </c>
      <c r="M878" t="s">
        <v>143</v>
      </c>
      <c r="N878" t="s">
        <v>169</v>
      </c>
      <c r="O878" t="b">
        <v>1</v>
      </c>
      <c r="P878" t="b">
        <v>0</v>
      </c>
      <c r="Q878" s="6">
        <v>6.666666666666667</v>
      </c>
      <c r="R878" s="6">
        <v>0.66666666666666663</v>
      </c>
      <c r="S878" t="s">
        <v>163</v>
      </c>
      <c r="T878" t="s">
        <v>171</v>
      </c>
      <c r="U878" s="6">
        <v>10.8</v>
      </c>
      <c r="V878" s="6">
        <v>19.2</v>
      </c>
      <c r="W878" t="b">
        <v>0</v>
      </c>
      <c r="X878">
        <v>6</v>
      </c>
      <c r="Y878">
        <v>2</v>
      </c>
      <c r="Z878">
        <v>20</v>
      </c>
      <c r="AA878" s="6">
        <v>30.286458333333329</v>
      </c>
      <c r="AB878">
        <f>--PizzaDelivery[[#This Row],[Is Delayed]]</f>
        <v>0</v>
      </c>
    </row>
    <row r="879" spans="1:28">
      <c r="A879" t="s">
        <v>1144</v>
      </c>
      <c r="B879" t="s">
        <v>142</v>
      </c>
      <c r="C879" t="s">
        <v>697</v>
      </c>
      <c r="D879" s="1">
        <v>45719</v>
      </c>
      <c r="E879" s="5">
        <v>0.80208333333333337</v>
      </c>
      <c r="F879" s="1">
        <v>45719</v>
      </c>
      <c r="G879" s="5">
        <v>0.82291666666666663</v>
      </c>
      <c r="H879">
        <v>30</v>
      </c>
      <c r="I879" t="s">
        <v>151</v>
      </c>
      <c r="J879" t="s">
        <v>657</v>
      </c>
      <c r="K879">
        <v>4</v>
      </c>
      <c r="L879">
        <v>5.5</v>
      </c>
      <c r="M879" t="s">
        <v>143</v>
      </c>
      <c r="N879" t="s">
        <v>162</v>
      </c>
      <c r="O879" t="b">
        <v>1</v>
      </c>
      <c r="P879" t="b">
        <v>0</v>
      </c>
      <c r="Q879" s="6">
        <v>5.4545454545454541</v>
      </c>
      <c r="R879" s="6">
        <v>0.72727272727272729</v>
      </c>
      <c r="S879" t="s">
        <v>163</v>
      </c>
      <c r="T879" t="s">
        <v>147</v>
      </c>
      <c r="U879" s="6">
        <v>13.2</v>
      </c>
      <c r="V879" s="6">
        <v>16.8</v>
      </c>
      <c r="W879" t="b">
        <v>0</v>
      </c>
      <c r="X879">
        <v>12</v>
      </c>
      <c r="Y879">
        <v>2</v>
      </c>
      <c r="Z879">
        <v>19</v>
      </c>
      <c r="AA879" s="6">
        <v>30.259433962264151</v>
      </c>
      <c r="AB879">
        <f>--PizzaDelivery[[#This Row],[Is Delayed]]</f>
        <v>0</v>
      </c>
    </row>
    <row r="880" spans="1:28">
      <c r="A880" t="s">
        <v>1145</v>
      </c>
      <c r="B880" t="s">
        <v>165</v>
      </c>
      <c r="C880" t="s">
        <v>188</v>
      </c>
      <c r="D880" s="1">
        <v>45720</v>
      </c>
      <c r="E880" s="5">
        <v>0.85416666666666663</v>
      </c>
      <c r="F880" s="1">
        <v>45720</v>
      </c>
      <c r="G880" s="5">
        <v>0.875</v>
      </c>
      <c r="H880">
        <v>30</v>
      </c>
      <c r="I880" t="s">
        <v>143</v>
      </c>
      <c r="J880" t="s">
        <v>144</v>
      </c>
      <c r="K880">
        <v>2</v>
      </c>
      <c r="L880">
        <v>4</v>
      </c>
      <c r="M880" t="s">
        <v>161</v>
      </c>
      <c r="N880" t="s">
        <v>154</v>
      </c>
      <c r="O880" t="b">
        <v>1</v>
      </c>
      <c r="P880" t="b">
        <v>0</v>
      </c>
      <c r="Q880" s="6">
        <v>7.5</v>
      </c>
      <c r="R880" s="6">
        <v>0.5</v>
      </c>
      <c r="S880" t="s">
        <v>163</v>
      </c>
      <c r="T880" t="s">
        <v>147</v>
      </c>
      <c r="U880" s="6">
        <v>9.6</v>
      </c>
      <c r="V880" s="6">
        <v>20.399999999999999</v>
      </c>
      <c r="W880" t="b">
        <v>0</v>
      </c>
      <c r="X880">
        <v>4</v>
      </c>
      <c r="Y880">
        <v>1</v>
      </c>
      <c r="Z880">
        <v>20</v>
      </c>
      <c r="AA880" s="6">
        <v>29.948453608247419</v>
      </c>
      <c r="AB880">
        <f>--PizzaDelivery[[#This Row],[Is Delayed]]</f>
        <v>0</v>
      </c>
    </row>
    <row r="881" spans="1:28">
      <c r="A881" t="s">
        <v>1146</v>
      </c>
      <c r="B881" t="s">
        <v>149</v>
      </c>
      <c r="C881" t="s">
        <v>712</v>
      </c>
      <c r="D881" s="1">
        <v>45721</v>
      </c>
      <c r="E881" s="5">
        <v>0.75</v>
      </c>
      <c r="F881" s="1">
        <v>45721</v>
      </c>
      <c r="G881" s="5">
        <v>0.77083333333333337</v>
      </c>
      <c r="H881">
        <v>30</v>
      </c>
      <c r="I881" t="s">
        <v>143</v>
      </c>
      <c r="J881" t="s">
        <v>1018</v>
      </c>
      <c r="K881">
        <v>3</v>
      </c>
      <c r="L881">
        <v>5</v>
      </c>
      <c r="M881" t="s">
        <v>143</v>
      </c>
      <c r="N881" t="s">
        <v>145</v>
      </c>
      <c r="O881" t="b">
        <v>1</v>
      </c>
      <c r="P881" t="b">
        <v>0</v>
      </c>
      <c r="Q881" s="6">
        <v>6</v>
      </c>
      <c r="R881" s="6">
        <v>0.6</v>
      </c>
      <c r="S881" t="s">
        <v>163</v>
      </c>
      <c r="T881" t="s">
        <v>147</v>
      </c>
      <c r="U881" s="6">
        <v>12</v>
      </c>
      <c r="V881" s="6">
        <v>18</v>
      </c>
      <c r="W881" t="b">
        <v>0</v>
      </c>
      <c r="X881">
        <v>6</v>
      </c>
      <c r="Y881">
        <v>2</v>
      </c>
      <c r="Z881">
        <v>18</v>
      </c>
      <c r="AA881" s="6">
        <v>28.186274509803919</v>
      </c>
      <c r="AB881">
        <f>--PizzaDelivery[[#This Row],[Is Delayed]]</f>
        <v>0</v>
      </c>
    </row>
    <row r="882" spans="1:28">
      <c r="A882" t="s">
        <v>1147</v>
      </c>
      <c r="B882" t="s">
        <v>157</v>
      </c>
      <c r="C882" t="s">
        <v>693</v>
      </c>
      <c r="D882" s="1">
        <v>45722</v>
      </c>
      <c r="E882" s="5">
        <v>0.80208333333333337</v>
      </c>
      <c r="F882" s="1">
        <v>45722</v>
      </c>
      <c r="G882" s="5">
        <v>0.82291666666666663</v>
      </c>
      <c r="H882">
        <v>30</v>
      </c>
      <c r="I882" t="s">
        <v>167</v>
      </c>
      <c r="J882" t="s">
        <v>168</v>
      </c>
      <c r="K882">
        <v>5</v>
      </c>
      <c r="L882">
        <v>6</v>
      </c>
      <c r="M882" t="s">
        <v>153</v>
      </c>
      <c r="N882" t="s">
        <v>162</v>
      </c>
      <c r="O882" t="b">
        <v>1</v>
      </c>
      <c r="P882" t="b">
        <v>0</v>
      </c>
      <c r="Q882" s="6">
        <v>5</v>
      </c>
      <c r="R882" s="6">
        <v>0.83333333333333337</v>
      </c>
      <c r="S882" t="s">
        <v>163</v>
      </c>
      <c r="T882" t="s">
        <v>147</v>
      </c>
      <c r="U882" s="6">
        <v>14.4</v>
      </c>
      <c r="V882" s="6">
        <v>15.6</v>
      </c>
      <c r="W882" t="b">
        <v>0</v>
      </c>
      <c r="X882">
        <v>20</v>
      </c>
      <c r="Y882">
        <v>3</v>
      </c>
      <c r="Z882">
        <v>19</v>
      </c>
      <c r="AA882" s="6">
        <v>28.844221105527641</v>
      </c>
      <c r="AB882">
        <f>--PizzaDelivery[[#This Row],[Is Delayed]]</f>
        <v>0</v>
      </c>
    </row>
    <row r="883" spans="1:28">
      <c r="A883" t="s">
        <v>1148</v>
      </c>
      <c r="B883" t="s">
        <v>173</v>
      </c>
      <c r="C883" t="s">
        <v>695</v>
      </c>
      <c r="D883" s="1">
        <v>45723</v>
      </c>
      <c r="E883" s="5">
        <v>0.85416666666666663</v>
      </c>
      <c r="F883" s="1">
        <v>45723</v>
      </c>
      <c r="G883" s="5">
        <v>0.875</v>
      </c>
      <c r="H883">
        <v>30</v>
      </c>
      <c r="I883" t="s">
        <v>143</v>
      </c>
      <c r="J883" t="s">
        <v>1021</v>
      </c>
      <c r="K883">
        <v>3</v>
      </c>
      <c r="L883">
        <v>4.5</v>
      </c>
      <c r="M883" t="s">
        <v>143</v>
      </c>
      <c r="N883" t="s">
        <v>169</v>
      </c>
      <c r="O883" t="b">
        <v>1</v>
      </c>
      <c r="P883" t="b">
        <v>1</v>
      </c>
      <c r="Q883" s="6">
        <v>6.666666666666667</v>
      </c>
      <c r="R883" s="6">
        <v>0.66666666666666663</v>
      </c>
      <c r="S883" t="s">
        <v>163</v>
      </c>
      <c r="T883" t="s">
        <v>171</v>
      </c>
      <c r="U883" s="6">
        <v>10.8</v>
      </c>
      <c r="V883" s="6">
        <v>19.2</v>
      </c>
      <c r="W883" t="b">
        <v>0</v>
      </c>
      <c r="X883">
        <v>6</v>
      </c>
      <c r="Y883">
        <v>2</v>
      </c>
      <c r="Z883">
        <v>20</v>
      </c>
      <c r="AA883" s="6">
        <v>30.286458333333329</v>
      </c>
      <c r="AB883">
        <f>--PizzaDelivery[[#This Row],[Is Delayed]]</f>
        <v>0</v>
      </c>
    </row>
    <row r="884" spans="1:28">
      <c r="A884" t="s">
        <v>1149</v>
      </c>
      <c r="B884" t="s">
        <v>142</v>
      </c>
      <c r="C884" t="s">
        <v>697</v>
      </c>
      <c r="D884" s="1">
        <v>45724</v>
      </c>
      <c r="E884" s="5">
        <v>0.79166666666666663</v>
      </c>
      <c r="F884" s="1">
        <v>45724</v>
      </c>
      <c r="G884" s="5">
        <v>0.8125</v>
      </c>
      <c r="H884">
        <v>30</v>
      </c>
      <c r="I884" t="s">
        <v>151</v>
      </c>
      <c r="J884" t="s">
        <v>657</v>
      </c>
      <c r="K884">
        <v>4</v>
      </c>
      <c r="L884">
        <v>5.5</v>
      </c>
      <c r="M884" t="s">
        <v>143</v>
      </c>
      <c r="N884" t="s">
        <v>162</v>
      </c>
      <c r="O884" t="b">
        <v>1</v>
      </c>
      <c r="P884" t="b">
        <v>1</v>
      </c>
      <c r="Q884" s="6">
        <v>5.4545454545454541</v>
      </c>
      <c r="R884" s="6">
        <v>0.72727272727272729</v>
      </c>
      <c r="S884" t="s">
        <v>163</v>
      </c>
      <c r="T884" t="s">
        <v>147</v>
      </c>
      <c r="U884" s="6">
        <v>13.2</v>
      </c>
      <c r="V884" s="6">
        <v>16.8</v>
      </c>
      <c r="W884" t="b">
        <v>0</v>
      </c>
      <c r="X884">
        <v>12</v>
      </c>
      <c r="Y884">
        <v>2</v>
      </c>
      <c r="Z884">
        <v>19</v>
      </c>
      <c r="AA884" s="6">
        <v>30.259433962264151</v>
      </c>
      <c r="AB884">
        <f>--PizzaDelivery[[#This Row],[Is Delayed]]</f>
        <v>0</v>
      </c>
    </row>
    <row r="885" spans="1:28">
      <c r="A885" t="s">
        <v>1150</v>
      </c>
      <c r="B885" t="s">
        <v>165</v>
      </c>
      <c r="C885" t="s">
        <v>188</v>
      </c>
      <c r="D885" s="1">
        <v>45725</v>
      </c>
      <c r="E885" s="5">
        <v>0.84375</v>
      </c>
      <c r="F885" s="1">
        <v>45725</v>
      </c>
      <c r="G885" s="5">
        <v>0.86458333333333337</v>
      </c>
      <c r="H885">
        <v>30</v>
      </c>
      <c r="I885" t="s">
        <v>143</v>
      </c>
      <c r="J885" t="s">
        <v>144</v>
      </c>
      <c r="K885">
        <v>2</v>
      </c>
      <c r="L885">
        <v>4</v>
      </c>
      <c r="M885" t="s">
        <v>161</v>
      </c>
      <c r="N885" t="s">
        <v>154</v>
      </c>
      <c r="O885" t="b">
        <v>1</v>
      </c>
      <c r="P885" t="b">
        <v>0</v>
      </c>
      <c r="Q885" s="6">
        <v>7.5</v>
      </c>
      <c r="R885" s="6">
        <v>0.5</v>
      </c>
      <c r="S885" t="s">
        <v>163</v>
      </c>
      <c r="T885" t="s">
        <v>147</v>
      </c>
      <c r="U885" s="6">
        <v>9.6</v>
      </c>
      <c r="V885" s="6">
        <v>20.399999999999999</v>
      </c>
      <c r="W885" t="b">
        <v>0</v>
      </c>
      <c r="X885">
        <v>4</v>
      </c>
      <c r="Y885">
        <v>1</v>
      </c>
      <c r="Z885">
        <v>20</v>
      </c>
      <c r="AA885" s="6">
        <v>29.948453608247419</v>
      </c>
      <c r="AB885">
        <f>--PizzaDelivery[[#This Row],[Is Delayed]]</f>
        <v>0</v>
      </c>
    </row>
    <row r="886" spans="1:28">
      <c r="A886" t="s">
        <v>1151</v>
      </c>
      <c r="B886" t="s">
        <v>149</v>
      </c>
      <c r="C886" t="s">
        <v>712</v>
      </c>
      <c r="D886" s="1">
        <v>45726</v>
      </c>
      <c r="E886" s="5">
        <v>0.77083333333333337</v>
      </c>
      <c r="F886" s="1">
        <v>45726</v>
      </c>
      <c r="G886" s="5">
        <v>0.79166666666666663</v>
      </c>
      <c r="H886">
        <v>30</v>
      </c>
      <c r="I886" t="s">
        <v>143</v>
      </c>
      <c r="J886" t="s">
        <v>1018</v>
      </c>
      <c r="K886">
        <v>3</v>
      </c>
      <c r="L886">
        <v>5</v>
      </c>
      <c r="M886" t="s">
        <v>143</v>
      </c>
      <c r="N886" t="s">
        <v>145</v>
      </c>
      <c r="O886" t="b">
        <v>1</v>
      </c>
      <c r="P886" t="b">
        <v>0</v>
      </c>
      <c r="Q886" s="6">
        <v>6</v>
      </c>
      <c r="R886" s="6">
        <v>0.6</v>
      </c>
      <c r="S886" t="s">
        <v>163</v>
      </c>
      <c r="T886" t="s">
        <v>147</v>
      </c>
      <c r="U886" s="6">
        <v>12</v>
      </c>
      <c r="V886" s="6">
        <v>18</v>
      </c>
      <c r="W886" t="b">
        <v>0</v>
      </c>
      <c r="X886">
        <v>6</v>
      </c>
      <c r="Y886">
        <v>2</v>
      </c>
      <c r="Z886">
        <v>18</v>
      </c>
      <c r="AA886" s="6">
        <v>28.186274509803919</v>
      </c>
      <c r="AB886">
        <f>--PizzaDelivery[[#This Row],[Is Delayed]]</f>
        <v>0</v>
      </c>
    </row>
    <row r="887" spans="1:28">
      <c r="A887" t="s">
        <v>1152</v>
      </c>
      <c r="B887" t="s">
        <v>157</v>
      </c>
      <c r="C887" t="s">
        <v>693</v>
      </c>
      <c r="D887" s="1">
        <v>45727</v>
      </c>
      <c r="E887" s="5">
        <v>0.82291666666666663</v>
      </c>
      <c r="F887" s="1">
        <v>45727</v>
      </c>
      <c r="G887" s="5">
        <v>0.84375</v>
      </c>
      <c r="H887">
        <v>30</v>
      </c>
      <c r="I887" t="s">
        <v>167</v>
      </c>
      <c r="J887" t="s">
        <v>168</v>
      </c>
      <c r="K887">
        <v>5</v>
      </c>
      <c r="L887">
        <v>6</v>
      </c>
      <c r="M887" t="s">
        <v>153</v>
      </c>
      <c r="N887" t="s">
        <v>162</v>
      </c>
      <c r="O887" t="b">
        <v>1</v>
      </c>
      <c r="P887" t="b">
        <v>0</v>
      </c>
      <c r="Q887" s="6">
        <v>5</v>
      </c>
      <c r="R887" s="6">
        <v>0.83333333333333337</v>
      </c>
      <c r="S887" t="s">
        <v>163</v>
      </c>
      <c r="T887" t="s">
        <v>147</v>
      </c>
      <c r="U887" s="6">
        <v>14.4</v>
      </c>
      <c r="V887" s="6">
        <v>15.6</v>
      </c>
      <c r="W887" t="b">
        <v>0</v>
      </c>
      <c r="X887">
        <v>20</v>
      </c>
      <c r="Y887">
        <v>3</v>
      </c>
      <c r="Z887">
        <v>19</v>
      </c>
      <c r="AA887" s="6">
        <v>28.844221105527641</v>
      </c>
      <c r="AB887">
        <f>--PizzaDelivery[[#This Row],[Is Delayed]]</f>
        <v>0</v>
      </c>
    </row>
    <row r="888" spans="1:28">
      <c r="A888" t="s">
        <v>1153</v>
      </c>
      <c r="B888" t="s">
        <v>173</v>
      </c>
      <c r="C888" t="s">
        <v>695</v>
      </c>
      <c r="D888" s="1">
        <v>45728</v>
      </c>
      <c r="E888" s="5">
        <v>0.83333333333333337</v>
      </c>
      <c r="F888" s="1">
        <v>45728</v>
      </c>
      <c r="G888" s="5">
        <v>0.85416666666666663</v>
      </c>
      <c r="H888">
        <v>30</v>
      </c>
      <c r="I888" t="s">
        <v>143</v>
      </c>
      <c r="J888" t="s">
        <v>1021</v>
      </c>
      <c r="K888">
        <v>3</v>
      </c>
      <c r="L888">
        <v>4.5</v>
      </c>
      <c r="M888" t="s">
        <v>143</v>
      </c>
      <c r="N888" t="s">
        <v>169</v>
      </c>
      <c r="O888" t="b">
        <v>1</v>
      </c>
      <c r="P888" t="b">
        <v>0</v>
      </c>
      <c r="Q888" s="6">
        <v>6.666666666666667</v>
      </c>
      <c r="R888" s="6">
        <v>0.66666666666666663</v>
      </c>
      <c r="S888" t="s">
        <v>163</v>
      </c>
      <c r="T888" t="s">
        <v>171</v>
      </c>
      <c r="U888" s="6">
        <v>10.8</v>
      </c>
      <c r="V888" s="6">
        <v>19.2</v>
      </c>
      <c r="W888" t="b">
        <v>0</v>
      </c>
      <c r="X888">
        <v>6</v>
      </c>
      <c r="Y888">
        <v>2</v>
      </c>
      <c r="Z888">
        <v>20</v>
      </c>
      <c r="AA888" s="6">
        <v>30.286458333333329</v>
      </c>
      <c r="AB888">
        <f>--PizzaDelivery[[#This Row],[Is Delayed]]</f>
        <v>0</v>
      </c>
    </row>
    <row r="889" spans="1:28">
      <c r="A889" t="s">
        <v>1154</v>
      </c>
      <c r="B889" t="s">
        <v>142</v>
      </c>
      <c r="C889" t="s">
        <v>697</v>
      </c>
      <c r="D889" s="1">
        <v>45729</v>
      </c>
      <c r="E889" s="5">
        <v>0.80208333333333337</v>
      </c>
      <c r="F889" s="1">
        <v>45729</v>
      </c>
      <c r="G889" s="5">
        <v>0.82291666666666663</v>
      </c>
      <c r="H889">
        <v>30</v>
      </c>
      <c r="I889" t="s">
        <v>151</v>
      </c>
      <c r="J889" t="s">
        <v>657</v>
      </c>
      <c r="K889">
        <v>4</v>
      </c>
      <c r="L889">
        <v>5.5</v>
      </c>
      <c r="M889" t="s">
        <v>143</v>
      </c>
      <c r="N889" t="s">
        <v>162</v>
      </c>
      <c r="O889" t="b">
        <v>1</v>
      </c>
      <c r="P889" t="b">
        <v>0</v>
      </c>
      <c r="Q889" s="6">
        <v>5.4545454545454541</v>
      </c>
      <c r="R889" s="6">
        <v>0.72727272727272729</v>
      </c>
      <c r="S889" t="s">
        <v>163</v>
      </c>
      <c r="T889" t="s">
        <v>147</v>
      </c>
      <c r="U889" s="6">
        <v>13.2</v>
      </c>
      <c r="V889" s="6">
        <v>16.8</v>
      </c>
      <c r="W889" t="b">
        <v>0</v>
      </c>
      <c r="X889">
        <v>12</v>
      </c>
      <c r="Y889">
        <v>2</v>
      </c>
      <c r="Z889">
        <v>19</v>
      </c>
      <c r="AA889" s="6">
        <v>30.259433962264151</v>
      </c>
      <c r="AB889">
        <f>--PizzaDelivery[[#This Row],[Is Delayed]]</f>
        <v>0</v>
      </c>
    </row>
    <row r="890" spans="1:28">
      <c r="A890" t="s">
        <v>1155</v>
      </c>
      <c r="B890" t="s">
        <v>165</v>
      </c>
      <c r="C890" t="s">
        <v>188</v>
      </c>
      <c r="D890" s="1">
        <v>45730</v>
      </c>
      <c r="E890" s="5">
        <v>0.85416666666666663</v>
      </c>
      <c r="F890" s="1">
        <v>45730</v>
      </c>
      <c r="G890" s="5">
        <v>0.875</v>
      </c>
      <c r="H890">
        <v>30</v>
      </c>
      <c r="I890" t="s">
        <v>143</v>
      </c>
      <c r="J890" t="s">
        <v>144</v>
      </c>
      <c r="K890">
        <v>2</v>
      </c>
      <c r="L890">
        <v>4</v>
      </c>
      <c r="M890" t="s">
        <v>161</v>
      </c>
      <c r="N890" t="s">
        <v>154</v>
      </c>
      <c r="O890" t="b">
        <v>1</v>
      </c>
      <c r="P890" t="b">
        <v>1</v>
      </c>
      <c r="Q890" s="6">
        <v>7.5</v>
      </c>
      <c r="R890" s="6">
        <v>0.5</v>
      </c>
      <c r="S890" t="s">
        <v>163</v>
      </c>
      <c r="T890" t="s">
        <v>147</v>
      </c>
      <c r="U890" s="6">
        <v>9.6</v>
      </c>
      <c r="V890" s="6">
        <v>20.399999999999999</v>
      </c>
      <c r="W890" t="b">
        <v>0</v>
      </c>
      <c r="X890">
        <v>4</v>
      </c>
      <c r="Y890">
        <v>1</v>
      </c>
      <c r="Z890">
        <v>20</v>
      </c>
      <c r="AA890" s="6">
        <v>29.948453608247419</v>
      </c>
      <c r="AB890">
        <f>--PizzaDelivery[[#This Row],[Is Delayed]]</f>
        <v>0</v>
      </c>
    </row>
    <row r="891" spans="1:28">
      <c r="A891" t="s">
        <v>1156</v>
      </c>
      <c r="B891" t="s">
        <v>149</v>
      </c>
      <c r="C891" t="s">
        <v>712</v>
      </c>
      <c r="D891" s="1">
        <v>45731</v>
      </c>
      <c r="E891" s="5">
        <v>0.75</v>
      </c>
      <c r="F891" s="1">
        <v>45731</v>
      </c>
      <c r="G891" s="5">
        <v>0.77083333333333337</v>
      </c>
      <c r="H891">
        <v>30</v>
      </c>
      <c r="I891" t="s">
        <v>143</v>
      </c>
      <c r="J891" t="s">
        <v>1018</v>
      </c>
      <c r="K891">
        <v>3</v>
      </c>
      <c r="L891">
        <v>5</v>
      </c>
      <c r="M891" t="s">
        <v>143</v>
      </c>
      <c r="N891" t="s">
        <v>145</v>
      </c>
      <c r="O891" t="b">
        <v>1</v>
      </c>
      <c r="P891" t="b">
        <v>1</v>
      </c>
      <c r="Q891" s="6">
        <v>6</v>
      </c>
      <c r="R891" s="6">
        <v>0.6</v>
      </c>
      <c r="S891" t="s">
        <v>163</v>
      </c>
      <c r="T891" t="s">
        <v>147</v>
      </c>
      <c r="U891" s="6">
        <v>12</v>
      </c>
      <c r="V891" s="6">
        <v>18</v>
      </c>
      <c r="W891" t="b">
        <v>0</v>
      </c>
      <c r="X891">
        <v>6</v>
      </c>
      <c r="Y891">
        <v>2</v>
      </c>
      <c r="Z891">
        <v>18</v>
      </c>
      <c r="AA891" s="6">
        <v>28.186274509803919</v>
      </c>
      <c r="AB891">
        <f>--PizzaDelivery[[#This Row],[Is Delayed]]</f>
        <v>0</v>
      </c>
    </row>
    <row r="892" spans="1:28">
      <c r="A892" t="s">
        <v>1157</v>
      </c>
      <c r="B892" t="s">
        <v>157</v>
      </c>
      <c r="C892" t="s">
        <v>693</v>
      </c>
      <c r="D892" s="1">
        <v>45732</v>
      </c>
      <c r="E892" s="5">
        <v>0.80208333333333337</v>
      </c>
      <c r="F892" s="1">
        <v>45732</v>
      </c>
      <c r="G892" s="5">
        <v>0.82291666666666663</v>
      </c>
      <c r="H892">
        <v>30</v>
      </c>
      <c r="I892" t="s">
        <v>167</v>
      </c>
      <c r="J892" t="s">
        <v>168</v>
      </c>
      <c r="K892">
        <v>5</v>
      </c>
      <c r="L892">
        <v>6</v>
      </c>
      <c r="M892" t="s">
        <v>153</v>
      </c>
      <c r="N892" t="s">
        <v>162</v>
      </c>
      <c r="O892" t="b">
        <v>1</v>
      </c>
      <c r="P892" t="b">
        <v>0</v>
      </c>
      <c r="Q892" s="6">
        <v>5</v>
      </c>
      <c r="R892" s="6">
        <v>0.83333333333333337</v>
      </c>
      <c r="S892" t="s">
        <v>163</v>
      </c>
      <c r="T892" t="s">
        <v>147</v>
      </c>
      <c r="U892" s="6">
        <v>14.4</v>
      </c>
      <c r="V892" s="6">
        <v>15.6</v>
      </c>
      <c r="W892" t="b">
        <v>0</v>
      </c>
      <c r="X892">
        <v>20</v>
      </c>
      <c r="Y892">
        <v>3</v>
      </c>
      <c r="Z892">
        <v>19</v>
      </c>
      <c r="AA892" s="6">
        <v>28.844221105527641</v>
      </c>
      <c r="AB892">
        <f>--PizzaDelivery[[#This Row],[Is Delayed]]</f>
        <v>0</v>
      </c>
    </row>
    <row r="893" spans="1:28">
      <c r="A893" t="s">
        <v>1158</v>
      </c>
      <c r="B893" t="s">
        <v>173</v>
      </c>
      <c r="C893" t="s">
        <v>695</v>
      </c>
      <c r="D893" s="1">
        <v>45733</v>
      </c>
      <c r="E893" s="5">
        <v>0.85416666666666663</v>
      </c>
      <c r="F893" s="1">
        <v>45733</v>
      </c>
      <c r="G893" s="5">
        <v>0.875</v>
      </c>
      <c r="H893">
        <v>30</v>
      </c>
      <c r="I893" t="s">
        <v>143</v>
      </c>
      <c r="J893" t="s">
        <v>1021</v>
      </c>
      <c r="K893">
        <v>3</v>
      </c>
      <c r="L893">
        <v>4.5</v>
      </c>
      <c r="M893" t="s">
        <v>143</v>
      </c>
      <c r="N893" t="s">
        <v>169</v>
      </c>
      <c r="O893" t="b">
        <v>1</v>
      </c>
      <c r="P893" t="b">
        <v>0</v>
      </c>
      <c r="Q893" s="6">
        <v>6.666666666666667</v>
      </c>
      <c r="R893" s="6">
        <v>0.66666666666666663</v>
      </c>
      <c r="S893" t="s">
        <v>163</v>
      </c>
      <c r="T893" t="s">
        <v>171</v>
      </c>
      <c r="U893" s="6">
        <v>10.8</v>
      </c>
      <c r="V893" s="6">
        <v>19.2</v>
      </c>
      <c r="W893" t="b">
        <v>0</v>
      </c>
      <c r="X893">
        <v>6</v>
      </c>
      <c r="Y893">
        <v>2</v>
      </c>
      <c r="Z893">
        <v>20</v>
      </c>
      <c r="AA893" s="6">
        <v>30.286458333333329</v>
      </c>
      <c r="AB893">
        <f>--PizzaDelivery[[#This Row],[Is Delayed]]</f>
        <v>0</v>
      </c>
    </row>
    <row r="894" spans="1:28">
      <c r="A894" t="s">
        <v>1159</v>
      </c>
      <c r="B894" t="s">
        <v>149</v>
      </c>
      <c r="C894" t="s">
        <v>712</v>
      </c>
      <c r="D894" s="1">
        <v>45734</v>
      </c>
      <c r="E894" s="5">
        <v>0.75</v>
      </c>
      <c r="F894" s="1">
        <v>45734</v>
      </c>
      <c r="G894" s="5">
        <v>0.77083333333333337</v>
      </c>
      <c r="H894">
        <v>30</v>
      </c>
      <c r="I894" t="s">
        <v>143</v>
      </c>
      <c r="J894" t="s">
        <v>1018</v>
      </c>
      <c r="K894">
        <v>3</v>
      </c>
      <c r="L894">
        <v>5</v>
      </c>
      <c r="M894" t="s">
        <v>143</v>
      </c>
      <c r="N894" t="s">
        <v>162</v>
      </c>
      <c r="O894" t="b">
        <v>1</v>
      </c>
      <c r="P894" t="b">
        <v>0</v>
      </c>
      <c r="Q894" s="6">
        <v>6</v>
      </c>
      <c r="R894" s="6">
        <v>0.6</v>
      </c>
      <c r="S894" t="s">
        <v>163</v>
      </c>
      <c r="T894" t="s">
        <v>147</v>
      </c>
      <c r="U894" s="6">
        <v>12</v>
      </c>
      <c r="V894" s="6">
        <v>18</v>
      </c>
      <c r="W894" t="b">
        <v>0</v>
      </c>
      <c r="X894">
        <v>6</v>
      </c>
      <c r="Y894">
        <v>2</v>
      </c>
      <c r="Z894">
        <v>18</v>
      </c>
      <c r="AA894" s="6">
        <v>28.186274509803919</v>
      </c>
      <c r="AB894">
        <f>--PizzaDelivery[[#This Row],[Is Delayed]]</f>
        <v>0</v>
      </c>
    </row>
    <row r="895" spans="1:28">
      <c r="A895" t="s">
        <v>1160</v>
      </c>
      <c r="B895" t="s">
        <v>157</v>
      </c>
      <c r="C895" t="s">
        <v>693</v>
      </c>
      <c r="D895" s="1">
        <v>45735</v>
      </c>
      <c r="E895" s="5">
        <v>0.80208333333333337</v>
      </c>
      <c r="F895" s="1">
        <v>45735</v>
      </c>
      <c r="G895" s="5">
        <v>0.82291666666666663</v>
      </c>
      <c r="H895">
        <v>30</v>
      </c>
      <c r="I895" t="s">
        <v>167</v>
      </c>
      <c r="J895" t="s">
        <v>168</v>
      </c>
      <c r="K895">
        <v>5</v>
      </c>
      <c r="L895">
        <v>6</v>
      </c>
      <c r="M895" t="s">
        <v>153</v>
      </c>
      <c r="N895" t="s">
        <v>145</v>
      </c>
      <c r="O895" t="b">
        <v>1</v>
      </c>
      <c r="P895" t="b">
        <v>0</v>
      </c>
      <c r="Q895" s="6">
        <v>5</v>
      </c>
      <c r="R895" s="6">
        <v>0.83333333333333337</v>
      </c>
      <c r="S895" t="s">
        <v>163</v>
      </c>
      <c r="T895" t="s">
        <v>147</v>
      </c>
      <c r="U895" s="6">
        <v>14.4</v>
      </c>
      <c r="V895" s="6">
        <v>15.6</v>
      </c>
      <c r="W895" t="b">
        <v>0</v>
      </c>
      <c r="X895">
        <v>20</v>
      </c>
      <c r="Y895">
        <v>3</v>
      </c>
      <c r="Z895">
        <v>19</v>
      </c>
      <c r="AA895" s="6">
        <v>28.844221105527641</v>
      </c>
      <c r="AB895">
        <f>--PizzaDelivery[[#This Row],[Is Delayed]]</f>
        <v>0</v>
      </c>
    </row>
    <row r="896" spans="1:28">
      <c r="A896" t="s">
        <v>1161</v>
      </c>
      <c r="B896" t="s">
        <v>173</v>
      </c>
      <c r="C896" t="s">
        <v>695</v>
      </c>
      <c r="D896" s="1">
        <v>45736</v>
      </c>
      <c r="E896" s="5">
        <v>0.85416666666666663</v>
      </c>
      <c r="F896" s="1">
        <v>45736</v>
      </c>
      <c r="G896" s="5">
        <v>0.875</v>
      </c>
      <c r="H896">
        <v>30</v>
      </c>
      <c r="I896" t="s">
        <v>143</v>
      </c>
      <c r="J896" t="s">
        <v>1021</v>
      </c>
      <c r="K896">
        <v>3</v>
      </c>
      <c r="L896">
        <v>4.5</v>
      </c>
      <c r="M896" t="s">
        <v>143</v>
      </c>
      <c r="N896" t="s">
        <v>169</v>
      </c>
      <c r="O896" t="b">
        <v>1</v>
      </c>
      <c r="P896" t="b">
        <v>0</v>
      </c>
      <c r="Q896" s="6">
        <v>6.666666666666667</v>
      </c>
      <c r="R896" s="6">
        <v>0.66666666666666663</v>
      </c>
      <c r="S896" t="s">
        <v>163</v>
      </c>
      <c r="T896" t="s">
        <v>171</v>
      </c>
      <c r="U896" s="6">
        <v>10.8</v>
      </c>
      <c r="V896" s="6">
        <v>19.2</v>
      </c>
      <c r="W896" t="b">
        <v>0</v>
      </c>
      <c r="X896">
        <v>6</v>
      </c>
      <c r="Y896">
        <v>2</v>
      </c>
      <c r="Z896">
        <v>20</v>
      </c>
      <c r="AA896" s="6">
        <v>30.286458333333329</v>
      </c>
      <c r="AB896">
        <f>--PizzaDelivery[[#This Row],[Is Delayed]]</f>
        <v>0</v>
      </c>
    </row>
    <row r="897" spans="1:28">
      <c r="A897" t="s">
        <v>1162</v>
      </c>
      <c r="B897" t="s">
        <v>142</v>
      </c>
      <c r="C897" t="s">
        <v>697</v>
      </c>
      <c r="D897" s="1">
        <v>45737</v>
      </c>
      <c r="E897" s="5">
        <v>0.79166666666666663</v>
      </c>
      <c r="F897" s="1">
        <v>45737</v>
      </c>
      <c r="G897" s="5">
        <v>0.8125</v>
      </c>
      <c r="H897">
        <v>30</v>
      </c>
      <c r="I897" t="s">
        <v>151</v>
      </c>
      <c r="J897" t="s">
        <v>657</v>
      </c>
      <c r="K897">
        <v>4</v>
      </c>
      <c r="L897">
        <v>5.5</v>
      </c>
      <c r="M897" t="s">
        <v>143</v>
      </c>
      <c r="N897" t="s">
        <v>162</v>
      </c>
      <c r="O897" t="b">
        <v>1</v>
      </c>
      <c r="P897" t="b">
        <v>1</v>
      </c>
      <c r="Q897" s="6">
        <v>5.4545454545454541</v>
      </c>
      <c r="R897" s="6">
        <v>0.72727272727272729</v>
      </c>
      <c r="S897" t="s">
        <v>163</v>
      </c>
      <c r="T897" t="s">
        <v>147</v>
      </c>
      <c r="U897" s="6">
        <v>13.2</v>
      </c>
      <c r="V897" s="6">
        <v>16.8</v>
      </c>
      <c r="W897" t="b">
        <v>0</v>
      </c>
      <c r="X897">
        <v>12</v>
      </c>
      <c r="Y897">
        <v>2</v>
      </c>
      <c r="Z897">
        <v>19</v>
      </c>
      <c r="AA897" s="6">
        <v>30.259433962264151</v>
      </c>
      <c r="AB897">
        <f>--PizzaDelivery[[#This Row],[Is Delayed]]</f>
        <v>0</v>
      </c>
    </row>
    <row r="898" spans="1:28">
      <c r="A898" t="s">
        <v>1163</v>
      </c>
      <c r="B898" t="s">
        <v>165</v>
      </c>
      <c r="C898" t="s">
        <v>188</v>
      </c>
      <c r="D898" s="1">
        <v>45738</v>
      </c>
      <c r="E898" s="5">
        <v>0.84375</v>
      </c>
      <c r="F898" s="1">
        <v>45738</v>
      </c>
      <c r="G898" s="5">
        <v>0.86458333333333337</v>
      </c>
      <c r="H898">
        <v>30</v>
      </c>
      <c r="I898" t="s">
        <v>143</v>
      </c>
      <c r="J898" t="s">
        <v>144</v>
      </c>
      <c r="K898">
        <v>2</v>
      </c>
      <c r="L898">
        <v>4</v>
      </c>
      <c r="M898" t="s">
        <v>161</v>
      </c>
      <c r="N898" t="s">
        <v>154</v>
      </c>
      <c r="O898" t="b">
        <v>1</v>
      </c>
      <c r="P898" t="b">
        <v>1</v>
      </c>
      <c r="Q898" s="6">
        <v>7.5</v>
      </c>
      <c r="R898" s="6">
        <v>0.5</v>
      </c>
      <c r="S898" t="s">
        <v>163</v>
      </c>
      <c r="T898" t="s">
        <v>147</v>
      </c>
      <c r="U898" s="6">
        <v>9.6</v>
      </c>
      <c r="V898" s="6">
        <v>20.399999999999999</v>
      </c>
      <c r="W898" t="b">
        <v>0</v>
      </c>
      <c r="X898">
        <v>4</v>
      </c>
      <c r="Y898">
        <v>1</v>
      </c>
      <c r="Z898">
        <v>20</v>
      </c>
      <c r="AA898" s="6">
        <v>29.948453608247419</v>
      </c>
      <c r="AB898">
        <f>--PizzaDelivery[[#This Row],[Is Delayed]]</f>
        <v>0</v>
      </c>
    </row>
    <row r="899" spans="1:28">
      <c r="A899" t="s">
        <v>1164</v>
      </c>
      <c r="B899" t="s">
        <v>149</v>
      </c>
      <c r="C899" t="s">
        <v>712</v>
      </c>
      <c r="D899" s="1">
        <v>45739</v>
      </c>
      <c r="E899" s="5">
        <v>0.77083333333333337</v>
      </c>
      <c r="F899" s="1">
        <v>45739</v>
      </c>
      <c r="G899" s="5">
        <v>0.79166666666666663</v>
      </c>
      <c r="H899">
        <v>30</v>
      </c>
      <c r="I899" t="s">
        <v>143</v>
      </c>
      <c r="J899" t="s">
        <v>1018</v>
      </c>
      <c r="K899">
        <v>3</v>
      </c>
      <c r="L899">
        <v>5</v>
      </c>
      <c r="M899" t="s">
        <v>143</v>
      </c>
      <c r="N899" t="s">
        <v>145</v>
      </c>
      <c r="O899" t="b">
        <v>1</v>
      </c>
      <c r="P899" t="b">
        <v>0</v>
      </c>
      <c r="Q899" s="6">
        <v>6</v>
      </c>
      <c r="R899" s="6">
        <v>0.6</v>
      </c>
      <c r="S899" t="s">
        <v>163</v>
      </c>
      <c r="T899" t="s">
        <v>147</v>
      </c>
      <c r="U899" s="6">
        <v>12</v>
      </c>
      <c r="V899" s="6">
        <v>18</v>
      </c>
      <c r="W899" t="b">
        <v>0</v>
      </c>
      <c r="X899">
        <v>6</v>
      </c>
      <c r="Y899">
        <v>2</v>
      </c>
      <c r="Z899">
        <v>18</v>
      </c>
      <c r="AA899" s="6">
        <v>28.186274509803919</v>
      </c>
      <c r="AB899">
        <f>--PizzaDelivery[[#This Row],[Is Delayed]]</f>
        <v>0</v>
      </c>
    </row>
    <row r="900" spans="1:28">
      <c r="A900" t="s">
        <v>1165</v>
      </c>
      <c r="B900" t="s">
        <v>157</v>
      </c>
      <c r="C900" t="s">
        <v>693</v>
      </c>
      <c r="D900" s="1">
        <v>45740</v>
      </c>
      <c r="E900" s="5">
        <v>0.82291666666666663</v>
      </c>
      <c r="F900" s="1">
        <v>45740</v>
      </c>
      <c r="G900" s="5">
        <v>0.84375</v>
      </c>
      <c r="H900">
        <v>30</v>
      </c>
      <c r="I900" t="s">
        <v>167</v>
      </c>
      <c r="J900" t="s">
        <v>168</v>
      </c>
      <c r="K900">
        <v>5</v>
      </c>
      <c r="L900">
        <v>6</v>
      </c>
      <c r="M900" t="s">
        <v>153</v>
      </c>
      <c r="N900" t="s">
        <v>162</v>
      </c>
      <c r="O900" t="b">
        <v>1</v>
      </c>
      <c r="P900" t="b">
        <v>0</v>
      </c>
      <c r="Q900" s="6">
        <v>5</v>
      </c>
      <c r="R900" s="6">
        <v>0.83333333333333337</v>
      </c>
      <c r="S900" t="s">
        <v>163</v>
      </c>
      <c r="T900" t="s">
        <v>147</v>
      </c>
      <c r="U900" s="6">
        <v>14.4</v>
      </c>
      <c r="V900" s="6">
        <v>15.6</v>
      </c>
      <c r="W900" t="b">
        <v>0</v>
      </c>
      <c r="X900">
        <v>20</v>
      </c>
      <c r="Y900">
        <v>3</v>
      </c>
      <c r="Z900">
        <v>19</v>
      </c>
      <c r="AA900" s="6">
        <v>28.844221105527641</v>
      </c>
      <c r="AB900">
        <f>--PizzaDelivery[[#This Row],[Is Delayed]]</f>
        <v>0</v>
      </c>
    </row>
    <row r="901" spans="1:28">
      <c r="A901" t="s">
        <v>1166</v>
      </c>
      <c r="B901" t="s">
        <v>173</v>
      </c>
      <c r="C901" t="s">
        <v>695</v>
      </c>
      <c r="D901" s="1">
        <v>45741</v>
      </c>
      <c r="E901" s="5">
        <v>0.83333333333333337</v>
      </c>
      <c r="F901" s="1">
        <v>45741</v>
      </c>
      <c r="G901" s="5">
        <v>0.85416666666666663</v>
      </c>
      <c r="H901">
        <v>30</v>
      </c>
      <c r="I901" t="s">
        <v>143</v>
      </c>
      <c r="J901" t="s">
        <v>1021</v>
      </c>
      <c r="K901">
        <v>3</v>
      </c>
      <c r="L901">
        <v>4.5</v>
      </c>
      <c r="M901" t="s">
        <v>143</v>
      </c>
      <c r="N901" t="s">
        <v>169</v>
      </c>
      <c r="O901" t="b">
        <v>1</v>
      </c>
      <c r="P901" t="b">
        <v>0</v>
      </c>
      <c r="Q901" s="6">
        <v>6.666666666666667</v>
      </c>
      <c r="R901" s="6">
        <v>0.66666666666666663</v>
      </c>
      <c r="S901" t="s">
        <v>163</v>
      </c>
      <c r="T901" t="s">
        <v>171</v>
      </c>
      <c r="U901" s="6">
        <v>10.8</v>
      </c>
      <c r="V901" s="6">
        <v>19.2</v>
      </c>
      <c r="W901" t="b">
        <v>0</v>
      </c>
      <c r="X901">
        <v>6</v>
      </c>
      <c r="Y901">
        <v>2</v>
      </c>
      <c r="Z901">
        <v>20</v>
      </c>
      <c r="AA901" s="6">
        <v>30.286458333333329</v>
      </c>
      <c r="AB901">
        <f>--PizzaDelivery[[#This Row],[Is Delayed]]</f>
        <v>0</v>
      </c>
    </row>
    <row r="902" spans="1:28">
      <c r="A902" t="s">
        <v>1167</v>
      </c>
      <c r="B902" t="s">
        <v>142</v>
      </c>
      <c r="C902" t="s">
        <v>697</v>
      </c>
      <c r="D902" s="1">
        <v>45742</v>
      </c>
      <c r="E902" s="5">
        <v>0.80208333333333337</v>
      </c>
      <c r="F902" s="1">
        <v>45742</v>
      </c>
      <c r="G902" s="5">
        <v>0.82291666666666663</v>
      </c>
      <c r="H902">
        <v>30</v>
      </c>
      <c r="I902" t="s">
        <v>151</v>
      </c>
      <c r="J902" t="s">
        <v>657</v>
      </c>
      <c r="K902">
        <v>4</v>
      </c>
      <c r="L902">
        <v>5.5</v>
      </c>
      <c r="M902" t="s">
        <v>143</v>
      </c>
      <c r="N902" t="s">
        <v>162</v>
      </c>
      <c r="O902" t="b">
        <v>1</v>
      </c>
      <c r="P902" t="b">
        <v>0</v>
      </c>
      <c r="Q902" s="6">
        <v>5.4545454545454541</v>
      </c>
      <c r="R902" s="6">
        <v>0.72727272727272729</v>
      </c>
      <c r="S902" t="s">
        <v>163</v>
      </c>
      <c r="T902" t="s">
        <v>147</v>
      </c>
      <c r="U902" s="6">
        <v>13.2</v>
      </c>
      <c r="V902" s="6">
        <v>16.8</v>
      </c>
      <c r="W902" t="b">
        <v>0</v>
      </c>
      <c r="X902">
        <v>12</v>
      </c>
      <c r="Y902">
        <v>2</v>
      </c>
      <c r="Z902">
        <v>19</v>
      </c>
      <c r="AA902" s="6">
        <v>30.259433962264151</v>
      </c>
      <c r="AB902">
        <f>--PizzaDelivery[[#This Row],[Is Delayed]]</f>
        <v>0</v>
      </c>
    </row>
    <row r="903" spans="1:28">
      <c r="A903" t="s">
        <v>1168</v>
      </c>
      <c r="B903" t="s">
        <v>165</v>
      </c>
      <c r="C903" t="s">
        <v>188</v>
      </c>
      <c r="D903" s="1">
        <v>45743</v>
      </c>
      <c r="E903" s="5">
        <v>0.85416666666666663</v>
      </c>
      <c r="F903" s="1">
        <v>45743</v>
      </c>
      <c r="G903" s="5">
        <v>0.875</v>
      </c>
      <c r="H903">
        <v>30</v>
      </c>
      <c r="I903" t="s">
        <v>143</v>
      </c>
      <c r="J903" t="s">
        <v>144</v>
      </c>
      <c r="K903">
        <v>2</v>
      </c>
      <c r="L903">
        <v>4</v>
      </c>
      <c r="M903" t="s">
        <v>161</v>
      </c>
      <c r="N903" t="s">
        <v>154</v>
      </c>
      <c r="O903" t="b">
        <v>1</v>
      </c>
      <c r="P903" t="b">
        <v>0</v>
      </c>
      <c r="Q903" s="6">
        <v>7.5</v>
      </c>
      <c r="R903" s="6">
        <v>0.5</v>
      </c>
      <c r="S903" t="s">
        <v>163</v>
      </c>
      <c r="T903" t="s">
        <v>147</v>
      </c>
      <c r="U903" s="6">
        <v>9.6</v>
      </c>
      <c r="V903" s="6">
        <v>20.399999999999999</v>
      </c>
      <c r="W903" t="b">
        <v>0</v>
      </c>
      <c r="X903">
        <v>4</v>
      </c>
      <c r="Y903">
        <v>1</v>
      </c>
      <c r="Z903">
        <v>20</v>
      </c>
      <c r="AA903" s="6">
        <v>29.948453608247419</v>
      </c>
      <c r="AB903">
        <f>--PizzaDelivery[[#This Row],[Is Delayed]]</f>
        <v>0</v>
      </c>
    </row>
    <row r="904" spans="1:28">
      <c r="A904" t="s">
        <v>1169</v>
      </c>
      <c r="B904" t="s">
        <v>149</v>
      </c>
      <c r="C904" t="s">
        <v>712</v>
      </c>
      <c r="D904" s="1">
        <v>45744</v>
      </c>
      <c r="E904" s="5">
        <v>0.75</v>
      </c>
      <c r="F904" s="1">
        <v>45744</v>
      </c>
      <c r="G904" s="5">
        <v>0.77083333333333337</v>
      </c>
      <c r="H904">
        <v>30</v>
      </c>
      <c r="I904" t="s">
        <v>143</v>
      </c>
      <c r="J904" t="s">
        <v>1018</v>
      </c>
      <c r="K904">
        <v>3</v>
      </c>
      <c r="L904">
        <v>5</v>
      </c>
      <c r="M904" t="s">
        <v>143</v>
      </c>
      <c r="N904" t="s">
        <v>145</v>
      </c>
      <c r="O904" t="b">
        <v>1</v>
      </c>
      <c r="P904" t="b">
        <v>1</v>
      </c>
      <c r="Q904" s="6">
        <v>6</v>
      </c>
      <c r="R904" s="6">
        <v>0.6</v>
      </c>
      <c r="S904" t="s">
        <v>163</v>
      </c>
      <c r="T904" t="s">
        <v>147</v>
      </c>
      <c r="U904" s="6">
        <v>12</v>
      </c>
      <c r="V904" s="6">
        <v>18</v>
      </c>
      <c r="W904" t="b">
        <v>0</v>
      </c>
      <c r="X904">
        <v>6</v>
      </c>
      <c r="Y904">
        <v>2</v>
      </c>
      <c r="Z904">
        <v>18</v>
      </c>
      <c r="AA904" s="6">
        <v>28.186274509803919</v>
      </c>
      <c r="AB904">
        <f>--PizzaDelivery[[#This Row],[Is Delayed]]</f>
        <v>0</v>
      </c>
    </row>
    <row r="905" spans="1:28">
      <c r="A905" t="s">
        <v>1170</v>
      </c>
      <c r="B905" t="s">
        <v>157</v>
      </c>
      <c r="C905" t="s">
        <v>693</v>
      </c>
      <c r="D905" s="1">
        <v>45745</v>
      </c>
      <c r="E905" s="5">
        <v>0.80208333333333337</v>
      </c>
      <c r="F905" s="1">
        <v>45745</v>
      </c>
      <c r="G905" s="5">
        <v>0.82291666666666663</v>
      </c>
      <c r="H905">
        <v>30</v>
      </c>
      <c r="I905" t="s">
        <v>167</v>
      </c>
      <c r="J905" t="s">
        <v>168</v>
      </c>
      <c r="K905">
        <v>5</v>
      </c>
      <c r="L905">
        <v>6</v>
      </c>
      <c r="M905" t="s">
        <v>153</v>
      </c>
      <c r="N905" t="s">
        <v>162</v>
      </c>
      <c r="O905" t="b">
        <v>1</v>
      </c>
      <c r="P905" t="b">
        <v>1</v>
      </c>
      <c r="Q905" s="6">
        <v>5</v>
      </c>
      <c r="R905" s="6">
        <v>0.83333333333333337</v>
      </c>
      <c r="S905" t="s">
        <v>163</v>
      </c>
      <c r="T905" t="s">
        <v>147</v>
      </c>
      <c r="U905" s="6">
        <v>14.4</v>
      </c>
      <c r="V905" s="6">
        <v>15.6</v>
      </c>
      <c r="W905" t="b">
        <v>0</v>
      </c>
      <c r="X905">
        <v>20</v>
      </c>
      <c r="Y905">
        <v>3</v>
      </c>
      <c r="Z905">
        <v>19</v>
      </c>
      <c r="AA905" s="6">
        <v>28.844221105527641</v>
      </c>
      <c r="AB905">
        <f>--PizzaDelivery[[#This Row],[Is Delayed]]</f>
        <v>0</v>
      </c>
    </row>
    <row r="906" spans="1:28">
      <c r="A906" t="s">
        <v>1171</v>
      </c>
      <c r="B906" t="s">
        <v>173</v>
      </c>
      <c r="C906" t="s">
        <v>695</v>
      </c>
      <c r="D906" s="1">
        <v>45746</v>
      </c>
      <c r="E906" s="5">
        <v>0.85416666666666663</v>
      </c>
      <c r="F906" s="1">
        <v>45746</v>
      </c>
      <c r="G906" s="5">
        <v>0.875</v>
      </c>
      <c r="H906">
        <v>30</v>
      </c>
      <c r="I906" t="s">
        <v>143</v>
      </c>
      <c r="J906" t="s">
        <v>1021</v>
      </c>
      <c r="K906">
        <v>3</v>
      </c>
      <c r="L906">
        <v>4.5</v>
      </c>
      <c r="M906" t="s">
        <v>143</v>
      </c>
      <c r="N906" t="s">
        <v>169</v>
      </c>
      <c r="O906" t="b">
        <v>1</v>
      </c>
      <c r="P906" t="b">
        <v>0</v>
      </c>
      <c r="Q906" s="6">
        <v>6.666666666666667</v>
      </c>
      <c r="R906" s="6">
        <v>0.66666666666666663</v>
      </c>
      <c r="S906" t="s">
        <v>163</v>
      </c>
      <c r="T906" t="s">
        <v>171</v>
      </c>
      <c r="U906" s="6">
        <v>10.8</v>
      </c>
      <c r="V906" s="6">
        <v>19.2</v>
      </c>
      <c r="W906" t="b">
        <v>0</v>
      </c>
      <c r="X906">
        <v>6</v>
      </c>
      <c r="Y906">
        <v>2</v>
      </c>
      <c r="Z906">
        <v>20</v>
      </c>
      <c r="AA906" s="6">
        <v>30.286458333333329</v>
      </c>
      <c r="AB906">
        <f>--PizzaDelivery[[#This Row],[Is Delayed]]</f>
        <v>0</v>
      </c>
    </row>
    <row r="907" spans="1:28">
      <c r="A907" t="s">
        <v>1172</v>
      </c>
      <c r="B907" t="s">
        <v>142</v>
      </c>
      <c r="C907" t="s">
        <v>697</v>
      </c>
      <c r="D907" s="1">
        <v>45747</v>
      </c>
      <c r="E907" s="5">
        <v>0.79166666666666663</v>
      </c>
      <c r="F907" s="1">
        <v>45747</v>
      </c>
      <c r="G907" s="5">
        <v>0.8125</v>
      </c>
      <c r="H907">
        <v>30</v>
      </c>
      <c r="I907" t="s">
        <v>151</v>
      </c>
      <c r="J907" t="s">
        <v>657</v>
      </c>
      <c r="K907">
        <v>4</v>
      </c>
      <c r="L907">
        <v>5.5</v>
      </c>
      <c r="M907" t="s">
        <v>143</v>
      </c>
      <c r="N907" t="s">
        <v>162</v>
      </c>
      <c r="O907" t="b">
        <v>1</v>
      </c>
      <c r="P907" t="b">
        <v>0</v>
      </c>
      <c r="Q907" s="6">
        <v>5.4545454545454541</v>
      </c>
      <c r="R907" s="6">
        <v>0.72727272727272729</v>
      </c>
      <c r="S907" t="s">
        <v>163</v>
      </c>
      <c r="T907" t="s">
        <v>147</v>
      </c>
      <c r="U907" s="6">
        <v>13.2</v>
      </c>
      <c r="V907" s="6">
        <v>16.8</v>
      </c>
      <c r="W907" t="b">
        <v>0</v>
      </c>
      <c r="X907">
        <v>12</v>
      </c>
      <c r="Y907">
        <v>2</v>
      </c>
      <c r="Z907">
        <v>19</v>
      </c>
      <c r="AA907" s="6">
        <v>30.259433962264151</v>
      </c>
      <c r="AB907">
        <f>--PizzaDelivery[[#This Row],[Is Delayed]]</f>
        <v>0</v>
      </c>
    </row>
    <row r="908" spans="1:28">
      <c r="A908" t="s">
        <v>1173</v>
      </c>
      <c r="B908" t="s">
        <v>165</v>
      </c>
      <c r="C908" t="s">
        <v>188</v>
      </c>
      <c r="D908" s="1">
        <v>45748</v>
      </c>
      <c r="E908" s="5">
        <v>0.84375</v>
      </c>
      <c r="F908" s="1">
        <v>45748</v>
      </c>
      <c r="G908" s="5">
        <v>0.86458333333333337</v>
      </c>
      <c r="H908">
        <v>30</v>
      </c>
      <c r="I908" t="s">
        <v>143</v>
      </c>
      <c r="J908" t="s">
        <v>144</v>
      </c>
      <c r="K908">
        <v>2</v>
      </c>
      <c r="L908">
        <v>4</v>
      </c>
      <c r="M908" t="s">
        <v>161</v>
      </c>
      <c r="N908" t="s">
        <v>154</v>
      </c>
      <c r="O908" t="b">
        <v>1</v>
      </c>
      <c r="P908" t="b">
        <v>0</v>
      </c>
      <c r="Q908" s="6">
        <v>7.5</v>
      </c>
      <c r="R908" s="6">
        <v>0.5</v>
      </c>
      <c r="S908" t="s">
        <v>170</v>
      </c>
      <c r="T908" t="s">
        <v>147</v>
      </c>
      <c r="U908" s="6">
        <v>9.6</v>
      </c>
      <c r="V908" s="6">
        <v>20.399999999999999</v>
      </c>
      <c r="W908" t="b">
        <v>0</v>
      </c>
      <c r="X908">
        <v>4</v>
      </c>
      <c r="Y908">
        <v>1</v>
      </c>
      <c r="Z908">
        <v>20</v>
      </c>
      <c r="AA908" s="6">
        <v>29.948453608247419</v>
      </c>
      <c r="AB908">
        <f>--PizzaDelivery[[#This Row],[Is Delayed]]</f>
        <v>0</v>
      </c>
    </row>
    <row r="909" spans="1:28">
      <c r="A909" t="s">
        <v>1174</v>
      </c>
      <c r="B909" t="s">
        <v>149</v>
      </c>
      <c r="C909" t="s">
        <v>712</v>
      </c>
      <c r="D909" s="1">
        <v>45749</v>
      </c>
      <c r="E909" s="5">
        <v>0.77083333333333337</v>
      </c>
      <c r="F909" s="1">
        <v>45749</v>
      </c>
      <c r="G909" s="5">
        <v>0.79166666666666663</v>
      </c>
      <c r="H909">
        <v>30</v>
      </c>
      <c r="I909" t="s">
        <v>143</v>
      </c>
      <c r="J909" t="s">
        <v>1018</v>
      </c>
      <c r="K909">
        <v>3</v>
      </c>
      <c r="L909">
        <v>5</v>
      </c>
      <c r="M909" t="s">
        <v>143</v>
      </c>
      <c r="N909" t="s">
        <v>145</v>
      </c>
      <c r="O909" t="b">
        <v>1</v>
      </c>
      <c r="P909" t="b">
        <v>0</v>
      </c>
      <c r="Q909" s="6">
        <v>6</v>
      </c>
      <c r="R909" s="6">
        <v>0.6</v>
      </c>
      <c r="S909" t="s">
        <v>170</v>
      </c>
      <c r="T909" t="s">
        <v>147</v>
      </c>
      <c r="U909" s="6">
        <v>12</v>
      </c>
      <c r="V909" s="6">
        <v>18</v>
      </c>
      <c r="W909" t="b">
        <v>0</v>
      </c>
      <c r="X909">
        <v>6</v>
      </c>
      <c r="Y909">
        <v>2</v>
      </c>
      <c r="Z909">
        <v>18</v>
      </c>
      <c r="AA909" s="6">
        <v>28.186274509803919</v>
      </c>
      <c r="AB909">
        <f>--PizzaDelivery[[#This Row],[Is Delayed]]</f>
        <v>0</v>
      </c>
    </row>
    <row r="910" spans="1:28">
      <c r="A910" t="s">
        <v>1175</v>
      </c>
      <c r="B910" t="s">
        <v>157</v>
      </c>
      <c r="C910" t="s">
        <v>693</v>
      </c>
      <c r="D910" s="1">
        <v>45750</v>
      </c>
      <c r="E910" s="5">
        <v>0.82291666666666663</v>
      </c>
      <c r="F910" s="1">
        <v>45750</v>
      </c>
      <c r="G910" s="5">
        <v>0.84375</v>
      </c>
      <c r="H910">
        <v>30</v>
      </c>
      <c r="I910" t="s">
        <v>167</v>
      </c>
      <c r="J910" t="s">
        <v>168</v>
      </c>
      <c r="K910">
        <v>5</v>
      </c>
      <c r="L910">
        <v>6</v>
      </c>
      <c r="M910" t="s">
        <v>153</v>
      </c>
      <c r="N910" t="s">
        <v>162</v>
      </c>
      <c r="O910" t="b">
        <v>1</v>
      </c>
      <c r="P910" t="b">
        <v>0</v>
      </c>
      <c r="Q910" s="6">
        <v>5</v>
      </c>
      <c r="R910" s="6">
        <v>0.83333333333333337</v>
      </c>
      <c r="S910" t="s">
        <v>170</v>
      </c>
      <c r="T910" t="s">
        <v>147</v>
      </c>
      <c r="U910" s="6">
        <v>14.4</v>
      </c>
      <c r="V910" s="6">
        <v>15.6</v>
      </c>
      <c r="W910" t="b">
        <v>0</v>
      </c>
      <c r="X910">
        <v>20</v>
      </c>
      <c r="Y910">
        <v>3</v>
      </c>
      <c r="Z910">
        <v>19</v>
      </c>
      <c r="AA910" s="6">
        <v>28.844221105527641</v>
      </c>
      <c r="AB910">
        <f>--PizzaDelivery[[#This Row],[Is Delayed]]</f>
        <v>0</v>
      </c>
    </row>
    <row r="911" spans="1:28">
      <c r="A911" t="s">
        <v>1176</v>
      </c>
      <c r="B911" t="s">
        <v>173</v>
      </c>
      <c r="C911" t="s">
        <v>695</v>
      </c>
      <c r="D911" s="1">
        <v>45751</v>
      </c>
      <c r="E911" s="5">
        <v>0.83333333333333337</v>
      </c>
      <c r="F911" s="1">
        <v>45751</v>
      </c>
      <c r="G911" s="5">
        <v>0.85416666666666663</v>
      </c>
      <c r="H911">
        <v>30</v>
      </c>
      <c r="I911" t="s">
        <v>143</v>
      </c>
      <c r="J911" t="s">
        <v>1021</v>
      </c>
      <c r="K911">
        <v>3</v>
      </c>
      <c r="L911">
        <v>4.5</v>
      </c>
      <c r="M911" t="s">
        <v>143</v>
      </c>
      <c r="N911" t="s">
        <v>169</v>
      </c>
      <c r="O911" t="b">
        <v>1</v>
      </c>
      <c r="P911" t="b">
        <v>1</v>
      </c>
      <c r="Q911" s="6">
        <v>6.666666666666667</v>
      </c>
      <c r="R911" s="6">
        <v>0.66666666666666663</v>
      </c>
      <c r="S911" t="s">
        <v>170</v>
      </c>
      <c r="T911" t="s">
        <v>171</v>
      </c>
      <c r="U911" s="6">
        <v>10.8</v>
      </c>
      <c r="V911" s="6">
        <v>19.2</v>
      </c>
      <c r="W911" t="b">
        <v>0</v>
      </c>
      <c r="X911">
        <v>6</v>
      </c>
      <c r="Y911">
        <v>2</v>
      </c>
      <c r="Z911">
        <v>20</v>
      </c>
      <c r="AA911" s="6">
        <v>30.286458333333329</v>
      </c>
      <c r="AB911">
        <f>--PizzaDelivery[[#This Row],[Is Delayed]]</f>
        <v>0</v>
      </c>
    </row>
    <row r="912" spans="1:28">
      <c r="A912" t="s">
        <v>1177</v>
      </c>
      <c r="B912" t="s">
        <v>142</v>
      </c>
      <c r="C912" t="s">
        <v>697</v>
      </c>
      <c r="D912" s="1">
        <v>45752</v>
      </c>
      <c r="E912" s="5">
        <v>0.80208333333333337</v>
      </c>
      <c r="F912" s="1">
        <v>45752</v>
      </c>
      <c r="G912" s="5">
        <v>0.82291666666666663</v>
      </c>
      <c r="H912">
        <v>30</v>
      </c>
      <c r="I912" t="s">
        <v>151</v>
      </c>
      <c r="J912" t="s">
        <v>657</v>
      </c>
      <c r="K912">
        <v>4</v>
      </c>
      <c r="L912">
        <v>5.5</v>
      </c>
      <c r="M912" t="s">
        <v>143</v>
      </c>
      <c r="N912" t="s">
        <v>162</v>
      </c>
      <c r="O912" t="b">
        <v>1</v>
      </c>
      <c r="P912" t="b">
        <v>1</v>
      </c>
      <c r="Q912" s="6">
        <v>5.4545454545454541</v>
      </c>
      <c r="R912" s="6">
        <v>0.72727272727272729</v>
      </c>
      <c r="S912" t="s">
        <v>170</v>
      </c>
      <c r="T912" t="s">
        <v>147</v>
      </c>
      <c r="U912" s="6">
        <v>13.2</v>
      </c>
      <c r="V912" s="6">
        <v>16.8</v>
      </c>
      <c r="W912" t="b">
        <v>0</v>
      </c>
      <c r="X912">
        <v>12</v>
      </c>
      <c r="Y912">
        <v>2</v>
      </c>
      <c r="Z912">
        <v>19</v>
      </c>
      <c r="AA912" s="6">
        <v>30.259433962264151</v>
      </c>
      <c r="AB912">
        <f>--PizzaDelivery[[#This Row],[Is Delayed]]</f>
        <v>0</v>
      </c>
    </row>
    <row r="913" spans="1:28">
      <c r="A913" t="s">
        <v>1178</v>
      </c>
      <c r="B913" t="s">
        <v>165</v>
      </c>
      <c r="C913" t="s">
        <v>188</v>
      </c>
      <c r="D913" s="1">
        <v>45753</v>
      </c>
      <c r="E913" s="5">
        <v>0.85416666666666663</v>
      </c>
      <c r="F913" s="1">
        <v>45753</v>
      </c>
      <c r="G913" s="5">
        <v>0.875</v>
      </c>
      <c r="H913">
        <v>30</v>
      </c>
      <c r="I913" t="s">
        <v>143</v>
      </c>
      <c r="J913" t="s">
        <v>144</v>
      </c>
      <c r="K913">
        <v>2</v>
      </c>
      <c r="L913">
        <v>4</v>
      </c>
      <c r="M913" t="s">
        <v>161</v>
      </c>
      <c r="N913" t="s">
        <v>154</v>
      </c>
      <c r="O913" t="b">
        <v>1</v>
      </c>
      <c r="P913" t="b">
        <v>0</v>
      </c>
      <c r="Q913" s="6">
        <v>7.5</v>
      </c>
      <c r="R913" s="6">
        <v>0.5</v>
      </c>
      <c r="S913" t="s">
        <v>170</v>
      </c>
      <c r="T913" t="s">
        <v>147</v>
      </c>
      <c r="U913" s="6">
        <v>9.6</v>
      </c>
      <c r="V913" s="6">
        <v>20.399999999999999</v>
      </c>
      <c r="W913" t="b">
        <v>0</v>
      </c>
      <c r="X913">
        <v>4</v>
      </c>
      <c r="Y913">
        <v>1</v>
      </c>
      <c r="Z913">
        <v>20</v>
      </c>
      <c r="AA913" s="6">
        <v>29.948453608247419</v>
      </c>
      <c r="AB913">
        <f>--PizzaDelivery[[#This Row],[Is Delayed]]</f>
        <v>0</v>
      </c>
    </row>
    <row r="914" spans="1:28">
      <c r="A914" t="s">
        <v>1179</v>
      </c>
      <c r="B914" t="s">
        <v>149</v>
      </c>
      <c r="C914" t="s">
        <v>712</v>
      </c>
      <c r="D914" s="1">
        <v>45754</v>
      </c>
      <c r="E914" s="5">
        <v>0.75</v>
      </c>
      <c r="F914" s="1">
        <v>45754</v>
      </c>
      <c r="G914" s="5">
        <v>0.77083333333333337</v>
      </c>
      <c r="H914">
        <v>30</v>
      </c>
      <c r="I914" t="s">
        <v>143</v>
      </c>
      <c r="J914" t="s">
        <v>1018</v>
      </c>
      <c r="K914">
        <v>3</v>
      </c>
      <c r="L914">
        <v>5</v>
      </c>
      <c r="M914" t="s">
        <v>143</v>
      </c>
      <c r="N914" t="s">
        <v>145</v>
      </c>
      <c r="O914" t="b">
        <v>1</v>
      </c>
      <c r="P914" t="b">
        <v>0</v>
      </c>
      <c r="Q914" s="6">
        <v>6</v>
      </c>
      <c r="R914" s="6">
        <v>0.6</v>
      </c>
      <c r="S914" t="s">
        <v>170</v>
      </c>
      <c r="T914" t="s">
        <v>147</v>
      </c>
      <c r="U914" s="6">
        <v>12</v>
      </c>
      <c r="V914" s="6">
        <v>18</v>
      </c>
      <c r="W914" t="b">
        <v>0</v>
      </c>
      <c r="X914">
        <v>6</v>
      </c>
      <c r="Y914">
        <v>2</v>
      </c>
      <c r="Z914">
        <v>18</v>
      </c>
      <c r="AA914" s="6">
        <v>28.186274509803919</v>
      </c>
      <c r="AB914">
        <f>--PizzaDelivery[[#This Row],[Is Delayed]]</f>
        <v>0</v>
      </c>
    </row>
    <row r="915" spans="1:28">
      <c r="A915" t="s">
        <v>1180</v>
      </c>
      <c r="B915" t="s">
        <v>157</v>
      </c>
      <c r="C915" t="s">
        <v>693</v>
      </c>
      <c r="D915" s="1">
        <v>45755</v>
      </c>
      <c r="E915" s="5">
        <v>0.80208333333333337</v>
      </c>
      <c r="F915" s="1">
        <v>45755</v>
      </c>
      <c r="G915" s="5">
        <v>0.82291666666666663</v>
      </c>
      <c r="H915">
        <v>30</v>
      </c>
      <c r="I915" t="s">
        <v>167</v>
      </c>
      <c r="J915" t="s">
        <v>168</v>
      </c>
      <c r="K915">
        <v>5</v>
      </c>
      <c r="L915">
        <v>6</v>
      </c>
      <c r="M915" t="s">
        <v>153</v>
      </c>
      <c r="N915" t="s">
        <v>162</v>
      </c>
      <c r="O915" t="b">
        <v>1</v>
      </c>
      <c r="P915" t="b">
        <v>0</v>
      </c>
      <c r="Q915" s="6">
        <v>5</v>
      </c>
      <c r="R915" s="6">
        <v>0.83333333333333337</v>
      </c>
      <c r="S915" t="s">
        <v>170</v>
      </c>
      <c r="T915" t="s">
        <v>147</v>
      </c>
      <c r="U915" s="6">
        <v>14.4</v>
      </c>
      <c r="V915" s="6">
        <v>15.6</v>
      </c>
      <c r="W915" t="b">
        <v>0</v>
      </c>
      <c r="X915">
        <v>20</v>
      </c>
      <c r="Y915">
        <v>3</v>
      </c>
      <c r="Z915">
        <v>19</v>
      </c>
      <c r="AA915" s="6">
        <v>28.844221105527641</v>
      </c>
      <c r="AB915">
        <f>--PizzaDelivery[[#This Row],[Is Delayed]]</f>
        <v>0</v>
      </c>
    </row>
    <row r="916" spans="1:28">
      <c r="A916" t="s">
        <v>1181</v>
      </c>
      <c r="B916" t="s">
        <v>173</v>
      </c>
      <c r="C916" t="s">
        <v>695</v>
      </c>
      <c r="D916" s="1">
        <v>45756</v>
      </c>
      <c r="E916" s="5">
        <v>0.85416666666666663</v>
      </c>
      <c r="F916" s="1">
        <v>45756</v>
      </c>
      <c r="G916" s="5">
        <v>0.875</v>
      </c>
      <c r="H916">
        <v>30</v>
      </c>
      <c r="I916" t="s">
        <v>143</v>
      </c>
      <c r="J916" t="s">
        <v>1021</v>
      </c>
      <c r="K916">
        <v>3</v>
      </c>
      <c r="L916">
        <v>4.5</v>
      </c>
      <c r="M916" t="s">
        <v>143</v>
      </c>
      <c r="N916" t="s">
        <v>169</v>
      </c>
      <c r="O916" t="b">
        <v>1</v>
      </c>
      <c r="P916" t="b">
        <v>0</v>
      </c>
      <c r="Q916" s="6">
        <v>6.666666666666667</v>
      </c>
      <c r="R916" s="6">
        <v>0.66666666666666663</v>
      </c>
      <c r="S916" t="s">
        <v>170</v>
      </c>
      <c r="T916" t="s">
        <v>171</v>
      </c>
      <c r="U916" s="6">
        <v>10.8</v>
      </c>
      <c r="V916" s="6">
        <v>19.2</v>
      </c>
      <c r="W916" t="b">
        <v>0</v>
      </c>
      <c r="X916">
        <v>6</v>
      </c>
      <c r="Y916">
        <v>2</v>
      </c>
      <c r="Z916">
        <v>20</v>
      </c>
      <c r="AA916" s="6">
        <v>30.286458333333329</v>
      </c>
      <c r="AB916">
        <f>--PizzaDelivery[[#This Row],[Is Delayed]]</f>
        <v>0</v>
      </c>
    </row>
    <row r="917" spans="1:28">
      <c r="A917" t="s">
        <v>1182</v>
      </c>
      <c r="B917" t="s">
        <v>142</v>
      </c>
      <c r="C917" t="s">
        <v>697</v>
      </c>
      <c r="D917" s="1">
        <v>45757</v>
      </c>
      <c r="E917" s="5">
        <v>0.79166666666666663</v>
      </c>
      <c r="F917" s="1">
        <v>45757</v>
      </c>
      <c r="G917" s="5">
        <v>0.8125</v>
      </c>
      <c r="H917">
        <v>30</v>
      </c>
      <c r="I917" t="s">
        <v>151</v>
      </c>
      <c r="J917" t="s">
        <v>657</v>
      </c>
      <c r="K917">
        <v>4</v>
      </c>
      <c r="L917">
        <v>5.5</v>
      </c>
      <c r="M917" t="s">
        <v>143</v>
      </c>
      <c r="N917" t="s">
        <v>162</v>
      </c>
      <c r="O917" t="b">
        <v>1</v>
      </c>
      <c r="P917" t="b">
        <v>0</v>
      </c>
      <c r="Q917" s="6">
        <v>5.4545454545454541</v>
      </c>
      <c r="R917" s="6">
        <v>0.72727272727272729</v>
      </c>
      <c r="S917" t="s">
        <v>170</v>
      </c>
      <c r="T917" t="s">
        <v>147</v>
      </c>
      <c r="U917" s="6">
        <v>13.2</v>
      </c>
      <c r="V917" s="6">
        <v>16.8</v>
      </c>
      <c r="W917" t="b">
        <v>0</v>
      </c>
      <c r="X917">
        <v>12</v>
      </c>
      <c r="Y917">
        <v>2</v>
      </c>
      <c r="Z917">
        <v>19</v>
      </c>
      <c r="AA917" s="6">
        <v>30.259433962264151</v>
      </c>
      <c r="AB917">
        <f>--PizzaDelivery[[#This Row],[Is Delayed]]</f>
        <v>0</v>
      </c>
    </row>
    <row r="918" spans="1:28">
      <c r="A918" t="s">
        <v>1183</v>
      </c>
      <c r="B918" t="s">
        <v>165</v>
      </c>
      <c r="C918" t="s">
        <v>188</v>
      </c>
      <c r="D918" s="1">
        <v>45758</v>
      </c>
      <c r="E918" s="5">
        <v>0.84375</v>
      </c>
      <c r="F918" s="1">
        <v>45758</v>
      </c>
      <c r="G918" s="5">
        <v>0.86458333333333337</v>
      </c>
      <c r="H918">
        <v>30</v>
      </c>
      <c r="I918" t="s">
        <v>143</v>
      </c>
      <c r="J918" t="s">
        <v>144</v>
      </c>
      <c r="K918">
        <v>2</v>
      </c>
      <c r="L918">
        <v>4</v>
      </c>
      <c r="M918" t="s">
        <v>161</v>
      </c>
      <c r="N918" t="s">
        <v>154</v>
      </c>
      <c r="O918" t="b">
        <v>1</v>
      </c>
      <c r="P918" t="b">
        <v>1</v>
      </c>
      <c r="Q918" s="6">
        <v>7.5</v>
      </c>
      <c r="R918" s="6">
        <v>0.5</v>
      </c>
      <c r="S918" t="s">
        <v>170</v>
      </c>
      <c r="T918" t="s">
        <v>147</v>
      </c>
      <c r="U918" s="6">
        <v>9.6</v>
      </c>
      <c r="V918" s="6">
        <v>20.399999999999999</v>
      </c>
      <c r="W918" t="b">
        <v>0</v>
      </c>
      <c r="X918">
        <v>4</v>
      </c>
      <c r="Y918">
        <v>1</v>
      </c>
      <c r="Z918">
        <v>20</v>
      </c>
      <c r="AA918" s="6">
        <v>29.948453608247419</v>
      </c>
      <c r="AB918">
        <f>--PizzaDelivery[[#This Row],[Is Delayed]]</f>
        <v>0</v>
      </c>
    </row>
    <row r="919" spans="1:28">
      <c r="A919" t="s">
        <v>1184</v>
      </c>
      <c r="B919" t="s">
        <v>149</v>
      </c>
      <c r="C919" t="s">
        <v>712</v>
      </c>
      <c r="D919" s="1">
        <v>45759</v>
      </c>
      <c r="E919" s="5">
        <v>0.77083333333333337</v>
      </c>
      <c r="F919" s="1">
        <v>45759</v>
      </c>
      <c r="G919" s="5">
        <v>0.79166666666666663</v>
      </c>
      <c r="H919">
        <v>30</v>
      </c>
      <c r="I919" t="s">
        <v>143</v>
      </c>
      <c r="J919" t="s">
        <v>1018</v>
      </c>
      <c r="K919">
        <v>3</v>
      </c>
      <c r="L919">
        <v>5</v>
      </c>
      <c r="M919" t="s">
        <v>143</v>
      </c>
      <c r="N919" t="s">
        <v>145</v>
      </c>
      <c r="O919" t="b">
        <v>1</v>
      </c>
      <c r="P919" t="b">
        <v>1</v>
      </c>
      <c r="Q919" s="6">
        <v>6</v>
      </c>
      <c r="R919" s="6">
        <v>0.6</v>
      </c>
      <c r="S919" t="s">
        <v>170</v>
      </c>
      <c r="T919" t="s">
        <v>147</v>
      </c>
      <c r="U919" s="6">
        <v>12</v>
      </c>
      <c r="V919" s="6">
        <v>18</v>
      </c>
      <c r="W919" t="b">
        <v>0</v>
      </c>
      <c r="X919">
        <v>6</v>
      </c>
      <c r="Y919">
        <v>2</v>
      </c>
      <c r="Z919">
        <v>18</v>
      </c>
      <c r="AA919" s="6">
        <v>28.186274509803919</v>
      </c>
      <c r="AB919">
        <f>--PizzaDelivery[[#This Row],[Is Delayed]]</f>
        <v>0</v>
      </c>
    </row>
    <row r="920" spans="1:28">
      <c r="A920" t="s">
        <v>1185</v>
      </c>
      <c r="B920" t="s">
        <v>157</v>
      </c>
      <c r="C920" t="s">
        <v>693</v>
      </c>
      <c r="D920" s="1">
        <v>45760</v>
      </c>
      <c r="E920" s="5">
        <v>0.82291666666666663</v>
      </c>
      <c r="F920" s="1">
        <v>45760</v>
      </c>
      <c r="G920" s="5">
        <v>0.84375</v>
      </c>
      <c r="H920">
        <v>30</v>
      </c>
      <c r="I920" t="s">
        <v>167</v>
      </c>
      <c r="J920" t="s">
        <v>168</v>
      </c>
      <c r="K920">
        <v>5</v>
      </c>
      <c r="L920">
        <v>6</v>
      </c>
      <c r="M920" t="s">
        <v>153</v>
      </c>
      <c r="N920" t="s">
        <v>162</v>
      </c>
      <c r="O920" t="b">
        <v>1</v>
      </c>
      <c r="P920" t="b">
        <v>0</v>
      </c>
      <c r="Q920" s="6">
        <v>5</v>
      </c>
      <c r="R920" s="6">
        <v>0.83333333333333337</v>
      </c>
      <c r="S920" t="s">
        <v>170</v>
      </c>
      <c r="T920" t="s">
        <v>147</v>
      </c>
      <c r="U920" s="6">
        <v>14.4</v>
      </c>
      <c r="V920" s="6">
        <v>15.6</v>
      </c>
      <c r="W920" t="b">
        <v>0</v>
      </c>
      <c r="X920">
        <v>20</v>
      </c>
      <c r="Y920">
        <v>3</v>
      </c>
      <c r="Z920">
        <v>19</v>
      </c>
      <c r="AA920" s="6">
        <v>28.844221105527641</v>
      </c>
      <c r="AB920">
        <f>--PizzaDelivery[[#This Row],[Is Delayed]]</f>
        <v>0</v>
      </c>
    </row>
    <row r="921" spans="1:28">
      <c r="A921" t="s">
        <v>1186</v>
      </c>
      <c r="B921" t="s">
        <v>173</v>
      </c>
      <c r="C921" t="s">
        <v>695</v>
      </c>
      <c r="D921" s="1">
        <v>45761</v>
      </c>
      <c r="E921" s="5">
        <v>0.83333333333333337</v>
      </c>
      <c r="F921" s="1">
        <v>45761</v>
      </c>
      <c r="G921" s="5">
        <v>0.85416666666666663</v>
      </c>
      <c r="H921">
        <v>30</v>
      </c>
      <c r="I921" t="s">
        <v>143</v>
      </c>
      <c r="J921" t="s">
        <v>1021</v>
      </c>
      <c r="K921">
        <v>3</v>
      </c>
      <c r="L921">
        <v>4.5</v>
      </c>
      <c r="M921" t="s">
        <v>143</v>
      </c>
      <c r="N921" t="s">
        <v>169</v>
      </c>
      <c r="O921" t="b">
        <v>1</v>
      </c>
      <c r="P921" t="b">
        <v>0</v>
      </c>
      <c r="Q921" s="6">
        <v>6.666666666666667</v>
      </c>
      <c r="R921" s="6">
        <v>0.66666666666666663</v>
      </c>
      <c r="S921" t="s">
        <v>170</v>
      </c>
      <c r="T921" t="s">
        <v>171</v>
      </c>
      <c r="U921" s="6">
        <v>10.8</v>
      </c>
      <c r="V921" s="6">
        <v>19.2</v>
      </c>
      <c r="W921" t="b">
        <v>0</v>
      </c>
      <c r="X921">
        <v>6</v>
      </c>
      <c r="Y921">
        <v>2</v>
      </c>
      <c r="Z921">
        <v>20</v>
      </c>
      <c r="AA921" s="6">
        <v>30.286458333333329</v>
      </c>
      <c r="AB921">
        <f>--PizzaDelivery[[#This Row],[Is Delayed]]</f>
        <v>0</v>
      </c>
    </row>
    <row r="922" spans="1:28">
      <c r="A922" t="s">
        <v>1187</v>
      </c>
      <c r="B922" t="s">
        <v>149</v>
      </c>
      <c r="C922" t="s">
        <v>712</v>
      </c>
      <c r="D922" s="1">
        <v>45762</v>
      </c>
      <c r="E922" s="5">
        <v>0.75</v>
      </c>
      <c r="F922" s="1">
        <v>45762</v>
      </c>
      <c r="G922" s="5">
        <v>0.77083333333333337</v>
      </c>
      <c r="H922">
        <v>30</v>
      </c>
      <c r="I922" t="s">
        <v>143</v>
      </c>
      <c r="J922" t="s">
        <v>1018</v>
      </c>
      <c r="K922">
        <v>3</v>
      </c>
      <c r="L922">
        <v>5</v>
      </c>
      <c r="M922" t="s">
        <v>143</v>
      </c>
      <c r="N922" t="s">
        <v>162</v>
      </c>
      <c r="O922" t="b">
        <v>1</v>
      </c>
      <c r="P922" t="b">
        <v>0</v>
      </c>
      <c r="Q922" s="6">
        <v>6</v>
      </c>
      <c r="R922" s="6">
        <v>0.6</v>
      </c>
      <c r="S922" t="s">
        <v>170</v>
      </c>
      <c r="T922" t="s">
        <v>147</v>
      </c>
      <c r="U922" s="6">
        <v>12</v>
      </c>
      <c r="V922" s="6">
        <v>18</v>
      </c>
      <c r="W922" t="b">
        <v>0</v>
      </c>
      <c r="X922">
        <v>6</v>
      </c>
      <c r="Y922">
        <v>2</v>
      </c>
      <c r="Z922">
        <v>18</v>
      </c>
      <c r="AA922" s="6">
        <v>28.186274509803919</v>
      </c>
      <c r="AB922">
        <f>--PizzaDelivery[[#This Row],[Is Delayed]]</f>
        <v>0</v>
      </c>
    </row>
    <row r="923" spans="1:28">
      <c r="A923" t="s">
        <v>1188</v>
      </c>
      <c r="B923" t="s">
        <v>157</v>
      </c>
      <c r="C923" t="s">
        <v>693</v>
      </c>
      <c r="D923" s="1">
        <v>45763</v>
      </c>
      <c r="E923" s="5">
        <v>0.80208333333333337</v>
      </c>
      <c r="F923" s="1">
        <v>45763</v>
      </c>
      <c r="G923" s="5">
        <v>0.82291666666666663</v>
      </c>
      <c r="H923">
        <v>30</v>
      </c>
      <c r="I923" t="s">
        <v>167</v>
      </c>
      <c r="J923" t="s">
        <v>168</v>
      </c>
      <c r="K923">
        <v>5</v>
      </c>
      <c r="L923">
        <v>6</v>
      </c>
      <c r="M923" t="s">
        <v>153</v>
      </c>
      <c r="N923" t="s">
        <v>145</v>
      </c>
      <c r="O923" t="b">
        <v>1</v>
      </c>
      <c r="P923" t="b">
        <v>0</v>
      </c>
      <c r="Q923" s="6">
        <v>5</v>
      </c>
      <c r="R923" s="6">
        <v>0.83333333333333337</v>
      </c>
      <c r="S923" t="s">
        <v>170</v>
      </c>
      <c r="T923" t="s">
        <v>147</v>
      </c>
      <c r="U923" s="6">
        <v>14.4</v>
      </c>
      <c r="V923" s="6">
        <v>15.6</v>
      </c>
      <c r="W923" t="b">
        <v>0</v>
      </c>
      <c r="X923">
        <v>20</v>
      </c>
      <c r="Y923">
        <v>3</v>
      </c>
      <c r="Z923">
        <v>19</v>
      </c>
      <c r="AA923" s="6">
        <v>28.844221105527641</v>
      </c>
      <c r="AB923">
        <f>--PizzaDelivery[[#This Row],[Is Delayed]]</f>
        <v>0</v>
      </c>
    </row>
    <row r="924" spans="1:28">
      <c r="A924" t="s">
        <v>1189</v>
      </c>
      <c r="B924" t="s">
        <v>173</v>
      </c>
      <c r="C924" t="s">
        <v>695</v>
      </c>
      <c r="D924" s="1">
        <v>45764</v>
      </c>
      <c r="E924" s="5">
        <v>0.85416666666666663</v>
      </c>
      <c r="F924" s="1">
        <v>45764</v>
      </c>
      <c r="G924" s="5">
        <v>0.875</v>
      </c>
      <c r="H924">
        <v>30</v>
      </c>
      <c r="I924" t="s">
        <v>143</v>
      </c>
      <c r="J924" t="s">
        <v>1021</v>
      </c>
      <c r="K924">
        <v>3</v>
      </c>
      <c r="L924">
        <v>4.5</v>
      </c>
      <c r="M924" t="s">
        <v>143</v>
      </c>
      <c r="N924" t="s">
        <v>169</v>
      </c>
      <c r="O924" t="b">
        <v>1</v>
      </c>
      <c r="P924" t="b">
        <v>0</v>
      </c>
      <c r="Q924" s="6">
        <v>6.666666666666667</v>
      </c>
      <c r="R924" s="6">
        <v>0.66666666666666663</v>
      </c>
      <c r="S924" t="s">
        <v>170</v>
      </c>
      <c r="T924" t="s">
        <v>171</v>
      </c>
      <c r="U924" s="6">
        <v>10.8</v>
      </c>
      <c r="V924" s="6">
        <v>19.2</v>
      </c>
      <c r="W924" t="b">
        <v>0</v>
      </c>
      <c r="X924">
        <v>6</v>
      </c>
      <c r="Y924">
        <v>2</v>
      </c>
      <c r="Z924">
        <v>20</v>
      </c>
      <c r="AA924" s="6">
        <v>30.286458333333329</v>
      </c>
      <c r="AB924">
        <f>--PizzaDelivery[[#This Row],[Is Delayed]]</f>
        <v>0</v>
      </c>
    </row>
    <row r="925" spans="1:28">
      <c r="A925" t="s">
        <v>1190</v>
      </c>
      <c r="B925" t="s">
        <v>142</v>
      </c>
      <c r="C925" t="s">
        <v>697</v>
      </c>
      <c r="D925" s="1">
        <v>45765</v>
      </c>
      <c r="E925" s="5">
        <v>0.79166666666666663</v>
      </c>
      <c r="F925" s="1">
        <v>45765</v>
      </c>
      <c r="G925" s="5">
        <v>0.8125</v>
      </c>
      <c r="H925">
        <v>30</v>
      </c>
      <c r="I925" t="s">
        <v>151</v>
      </c>
      <c r="J925" t="s">
        <v>657</v>
      </c>
      <c r="K925">
        <v>4</v>
      </c>
      <c r="L925">
        <v>5.5</v>
      </c>
      <c r="M925" t="s">
        <v>143</v>
      </c>
      <c r="N925" t="s">
        <v>162</v>
      </c>
      <c r="O925" t="b">
        <v>1</v>
      </c>
      <c r="P925" t="b">
        <v>1</v>
      </c>
      <c r="Q925" s="6">
        <v>5.4545454545454541</v>
      </c>
      <c r="R925" s="6">
        <v>0.72727272727272729</v>
      </c>
      <c r="S925" t="s">
        <v>170</v>
      </c>
      <c r="T925" t="s">
        <v>147</v>
      </c>
      <c r="U925" s="6">
        <v>13.2</v>
      </c>
      <c r="V925" s="6">
        <v>16.8</v>
      </c>
      <c r="W925" t="b">
        <v>0</v>
      </c>
      <c r="X925">
        <v>12</v>
      </c>
      <c r="Y925">
        <v>2</v>
      </c>
      <c r="Z925">
        <v>19</v>
      </c>
      <c r="AA925" s="6">
        <v>30.259433962264151</v>
      </c>
      <c r="AB925">
        <f>--PizzaDelivery[[#This Row],[Is Delayed]]</f>
        <v>0</v>
      </c>
    </row>
    <row r="926" spans="1:28">
      <c r="A926" t="s">
        <v>1191</v>
      </c>
      <c r="B926" t="s">
        <v>165</v>
      </c>
      <c r="C926" t="s">
        <v>188</v>
      </c>
      <c r="D926" s="1">
        <v>45766</v>
      </c>
      <c r="E926" s="5">
        <v>0.84375</v>
      </c>
      <c r="F926" s="1">
        <v>45766</v>
      </c>
      <c r="G926" s="5">
        <v>0.86458333333333337</v>
      </c>
      <c r="H926">
        <v>30</v>
      </c>
      <c r="I926" t="s">
        <v>143</v>
      </c>
      <c r="J926" t="s">
        <v>144</v>
      </c>
      <c r="K926">
        <v>2</v>
      </c>
      <c r="L926">
        <v>4</v>
      </c>
      <c r="M926" t="s">
        <v>161</v>
      </c>
      <c r="N926" t="s">
        <v>154</v>
      </c>
      <c r="O926" t="b">
        <v>1</v>
      </c>
      <c r="P926" t="b">
        <v>1</v>
      </c>
      <c r="Q926" s="6">
        <v>7.5</v>
      </c>
      <c r="R926" s="6">
        <v>0.5</v>
      </c>
      <c r="S926" t="s">
        <v>170</v>
      </c>
      <c r="T926" t="s">
        <v>147</v>
      </c>
      <c r="U926" s="6">
        <v>9.6</v>
      </c>
      <c r="V926" s="6">
        <v>20.399999999999999</v>
      </c>
      <c r="W926" t="b">
        <v>0</v>
      </c>
      <c r="X926">
        <v>4</v>
      </c>
      <c r="Y926">
        <v>1</v>
      </c>
      <c r="Z926">
        <v>20</v>
      </c>
      <c r="AA926" s="6">
        <v>29.948453608247419</v>
      </c>
      <c r="AB926">
        <f>--PizzaDelivery[[#This Row],[Is Delayed]]</f>
        <v>0</v>
      </c>
    </row>
    <row r="927" spans="1:28">
      <c r="A927" t="s">
        <v>1192</v>
      </c>
      <c r="B927" t="s">
        <v>149</v>
      </c>
      <c r="C927" t="s">
        <v>712</v>
      </c>
      <c r="D927" s="1">
        <v>45767</v>
      </c>
      <c r="E927" s="5">
        <v>0.77083333333333337</v>
      </c>
      <c r="F927" s="1">
        <v>45767</v>
      </c>
      <c r="G927" s="5">
        <v>0.79166666666666663</v>
      </c>
      <c r="H927">
        <v>30</v>
      </c>
      <c r="I927" t="s">
        <v>143</v>
      </c>
      <c r="J927" t="s">
        <v>1018</v>
      </c>
      <c r="K927">
        <v>3</v>
      </c>
      <c r="L927">
        <v>5</v>
      </c>
      <c r="M927" t="s">
        <v>143</v>
      </c>
      <c r="N927" t="s">
        <v>145</v>
      </c>
      <c r="O927" t="b">
        <v>1</v>
      </c>
      <c r="P927" t="b">
        <v>0</v>
      </c>
      <c r="Q927" s="6">
        <v>6</v>
      </c>
      <c r="R927" s="6">
        <v>0.6</v>
      </c>
      <c r="S927" t="s">
        <v>170</v>
      </c>
      <c r="T927" t="s">
        <v>147</v>
      </c>
      <c r="U927" s="6">
        <v>12</v>
      </c>
      <c r="V927" s="6">
        <v>18</v>
      </c>
      <c r="W927" t="b">
        <v>0</v>
      </c>
      <c r="X927">
        <v>6</v>
      </c>
      <c r="Y927">
        <v>2</v>
      </c>
      <c r="Z927">
        <v>18</v>
      </c>
      <c r="AA927" s="6">
        <v>28.186274509803919</v>
      </c>
      <c r="AB927">
        <f>--PizzaDelivery[[#This Row],[Is Delayed]]</f>
        <v>0</v>
      </c>
    </row>
    <row r="928" spans="1:28">
      <c r="A928" t="s">
        <v>1193</v>
      </c>
      <c r="B928" t="s">
        <v>157</v>
      </c>
      <c r="C928" t="s">
        <v>693</v>
      </c>
      <c r="D928" s="1">
        <v>45768</v>
      </c>
      <c r="E928" s="5">
        <v>0.82291666666666663</v>
      </c>
      <c r="F928" s="1">
        <v>45768</v>
      </c>
      <c r="G928" s="5">
        <v>0.84375</v>
      </c>
      <c r="H928">
        <v>30</v>
      </c>
      <c r="I928" t="s">
        <v>167</v>
      </c>
      <c r="J928" t="s">
        <v>168</v>
      </c>
      <c r="K928">
        <v>5</v>
      </c>
      <c r="L928">
        <v>6</v>
      </c>
      <c r="M928" t="s">
        <v>153</v>
      </c>
      <c r="N928" t="s">
        <v>162</v>
      </c>
      <c r="O928" t="b">
        <v>1</v>
      </c>
      <c r="P928" t="b">
        <v>0</v>
      </c>
      <c r="Q928" s="6">
        <v>5</v>
      </c>
      <c r="R928" s="6">
        <v>0.83333333333333337</v>
      </c>
      <c r="S928" t="s">
        <v>170</v>
      </c>
      <c r="T928" t="s">
        <v>147</v>
      </c>
      <c r="U928" s="6">
        <v>14.4</v>
      </c>
      <c r="V928" s="6">
        <v>15.6</v>
      </c>
      <c r="W928" t="b">
        <v>0</v>
      </c>
      <c r="X928">
        <v>20</v>
      </c>
      <c r="Y928">
        <v>3</v>
      </c>
      <c r="Z928">
        <v>19</v>
      </c>
      <c r="AA928" s="6">
        <v>28.844221105527641</v>
      </c>
      <c r="AB928">
        <f>--PizzaDelivery[[#This Row],[Is Delayed]]</f>
        <v>0</v>
      </c>
    </row>
    <row r="929" spans="1:28">
      <c r="A929" t="s">
        <v>1194</v>
      </c>
      <c r="B929" t="s">
        <v>173</v>
      </c>
      <c r="C929" t="s">
        <v>695</v>
      </c>
      <c r="D929" s="1">
        <v>45769</v>
      </c>
      <c r="E929" s="5">
        <v>0.83333333333333337</v>
      </c>
      <c r="F929" s="1">
        <v>45769</v>
      </c>
      <c r="G929" s="5">
        <v>0.85416666666666663</v>
      </c>
      <c r="H929">
        <v>30</v>
      </c>
      <c r="I929" t="s">
        <v>143</v>
      </c>
      <c r="J929" t="s">
        <v>1021</v>
      </c>
      <c r="K929">
        <v>3</v>
      </c>
      <c r="L929">
        <v>4.5</v>
      </c>
      <c r="M929" t="s">
        <v>143</v>
      </c>
      <c r="N929" t="s">
        <v>169</v>
      </c>
      <c r="O929" t="b">
        <v>1</v>
      </c>
      <c r="P929" t="b">
        <v>0</v>
      </c>
      <c r="Q929" s="6">
        <v>6.666666666666667</v>
      </c>
      <c r="R929" s="6">
        <v>0.66666666666666663</v>
      </c>
      <c r="S929" t="s">
        <v>170</v>
      </c>
      <c r="T929" t="s">
        <v>171</v>
      </c>
      <c r="U929" s="6">
        <v>10.8</v>
      </c>
      <c r="V929" s="6">
        <v>19.2</v>
      </c>
      <c r="W929" t="b">
        <v>0</v>
      </c>
      <c r="X929">
        <v>6</v>
      </c>
      <c r="Y929">
        <v>2</v>
      </c>
      <c r="Z929">
        <v>20</v>
      </c>
      <c r="AA929" s="6">
        <v>30.286458333333329</v>
      </c>
      <c r="AB929">
        <f>--PizzaDelivery[[#This Row],[Is Delayed]]</f>
        <v>0</v>
      </c>
    </row>
    <row r="930" spans="1:28">
      <c r="A930" t="s">
        <v>1195</v>
      </c>
      <c r="B930" t="s">
        <v>142</v>
      </c>
      <c r="C930" t="s">
        <v>697</v>
      </c>
      <c r="D930" s="1">
        <v>45770</v>
      </c>
      <c r="E930" s="5">
        <v>0.80208333333333337</v>
      </c>
      <c r="F930" s="1">
        <v>45770</v>
      </c>
      <c r="G930" s="5">
        <v>0.82291666666666663</v>
      </c>
      <c r="H930">
        <v>30</v>
      </c>
      <c r="I930" t="s">
        <v>151</v>
      </c>
      <c r="J930" t="s">
        <v>657</v>
      </c>
      <c r="K930">
        <v>4</v>
      </c>
      <c r="L930">
        <v>5.5</v>
      </c>
      <c r="M930" t="s">
        <v>143</v>
      </c>
      <c r="N930" t="s">
        <v>162</v>
      </c>
      <c r="O930" t="b">
        <v>1</v>
      </c>
      <c r="P930" t="b">
        <v>0</v>
      </c>
      <c r="Q930" s="6">
        <v>5.4545454545454541</v>
      </c>
      <c r="R930" s="6">
        <v>0.72727272727272729</v>
      </c>
      <c r="S930" t="s">
        <v>170</v>
      </c>
      <c r="T930" t="s">
        <v>147</v>
      </c>
      <c r="U930" s="6">
        <v>13.2</v>
      </c>
      <c r="V930" s="6">
        <v>16.8</v>
      </c>
      <c r="W930" t="b">
        <v>0</v>
      </c>
      <c r="X930">
        <v>12</v>
      </c>
      <c r="Y930">
        <v>2</v>
      </c>
      <c r="Z930">
        <v>19</v>
      </c>
      <c r="AA930" s="6">
        <v>30.259433962264151</v>
      </c>
      <c r="AB930">
        <f>--PizzaDelivery[[#This Row],[Is Delayed]]</f>
        <v>0</v>
      </c>
    </row>
    <row r="931" spans="1:28">
      <c r="A931" t="s">
        <v>1196</v>
      </c>
      <c r="B931" t="s">
        <v>165</v>
      </c>
      <c r="C931" t="s">
        <v>188</v>
      </c>
      <c r="D931" s="1">
        <v>45771</v>
      </c>
      <c r="E931" s="5">
        <v>0.85416666666666663</v>
      </c>
      <c r="F931" s="1">
        <v>45771</v>
      </c>
      <c r="G931" s="5">
        <v>0.875</v>
      </c>
      <c r="H931">
        <v>30</v>
      </c>
      <c r="I931" t="s">
        <v>143</v>
      </c>
      <c r="J931" t="s">
        <v>144</v>
      </c>
      <c r="K931">
        <v>2</v>
      </c>
      <c r="L931">
        <v>4</v>
      </c>
      <c r="M931" t="s">
        <v>161</v>
      </c>
      <c r="N931" t="s">
        <v>154</v>
      </c>
      <c r="O931" t="b">
        <v>1</v>
      </c>
      <c r="P931" t="b">
        <v>0</v>
      </c>
      <c r="Q931" s="6">
        <v>7.5</v>
      </c>
      <c r="R931" s="6">
        <v>0.5</v>
      </c>
      <c r="S931" t="s">
        <v>170</v>
      </c>
      <c r="T931" t="s">
        <v>147</v>
      </c>
      <c r="U931" s="6">
        <v>9.6</v>
      </c>
      <c r="V931" s="6">
        <v>20.399999999999999</v>
      </c>
      <c r="W931" t="b">
        <v>0</v>
      </c>
      <c r="X931">
        <v>4</v>
      </c>
      <c r="Y931">
        <v>1</v>
      </c>
      <c r="Z931">
        <v>20</v>
      </c>
      <c r="AA931" s="6">
        <v>29.948453608247419</v>
      </c>
      <c r="AB931">
        <f>--PizzaDelivery[[#This Row],[Is Delayed]]</f>
        <v>0</v>
      </c>
    </row>
    <row r="932" spans="1:28">
      <c r="A932" t="s">
        <v>1197</v>
      </c>
      <c r="B932" t="s">
        <v>149</v>
      </c>
      <c r="C932" t="s">
        <v>712</v>
      </c>
      <c r="D932" s="1">
        <v>45772</v>
      </c>
      <c r="E932" s="5">
        <v>0.75</v>
      </c>
      <c r="F932" s="1">
        <v>45772</v>
      </c>
      <c r="G932" s="5">
        <v>0.77083333333333337</v>
      </c>
      <c r="H932">
        <v>30</v>
      </c>
      <c r="I932" t="s">
        <v>143</v>
      </c>
      <c r="J932" t="s">
        <v>1018</v>
      </c>
      <c r="K932">
        <v>3</v>
      </c>
      <c r="L932">
        <v>5</v>
      </c>
      <c r="M932" t="s">
        <v>143</v>
      </c>
      <c r="N932" t="s">
        <v>145</v>
      </c>
      <c r="O932" t="b">
        <v>1</v>
      </c>
      <c r="P932" t="b">
        <v>1</v>
      </c>
      <c r="Q932" s="6">
        <v>6</v>
      </c>
      <c r="R932" s="6">
        <v>0.6</v>
      </c>
      <c r="S932" t="s">
        <v>170</v>
      </c>
      <c r="T932" t="s">
        <v>147</v>
      </c>
      <c r="U932" s="6">
        <v>12</v>
      </c>
      <c r="V932" s="6">
        <v>18</v>
      </c>
      <c r="W932" t="b">
        <v>0</v>
      </c>
      <c r="X932">
        <v>6</v>
      </c>
      <c r="Y932">
        <v>2</v>
      </c>
      <c r="Z932">
        <v>18</v>
      </c>
      <c r="AA932" s="6">
        <v>28.186274509803919</v>
      </c>
      <c r="AB932">
        <f>--PizzaDelivery[[#This Row],[Is Delayed]]</f>
        <v>0</v>
      </c>
    </row>
    <row r="933" spans="1:28">
      <c r="A933" t="s">
        <v>1198</v>
      </c>
      <c r="B933" t="s">
        <v>157</v>
      </c>
      <c r="C933" t="s">
        <v>693</v>
      </c>
      <c r="D933" s="1">
        <v>45773</v>
      </c>
      <c r="E933" s="5">
        <v>0.80208333333333337</v>
      </c>
      <c r="F933" s="1">
        <v>45773</v>
      </c>
      <c r="G933" s="5">
        <v>0.82291666666666663</v>
      </c>
      <c r="H933">
        <v>30</v>
      </c>
      <c r="I933" t="s">
        <v>167</v>
      </c>
      <c r="J933" t="s">
        <v>168</v>
      </c>
      <c r="K933">
        <v>5</v>
      </c>
      <c r="L933">
        <v>6</v>
      </c>
      <c r="M933" t="s">
        <v>153</v>
      </c>
      <c r="N933" t="s">
        <v>162</v>
      </c>
      <c r="O933" t="b">
        <v>1</v>
      </c>
      <c r="P933" t="b">
        <v>1</v>
      </c>
      <c r="Q933" s="6">
        <v>5</v>
      </c>
      <c r="R933" s="6">
        <v>0.83333333333333337</v>
      </c>
      <c r="S933" t="s">
        <v>170</v>
      </c>
      <c r="T933" t="s">
        <v>147</v>
      </c>
      <c r="U933" s="6">
        <v>14.4</v>
      </c>
      <c r="V933" s="6">
        <v>15.6</v>
      </c>
      <c r="W933" t="b">
        <v>0</v>
      </c>
      <c r="X933">
        <v>20</v>
      </c>
      <c r="Y933">
        <v>3</v>
      </c>
      <c r="Z933">
        <v>19</v>
      </c>
      <c r="AA933" s="6">
        <v>28.844221105527641</v>
      </c>
      <c r="AB933">
        <f>--PizzaDelivery[[#This Row],[Is Delayed]]</f>
        <v>0</v>
      </c>
    </row>
    <row r="934" spans="1:28">
      <c r="A934" t="s">
        <v>1199</v>
      </c>
      <c r="B934" t="s">
        <v>173</v>
      </c>
      <c r="C934" t="s">
        <v>695</v>
      </c>
      <c r="D934" s="1">
        <v>45774</v>
      </c>
      <c r="E934" s="5">
        <v>0.85416666666666663</v>
      </c>
      <c r="F934" s="1">
        <v>45774</v>
      </c>
      <c r="G934" s="5">
        <v>0.875</v>
      </c>
      <c r="H934">
        <v>30</v>
      </c>
      <c r="I934" t="s">
        <v>143</v>
      </c>
      <c r="J934" t="s">
        <v>1021</v>
      </c>
      <c r="K934">
        <v>3</v>
      </c>
      <c r="L934">
        <v>4.5</v>
      </c>
      <c r="M934" t="s">
        <v>143</v>
      </c>
      <c r="N934" t="s">
        <v>169</v>
      </c>
      <c r="O934" t="b">
        <v>1</v>
      </c>
      <c r="P934" t="b">
        <v>0</v>
      </c>
      <c r="Q934" s="6">
        <v>6.666666666666667</v>
      </c>
      <c r="R934" s="6">
        <v>0.66666666666666663</v>
      </c>
      <c r="S934" t="s">
        <v>170</v>
      </c>
      <c r="T934" t="s">
        <v>171</v>
      </c>
      <c r="U934" s="6">
        <v>10.8</v>
      </c>
      <c r="V934" s="6">
        <v>19.2</v>
      </c>
      <c r="W934" t="b">
        <v>0</v>
      </c>
      <c r="X934">
        <v>6</v>
      </c>
      <c r="Y934">
        <v>2</v>
      </c>
      <c r="Z934">
        <v>20</v>
      </c>
      <c r="AA934" s="6">
        <v>30.286458333333329</v>
      </c>
      <c r="AB934">
        <f>--PizzaDelivery[[#This Row],[Is Delayed]]</f>
        <v>0</v>
      </c>
    </row>
    <row r="935" spans="1:28">
      <c r="A935" t="s">
        <v>1200</v>
      </c>
      <c r="B935" t="s">
        <v>142</v>
      </c>
      <c r="C935" t="s">
        <v>697</v>
      </c>
      <c r="D935" s="1">
        <v>45775</v>
      </c>
      <c r="E935" s="5">
        <v>0.79166666666666663</v>
      </c>
      <c r="F935" s="1">
        <v>45775</v>
      </c>
      <c r="G935" s="5">
        <v>0.8125</v>
      </c>
      <c r="H935">
        <v>30</v>
      </c>
      <c r="I935" t="s">
        <v>151</v>
      </c>
      <c r="J935" t="s">
        <v>657</v>
      </c>
      <c r="K935">
        <v>4</v>
      </c>
      <c r="L935">
        <v>5.5</v>
      </c>
      <c r="M935" t="s">
        <v>143</v>
      </c>
      <c r="N935" t="s">
        <v>162</v>
      </c>
      <c r="O935" t="b">
        <v>1</v>
      </c>
      <c r="P935" t="b">
        <v>0</v>
      </c>
      <c r="Q935" s="6">
        <v>5.4545454545454541</v>
      </c>
      <c r="R935" s="6">
        <v>0.72727272727272729</v>
      </c>
      <c r="S935" t="s">
        <v>170</v>
      </c>
      <c r="T935" t="s">
        <v>147</v>
      </c>
      <c r="U935" s="6">
        <v>13.2</v>
      </c>
      <c r="V935" s="6">
        <v>16.8</v>
      </c>
      <c r="W935" t="b">
        <v>0</v>
      </c>
      <c r="X935">
        <v>12</v>
      </c>
      <c r="Y935">
        <v>2</v>
      </c>
      <c r="Z935">
        <v>19</v>
      </c>
      <c r="AA935" s="6">
        <v>30.259433962264151</v>
      </c>
      <c r="AB935">
        <f>--PizzaDelivery[[#This Row],[Is Delayed]]</f>
        <v>0</v>
      </c>
    </row>
    <row r="936" spans="1:28">
      <c r="A936" t="s">
        <v>1201</v>
      </c>
      <c r="B936" t="s">
        <v>165</v>
      </c>
      <c r="C936" t="s">
        <v>188</v>
      </c>
      <c r="D936" s="1">
        <v>45776</v>
      </c>
      <c r="E936" s="5">
        <v>0.84375</v>
      </c>
      <c r="F936" s="1">
        <v>45776</v>
      </c>
      <c r="G936" s="5">
        <v>0.86458333333333337</v>
      </c>
      <c r="H936">
        <v>30</v>
      </c>
      <c r="I936" t="s">
        <v>143</v>
      </c>
      <c r="J936" t="s">
        <v>144</v>
      </c>
      <c r="K936">
        <v>2</v>
      </c>
      <c r="L936">
        <v>4</v>
      </c>
      <c r="M936" t="s">
        <v>161</v>
      </c>
      <c r="N936" t="s">
        <v>154</v>
      </c>
      <c r="O936" t="b">
        <v>1</v>
      </c>
      <c r="P936" t="b">
        <v>0</v>
      </c>
      <c r="Q936" s="6">
        <v>7.5</v>
      </c>
      <c r="R936" s="6">
        <v>0.5</v>
      </c>
      <c r="S936" t="s">
        <v>170</v>
      </c>
      <c r="T936" t="s">
        <v>147</v>
      </c>
      <c r="U936" s="6">
        <v>9.6</v>
      </c>
      <c r="V936" s="6">
        <v>20.399999999999999</v>
      </c>
      <c r="W936" t="b">
        <v>0</v>
      </c>
      <c r="X936">
        <v>4</v>
      </c>
      <c r="Y936">
        <v>1</v>
      </c>
      <c r="Z936">
        <v>20</v>
      </c>
      <c r="AA936" s="6">
        <v>29.948453608247419</v>
      </c>
      <c r="AB936">
        <f>--PizzaDelivery[[#This Row],[Is Delayed]]</f>
        <v>0</v>
      </c>
    </row>
    <row r="937" spans="1:28">
      <c r="A937" t="s">
        <v>1202</v>
      </c>
      <c r="B937" t="s">
        <v>149</v>
      </c>
      <c r="C937" t="s">
        <v>712</v>
      </c>
      <c r="D937" s="1">
        <v>45777</v>
      </c>
      <c r="E937" s="5">
        <v>0.77083333333333337</v>
      </c>
      <c r="F937" s="1">
        <v>45777</v>
      </c>
      <c r="G937" s="5">
        <v>0.79166666666666663</v>
      </c>
      <c r="H937">
        <v>30</v>
      </c>
      <c r="I937" t="s">
        <v>143</v>
      </c>
      <c r="J937" t="s">
        <v>1018</v>
      </c>
      <c r="K937">
        <v>3</v>
      </c>
      <c r="L937">
        <v>5</v>
      </c>
      <c r="M937" t="s">
        <v>143</v>
      </c>
      <c r="N937" t="s">
        <v>145</v>
      </c>
      <c r="O937" t="b">
        <v>1</v>
      </c>
      <c r="P937" t="b">
        <v>0</v>
      </c>
      <c r="Q937" s="6">
        <v>6</v>
      </c>
      <c r="R937" s="6">
        <v>0.6</v>
      </c>
      <c r="S937" t="s">
        <v>170</v>
      </c>
      <c r="T937" t="s">
        <v>147</v>
      </c>
      <c r="U937" s="6">
        <v>12</v>
      </c>
      <c r="V937" s="6">
        <v>18</v>
      </c>
      <c r="W937" t="b">
        <v>0</v>
      </c>
      <c r="X937">
        <v>6</v>
      </c>
      <c r="Y937">
        <v>2</v>
      </c>
      <c r="Z937">
        <v>18</v>
      </c>
      <c r="AA937" s="6">
        <v>28.186274509803919</v>
      </c>
      <c r="AB937">
        <f>--PizzaDelivery[[#This Row],[Is Delayed]]</f>
        <v>0</v>
      </c>
    </row>
    <row r="938" spans="1:28">
      <c r="A938" t="s">
        <v>1203</v>
      </c>
      <c r="B938" t="s">
        <v>157</v>
      </c>
      <c r="C938" t="s">
        <v>693</v>
      </c>
      <c r="D938" s="1">
        <v>45778</v>
      </c>
      <c r="E938" s="5">
        <v>0.82291666666666663</v>
      </c>
      <c r="F938" s="1">
        <v>45778</v>
      </c>
      <c r="G938" s="5">
        <v>0.84375</v>
      </c>
      <c r="H938">
        <v>30</v>
      </c>
      <c r="I938" t="s">
        <v>167</v>
      </c>
      <c r="J938" t="s">
        <v>168</v>
      </c>
      <c r="K938">
        <v>5</v>
      </c>
      <c r="L938">
        <v>6</v>
      </c>
      <c r="M938" t="s">
        <v>153</v>
      </c>
      <c r="N938" t="s">
        <v>162</v>
      </c>
      <c r="O938" t="b">
        <v>1</v>
      </c>
      <c r="P938" t="b">
        <v>0</v>
      </c>
      <c r="Q938" s="6">
        <v>5</v>
      </c>
      <c r="R938" s="6">
        <v>0.83333333333333337</v>
      </c>
      <c r="S938" t="s">
        <v>175</v>
      </c>
      <c r="T938" t="s">
        <v>147</v>
      </c>
      <c r="U938" s="6">
        <v>14.4</v>
      </c>
      <c r="V938" s="6">
        <v>15.6</v>
      </c>
      <c r="W938" t="b">
        <v>0</v>
      </c>
      <c r="X938">
        <v>20</v>
      </c>
      <c r="Y938">
        <v>3</v>
      </c>
      <c r="Z938">
        <v>19</v>
      </c>
      <c r="AA938" s="6">
        <v>28.844221105527641</v>
      </c>
      <c r="AB938">
        <f>--PizzaDelivery[[#This Row],[Is Delayed]]</f>
        <v>0</v>
      </c>
    </row>
    <row r="939" spans="1:28">
      <c r="A939" t="s">
        <v>1204</v>
      </c>
      <c r="B939" t="s">
        <v>173</v>
      </c>
      <c r="C939" t="s">
        <v>695</v>
      </c>
      <c r="D939" s="1">
        <v>45779</v>
      </c>
      <c r="E939" s="5">
        <v>0.83333333333333337</v>
      </c>
      <c r="F939" s="1">
        <v>45779</v>
      </c>
      <c r="G939" s="5">
        <v>0.85416666666666663</v>
      </c>
      <c r="H939">
        <v>30</v>
      </c>
      <c r="I939" t="s">
        <v>143</v>
      </c>
      <c r="J939" t="s">
        <v>1021</v>
      </c>
      <c r="K939">
        <v>3</v>
      </c>
      <c r="L939">
        <v>4.5</v>
      </c>
      <c r="M939" t="s">
        <v>143</v>
      </c>
      <c r="N939" t="s">
        <v>169</v>
      </c>
      <c r="O939" t="b">
        <v>1</v>
      </c>
      <c r="P939" t="b">
        <v>1</v>
      </c>
      <c r="Q939" s="6">
        <v>6.666666666666667</v>
      </c>
      <c r="R939" s="6">
        <v>0.66666666666666663</v>
      </c>
      <c r="S939" t="s">
        <v>175</v>
      </c>
      <c r="T939" t="s">
        <v>171</v>
      </c>
      <c r="U939" s="6">
        <v>10.8</v>
      </c>
      <c r="V939" s="6">
        <v>19.2</v>
      </c>
      <c r="W939" t="b">
        <v>0</v>
      </c>
      <c r="X939">
        <v>6</v>
      </c>
      <c r="Y939">
        <v>2</v>
      </c>
      <c r="Z939">
        <v>20</v>
      </c>
      <c r="AA939" s="6">
        <v>30.286458333333329</v>
      </c>
      <c r="AB939">
        <f>--PizzaDelivery[[#This Row],[Is Delayed]]</f>
        <v>0</v>
      </c>
    </row>
    <row r="940" spans="1:28">
      <c r="A940" t="s">
        <v>1205</v>
      </c>
      <c r="B940" t="s">
        <v>142</v>
      </c>
      <c r="C940" t="s">
        <v>697</v>
      </c>
      <c r="D940" s="1">
        <v>45780</v>
      </c>
      <c r="E940" s="5">
        <v>0.80208333333333337</v>
      </c>
      <c r="F940" s="1">
        <v>45780</v>
      </c>
      <c r="G940" s="5">
        <v>0.82291666666666663</v>
      </c>
      <c r="H940">
        <v>30</v>
      </c>
      <c r="I940" t="s">
        <v>151</v>
      </c>
      <c r="J940" t="s">
        <v>657</v>
      </c>
      <c r="K940">
        <v>4</v>
      </c>
      <c r="L940">
        <v>5.5</v>
      </c>
      <c r="M940" t="s">
        <v>143</v>
      </c>
      <c r="N940" t="s">
        <v>162</v>
      </c>
      <c r="O940" t="b">
        <v>1</v>
      </c>
      <c r="P940" t="b">
        <v>1</v>
      </c>
      <c r="Q940" s="6">
        <v>5.4545454545454541</v>
      </c>
      <c r="R940" s="6">
        <v>0.72727272727272729</v>
      </c>
      <c r="S940" t="s">
        <v>175</v>
      </c>
      <c r="T940" t="s">
        <v>147</v>
      </c>
      <c r="U940" s="6">
        <v>13.2</v>
      </c>
      <c r="V940" s="6">
        <v>16.8</v>
      </c>
      <c r="W940" t="b">
        <v>0</v>
      </c>
      <c r="X940">
        <v>12</v>
      </c>
      <c r="Y940">
        <v>2</v>
      </c>
      <c r="Z940">
        <v>19</v>
      </c>
      <c r="AA940" s="6">
        <v>30.259433962264151</v>
      </c>
      <c r="AB940">
        <f>--PizzaDelivery[[#This Row],[Is Delayed]]</f>
        <v>0</v>
      </c>
    </row>
    <row r="941" spans="1:28">
      <c r="A941" t="s">
        <v>1206</v>
      </c>
      <c r="B941" t="s">
        <v>165</v>
      </c>
      <c r="C941" t="s">
        <v>188</v>
      </c>
      <c r="D941" s="1">
        <v>45781</v>
      </c>
      <c r="E941" s="5">
        <v>0.85416666666666663</v>
      </c>
      <c r="F941" s="1">
        <v>45781</v>
      </c>
      <c r="G941" s="5">
        <v>0.875</v>
      </c>
      <c r="H941">
        <v>30</v>
      </c>
      <c r="I941" t="s">
        <v>143</v>
      </c>
      <c r="J941" t="s">
        <v>144</v>
      </c>
      <c r="K941">
        <v>2</v>
      </c>
      <c r="L941">
        <v>4</v>
      </c>
      <c r="M941" t="s">
        <v>161</v>
      </c>
      <c r="N941" t="s">
        <v>154</v>
      </c>
      <c r="O941" t="b">
        <v>1</v>
      </c>
      <c r="P941" t="b">
        <v>0</v>
      </c>
      <c r="Q941" s="6">
        <v>7.5</v>
      </c>
      <c r="R941" s="6">
        <v>0.5</v>
      </c>
      <c r="S941" t="s">
        <v>175</v>
      </c>
      <c r="T941" t="s">
        <v>147</v>
      </c>
      <c r="U941" s="6">
        <v>9.6</v>
      </c>
      <c r="V941" s="6">
        <v>20.399999999999999</v>
      </c>
      <c r="W941" t="b">
        <v>0</v>
      </c>
      <c r="X941">
        <v>4</v>
      </c>
      <c r="Y941">
        <v>1</v>
      </c>
      <c r="Z941">
        <v>20</v>
      </c>
      <c r="AA941" s="6">
        <v>29.948453608247419</v>
      </c>
      <c r="AB941">
        <f>--PizzaDelivery[[#This Row],[Is Delayed]]</f>
        <v>0</v>
      </c>
    </row>
    <row r="942" spans="1:28">
      <c r="A942" t="s">
        <v>1207</v>
      </c>
      <c r="B942" t="s">
        <v>149</v>
      </c>
      <c r="C942" t="s">
        <v>712</v>
      </c>
      <c r="D942" s="1">
        <v>45782</v>
      </c>
      <c r="E942" s="5">
        <v>0.75</v>
      </c>
      <c r="F942" s="1">
        <v>45782</v>
      </c>
      <c r="G942" s="5">
        <v>0.77083333333333337</v>
      </c>
      <c r="H942">
        <v>30</v>
      </c>
      <c r="I942" t="s">
        <v>143</v>
      </c>
      <c r="J942" t="s">
        <v>1018</v>
      </c>
      <c r="K942">
        <v>3</v>
      </c>
      <c r="L942">
        <v>5</v>
      </c>
      <c r="M942" t="s">
        <v>143</v>
      </c>
      <c r="N942" t="s">
        <v>145</v>
      </c>
      <c r="O942" t="b">
        <v>1</v>
      </c>
      <c r="P942" t="b">
        <v>0</v>
      </c>
      <c r="Q942" s="6">
        <v>6</v>
      </c>
      <c r="R942" s="6">
        <v>0.6</v>
      </c>
      <c r="S942" t="s">
        <v>175</v>
      </c>
      <c r="T942" t="s">
        <v>147</v>
      </c>
      <c r="U942" s="6">
        <v>12</v>
      </c>
      <c r="V942" s="6">
        <v>18</v>
      </c>
      <c r="W942" t="b">
        <v>0</v>
      </c>
      <c r="X942">
        <v>6</v>
      </c>
      <c r="Y942">
        <v>2</v>
      </c>
      <c r="Z942">
        <v>18</v>
      </c>
      <c r="AA942" s="6">
        <v>28.186274509803919</v>
      </c>
      <c r="AB942">
        <f>--PizzaDelivery[[#This Row],[Is Delayed]]</f>
        <v>0</v>
      </c>
    </row>
    <row r="943" spans="1:28">
      <c r="A943" t="s">
        <v>1208</v>
      </c>
      <c r="B943" t="s">
        <v>157</v>
      </c>
      <c r="C943" t="s">
        <v>693</v>
      </c>
      <c r="D943" s="1">
        <v>45783</v>
      </c>
      <c r="E943" s="5">
        <v>0.80208333333333337</v>
      </c>
      <c r="F943" s="1">
        <v>45783</v>
      </c>
      <c r="G943" s="5">
        <v>0.82291666666666663</v>
      </c>
      <c r="H943">
        <v>30</v>
      </c>
      <c r="I943" t="s">
        <v>167</v>
      </c>
      <c r="J943" t="s">
        <v>168</v>
      </c>
      <c r="K943">
        <v>5</v>
      </c>
      <c r="L943">
        <v>6</v>
      </c>
      <c r="M943" t="s">
        <v>153</v>
      </c>
      <c r="N943" t="s">
        <v>162</v>
      </c>
      <c r="O943" t="b">
        <v>1</v>
      </c>
      <c r="P943" t="b">
        <v>0</v>
      </c>
      <c r="Q943" s="6">
        <v>5</v>
      </c>
      <c r="R943" s="6">
        <v>0.83333333333333337</v>
      </c>
      <c r="S943" t="s">
        <v>175</v>
      </c>
      <c r="T943" t="s">
        <v>147</v>
      </c>
      <c r="U943" s="6">
        <v>14.4</v>
      </c>
      <c r="V943" s="6">
        <v>15.6</v>
      </c>
      <c r="W943" t="b">
        <v>0</v>
      </c>
      <c r="X943">
        <v>20</v>
      </c>
      <c r="Y943">
        <v>3</v>
      </c>
      <c r="Z943">
        <v>19</v>
      </c>
      <c r="AA943" s="6">
        <v>28.844221105527641</v>
      </c>
      <c r="AB943">
        <f>--PizzaDelivery[[#This Row],[Is Delayed]]</f>
        <v>0</v>
      </c>
    </row>
    <row r="944" spans="1:28">
      <c r="A944" t="s">
        <v>1209</v>
      </c>
      <c r="B944" t="s">
        <v>173</v>
      </c>
      <c r="C944" t="s">
        <v>695</v>
      </c>
      <c r="D944" s="1">
        <v>45784</v>
      </c>
      <c r="E944" s="5">
        <v>0.85416666666666663</v>
      </c>
      <c r="F944" s="1">
        <v>45784</v>
      </c>
      <c r="G944" s="5">
        <v>0.875</v>
      </c>
      <c r="H944">
        <v>30</v>
      </c>
      <c r="I944" t="s">
        <v>143</v>
      </c>
      <c r="J944" t="s">
        <v>1021</v>
      </c>
      <c r="K944">
        <v>3</v>
      </c>
      <c r="L944">
        <v>4.5</v>
      </c>
      <c r="M944" t="s">
        <v>143</v>
      </c>
      <c r="N944" t="s">
        <v>169</v>
      </c>
      <c r="O944" t="b">
        <v>1</v>
      </c>
      <c r="P944" t="b">
        <v>0</v>
      </c>
      <c r="Q944" s="6">
        <v>6.666666666666667</v>
      </c>
      <c r="R944" s="6">
        <v>0.66666666666666663</v>
      </c>
      <c r="S944" t="s">
        <v>175</v>
      </c>
      <c r="T944" t="s">
        <v>171</v>
      </c>
      <c r="U944" s="6">
        <v>10.8</v>
      </c>
      <c r="V944" s="6">
        <v>19.2</v>
      </c>
      <c r="W944" t="b">
        <v>0</v>
      </c>
      <c r="X944">
        <v>6</v>
      </c>
      <c r="Y944">
        <v>2</v>
      </c>
      <c r="Z944">
        <v>20</v>
      </c>
      <c r="AA944" s="6">
        <v>30.286458333333329</v>
      </c>
      <c r="AB944">
        <f>--PizzaDelivery[[#This Row],[Is Delayed]]</f>
        <v>0</v>
      </c>
    </row>
    <row r="945" spans="1:28">
      <c r="A945" t="s">
        <v>1210</v>
      </c>
      <c r="B945" t="s">
        <v>142</v>
      </c>
      <c r="C945" t="s">
        <v>697</v>
      </c>
      <c r="D945" s="1">
        <v>45785</v>
      </c>
      <c r="E945" s="5">
        <v>0.79166666666666663</v>
      </c>
      <c r="F945" s="1">
        <v>45785</v>
      </c>
      <c r="G945" s="5">
        <v>0.8125</v>
      </c>
      <c r="H945">
        <v>30</v>
      </c>
      <c r="I945" t="s">
        <v>151</v>
      </c>
      <c r="J945" t="s">
        <v>657</v>
      </c>
      <c r="K945">
        <v>4</v>
      </c>
      <c r="L945">
        <v>5.5</v>
      </c>
      <c r="M945" t="s">
        <v>143</v>
      </c>
      <c r="N945" t="s">
        <v>162</v>
      </c>
      <c r="O945" t="b">
        <v>1</v>
      </c>
      <c r="P945" t="b">
        <v>0</v>
      </c>
      <c r="Q945" s="6">
        <v>5.4545454545454541</v>
      </c>
      <c r="R945" s="6">
        <v>0.72727272727272729</v>
      </c>
      <c r="S945" t="s">
        <v>175</v>
      </c>
      <c r="T945" t="s">
        <v>147</v>
      </c>
      <c r="U945" s="6">
        <v>13.2</v>
      </c>
      <c r="V945" s="6">
        <v>16.8</v>
      </c>
      <c r="W945" t="b">
        <v>0</v>
      </c>
      <c r="X945">
        <v>12</v>
      </c>
      <c r="Y945">
        <v>2</v>
      </c>
      <c r="Z945">
        <v>19</v>
      </c>
      <c r="AA945" s="6">
        <v>30.259433962264151</v>
      </c>
      <c r="AB945">
        <f>--PizzaDelivery[[#This Row],[Is Delayed]]</f>
        <v>0</v>
      </c>
    </row>
    <row r="946" spans="1:28">
      <c r="A946" t="s">
        <v>1211</v>
      </c>
      <c r="B946" t="s">
        <v>165</v>
      </c>
      <c r="C946" t="s">
        <v>188</v>
      </c>
      <c r="D946" s="1">
        <v>45786</v>
      </c>
      <c r="E946" s="5">
        <v>0.84375</v>
      </c>
      <c r="F946" s="1">
        <v>45786</v>
      </c>
      <c r="G946" s="5">
        <v>0.86458333333333337</v>
      </c>
      <c r="H946">
        <v>30</v>
      </c>
      <c r="I946" t="s">
        <v>143</v>
      </c>
      <c r="J946" t="s">
        <v>144</v>
      </c>
      <c r="K946">
        <v>2</v>
      </c>
      <c r="L946">
        <v>4</v>
      </c>
      <c r="M946" t="s">
        <v>161</v>
      </c>
      <c r="N946" t="s">
        <v>154</v>
      </c>
      <c r="O946" t="b">
        <v>1</v>
      </c>
      <c r="P946" t="b">
        <v>1</v>
      </c>
      <c r="Q946" s="6">
        <v>7.5</v>
      </c>
      <c r="R946" s="6">
        <v>0.5</v>
      </c>
      <c r="S946" t="s">
        <v>175</v>
      </c>
      <c r="T946" t="s">
        <v>147</v>
      </c>
      <c r="U946" s="6">
        <v>9.6</v>
      </c>
      <c r="V946" s="6">
        <v>20.399999999999999</v>
      </c>
      <c r="W946" t="b">
        <v>0</v>
      </c>
      <c r="X946">
        <v>4</v>
      </c>
      <c r="Y946">
        <v>1</v>
      </c>
      <c r="Z946">
        <v>20</v>
      </c>
      <c r="AA946" s="6">
        <v>29.948453608247419</v>
      </c>
      <c r="AB946">
        <f>--PizzaDelivery[[#This Row],[Is Delayed]]</f>
        <v>0</v>
      </c>
    </row>
    <row r="947" spans="1:28">
      <c r="A947" t="s">
        <v>1212</v>
      </c>
      <c r="B947" t="s">
        <v>149</v>
      </c>
      <c r="C947" t="s">
        <v>712</v>
      </c>
      <c r="D947" s="1">
        <v>45787</v>
      </c>
      <c r="E947" s="5">
        <v>0.77083333333333337</v>
      </c>
      <c r="F947" s="1">
        <v>45787</v>
      </c>
      <c r="G947" s="5">
        <v>0.79166666666666663</v>
      </c>
      <c r="H947">
        <v>30</v>
      </c>
      <c r="I947" t="s">
        <v>143</v>
      </c>
      <c r="J947" t="s">
        <v>1018</v>
      </c>
      <c r="K947">
        <v>3</v>
      </c>
      <c r="L947">
        <v>5</v>
      </c>
      <c r="M947" t="s">
        <v>143</v>
      </c>
      <c r="N947" t="s">
        <v>145</v>
      </c>
      <c r="O947" t="b">
        <v>1</v>
      </c>
      <c r="P947" t="b">
        <v>1</v>
      </c>
      <c r="Q947" s="6">
        <v>6</v>
      </c>
      <c r="R947" s="6">
        <v>0.6</v>
      </c>
      <c r="S947" t="s">
        <v>175</v>
      </c>
      <c r="T947" t="s">
        <v>147</v>
      </c>
      <c r="U947" s="6">
        <v>12</v>
      </c>
      <c r="V947" s="6">
        <v>18</v>
      </c>
      <c r="W947" t="b">
        <v>0</v>
      </c>
      <c r="X947">
        <v>6</v>
      </c>
      <c r="Y947">
        <v>2</v>
      </c>
      <c r="Z947">
        <v>18</v>
      </c>
      <c r="AA947" s="6">
        <v>28.186274509803919</v>
      </c>
      <c r="AB947">
        <f>--PizzaDelivery[[#This Row],[Is Delayed]]</f>
        <v>0</v>
      </c>
    </row>
    <row r="948" spans="1:28">
      <c r="A948" t="s">
        <v>1213</v>
      </c>
      <c r="B948" t="s">
        <v>157</v>
      </c>
      <c r="C948" t="s">
        <v>693</v>
      </c>
      <c r="D948" s="1">
        <v>45788</v>
      </c>
      <c r="E948" s="5">
        <v>0.82291666666666663</v>
      </c>
      <c r="F948" s="1">
        <v>45788</v>
      </c>
      <c r="G948" s="5">
        <v>0.84375</v>
      </c>
      <c r="H948">
        <v>30</v>
      </c>
      <c r="I948" t="s">
        <v>167</v>
      </c>
      <c r="J948" t="s">
        <v>168</v>
      </c>
      <c r="K948">
        <v>5</v>
      </c>
      <c r="L948">
        <v>6</v>
      </c>
      <c r="M948" t="s">
        <v>153</v>
      </c>
      <c r="N948" t="s">
        <v>162</v>
      </c>
      <c r="O948" t="b">
        <v>1</v>
      </c>
      <c r="P948" t="b">
        <v>0</v>
      </c>
      <c r="Q948" s="6">
        <v>5</v>
      </c>
      <c r="R948" s="6">
        <v>0.83333333333333337</v>
      </c>
      <c r="S948" t="s">
        <v>175</v>
      </c>
      <c r="T948" t="s">
        <v>147</v>
      </c>
      <c r="U948" s="6">
        <v>14.4</v>
      </c>
      <c r="V948" s="6">
        <v>15.6</v>
      </c>
      <c r="W948" t="b">
        <v>0</v>
      </c>
      <c r="X948">
        <v>20</v>
      </c>
      <c r="Y948">
        <v>3</v>
      </c>
      <c r="Z948">
        <v>19</v>
      </c>
      <c r="AA948" s="6">
        <v>28.844221105527641</v>
      </c>
      <c r="AB948">
        <f>--PizzaDelivery[[#This Row],[Is Delayed]]</f>
        <v>0</v>
      </c>
    </row>
    <row r="949" spans="1:28">
      <c r="A949" t="s">
        <v>1214</v>
      </c>
      <c r="B949" t="s">
        <v>173</v>
      </c>
      <c r="C949" t="s">
        <v>695</v>
      </c>
      <c r="D949" s="1">
        <v>45789</v>
      </c>
      <c r="E949" s="5">
        <v>0.83333333333333337</v>
      </c>
      <c r="F949" s="1">
        <v>45789</v>
      </c>
      <c r="G949" s="5">
        <v>0.85416666666666663</v>
      </c>
      <c r="H949">
        <v>30</v>
      </c>
      <c r="I949" t="s">
        <v>143</v>
      </c>
      <c r="J949" t="s">
        <v>1021</v>
      </c>
      <c r="K949">
        <v>3</v>
      </c>
      <c r="L949">
        <v>4.5</v>
      </c>
      <c r="M949" t="s">
        <v>143</v>
      </c>
      <c r="N949" t="s">
        <v>169</v>
      </c>
      <c r="O949" t="b">
        <v>1</v>
      </c>
      <c r="P949" t="b">
        <v>0</v>
      </c>
      <c r="Q949" s="6">
        <v>6.666666666666667</v>
      </c>
      <c r="R949" s="6">
        <v>0.66666666666666663</v>
      </c>
      <c r="S949" t="s">
        <v>175</v>
      </c>
      <c r="T949" t="s">
        <v>171</v>
      </c>
      <c r="U949" s="6">
        <v>10.8</v>
      </c>
      <c r="V949" s="6">
        <v>19.2</v>
      </c>
      <c r="W949" t="b">
        <v>0</v>
      </c>
      <c r="X949">
        <v>6</v>
      </c>
      <c r="Y949">
        <v>2</v>
      </c>
      <c r="Z949">
        <v>20</v>
      </c>
      <c r="AA949" s="6">
        <v>30.286458333333329</v>
      </c>
      <c r="AB949">
        <f>--PizzaDelivery[[#This Row],[Is Delayed]]</f>
        <v>0</v>
      </c>
    </row>
    <row r="950" spans="1:28">
      <c r="A950" t="s">
        <v>1215</v>
      </c>
      <c r="B950" t="s">
        <v>149</v>
      </c>
      <c r="C950" t="s">
        <v>712</v>
      </c>
      <c r="D950" s="1">
        <v>45790</v>
      </c>
      <c r="E950" s="5">
        <v>0.75</v>
      </c>
      <c r="F950" s="1">
        <v>45790</v>
      </c>
      <c r="G950" s="5">
        <v>0.77083333333333337</v>
      </c>
      <c r="H950">
        <v>30</v>
      </c>
      <c r="I950" t="s">
        <v>143</v>
      </c>
      <c r="J950" t="s">
        <v>1018</v>
      </c>
      <c r="K950">
        <v>3</v>
      </c>
      <c r="L950">
        <v>5</v>
      </c>
      <c r="M950" t="s">
        <v>143</v>
      </c>
      <c r="N950" t="s">
        <v>162</v>
      </c>
      <c r="O950" t="b">
        <v>1</v>
      </c>
      <c r="P950" t="b">
        <v>0</v>
      </c>
      <c r="Q950" s="6">
        <v>6</v>
      </c>
      <c r="R950" s="6">
        <v>0.6</v>
      </c>
      <c r="S950" t="s">
        <v>175</v>
      </c>
      <c r="T950" t="s">
        <v>147</v>
      </c>
      <c r="U950" s="6">
        <v>12</v>
      </c>
      <c r="V950" s="6">
        <v>18</v>
      </c>
      <c r="W950" t="b">
        <v>0</v>
      </c>
      <c r="X950">
        <v>6</v>
      </c>
      <c r="Y950">
        <v>2</v>
      </c>
      <c r="Z950">
        <v>18</v>
      </c>
      <c r="AA950" s="6">
        <v>28.186274509803919</v>
      </c>
      <c r="AB950">
        <f>--PizzaDelivery[[#This Row],[Is Delayed]]</f>
        <v>0</v>
      </c>
    </row>
    <row r="951" spans="1:28">
      <c r="A951" t="s">
        <v>1216</v>
      </c>
      <c r="B951" t="s">
        <v>157</v>
      </c>
      <c r="C951" t="s">
        <v>693</v>
      </c>
      <c r="D951" s="1">
        <v>45791</v>
      </c>
      <c r="E951" s="5">
        <v>0.80208333333333337</v>
      </c>
      <c r="F951" s="1">
        <v>45791</v>
      </c>
      <c r="G951" s="5">
        <v>0.82291666666666663</v>
      </c>
      <c r="H951">
        <v>30</v>
      </c>
      <c r="I951" t="s">
        <v>167</v>
      </c>
      <c r="J951" t="s">
        <v>168</v>
      </c>
      <c r="K951">
        <v>5</v>
      </c>
      <c r="L951">
        <v>6</v>
      </c>
      <c r="M951" t="s">
        <v>153</v>
      </c>
      <c r="N951" t="s">
        <v>145</v>
      </c>
      <c r="O951" t="b">
        <v>1</v>
      </c>
      <c r="P951" t="b">
        <v>0</v>
      </c>
      <c r="Q951" s="6">
        <v>5</v>
      </c>
      <c r="R951" s="6">
        <v>0.83333333333333337</v>
      </c>
      <c r="S951" t="s">
        <v>175</v>
      </c>
      <c r="T951" t="s">
        <v>147</v>
      </c>
      <c r="U951" s="6">
        <v>14.4</v>
      </c>
      <c r="V951" s="6">
        <v>15.6</v>
      </c>
      <c r="W951" t="b">
        <v>0</v>
      </c>
      <c r="X951">
        <v>20</v>
      </c>
      <c r="Y951">
        <v>3</v>
      </c>
      <c r="Z951">
        <v>19</v>
      </c>
      <c r="AA951" s="6">
        <v>28.844221105527641</v>
      </c>
      <c r="AB951">
        <f>--PizzaDelivery[[#This Row],[Is Delayed]]</f>
        <v>0</v>
      </c>
    </row>
    <row r="952" spans="1:28">
      <c r="A952" t="s">
        <v>1217</v>
      </c>
      <c r="B952" t="s">
        <v>173</v>
      </c>
      <c r="C952" t="s">
        <v>695</v>
      </c>
      <c r="D952" s="1">
        <v>45792</v>
      </c>
      <c r="E952" s="5">
        <v>0.85416666666666663</v>
      </c>
      <c r="F952" s="1">
        <v>45792</v>
      </c>
      <c r="G952" s="5">
        <v>0.875</v>
      </c>
      <c r="H952">
        <v>30</v>
      </c>
      <c r="I952" t="s">
        <v>143</v>
      </c>
      <c r="J952" t="s">
        <v>1021</v>
      </c>
      <c r="K952">
        <v>3</v>
      </c>
      <c r="L952">
        <v>4.5</v>
      </c>
      <c r="M952" t="s">
        <v>143</v>
      </c>
      <c r="N952" t="s">
        <v>169</v>
      </c>
      <c r="O952" t="b">
        <v>1</v>
      </c>
      <c r="P952" t="b">
        <v>0</v>
      </c>
      <c r="Q952" s="6">
        <v>6.666666666666667</v>
      </c>
      <c r="R952" s="6">
        <v>0.66666666666666663</v>
      </c>
      <c r="S952" t="s">
        <v>175</v>
      </c>
      <c r="T952" t="s">
        <v>171</v>
      </c>
      <c r="U952" s="6">
        <v>10.8</v>
      </c>
      <c r="V952" s="6">
        <v>19.2</v>
      </c>
      <c r="W952" t="b">
        <v>0</v>
      </c>
      <c r="X952">
        <v>6</v>
      </c>
      <c r="Y952">
        <v>2</v>
      </c>
      <c r="Z952">
        <v>20</v>
      </c>
      <c r="AA952" s="6">
        <v>30.286458333333329</v>
      </c>
      <c r="AB952">
        <f>--PizzaDelivery[[#This Row],[Is Delayed]]</f>
        <v>0</v>
      </c>
    </row>
    <row r="953" spans="1:28">
      <c r="A953" t="s">
        <v>1218</v>
      </c>
      <c r="B953" t="s">
        <v>142</v>
      </c>
      <c r="C953" t="s">
        <v>697</v>
      </c>
      <c r="D953" s="1">
        <v>45793</v>
      </c>
      <c r="E953" s="5">
        <v>0.79166666666666663</v>
      </c>
      <c r="F953" s="1">
        <v>45793</v>
      </c>
      <c r="G953" s="5">
        <v>0.8125</v>
      </c>
      <c r="H953">
        <v>30</v>
      </c>
      <c r="I953" t="s">
        <v>151</v>
      </c>
      <c r="J953" t="s">
        <v>657</v>
      </c>
      <c r="K953">
        <v>4</v>
      </c>
      <c r="L953">
        <v>5.5</v>
      </c>
      <c r="M953" t="s">
        <v>143</v>
      </c>
      <c r="N953" t="s">
        <v>162</v>
      </c>
      <c r="O953" t="b">
        <v>1</v>
      </c>
      <c r="P953" t="b">
        <v>1</v>
      </c>
      <c r="Q953" s="6">
        <v>5.4545454545454541</v>
      </c>
      <c r="R953" s="6">
        <v>0.72727272727272729</v>
      </c>
      <c r="S953" t="s">
        <v>175</v>
      </c>
      <c r="T953" t="s">
        <v>147</v>
      </c>
      <c r="U953" s="6">
        <v>13.2</v>
      </c>
      <c r="V953" s="6">
        <v>16.8</v>
      </c>
      <c r="W953" t="b">
        <v>0</v>
      </c>
      <c r="X953">
        <v>12</v>
      </c>
      <c r="Y953">
        <v>2</v>
      </c>
      <c r="Z953">
        <v>19</v>
      </c>
      <c r="AA953" s="6">
        <v>30.259433962264151</v>
      </c>
      <c r="AB953">
        <f>--PizzaDelivery[[#This Row],[Is Delayed]]</f>
        <v>0</v>
      </c>
    </row>
    <row r="954" spans="1:28">
      <c r="A954" t="s">
        <v>1219</v>
      </c>
      <c r="B954" t="s">
        <v>165</v>
      </c>
      <c r="C954" t="s">
        <v>188</v>
      </c>
      <c r="D954" s="1">
        <v>45794</v>
      </c>
      <c r="E954" s="5">
        <v>0.84375</v>
      </c>
      <c r="F954" s="1">
        <v>45794</v>
      </c>
      <c r="G954" s="5">
        <v>0.86458333333333337</v>
      </c>
      <c r="H954">
        <v>30</v>
      </c>
      <c r="I954" t="s">
        <v>143</v>
      </c>
      <c r="J954" t="s">
        <v>144</v>
      </c>
      <c r="K954">
        <v>2</v>
      </c>
      <c r="L954">
        <v>4</v>
      </c>
      <c r="M954" t="s">
        <v>161</v>
      </c>
      <c r="N954" t="s">
        <v>154</v>
      </c>
      <c r="O954" t="b">
        <v>1</v>
      </c>
      <c r="P954" t="b">
        <v>1</v>
      </c>
      <c r="Q954" s="6">
        <v>7.5</v>
      </c>
      <c r="R954" s="6">
        <v>0.5</v>
      </c>
      <c r="S954" t="s">
        <v>175</v>
      </c>
      <c r="T954" t="s">
        <v>147</v>
      </c>
      <c r="U954" s="6">
        <v>9.6</v>
      </c>
      <c r="V954" s="6">
        <v>20.399999999999999</v>
      </c>
      <c r="W954" t="b">
        <v>0</v>
      </c>
      <c r="X954">
        <v>4</v>
      </c>
      <c r="Y954">
        <v>1</v>
      </c>
      <c r="Z954">
        <v>20</v>
      </c>
      <c r="AA954" s="6">
        <v>29.948453608247419</v>
      </c>
      <c r="AB954">
        <f>--PizzaDelivery[[#This Row],[Is Delayed]]</f>
        <v>0</v>
      </c>
    </row>
    <row r="955" spans="1:28">
      <c r="A955" t="s">
        <v>1220</v>
      </c>
      <c r="B955" t="s">
        <v>149</v>
      </c>
      <c r="C955" t="s">
        <v>712</v>
      </c>
      <c r="D955" s="1">
        <v>45795</v>
      </c>
      <c r="E955" s="5">
        <v>0.77083333333333337</v>
      </c>
      <c r="F955" s="1">
        <v>45795</v>
      </c>
      <c r="G955" s="5">
        <v>0.79166666666666663</v>
      </c>
      <c r="H955">
        <v>30</v>
      </c>
      <c r="I955" t="s">
        <v>143</v>
      </c>
      <c r="J955" t="s">
        <v>1018</v>
      </c>
      <c r="K955">
        <v>3</v>
      </c>
      <c r="L955">
        <v>5</v>
      </c>
      <c r="M955" t="s">
        <v>143</v>
      </c>
      <c r="N955" t="s">
        <v>145</v>
      </c>
      <c r="O955" t="b">
        <v>1</v>
      </c>
      <c r="P955" t="b">
        <v>0</v>
      </c>
      <c r="Q955" s="6">
        <v>6</v>
      </c>
      <c r="R955" s="6">
        <v>0.6</v>
      </c>
      <c r="S955" t="s">
        <v>175</v>
      </c>
      <c r="T955" t="s">
        <v>147</v>
      </c>
      <c r="U955" s="6">
        <v>12</v>
      </c>
      <c r="V955" s="6">
        <v>18</v>
      </c>
      <c r="W955" t="b">
        <v>0</v>
      </c>
      <c r="X955">
        <v>6</v>
      </c>
      <c r="Y955">
        <v>2</v>
      </c>
      <c r="Z955">
        <v>18</v>
      </c>
      <c r="AA955" s="6">
        <v>28.186274509803919</v>
      </c>
      <c r="AB955">
        <f>--PizzaDelivery[[#This Row],[Is Delayed]]</f>
        <v>0</v>
      </c>
    </row>
    <row r="956" spans="1:28">
      <c r="A956" t="s">
        <v>1221</v>
      </c>
      <c r="B956" t="s">
        <v>157</v>
      </c>
      <c r="C956" t="s">
        <v>693</v>
      </c>
      <c r="D956" s="1">
        <v>45796</v>
      </c>
      <c r="E956" s="5">
        <v>0.82291666666666663</v>
      </c>
      <c r="F956" s="1">
        <v>45796</v>
      </c>
      <c r="G956" s="5">
        <v>0.84375</v>
      </c>
      <c r="H956">
        <v>30</v>
      </c>
      <c r="I956" t="s">
        <v>167</v>
      </c>
      <c r="J956" t="s">
        <v>168</v>
      </c>
      <c r="K956">
        <v>5</v>
      </c>
      <c r="L956">
        <v>6</v>
      </c>
      <c r="M956" t="s">
        <v>153</v>
      </c>
      <c r="N956" t="s">
        <v>162</v>
      </c>
      <c r="O956" t="b">
        <v>1</v>
      </c>
      <c r="P956" t="b">
        <v>0</v>
      </c>
      <c r="Q956" s="6">
        <v>5</v>
      </c>
      <c r="R956" s="6">
        <v>0.83333333333333337</v>
      </c>
      <c r="S956" t="s">
        <v>175</v>
      </c>
      <c r="T956" t="s">
        <v>147</v>
      </c>
      <c r="U956" s="6">
        <v>14.4</v>
      </c>
      <c r="V956" s="6">
        <v>15.6</v>
      </c>
      <c r="W956" t="b">
        <v>0</v>
      </c>
      <c r="X956">
        <v>20</v>
      </c>
      <c r="Y956">
        <v>3</v>
      </c>
      <c r="Z956">
        <v>19</v>
      </c>
      <c r="AA956" s="6">
        <v>28.844221105527641</v>
      </c>
      <c r="AB956">
        <f>--PizzaDelivery[[#This Row],[Is Delayed]]</f>
        <v>0</v>
      </c>
    </row>
    <row r="957" spans="1:28">
      <c r="A957" t="s">
        <v>1222</v>
      </c>
      <c r="B957" t="s">
        <v>173</v>
      </c>
      <c r="C957" t="s">
        <v>695</v>
      </c>
      <c r="D957" s="1">
        <v>45797</v>
      </c>
      <c r="E957" s="5">
        <v>0.83333333333333337</v>
      </c>
      <c r="F957" s="1">
        <v>45797</v>
      </c>
      <c r="G957" s="5">
        <v>0.85416666666666663</v>
      </c>
      <c r="H957">
        <v>30</v>
      </c>
      <c r="I957" t="s">
        <v>143</v>
      </c>
      <c r="J957" t="s">
        <v>1021</v>
      </c>
      <c r="K957">
        <v>3</v>
      </c>
      <c r="L957">
        <v>4.5</v>
      </c>
      <c r="M957" t="s">
        <v>143</v>
      </c>
      <c r="N957" t="s">
        <v>169</v>
      </c>
      <c r="O957" t="b">
        <v>1</v>
      </c>
      <c r="P957" t="b">
        <v>0</v>
      </c>
      <c r="Q957" s="6">
        <v>6.666666666666667</v>
      </c>
      <c r="R957" s="6">
        <v>0.66666666666666663</v>
      </c>
      <c r="S957" t="s">
        <v>175</v>
      </c>
      <c r="T957" t="s">
        <v>171</v>
      </c>
      <c r="U957" s="6">
        <v>10.8</v>
      </c>
      <c r="V957" s="6">
        <v>19.2</v>
      </c>
      <c r="W957" t="b">
        <v>0</v>
      </c>
      <c r="X957">
        <v>6</v>
      </c>
      <c r="Y957">
        <v>2</v>
      </c>
      <c r="Z957">
        <v>20</v>
      </c>
      <c r="AA957" s="6">
        <v>30.286458333333329</v>
      </c>
      <c r="AB957">
        <f>--PizzaDelivery[[#This Row],[Is Delayed]]</f>
        <v>0</v>
      </c>
    </row>
    <row r="958" spans="1:28">
      <c r="A958" t="s">
        <v>1223</v>
      </c>
      <c r="B958" t="s">
        <v>142</v>
      </c>
      <c r="C958" t="s">
        <v>697</v>
      </c>
      <c r="D958" s="1">
        <v>45798</v>
      </c>
      <c r="E958" s="5">
        <v>0.80208333333333337</v>
      </c>
      <c r="F958" s="1">
        <v>45798</v>
      </c>
      <c r="G958" s="5">
        <v>0.82291666666666663</v>
      </c>
      <c r="H958">
        <v>30</v>
      </c>
      <c r="I958" t="s">
        <v>151</v>
      </c>
      <c r="J958" t="s">
        <v>657</v>
      </c>
      <c r="K958">
        <v>4</v>
      </c>
      <c r="L958">
        <v>5.5</v>
      </c>
      <c r="M958" t="s">
        <v>143</v>
      </c>
      <c r="N958" t="s">
        <v>162</v>
      </c>
      <c r="O958" t="b">
        <v>1</v>
      </c>
      <c r="P958" t="b">
        <v>0</v>
      </c>
      <c r="Q958" s="6">
        <v>5.4545454545454541</v>
      </c>
      <c r="R958" s="6">
        <v>0.72727272727272729</v>
      </c>
      <c r="S958" t="s">
        <v>175</v>
      </c>
      <c r="T958" t="s">
        <v>147</v>
      </c>
      <c r="U958" s="6">
        <v>13.2</v>
      </c>
      <c r="V958" s="6">
        <v>16.8</v>
      </c>
      <c r="W958" t="b">
        <v>0</v>
      </c>
      <c r="X958">
        <v>12</v>
      </c>
      <c r="Y958">
        <v>2</v>
      </c>
      <c r="Z958">
        <v>19</v>
      </c>
      <c r="AA958" s="6">
        <v>30.259433962264151</v>
      </c>
      <c r="AB958">
        <f>--PizzaDelivery[[#This Row],[Is Delayed]]</f>
        <v>0</v>
      </c>
    </row>
    <row r="959" spans="1:28">
      <c r="A959" t="s">
        <v>1224</v>
      </c>
      <c r="B959" t="s">
        <v>165</v>
      </c>
      <c r="C959" t="s">
        <v>188</v>
      </c>
      <c r="D959" s="1">
        <v>45799</v>
      </c>
      <c r="E959" s="5">
        <v>0.85416666666666663</v>
      </c>
      <c r="F959" s="1">
        <v>45799</v>
      </c>
      <c r="G959" s="5">
        <v>0.875</v>
      </c>
      <c r="H959">
        <v>30</v>
      </c>
      <c r="I959" t="s">
        <v>143</v>
      </c>
      <c r="J959" t="s">
        <v>144</v>
      </c>
      <c r="K959">
        <v>2</v>
      </c>
      <c r="L959">
        <v>4</v>
      </c>
      <c r="M959" t="s">
        <v>161</v>
      </c>
      <c r="N959" t="s">
        <v>154</v>
      </c>
      <c r="O959" t="b">
        <v>1</v>
      </c>
      <c r="P959" t="b">
        <v>0</v>
      </c>
      <c r="Q959" s="6">
        <v>7.5</v>
      </c>
      <c r="R959" s="6">
        <v>0.5</v>
      </c>
      <c r="S959" t="s">
        <v>175</v>
      </c>
      <c r="T959" t="s">
        <v>147</v>
      </c>
      <c r="U959" s="6">
        <v>9.6</v>
      </c>
      <c r="V959" s="6">
        <v>20.399999999999999</v>
      </c>
      <c r="W959" t="b">
        <v>0</v>
      </c>
      <c r="X959">
        <v>4</v>
      </c>
      <c r="Y959">
        <v>1</v>
      </c>
      <c r="Z959">
        <v>20</v>
      </c>
      <c r="AA959" s="6">
        <v>29.948453608247419</v>
      </c>
      <c r="AB959">
        <f>--PizzaDelivery[[#This Row],[Is Delayed]]</f>
        <v>0</v>
      </c>
    </row>
    <row r="960" spans="1:28">
      <c r="A960" t="s">
        <v>1225</v>
      </c>
      <c r="B960" t="s">
        <v>149</v>
      </c>
      <c r="C960" t="s">
        <v>712</v>
      </c>
      <c r="D960" s="1">
        <v>45800</v>
      </c>
      <c r="E960" s="5">
        <v>0.75</v>
      </c>
      <c r="F960" s="1">
        <v>45800</v>
      </c>
      <c r="G960" s="5">
        <v>0.77083333333333337</v>
      </c>
      <c r="H960">
        <v>30</v>
      </c>
      <c r="I960" t="s">
        <v>143</v>
      </c>
      <c r="J960" t="s">
        <v>1018</v>
      </c>
      <c r="K960">
        <v>3</v>
      </c>
      <c r="L960">
        <v>5</v>
      </c>
      <c r="M960" t="s">
        <v>143</v>
      </c>
      <c r="N960" t="s">
        <v>162</v>
      </c>
      <c r="O960" t="b">
        <v>1</v>
      </c>
      <c r="P960" t="b">
        <v>1</v>
      </c>
      <c r="Q960" s="6">
        <v>6</v>
      </c>
      <c r="R960" s="6">
        <v>0.6</v>
      </c>
      <c r="S960" t="s">
        <v>175</v>
      </c>
      <c r="T960" t="s">
        <v>147</v>
      </c>
      <c r="U960" s="6">
        <v>12</v>
      </c>
      <c r="V960" s="6">
        <v>18</v>
      </c>
      <c r="W960" t="b">
        <v>0</v>
      </c>
      <c r="X960">
        <v>6</v>
      </c>
      <c r="Y960">
        <v>2</v>
      </c>
      <c r="Z960">
        <v>18</v>
      </c>
      <c r="AA960" s="6">
        <v>28.186274509803919</v>
      </c>
      <c r="AB960">
        <f>--PizzaDelivery[[#This Row],[Is Delayed]]</f>
        <v>0</v>
      </c>
    </row>
    <row r="961" spans="1:28">
      <c r="A961" t="s">
        <v>1226</v>
      </c>
      <c r="B961" t="s">
        <v>157</v>
      </c>
      <c r="C961" t="s">
        <v>693</v>
      </c>
      <c r="D961" s="1">
        <v>45801</v>
      </c>
      <c r="E961" s="5">
        <v>0.80208333333333337</v>
      </c>
      <c r="F961" s="1">
        <v>45801</v>
      </c>
      <c r="G961" s="5">
        <v>0.82291666666666663</v>
      </c>
      <c r="H961">
        <v>30</v>
      </c>
      <c r="I961" t="s">
        <v>167</v>
      </c>
      <c r="J961" t="s">
        <v>168</v>
      </c>
      <c r="K961">
        <v>5</v>
      </c>
      <c r="L961">
        <v>6</v>
      </c>
      <c r="M961" t="s">
        <v>153</v>
      </c>
      <c r="N961" t="s">
        <v>145</v>
      </c>
      <c r="O961" t="b">
        <v>1</v>
      </c>
      <c r="P961" t="b">
        <v>1</v>
      </c>
      <c r="Q961" s="6">
        <v>5</v>
      </c>
      <c r="R961" s="6">
        <v>0.83333333333333337</v>
      </c>
      <c r="S961" t="s">
        <v>175</v>
      </c>
      <c r="T961" t="s">
        <v>147</v>
      </c>
      <c r="U961" s="6">
        <v>14.4</v>
      </c>
      <c r="V961" s="6">
        <v>15.6</v>
      </c>
      <c r="W961" t="b">
        <v>0</v>
      </c>
      <c r="X961">
        <v>20</v>
      </c>
      <c r="Y961">
        <v>3</v>
      </c>
      <c r="Z961">
        <v>19</v>
      </c>
      <c r="AA961" s="6">
        <v>28.844221105527641</v>
      </c>
      <c r="AB961">
        <f>--PizzaDelivery[[#This Row],[Is Delayed]]</f>
        <v>0</v>
      </c>
    </row>
    <row r="962" spans="1:28">
      <c r="A962" t="s">
        <v>1227</v>
      </c>
      <c r="B962" t="s">
        <v>173</v>
      </c>
      <c r="C962" t="s">
        <v>695</v>
      </c>
      <c r="D962" s="1">
        <v>45802</v>
      </c>
      <c r="E962" s="5">
        <v>0.85416666666666663</v>
      </c>
      <c r="F962" s="1">
        <v>45802</v>
      </c>
      <c r="G962" s="5">
        <v>0.875</v>
      </c>
      <c r="H962">
        <v>30</v>
      </c>
      <c r="I962" t="s">
        <v>143</v>
      </c>
      <c r="J962" t="s">
        <v>1021</v>
      </c>
      <c r="K962">
        <v>3</v>
      </c>
      <c r="L962">
        <v>4.5</v>
      </c>
      <c r="M962" t="s">
        <v>143</v>
      </c>
      <c r="N962" t="s">
        <v>169</v>
      </c>
      <c r="O962" t="b">
        <v>1</v>
      </c>
      <c r="P962" t="b">
        <v>0</v>
      </c>
      <c r="Q962" s="6">
        <v>6.666666666666667</v>
      </c>
      <c r="R962" s="6">
        <v>0.66666666666666663</v>
      </c>
      <c r="S962" t="s">
        <v>175</v>
      </c>
      <c r="T962" t="s">
        <v>171</v>
      </c>
      <c r="U962" s="6">
        <v>10.8</v>
      </c>
      <c r="V962" s="6">
        <v>19.2</v>
      </c>
      <c r="W962" t="b">
        <v>0</v>
      </c>
      <c r="X962">
        <v>6</v>
      </c>
      <c r="Y962">
        <v>2</v>
      </c>
      <c r="Z962">
        <v>20</v>
      </c>
      <c r="AA962" s="6">
        <v>30.286458333333329</v>
      </c>
      <c r="AB962">
        <f>--PizzaDelivery[[#This Row],[Is Delayed]]</f>
        <v>0</v>
      </c>
    </row>
    <row r="963" spans="1:28">
      <c r="A963" t="s">
        <v>1228</v>
      </c>
      <c r="B963" t="s">
        <v>142</v>
      </c>
      <c r="C963" t="s">
        <v>697</v>
      </c>
      <c r="D963" s="1">
        <v>45803</v>
      </c>
      <c r="E963" s="5">
        <v>0.79166666666666663</v>
      </c>
      <c r="F963" s="1">
        <v>45803</v>
      </c>
      <c r="G963" s="5">
        <v>0.8125</v>
      </c>
      <c r="H963">
        <v>30</v>
      </c>
      <c r="I963" t="s">
        <v>151</v>
      </c>
      <c r="J963" t="s">
        <v>657</v>
      </c>
      <c r="K963">
        <v>4</v>
      </c>
      <c r="L963">
        <v>5.5</v>
      </c>
      <c r="M963" t="s">
        <v>143</v>
      </c>
      <c r="N963" t="s">
        <v>162</v>
      </c>
      <c r="O963" t="b">
        <v>1</v>
      </c>
      <c r="P963" t="b">
        <v>0</v>
      </c>
      <c r="Q963" s="6">
        <v>5.4545454545454541</v>
      </c>
      <c r="R963" s="6">
        <v>0.72727272727272729</v>
      </c>
      <c r="S963" t="s">
        <v>175</v>
      </c>
      <c r="T963" t="s">
        <v>147</v>
      </c>
      <c r="U963" s="6">
        <v>13.2</v>
      </c>
      <c r="V963" s="6">
        <v>16.8</v>
      </c>
      <c r="W963" t="b">
        <v>0</v>
      </c>
      <c r="X963">
        <v>12</v>
      </c>
      <c r="Y963">
        <v>2</v>
      </c>
      <c r="Z963">
        <v>19</v>
      </c>
      <c r="AA963" s="6">
        <v>30.259433962264151</v>
      </c>
      <c r="AB963">
        <f>--PizzaDelivery[[#This Row],[Is Delayed]]</f>
        <v>0</v>
      </c>
    </row>
    <row r="964" spans="1:28">
      <c r="A964" t="s">
        <v>1229</v>
      </c>
      <c r="B964" t="s">
        <v>165</v>
      </c>
      <c r="C964" t="s">
        <v>188</v>
      </c>
      <c r="D964" s="1">
        <v>45804</v>
      </c>
      <c r="E964" s="5">
        <v>0.84375</v>
      </c>
      <c r="F964" s="1">
        <v>45804</v>
      </c>
      <c r="G964" s="5">
        <v>0.86458333333333337</v>
      </c>
      <c r="H964">
        <v>30</v>
      </c>
      <c r="I964" t="s">
        <v>143</v>
      </c>
      <c r="J964" t="s">
        <v>144</v>
      </c>
      <c r="K964">
        <v>2</v>
      </c>
      <c r="L964">
        <v>4</v>
      </c>
      <c r="M964" t="s">
        <v>161</v>
      </c>
      <c r="N964" t="s">
        <v>154</v>
      </c>
      <c r="O964" t="b">
        <v>1</v>
      </c>
      <c r="P964" t="b">
        <v>0</v>
      </c>
      <c r="Q964" s="6">
        <v>7.5</v>
      </c>
      <c r="R964" s="6">
        <v>0.5</v>
      </c>
      <c r="S964" t="s">
        <v>175</v>
      </c>
      <c r="T964" t="s">
        <v>147</v>
      </c>
      <c r="U964" s="6">
        <v>9.6</v>
      </c>
      <c r="V964" s="6">
        <v>20.399999999999999</v>
      </c>
      <c r="W964" t="b">
        <v>0</v>
      </c>
      <c r="X964">
        <v>4</v>
      </c>
      <c r="Y964">
        <v>1</v>
      </c>
      <c r="Z964">
        <v>20</v>
      </c>
      <c r="AA964" s="6">
        <v>29.948453608247419</v>
      </c>
      <c r="AB964">
        <f>--PizzaDelivery[[#This Row],[Is Delayed]]</f>
        <v>0</v>
      </c>
    </row>
    <row r="965" spans="1:28">
      <c r="A965" t="s">
        <v>1230</v>
      </c>
      <c r="B965" t="s">
        <v>149</v>
      </c>
      <c r="C965" t="s">
        <v>712</v>
      </c>
      <c r="D965" s="1">
        <v>45805</v>
      </c>
      <c r="E965" s="5">
        <v>0.77083333333333337</v>
      </c>
      <c r="F965" s="1">
        <v>45805</v>
      </c>
      <c r="G965" s="5">
        <v>0.79166666666666663</v>
      </c>
      <c r="H965">
        <v>30</v>
      </c>
      <c r="I965" t="s">
        <v>143</v>
      </c>
      <c r="J965" t="s">
        <v>1018</v>
      </c>
      <c r="K965">
        <v>3</v>
      </c>
      <c r="L965">
        <v>5</v>
      </c>
      <c r="M965" t="s">
        <v>143</v>
      </c>
      <c r="N965" t="s">
        <v>145</v>
      </c>
      <c r="O965" t="b">
        <v>1</v>
      </c>
      <c r="P965" t="b">
        <v>0</v>
      </c>
      <c r="Q965" s="6">
        <v>6</v>
      </c>
      <c r="R965" s="6">
        <v>0.6</v>
      </c>
      <c r="S965" t="s">
        <v>175</v>
      </c>
      <c r="T965" t="s">
        <v>147</v>
      </c>
      <c r="U965" s="6">
        <v>12</v>
      </c>
      <c r="V965" s="6">
        <v>18</v>
      </c>
      <c r="W965" t="b">
        <v>0</v>
      </c>
      <c r="X965">
        <v>6</v>
      </c>
      <c r="Y965">
        <v>2</v>
      </c>
      <c r="Z965">
        <v>18</v>
      </c>
      <c r="AA965" s="6">
        <v>28.186274509803919</v>
      </c>
      <c r="AB965">
        <f>--PizzaDelivery[[#This Row],[Is Delayed]]</f>
        <v>0</v>
      </c>
    </row>
    <row r="966" spans="1:28">
      <c r="A966" t="s">
        <v>1231</v>
      </c>
      <c r="B966" t="s">
        <v>157</v>
      </c>
      <c r="C966" t="s">
        <v>693</v>
      </c>
      <c r="D966" s="1">
        <v>45806</v>
      </c>
      <c r="E966" s="5">
        <v>0.82291666666666663</v>
      </c>
      <c r="F966" s="1">
        <v>45806</v>
      </c>
      <c r="G966" s="5">
        <v>0.84375</v>
      </c>
      <c r="H966">
        <v>30</v>
      </c>
      <c r="I966" t="s">
        <v>167</v>
      </c>
      <c r="J966" t="s">
        <v>168</v>
      </c>
      <c r="K966">
        <v>5</v>
      </c>
      <c r="L966">
        <v>6</v>
      </c>
      <c r="M966" t="s">
        <v>153</v>
      </c>
      <c r="N966" t="s">
        <v>162</v>
      </c>
      <c r="O966" t="b">
        <v>1</v>
      </c>
      <c r="P966" t="b">
        <v>0</v>
      </c>
      <c r="Q966" s="6">
        <v>5</v>
      </c>
      <c r="R966" s="6">
        <v>0.83333333333333337</v>
      </c>
      <c r="S966" t="s">
        <v>175</v>
      </c>
      <c r="T966" t="s">
        <v>147</v>
      </c>
      <c r="U966" s="6">
        <v>14.4</v>
      </c>
      <c r="V966" s="6">
        <v>15.6</v>
      </c>
      <c r="W966" t="b">
        <v>0</v>
      </c>
      <c r="X966">
        <v>20</v>
      </c>
      <c r="Y966">
        <v>3</v>
      </c>
      <c r="Z966">
        <v>19</v>
      </c>
      <c r="AA966" s="6">
        <v>28.844221105527641</v>
      </c>
      <c r="AB966">
        <f>--PizzaDelivery[[#This Row],[Is Delayed]]</f>
        <v>0</v>
      </c>
    </row>
    <row r="967" spans="1:28">
      <c r="A967" t="s">
        <v>1232</v>
      </c>
      <c r="B967" t="s">
        <v>173</v>
      </c>
      <c r="C967" t="s">
        <v>695</v>
      </c>
      <c r="D967" s="1">
        <v>45807</v>
      </c>
      <c r="E967" s="5">
        <v>0.83333333333333337</v>
      </c>
      <c r="F967" s="1">
        <v>45807</v>
      </c>
      <c r="G967" s="5">
        <v>0.85416666666666663</v>
      </c>
      <c r="H967">
        <v>30</v>
      </c>
      <c r="I967" t="s">
        <v>143</v>
      </c>
      <c r="J967" t="s">
        <v>1021</v>
      </c>
      <c r="K967">
        <v>3</v>
      </c>
      <c r="L967">
        <v>4.5</v>
      </c>
      <c r="M967" t="s">
        <v>143</v>
      </c>
      <c r="N967" t="s">
        <v>169</v>
      </c>
      <c r="O967" t="b">
        <v>1</v>
      </c>
      <c r="P967" t="b">
        <v>1</v>
      </c>
      <c r="Q967" s="6">
        <v>6.666666666666667</v>
      </c>
      <c r="R967" s="6">
        <v>0.66666666666666663</v>
      </c>
      <c r="S967" t="s">
        <v>175</v>
      </c>
      <c r="T967" t="s">
        <v>171</v>
      </c>
      <c r="U967" s="6">
        <v>10.8</v>
      </c>
      <c r="V967" s="6">
        <v>19.2</v>
      </c>
      <c r="W967" t="b">
        <v>0</v>
      </c>
      <c r="X967">
        <v>6</v>
      </c>
      <c r="Y967">
        <v>2</v>
      </c>
      <c r="Z967">
        <v>20</v>
      </c>
      <c r="AA967" s="6">
        <v>30.286458333333329</v>
      </c>
      <c r="AB967">
        <f>--PizzaDelivery[[#This Row],[Is Delayed]]</f>
        <v>0</v>
      </c>
    </row>
    <row r="968" spans="1:28">
      <c r="A968" t="s">
        <v>1233</v>
      </c>
      <c r="B968" t="s">
        <v>142</v>
      </c>
      <c r="C968" t="s">
        <v>697</v>
      </c>
      <c r="D968" s="1">
        <v>45808</v>
      </c>
      <c r="E968" s="5">
        <v>0.80208333333333337</v>
      </c>
      <c r="F968" s="1">
        <v>45808</v>
      </c>
      <c r="G968" s="5">
        <v>0.82291666666666663</v>
      </c>
      <c r="H968">
        <v>30</v>
      </c>
      <c r="I968" t="s">
        <v>151</v>
      </c>
      <c r="J968" t="s">
        <v>657</v>
      </c>
      <c r="K968">
        <v>4</v>
      </c>
      <c r="L968">
        <v>5.5</v>
      </c>
      <c r="M968" t="s">
        <v>143</v>
      </c>
      <c r="N968" t="s">
        <v>162</v>
      </c>
      <c r="O968" t="b">
        <v>1</v>
      </c>
      <c r="P968" t="b">
        <v>1</v>
      </c>
      <c r="Q968" s="6">
        <v>5.4545454545454541</v>
      </c>
      <c r="R968" s="6">
        <v>0.72727272727272729</v>
      </c>
      <c r="S968" t="s">
        <v>175</v>
      </c>
      <c r="T968" t="s">
        <v>147</v>
      </c>
      <c r="U968" s="6">
        <v>13.2</v>
      </c>
      <c r="V968" s="6">
        <v>16.8</v>
      </c>
      <c r="W968" t="b">
        <v>0</v>
      </c>
      <c r="X968">
        <v>12</v>
      </c>
      <c r="Y968">
        <v>2</v>
      </c>
      <c r="Z968">
        <v>19</v>
      </c>
      <c r="AA968" s="6">
        <v>30.259433962264151</v>
      </c>
      <c r="AB968">
        <f>--PizzaDelivery[[#This Row],[Is Delayed]]</f>
        <v>0</v>
      </c>
    </row>
    <row r="969" spans="1:28">
      <c r="A969" t="s">
        <v>1234</v>
      </c>
      <c r="B969" t="s">
        <v>165</v>
      </c>
      <c r="C969" t="s">
        <v>188</v>
      </c>
      <c r="D969" s="1">
        <v>45809</v>
      </c>
      <c r="E969" s="5">
        <v>0.85416666666666663</v>
      </c>
      <c r="F969" s="1">
        <v>45809</v>
      </c>
      <c r="G969" s="5">
        <v>0.875</v>
      </c>
      <c r="H969">
        <v>30</v>
      </c>
      <c r="I969" t="s">
        <v>143</v>
      </c>
      <c r="J969" t="s">
        <v>144</v>
      </c>
      <c r="K969">
        <v>2</v>
      </c>
      <c r="L969">
        <v>4</v>
      </c>
      <c r="M969" t="s">
        <v>161</v>
      </c>
      <c r="N969" t="s">
        <v>154</v>
      </c>
      <c r="O969" t="b">
        <v>1</v>
      </c>
      <c r="P969" t="b">
        <v>0</v>
      </c>
      <c r="Q969" s="6">
        <v>7.5</v>
      </c>
      <c r="R969" s="6">
        <v>0.5</v>
      </c>
      <c r="S969" t="s">
        <v>367</v>
      </c>
      <c r="T969" t="s">
        <v>147</v>
      </c>
      <c r="U969" s="6">
        <v>9.6</v>
      </c>
      <c r="V969" s="6">
        <v>20.399999999999999</v>
      </c>
      <c r="W969" t="b">
        <v>0</v>
      </c>
      <c r="X969">
        <v>4</v>
      </c>
      <c r="Y969">
        <v>1</v>
      </c>
      <c r="Z969">
        <v>20</v>
      </c>
      <c r="AA969" s="6">
        <v>29.948453608247419</v>
      </c>
      <c r="AB969">
        <f>--PizzaDelivery[[#This Row],[Is Delayed]]</f>
        <v>0</v>
      </c>
    </row>
    <row r="970" spans="1:28">
      <c r="A970" t="s">
        <v>1235</v>
      </c>
      <c r="B970" t="s">
        <v>149</v>
      </c>
      <c r="C970" t="s">
        <v>712</v>
      </c>
      <c r="D970" s="1">
        <v>45810</v>
      </c>
      <c r="E970" s="5">
        <v>0.75</v>
      </c>
      <c r="F970" s="1">
        <v>45810</v>
      </c>
      <c r="G970" s="5">
        <v>0.77083333333333337</v>
      </c>
      <c r="H970">
        <v>30</v>
      </c>
      <c r="I970" t="s">
        <v>143</v>
      </c>
      <c r="J970" t="s">
        <v>1018</v>
      </c>
      <c r="K970">
        <v>3</v>
      </c>
      <c r="L970">
        <v>5</v>
      </c>
      <c r="M970" t="s">
        <v>143</v>
      </c>
      <c r="N970" t="s">
        <v>162</v>
      </c>
      <c r="O970" t="b">
        <v>1</v>
      </c>
      <c r="P970" t="b">
        <v>0</v>
      </c>
      <c r="Q970" s="6">
        <v>6</v>
      </c>
      <c r="R970" s="6">
        <v>0.6</v>
      </c>
      <c r="S970" t="s">
        <v>367</v>
      </c>
      <c r="T970" t="s">
        <v>147</v>
      </c>
      <c r="U970" s="6">
        <v>12</v>
      </c>
      <c r="V970" s="6">
        <v>18</v>
      </c>
      <c r="W970" t="b">
        <v>0</v>
      </c>
      <c r="X970">
        <v>6</v>
      </c>
      <c r="Y970">
        <v>2</v>
      </c>
      <c r="Z970">
        <v>18</v>
      </c>
      <c r="AA970" s="6">
        <v>28.186274509803919</v>
      </c>
      <c r="AB970">
        <f>--PizzaDelivery[[#This Row],[Is Delayed]]</f>
        <v>0</v>
      </c>
    </row>
    <row r="971" spans="1:28">
      <c r="A971" t="s">
        <v>1236</v>
      </c>
      <c r="B971" t="s">
        <v>157</v>
      </c>
      <c r="C971" t="s">
        <v>693</v>
      </c>
      <c r="D971" s="1">
        <v>45811</v>
      </c>
      <c r="E971" s="5">
        <v>0.80208333333333337</v>
      </c>
      <c r="F971" s="1">
        <v>45811</v>
      </c>
      <c r="G971" s="5">
        <v>0.82291666666666663</v>
      </c>
      <c r="H971">
        <v>30</v>
      </c>
      <c r="I971" t="s">
        <v>167</v>
      </c>
      <c r="J971" t="s">
        <v>168</v>
      </c>
      <c r="K971">
        <v>5</v>
      </c>
      <c r="L971">
        <v>6</v>
      </c>
      <c r="M971" t="s">
        <v>153</v>
      </c>
      <c r="N971" t="s">
        <v>145</v>
      </c>
      <c r="O971" t="b">
        <v>1</v>
      </c>
      <c r="P971" t="b">
        <v>0</v>
      </c>
      <c r="Q971" s="6">
        <v>5</v>
      </c>
      <c r="R971" s="6">
        <v>0.83333333333333337</v>
      </c>
      <c r="S971" t="s">
        <v>367</v>
      </c>
      <c r="T971" t="s">
        <v>147</v>
      </c>
      <c r="U971" s="6">
        <v>14.4</v>
      </c>
      <c r="V971" s="6">
        <v>15.6</v>
      </c>
      <c r="W971" t="b">
        <v>0</v>
      </c>
      <c r="X971">
        <v>20</v>
      </c>
      <c r="Y971">
        <v>3</v>
      </c>
      <c r="Z971">
        <v>19</v>
      </c>
      <c r="AA971" s="6">
        <v>28.844221105527641</v>
      </c>
      <c r="AB971">
        <f>--PizzaDelivery[[#This Row],[Is Delayed]]</f>
        <v>0</v>
      </c>
    </row>
    <row r="972" spans="1:28">
      <c r="A972" t="s">
        <v>1237</v>
      </c>
      <c r="B972" t="s">
        <v>173</v>
      </c>
      <c r="C972" t="s">
        <v>695</v>
      </c>
      <c r="D972" s="1">
        <v>45812</v>
      </c>
      <c r="E972" s="5">
        <v>0.85416666666666663</v>
      </c>
      <c r="F972" s="1">
        <v>45812</v>
      </c>
      <c r="G972" s="5">
        <v>0.875</v>
      </c>
      <c r="H972">
        <v>30</v>
      </c>
      <c r="I972" t="s">
        <v>143</v>
      </c>
      <c r="J972" t="s">
        <v>1021</v>
      </c>
      <c r="K972">
        <v>3</v>
      </c>
      <c r="L972">
        <v>4.5</v>
      </c>
      <c r="M972" t="s">
        <v>143</v>
      </c>
      <c r="N972" t="s">
        <v>169</v>
      </c>
      <c r="O972" t="b">
        <v>1</v>
      </c>
      <c r="P972" t="b">
        <v>0</v>
      </c>
      <c r="Q972" s="6">
        <v>6.666666666666667</v>
      </c>
      <c r="R972" s="6">
        <v>0.66666666666666663</v>
      </c>
      <c r="S972" t="s">
        <v>367</v>
      </c>
      <c r="T972" t="s">
        <v>171</v>
      </c>
      <c r="U972" s="6">
        <v>10.8</v>
      </c>
      <c r="V972" s="6">
        <v>19.2</v>
      </c>
      <c r="W972" t="b">
        <v>0</v>
      </c>
      <c r="X972">
        <v>6</v>
      </c>
      <c r="Y972">
        <v>2</v>
      </c>
      <c r="Z972">
        <v>20</v>
      </c>
      <c r="AA972" s="6">
        <v>30.286458333333329</v>
      </c>
      <c r="AB972">
        <f>--PizzaDelivery[[#This Row],[Is Delayed]]</f>
        <v>0</v>
      </c>
    </row>
    <row r="973" spans="1:28">
      <c r="A973" t="s">
        <v>1238</v>
      </c>
      <c r="B973" t="s">
        <v>142</v>
      </c>
      <c r="C973" t="s">
        <v>697</v>
      </c>
      <c r="D973" s="1">
        <v>45813</v>
      </c>
      <c r="E973" s="5">
        <v>0.79166666666666663</v>
      </c>
      <c r="F973" s="1">
        <v>45813</v>
      </c>
      <c r="G973" s="5">
        <v>0.8125</v>
      </c>
      <c r="H973">
        <v>30</v>
      </c>
      <c r="I973" t="s">
        <v>151</v>
      </c>
      <c r="J973" t="s">
        <v>657</v>
      </c>
      <c r="K973">
        <v>4</v>
      </c>
      <c r="L973">
        <v>5.5</v>
      </c>
      <c r="M973" t="s">
        <v>143</v>
      </c>
      <c r="N973" t="s">
        <v>162</v>
      </c>
      <c r="O973" t="b">
        <v>1</v>
      </c>
      <c r="P973" t="b">
        <v>0</v>
      </c>
      <c r="Q973" s="6">
        <v>5.4545454545454541</v>
      </c>
      <c r="R973" s="6">
        <v>0.72727272727272729</v>
      </c>
      <c r="S973" t="s">
        <v>367</v>
      </c>
      <c r="T973" t="s">
        <v>147</v>
      </c>
      <c r="U973" s="6">
        <v>13.2</v>
      </c>
      <c r="V973" s="6">
        <v>16.8</v>
      </c>
      <c r="W973" t="b">
        <v>0</v>
      </c>
      <c r="X973">
        <v>12</v>
      </c>
      <c r="Y973">
        <v>2</v>
      </c>
      <c r="Z973">
        <v>19</v>
      </c>
      <c r="AA973" s="6">
        <v>30.259433962264151</v>
      </c>
      <c r="AB973">
        <f>--PizzaDelivery[[#This Row],[Is Delayed]]</f>
        <v>0</v>
      </c>
    </row>
    <row r="974" spans="1:28">
      <c r="A974" t="s">
        <v>1239</v>
      </c>
      <c r="B974" t="s">
        <v>165</v>
      </c>
      <c r="C974" t="s">
        <v>188</v>
      </c>
      <c r="D974" s="1">
        <v>45814</v>
      </c>
      <c r="E974" s="5">
        <v>0.84375</v>
      </c>
      <c r="F974" s="1">
        <v>45814</v>
      </c>
      <c r="G974" s="5">
        <v>0.86458333333333337</v>
      </c>
      <c r="H974">
        <v>30</v>
      </c>
      <c r="I974" t="s">
        <v>143</v>
      </c>
      <c r="J974" t="s">
        <v>144</v>
      </c>
      <c r="K974">
        <v>2</v>
      </c>
      <c r="L974">
        <v>4</v>
      </c>
      <c r="M974" t="s">
        <v>161</v>
      </c>
      <c r="N974" t="s">
        <v>154</v>
      </c>
      <c r="O974" t="b">
        <v>1</v>
      </c>
      <c r="P974" t="b">
        <v>1</v>
      </c>
      <c r="Q974" s="6">
        <v>7.5</v>
      </c>
      <c r="R974" s="6">
        <v>0.5</v>
      </c>
      <c r="S974" t="s">
        <v>367</v>
      </c>
      <c r="T974" t="s">
        <v>147</v>
      </c>
      <c r="U974" s="6">
        <v>9.6</v>
      </c>
      <c r="V974" s="6">
        <v>20.399999999999999</v>
      </c>
      <c r="W974" t="b">
        <v>0</v>
      </c>
      <c r="X974">
        <v>4</v>
      </c>
      <c r="Y974">
        <v>1</v>
      </c>
      <c r="Z974">
        <v>20</v>
      </c>
      <c r="AA974" s="6">
        <v>29.948453608247419</v>
      </c>
      <c r="AB974">
        <f>--PizzaDelivery[[#This Row],[Is Delayed]]</f>
        <v>0</v>
      </c>
    </row>
    <row r="975" spans="1:28">
      <c r="A975" t="s">
        <v>1240</v>
      </c>
      <c r="B975" t="s">
        <v>149</v>
      </c>
      <c r="C975" t="s">
        <v>712</v>
      </c>
      <c r="D975" s="1">
        <v>45815</v>
      </c>
      <c r="E975" s="5">
        <v>0.77083333333333337</v>
      </c>
      <c r="F975" s="1">
        <v>45815</v>
      </c>
      <c r="G975" s="5">
        <v>0.79166666666666663</v>
      </c>
      <c r="H975">
        <v>30</v>
      </c>
      <c r="I975" t="s">
        <v>143</v>
      </c>
      <c r="J975" t="s">
        <v>1018</v>
      </c>
      <c r="K975">
        <v>3</v>
      </c>
      <c r="L975">
        <v>5</v>
      </c>
      <c r="M975" t="s">
        <v>143</v>
      </c>
      <c r="N975" t="s">
        <v>145</v>
      </c>
      <c r="O975" t="b">
        <v>1</v>
      </c>
      <c r="P975" t="b">
        <v>1</v>
      </c>
      <c r="Q975" s="6">
        <v>6</v>
      </c>
      <c r="R975" s="6">
        <v>0.6</v>
      </c>
      <c r="S975" t="s">
        <v>367</v>
      </c>
      <c r="T975" t="s">
        <v>147</v>
      </c>
      <c r="U975" s="6">
        <v>12</v>
      </c>
      <c r="V975" s="6">
        <v>18</v>
      </c>
      <c r="W975" t="b">
        <v>0</v>
      </c>
      <c r="X975">
        <v>6</v>
      </c>
      <c r="Y975">
        <v>2</v>
      </c>
      <c r="Z975">
        <v>18</v>
      </c>
      <c r="AA975" s="6">
        <v>28.186274509803919</v>
      </c>
      <c r="AB975">
        <f>--PizzaDelivery[[#This Row],[Is Delayed]]</f>
        <v>0</v>
      </c>
    </row>
    <row r="976" spans="1:28">
      <c r="A976" t="s">
        <v>1241</v>
      </c>
      <c r="B976" t="s">
        <v>157</v>
      </c>
      <c r="C976" t="s">
        <v>693</v>
      </c>
      <c r="D976" s="1">
        <v>45816</v>
      </c>
      <c r="E976" s="5">
        <v>0.82291666666666663</v>
      </c>
      <c r="F976" s="1">
        <v>45816</v>
      </c>
      <c r="G976" s="5">
        <v>0.84375</v>
      </c>
      <c r="H976">
        <v>30</v>
      </c>
      <c r="I976" t="s">
        <v>167</v>
      </c>
      <c r="J976" t="s">
        <v>168</v>
      </c>
      <c r="K976">
        <v>5</v>
      </c>
      <c r="L976">
        <v>6</v>
      </c>
      <c r="M976" t="s">
        <v>153</v>
      </c>
      <c r="N976" t="s">
        <v>162</v>
      </c>
      <c r="O976" t="b">
        <v>1</v>
      </c>
      <c r="P976" t="b">
        <v>0</v>
      </c>
      <c r="Q976" s="6">
        <v>5</v>
      </c>
      <c r="R976" s="6">
        <v>0.83333333333333337</v>
      </c>
      <c r="S976" t="s">
        <v>367</v>
      </c>
      <c r="T976" t="s">
        <v>147</v>
      </c>
      <c r="U976" s="6">
        <v>14.4</v>
      </c>
      <c r="V976" s="6">
        <v>15.6</v>
      </c>
      <c r="W976" t="b">
        <v>0</v>
      </c>
      <c r="X976">
        <v>20</v>
      </c>
      <c r="Y976">
        <v>3</v>
      </c>
      <c r="Z976">
        <v>19</v>
      </c>
      <c r="AA976" s="6">
        <v>28.844221105527641</v>
      </c>
      <c r="AB976">
        <f>--PizzaDelivery[[#This Row],[Is Delayed]]</f>
        <v>0</v>
      </c>
    </row>
    <row r="977" spans="1:28">
      <c r="A977" t="s">
        <v>1242</v>
      </c>
      <c r="B977" t="s">
        <v>173</v>
      </c>
      <c r="C977" t="s">
        <v>695</v>
      </c>
      <c r="D977" s="1">
        <v>45817</v>
      </c>
      <c r="E977" s="5">
        <v>0.83333333333333337</v>
      </c>
      <c r="F977" s="1">
        <v>45817</v>
      </c>
      <c r="G977" s="5">
        <v>0.85416666666666663</v>
      </c>
      <c r="H977">
        <v>30</v>
      </c>
      <c r="I977" t="s">
        <v>143</v>
      </c>
      <c r="J977" t="s">
        <v>1021</v>
      </c>
      <c r="K977">
        <v>3</v>
      </c>
      <c r="L977">
        <v>4.5</v>
      </c>
      <c r="M977" t="s">
        <v>143</v>
      </c>
      <c r="N977" t="s">
        <v>169</v>
      </c>
      <c r="O977" t="b">
        <v>1</v>
      </c>
      <c r="P977" t="b">
        <v>0</v>
      </c>
      <c r="Q977" s="6">
        <v>6.666666666666667</v>
      </c>
      <c r="R977" s="6">
        <v>0.66666666666666663</v>
      </c>
      <c r="S977" t="s">
        <v>367</v>
      </c>
      <c r="T977" t="s">
        <v>171</v>
      </c>
      <c r="U977" s="6">
        <v>10.8</v>
      </c>
      <c r="V977" s="6">
        <v>19.2</v>
      </c>
      <c r="W977" t="b">
        <v>0</v>
      </c>
      <c r="X977">
        <v>6</v>
      </c>
      <c r="Y977">
        <v>2</v>
      </c>
      <c r="Z977">
        <v>20</v>
      </c>
      <c r="AA977" s="6">
        <v>30.286458333333329</v>
      </c>
      <c r="AB977">
        <f>--PizzaDelivery[[#This Row],[Is Delayed]]</f>
        <v>0</v>
      </c>
    </row>
    <row r="978" spans="1:28">
      <c r="A978" t="s">
        <v>1243</v>
      </c>
      <c r="B978" t="s">
        <v>149</v>
      </c>
      <c r="C978" t="s">
        <v>712</v>
      </c>
      <c r="D978" s="1">
        <v>45818</v>
      </c>
      <c r="E978" s="5">
        <v>0.75</v>
      </c>
      <c r="F978" s="1">
        <v>45818</v>
      </c>
      <c r="G978" s="5">
        <v>0.77083333333333337</v>
      </c>
      <c r="H978">
        <v>30</v>
      </c>
      <c r="I978" t="s">
        <v>143</v>
      </c>
      <c r="J978" t="s">
        <v>1018</v>
      </c>
      <c r="K978">
        <v>3</v>
      </c>
      <c r="L978">
        <v>5</v>
      </c>
      <c r="M978" t="s">
        <v>143</v>
      </c>
      <c r="N978" t="s">
        <v>162</v>
      </c>
      <c r="O978" t="b">
        <v>1</v>
      </c>
      <c r="P978" t="b">
        <v>0</v>
      </c>
      <c r="Q978" s="6">
        <v>6</v>
      </c>
      <c r="R978" s="6">
        <v>0.6</v>
      </c>
      <c r="S978" t="s">
        <v>367</v>
      </c>
      <c r="T978" t="s">
        <v>147</v>
      </c>
      <c r="U978" s="6">
        <v>12</v>
      </c>
      <c r="V978" s="6">
        <v>18</v>
      </c>
      <c r="W978" t="b">
        <v>0</v>
      </c>
      <c r="X978">
        <v>6</v>
      </c>
      <c r="Y978">
        <v>2</v>
      </c>
      <c r="Z978">
        <v>18</v>
      </c>
      <c r="AA978" s="6">
        <v>28.186274509803919</v>
      </c>
      <c r="AB978">
        <f>--PizzaDelivery[[#This Row],[Is Delayed]]</f>
        <v>0</v>
      </c>
    </row>
    <row r="979" spans="1:28">
      <c r="A979" t="s">
        <v>1244</v>
      </c>
      <c r="B979" t="s">
        <v>157</v>
      </c>
      <c r="C979" t="s">
        <v>693</v>
      </c>
      <c r="D979" s="1">
        <v>45819</v>
      </c>
      <c r="E979" s="5">
        <v>0.80208333333333337</v>
      </c>
      <c r="F979" s="1">
        <v>45819</v>
      </c>
      <c r="G979" s="5">
        <v>0.82291666666666663</v>
      </c>
      <c r="H979">
        <v>30</v>
      </c>
      <c r="I979" t="s">
        <v>167</v>
      </c>
      <c r="J979" t="s">
        <v>168</v>
      </c>
      <c r="K979">
        <v>5</v>
      </c>
      <c r="L979">
        <v>6</v>
      </c>
      <c r="M979" t="s">
        <v>153</v>
      </c>
      <c r="N979" t="s">
        <v>145</v>
      </c>
      <c r="O979" t="b">
        <v>1</v>
      </c>
      <c r="P979" t="b">
        <v>0</v>
      </c>
      <c r="Q979" s="6">
        <v>5</v>
      </c>
      <c r="R979" s="6">
        <v>0.83333333333333337</v>
      </c>
      <c r="S979" t="s">
        <v>367</v>
      </c>
      <c r="T979" t="s">
        <v>147</v>
      </c>
      <c r="U979" s="6">
        <v>14.4</v>
      </c>
      <c r="V979" s="6">
        <v>15.6</v>
      </c>
      <c r="W979" t="b">
        <v>0</v>
      </c>
      <c r="X979">
        <v>20</v>
      </c>
      <c r="Y979">
        <v>3</v>
      </c>
      <c r="Z979">
        <v>19</v>
      </c>
      <c r="AA979" s="6">
        <v>28.844221105527641</v>
      </c>
      <c r="AB979">
        <f>--PizzaDelivery[[#This Row],[Is Delayed]]</f>
        <v>0</v>
      </c>
    </row>
    <row r="980" spans="1:28">
      <c r="A980" t="s">
        <v>1245</v>
      </c>
      <c r="B980" t="s">
        <v>173</v>
      </c>
      <c r="C980" t="s">
        <v>695</v>
      </c>
      <c r="D980" s="1">
        <v>45820</v>
      </c>
      <c r="E980" s="5">
        <v>0.85416666666666663</v>
      </c>
      <c r="F980" s="1">
        <v>45820</v>
      </c>
      <c r="G980" s="5">
        <v>0.875</v>
      </c>
      <c r="H980">
        <v>30</v>
      </c>
      <c r="I980" t="s">
        <v>143</v>
      </c>
      <c r="J980" t="s">
        <v>1021</v>
      </c>
      <c r="K980">
        <v>3</v>
      </c>
      <c r="L980">
        <v>4.5</v>
      </c>
      <c r="M980" t="s">
        <v>143</v>
      </c>
      <c r="N980" t="s">
        <v>169</v>
      </c>
      <c r="O980" t="b">
        <v>1</v>
      </c>
      <c r="P980" t="b">
        <v>0</v>
      </c>
      <c r="Q980" s="6">
        <v>6.666666666666667</v>
      </c>
      <c r="R980" s="6">
        <v>0.66666666666666663</v>
      </c>
      <c r="S980" t="s">
        <v>367</v>
      </c>
      <c r="T980" t="s">
        <v>171</v>
      </c>
      <c r="U980" s="6">
        <v>10.8</v>
      </c>
      <c r="V980" s="6">
        <v>19.2</v>
      </c>
      <c r="W980" t="b">
        <v>0</v>
      </c>
      <c r="X980">
        <v>6</v>
      </c>
      <c r="Y980">
        <v>2</v>
      </c>
      <c r="Z980">
        <v>20</v>
      </c>
      <c r="AA980" s="6">
        <v>30.286458333333329</v>
      </c>
      <c r="AB980">
        <f>--PizzaDelivery[[#This Row],[Is Delayed]]</f>
        <v>0</v>
      </c>
    </row>
    <row r="981" spans="1:28">
      <c r="A981" t="s">
        <v>1246</v>
      </c>
      <c r="B981" t="s">
        <v>142</v>
      </c>
      <c r="C981" t="s">
        <v>697</v>
      </c>
      <c r="D981" s="1">
        <v>45821</v>
      </c>
      <c r="E981" s="5">
        <v>0.79166666666666663</v>
      </c>
      <c r="F981" s="1">
        <v>45821</v>
      </c>
      <c r="G981" s="5">
        <v>0.8125</v>
      </c>
      <c r="H981">
        <v>30</v>
      </c>
      <c r="I981" t="s">
        <v>151</v>
      </c>
      <c r="J981" t="s">
        <v>657</v>
      </c>
      <c r="K981">
        <v>4</v>
      </c>
      <c r="L981">
        <v>5.5</v>
      </c>
      <c r="M981" t="s">
        <v>143</v>
      </c>
      <c r="N981" t="s">
        <v>162</v>
      </c>
      <c r="O981" t="b">
        <v>1</v>
      </c>
      <c r="P981" t="b">
        <v>1</v>
      </c>
      <c r="Q981" s="6">
        <v>5.4545454545454541</v>
      </c>
      <c r="R981" s="6">
        <v>0.72727272727272729</v>
      </c>
      <c r="S981" t="s">
        <v>367</v>
      </c>
      <c r="T981" t="s">
        <v>147</v>
      </c>
      <c r="U981" s="6">
        <v>13.2</v>
      </c>
      <c r="V981" s="6">
        <v>16.8</v>
      </c>
      <c r="W981" t="b">
        <v>0</v>
      </c>
      <c r="X981">
        <v>12</v>
      </c>
      <c r="Y981">
        <v>2</v>
      </c>
      <c r="Z981">
        <v>19</v>
      </c>
      <c r="AA981" s="6">
        <v>30.259433962264151</v>
      </c>
      <c r="AB981">
        <f>--PizzaDelivery[[#This Row],[Is Delayed]]</f>
        <v>0</v>
      </c>
    </row>
    <row r="982" spans="1:28">
      <c r="A982" t="s">
        <v>1247</v>
      </c>
      <c r="B982" t="s">
        <v>165</v>
      </c>
      <c r="C982" t="s">
        <v>188</v>
      </c>
      <c r="D982" s="1">
        <v>45822</v>
      </c>
      <c r="E982" s="5">
        <v>0.84375</v>
      </c>
      <c r="F982" s="1">
        <v>45822</v>
      </c>
      <c r="G982" s="5">
        <v>0.86458333333333337</v>
      </c>
      <c r="H982">
        <v>30</v>
      </c>
      <c r="I982" t="s">
        <v>143</v>
      </c>
      <c r="J982" t="s">
        <v>144</v>
      </c>
      <c r="K982">
        <v>2</v>
      </c>
      <c r="L982">
        <v>4</v>
      </c>
      <c r="M982" t="s">
        <v>161</v>
      </c>
      <c r="N982" t="s">
        <v>154</v>
      </c>
      <c r="O982" t="b">
        <v>1</v>
      </c>
      <c r="P982" t="b">
        <v>1</v>
      </c>
      <c r="Q982" s="6">
        <v>7.5</v>
      </c>
      <c r="R982" s="6">
        <v>0.5</v>
      </c>
      <c r="S982" t="s">
        <v>367</v>
      </c>
      <c r="T982" t="s">
        <v>147</v>
      </c>
      <c r="U982" s="6">
        <v>9.6</v>
      </c>
      <c r="V982" s="6">
        <v>20.399999999999999</v>
      </c>
      <c r="W982" t="b">
        <v>0</v>
      </c>
      <c r="X982">
        <v>4</v>
      </c>
      <c r="Y982">
        <v>1</v>
      </c>
      <c r="Z982">
        <v>20</v>
      </c>
      <c r="AA982" s="6">
        <v>29.948453608247419</v>
      </c>
      <c r="AB982">
        <f>--PizzaDelivery[[#This Row],[Is Delayed]]</f>
        <v>0</v>
      </c>
    </row>
    <row r="983" spans="1:28">
      <c r="A983" t="s">
        <v>1248</v>
      </c>
      <c r="B983" t="s">
        <v>149</v>
      </c>
      <c r="C983" t="s">
        <v>712</v>
      </c>
      <c r="D983" s="1">
        <v>45823</v>
      </c>
      <c r="E983" s="5">
        <v>0.77083333333333337</v>
      </c>
      <c r="F983" s="1">
        <v>45823</v>
      </c>
      <c r="G983" s="5">
        <v>0.79166666666666663</v>
      </c>
      <c r="H983">
        <v>30</v>
      </c>
      <c r="I983" t="s">
        <v>143</v>
      </c>
      <c r="J983" t="s">
        <v>1018</v>
      </c>
      <c r="K983">
        <v>3</v>
      </c>
      <c r="L983">
        <v>5</v>
      </c>
      <c r="M983" t="s">
        <v>143</v>
      </c>
      <c r="N983" t="s">
        <v>145</v>
      </c>
      <c r="O983" t="b">
        <v>1</v>
      </c>
      <c r="P983" t="b">
        <v>0</v>
      </c>
      <c r="Q983" s="6">
        <v>6</v>
      </c>
      <c r="R983" s="6">
        <v>0.6</v>
      </c>
      <c r="S983" t="s">
        <v>367</v>
      </c>
      <c r="T983" t="s">
        <v>147</v>
      </c>
      <c r="U983" s="6">
        <v>12</v>
      </c>
      <c r="V983" s="6">
        <v>18</v>
      </c>
      <c r="W983" t="b">
        <v>0</v>
      </c>
      <c r="X983">
        <v>6</v>
      </c>
      <c r="Y983">
        <v>2</v>
      </c>
      <c r="Z983">
        <v>18</v>
      </c>
      <c r="AA983" s="6">
        <v>28.186274509803919</v>
      </c>
      <c r="AB983">
        <f>--PizzaDelivery[[#This Row],[Is Delayed]]</f>
        <v>0</v>
      </c>
    </row>
    <row r="984" spans="1:28">
      <c r="A984" t="s">
        <v>1249</v>
      </c>
      <c r="B984" t="s">
        <v>157</v>
      </c>
      <c r="C984" t="s">
        <v>693</v>
      </c>
      <c r="D984" s="1">
        <v>45824</v>
      </c>
      <c r="E984" s="5">
        <v>0.82291666666666663</v>
      </c>
      <c r="F984" s="1">
        <v>45824</v>
      </c>
      <c r="G984" s="5">
        <v>0.84375</v>
      </c>
      <c r="H984">
        <v>30</v>
      </c>
      <c r="I984" t="s">
        <v>167</v>
      </c>
      <c r="J984" t="s">
        <v>168</v>
      </c>
      <c r="K984">
        <v>5</v>
      </c>
      <c r="L984">
        <v>6</v>
      </c>
      <c r="M984" t="s">
        <v>153</v>
      </c>
      <c r="N984" t="s">
        <v>162</v>
      </c>
      <c r="O984" t="b">
        <v>1</v>
      </c>
      <c r="P984" t="b">
        <v>0</v>
      </c>
      <c r="Q984" s="6">
        <v>5</v>
      </c>
      <c r="R984" s="6">
        <v>0.83333333333333337</v>
      </c>
      <c r="S984" t="s">
        <v>367</v>
      </c>
      <c r="T984" t="s">
        <v>147</v>
      </c>
      <c r="U984" s="6">
        <v>14.4</v>
      </c>
      <c r="V984" s="6">
        <v>15.6</v>
      </c>
      <c r="W984" t="b">
        <v>0</v>
      </c>
      <c r="X984">
        <v>20</v>
      </c>
      <c r="Y984">
        <v>3</v>
      </c>
      <c r="Z984">
        <v>19</v>
      </c>
      <c r="AA984" s="6">
        <v>28.844221105527641</v>
      </c>
      <c r="AB984">
        <f>--PizzaDelivery[[#This Row],[Is Delayed]]</f>
        <v>0</v>
      </c>
    </row>
    <row r="985" spans="1:28">
      <c r="A985" t="s">
        <v>1250</v>
      </c>
      <c r="B985" t="s">
        <v>173</v>
      </c>
      <c r="C985" t="s">
        <v>695</v>
      </c>
      <c r="D985" s="1">
        <v>45825</v>
      </c>
      <c r="E985" s="5">
        <v>0.83333333333333337</v>
      </c>
      <c r="F985" s="1">
        <v>45825</v>
      </c>
      <c r="G985" s="5">
        <v>0.85416666666666663</v>
      </c>
      <c r="H985">
        <v>30</v>
      </c>
      <c r="I985" t="s">
        <v>143</v>
      </c>
      <c r="J985" t="s">
        <v>1021</v>
      </c>
      <c r="K985">
        <v>3</v>
      </c>
      <c r="L985">
        <v>4.5</v>
      </c>
      <c r="M985" t="s">
        <v>143</v>
      </c>
      <c r="N985" t="s">
        <v>169</v>
      </c>
      <c r="O985" t="b">
        <v>1</v>
      </c>
      <c r="P985" t="b">
        <v>0</v>
      </c>
      <c r="Q985" s="6">
        <v>6.666666666666667</v>
      </c>
      <c r="R985" s="6">
        <v>0.66666666666666663</v>
      </c>
      <c r="S985" t="s">
        <v>367</v>
      </c>
      <c r="T985" t="s">
        <v>171</v>
      </c>
      <c r="U985" s="6">
        <v>10.8</v>
      </c>
      <c r="V985" s="6">
        <v>19.2</v>
      </c>
      <c r="W985" t="b">
        <v>0</v>
      </c>
      <c r="X985">
        <v>6</v>
      </c>
      <c r="Y985">
        <v>2</v>
      </c>
      <c r="Z985">
        <v>20</v>
      </c>
      <c r="AA985" s="6">
        <v>30.286458333333329</v>
      </c>
      <c r="AB985">
        <f>--PizzaDelivery[[#This Row],[Is Delayed]]</f>
        <v>0</v>
      </c>
    </row>
    <row r="986" spans="1:28">
      <c r="A986" t="s">
        <v>1251</v>
      </c>
      <c r="B986" t="s">
        <v>142</v>
      </c>
      <c r="C986" t="s">
        <v>697</v>
      </c>
      <c r="D986" s="1">
        <v>45826</v>
      </c>
      <c r="E986" s="5">
        <v>0.80208333333333337</v>
      </c>
      <c r="F986" s="1">
        <v>45826</v>
      </c>
      <c r="G986" s="5">
        <v>0.82291666666666663</v>
      </c>
      <c r="H986">
        <v>30</v>
      </c>
      <c r="I986" t="s">
        <v>151</v>
      </c>
      <c r="J986" t="s">
        <v>657</v>
      </c>
      <c r="K986">
        <v>4</v>
      </c>
      <c r="L986">
        <v>5.5</v>
      </c>
      <c r="M986" t="s">
        <v>143</v>
      </c>
      <c r="N986" t="s">
        <v>162</v>
      </c>
      <c r="O986" t="b">
        <v>1</v>
      </c>
      <c r="P986" t="b">
        <v>0</v>
      </c>
      <c r="Q986" s="6">
        <v>5.4545454545454541</v>
      </c>
      <c r="R986" s="6">
        <v>0.72727272727272729</v>
      </c>
      <c r="S986" t="s">
        <v>367</v>
      </c>
      <c r="T986" t="s">
        <v>147</v>
      </c>
      <c r="U986" s="6">
        <v>13.2</v>
      </c>
      <c r="V986" s="6">
        <v>16.8</v>
      </c>
      <c r="W986" t="b">
        <v>0</v>
      </c>
      <c r="X986">
        <v>12</v>
      </c>
      <c r="Y986">
        <v>2</v>
      </c>
      <c r="Z986">
        <v>19</v>
      </c>
      <c r="AA986" s="6">
        <v>30.259433962264151</v>
      </c>
      <c r="AB986">
        <f>--PizzaDelivery[[#This Row],[Is Delayed]]</f>
        <v>0</v>
      </c>
    </row>
    <row r="987" spans="1:28">
      <c r="A987" t="s">
        <v>1252</v>
      </c>
      <c r="B987" t="s">
        <v>165</v>
      </c>
      <c r="C987" t="s">
        <v>188</v>
      </c>
      <c r="D987" s="1">
        <v>45827</v>
      </c>
      <c r="E987" s="5">
        <v>0.85416666666666663</v>
      </c>
      <c r="F987" s="1">
        <v>45827</v>
      </c>
      <c r="G987" s="5">
        <v>0.875</v>
      </c>
      <c r="H987">
        <v>30</v>
      </c>
      <c r="I987" t="s">
        <v>143</v>
      </c>
      <c r="J987" t="s">
        <v>144</v>
      </c>
      <c r="K987">
        <v>2</v>
      </c>
      <c r="L987">
        <v>4</v>
      </c>
      <c r="M987" t="s">
        <v>161</v>
      </c>
      <c r="N987" t="s">
        <v>154</v>
      </c>
      <c r="O987" t="b">
        <v>1</v>
      </c>
      <c r="P987" t="b">
        <v>0</v>
      </c>
      <c r="Q987" s="6">
        <v>7.5</v>
      </c>
      <c r="R987" s="6">
        <v>0.5</v>
      </c>
      <c r="S987" t="s">
        <v>367</v>
      </c>
      <c r="T987" t="s">
        <v>147</v>
      </c>
      <c r="U987" s="6">
        <v>9.6</v>
      </c>
      <c r="V987" s="6">
        <v>20.399999999999999</v>
      </c>
      <c r="W987" t="b">
        <v>0</v>
      </c>
      <c r="X987">
        <v>4</v>
      </c>
      <c r="Y987">
        <v>1</v>
      </c>
      <c r="Z987">
        <v>20</v>
      </c>
      <c r="AA987" s="6">
        <v>29.948453608247419</v>
      </c>
      <c r="AB987">
        <f>--PizzaDelivery[[#This Row],[Is Delayed]]</f>
        <v>0</v>
      </c>
    </row>
    <row r="988" spans="1:28">
      <c r="A988" t="s">
        <v>1253</v>
      </c>
      <c r="B988" t="s">
        <v>149</v>
      </c>
      <c r="C988" t="s">
        <v>712</v>
      </c>
      <c r="D988" s="1">
        <v>45828</v>
      </c>
      <c r="E988" s="5">
        <v>0.75</v>
      </c>
      <c r="F988" s="1">
        <v>45828</v>
      </c>
      <c r="G988" s="5">
        <v>0.77083333333333337</v>
      </c>
      <c r="H988">
        <v>30</v>
      </c>
      <c r="I988" t="s">
        <v>143</v>
      </c>
      <c r="J988" t="s">
        <v>1018</v>
      </c>
      <c r="K988">
        <v>3</v>
      </c>
      <c r="L988">
        <v>5</v>
      </c>
      <c r="M988" t="s">
        <v>143</v>
      </c>
      <c r="N988" t="s">
        <v>162</v>
      </c>
      <c r="O988" t="b">
        <v>1</v>
      </c>
      <c r="P988" t="b">
        <v>1</v>
      </c>
      <c r="Q988" s="6">
        <v>6</v>
      </c>
      <c r="R988" s="6">
        <v>0.6</v>
      </c>
      <c r="S988" t="s">
        <v>367</v>
      </c>
      <c r="T988" t="s">
        <v>147</v>
      </c>
      <c r="U988" s="6">
        <v>12</v>
      </c>
      <c r="V988" s="6">
        <v>18</v>
      </c>
      <c r="W988" t="b">
        <v>0</v>
      </c>
      <c r="X988">
        <v>6</v>
      </c>
      <c r="Y988">
        <v>2</v>
      </c>
      <c r="Z988">
        <v>18</v>
      </c>
      <c r="AA988" s="6">
        <v>28.186274509803919</v>
      </c>
      <c r="AB988">
        <f>--PizzaDelivery[[#This Row],[Is Delayed]]</f>
        <v>0</v>
      </c>
    </row>
    <row r="989" spans="1:28">
      <c r="A989" t="s">
        <v>1254</v>
      </c>
      <c r="B989" t="s">
        <v>157</v>
      </c>
      <c r="C989" t="s">
        <v>693</v>
      </c>
      <c r="D989" s="1">
        <v>45829</v>
      </c>
      <c r="E989" s="5">
        <v>0.80208333333333337</v>
      </c>
      <c r="F989" s="1">
        <v>45829</v>
      </c>
      <c r="G989" s="5">
        <v>0.82291666666666663</v>
      </c>
      <c r="H989">
        <v>30</v>
      </c>
      <c r="I989" t="s">
        <v>167</v>
      </c>
      <c r="J989" t="s">
        <v>168</v>
      </c>
      <c r="K989">
        <v>5</v>
      </c>
      <c r="L989">
        <v>6</v>
      </c>
      <c r="M989" t="s">
        <v>153</v>
      </c>
      <c r="N989" t="s">
        <v>145</v>
      </c>
      <c r="O989" t="b">
        <v>1</v>
      </c>
      <c r="P989" t="b">
        <v>1</v>
      </c>
      <c r="Q989" s="6">
        <v>5</v>
      </c>
      <c r="R989" s="6">
        <v>0.83333333333333337</v>
      </c>
      <c r="S989" t="s">
        <v>367</v>
      </c>
      <c r="T989" t="s">
        <v>147</v>
      </c>
      <c r="U989" s="6">
        <v>14.4</v>
      </c>
      <c r="V989" s="6">
        <v>15.6</v>
      </c>
      <c r="W989" t="b">
        <v>0</v>
      </c>
      <c r="X989">
        <v>20</v>
      </c>
      <c r="Y989">
        <v>3</v>
      </c>
      <c r="Z989">
        <v>19</v>
      </c>
      <c r="AA989" s="6">
        <v>28.844221105527641</v>
      </c>
      <c r="AB989">
        <f>--PizzaDelivery[[#This Row],[Is Delayed]]</f>
        <v>0</v>
      </c>
    </row>
    <row r="990" spans="1:28">
      <c r="A990" t="s">
        <v>1255</v>
      </c>
      <c r="B990" t="s">
        <v>173</v>
      </c>
      <c r="C990" t="s">
        <v>695</v>
      </c>
      <c r="D990" s="1">
        <v>45830</v>
      </c>
      <c r="E990" s="5">
        <v>0.85416666666666663</v>
      </c>
      <c r="F990" s="1">
        <v>45830</v>
      </c>
      <c r="G990" s="5">
        <v>0.875</v>
      </c>
      <c r="H990">
        <v>30</v>
      </c>
      <c r="I990" t="s">
        <v>143</v>
      </c>
      <c r="J990" t="s">
        <v>1021</v>
      </c>
      <c r="K990">
        <v>3</v>
      </c>
      <c r="L990">
        <v>4.5</v>
      </c>
      <c r="M990" t="s">
        <v>143</v>
      </c>
      <c r="N990" t="s">
        <v>169</v>
      </c>
      <c r="O990" t="b">
        <v>1</v>
      </c>
      <c r="P990" t="b">
        <v>0</v>
      </c>
      <c r="Q990" s="6">
        <v>6.666666666666667</v>
      </c>
      <c r="R990" s="6">
        <v>0.66666666666666663</v>
      </c>
      <c r="S990" t="s">
        <v>367</v>
      </c>
      <c r="T990" t="s">
        <v>171</v>
      </c>
      <c r="U990" s="6">
        <v>10.8</v>
      </c>
      <c r="V990" s="6">
        <v>19.2</v>
      </c>
      <c r="W990" t="b">
        <v>0</v>
      </c>
      <c r="X990">
        <v>6</v>
      </c>
      <c r="Y990">
        <v>2</v>
      </c>
      <c r="Z990">
        <v>20</v>
      </c>
      <c r="AA990" s="6">
        <v>30.286458333333329</v>
      </c>
      <c r="AB990">
        <f>--PizzaDelivery[[#This Row],[Is Delayed]]</f>
        <v>0</v>
      </c>
    </row>
    <row r="991" spans="1:28">
      <c r="A991" t="s">
        <v>1256</v>
      </c>
      <c r="B991" t="s">
        <v>142</v>
      </c>
      <c r="C991" t="s">
        <v>697</v>
      </c>
      <c r="D991" s="1">
        <v>45831</v>
      </c>
      <c r="E991" s="5">
        <v>0.79166666666666663</v>
      </c>
      <c r="F991" s="1">
        <v>45831</v>
      </c>
      <c r="G991" s="5">
        <v>0.8125</v>
      </c>
      <c r="H991">
        <v>30</v>
      </c>
      <c r="I991" t="s">
        <v>151</v>
      </c>
      <c r="J991" t="s">
        <v>657</v>
      </c>
      <c r="K991">
        <v>4</v>
      </c>
      <c r="L991">
        <v>5.5</v>
      </c>
      <c r="M991" t="s">
        <v>143</v>
      </c>
      <c r="N991" t="s">
        <v>162</v>
      </c>
      <c r="O991" t="b">
        <v>1</v>
      </c>
      <c r="P991" t="b">
        <v>0</v>
      </c>
      <c r="Q991" s="6">
        <v>5.4545454545454541</v>
      </c>
      <c r="R991" s="6">
        <v>0.72727272727272729</v>
      </c>
      <c r="S991" t="s">
        <v>367</v>
      </c>
      <c r="T991" t="s">
        <v>147</v>
      </c>
      <c r="U991" s="6">
        <v>13.2</v>
      </c>
      <c r="V991" s="6">
        <v>16.8</v>
      </c>
      <c r="W991" t="b">
        <v>0</v>
      </c>
      <c r="X991">
        <v>12</v>
      </c>
      <c r="Y991">
        <v>2</v>
      </c>
      <c r="Z991">
        <v>19</v>
      </c>
      <c r="AA991" s="6">
        <v>30.259433962264151</v>
      </c>
      <c r="AB991">
        <f>--PizzaDelivery[[#This Row],[Is Delayed]]</f>
        <v>0</v>
      </c>
    </row>
    <row r="992" spans="1:28">
      <c r="A992" t="s">
        <v>1257</v>
      </c>
      <c r="B992" t="s">
        <v>165</v>
      </c>
      <c r="C992" t="s">
        <v>188</v>
      </c>
      <c r="D992" s="1">
        <v>45832</v>
      </c>
      <c r="E992" s="5">
        <v>0.84375</v>
      </c>
      <c r="F992" s="1">
        <v>45832</v>
      </c>
      <c r="G992" s="5">
        <v>0.86458333333333337</v>
      </c>
      <c r="H992">
        <v>30</v>
      </c>
      <c r="I992" t="s">
        <v>143</v>
      </c>
      <c r="J992" t="s">
        <v>144</v>
      </c>
      <c r="K992">
        <v>2</v>
      </c>
      <c r="L992">
        <v>4</v>
      </c>
      <c r="M992" t="s">
        <v>161</v>
      </c>
      <c r="N992" t="s">
        <v>154</v>
      </c>
      <c r="O992" t="b">
        <v>1</v>
      </c>
      <c r="P992" t="b">
        <v>0</v>
      </c>
      <c r="Q992" s="6">
        <v>7.5</v>
      </c>
      <c r="R992" s="6">
        <v>0.5</v>
      </c>
      <c r="S992" t="s">
        <v>367</v>
      </c>
      <c r="T992" t="s">
        <v>147</v>
      </c>
      <c r="U992" s="6">
        <v>9.6</v>
      </c>
      <c r="V992" s="6">
        <v>20.399999999999999</v>
      </c>
      <c r="W992" t="b">
        <v>0</v>
      </c>
      <c r="X992">
        <v>4</v>
      </c>
      <c r="Y992">
        <v>1</v>
      </c>
      <c r="Z992">
        <v>20</v>
      </c>
      <c r="AA992" s="6">
        <v>29.948453608247419</v>
      </c>
      <c r="AB992">
        <f>--PizzaDelivery[[#This Row],[Is Delayed]]</f>
        <v>0</v>
      </c>
    </row>
    <row r="993" spans="1:28">
      <c r="A993" t="s">
        <v>1258</v>
      </c>
      <c r="B993" t="s">
        <v>149</v>
      </c>
      <c r="C993" t="s">
        <v>712</v>
      </c>
      <c r="D993" s="1">
        <v>45833</v>
      </c>
      <c r="E993" s="5">
        <v>0.77083333333333337</v>
      </c>
      <c r="F993" s="1">
        <v>45833</v>
      </c>
      <c r="G993" s="5">
        <v>0.79166666666666663</v>
      </c>
      <c r="H993">
        <v>30</v>
      </c>
      <c r="I993" t="s">
        <v>143</v>
      </c>
      <c r="J993" t="s">
        <v>1018</v>
      </c>
      <c r="K993">
        <v>3</v>
      </c>
      <c r="L993">
        <v>5</v>
      </c>
      <c r="M993" t="s">
        <v>143</v>
      </c>
      <c r="N993" t="s">
        <v>145</v>
      </c>
      <c r="O993" t="b">
        <v>1</v>
      </c>
      <c r="P993" t="b">
        <v>0</v>
      </c>
      <c r="Q993" s="6">
        <v>6</v>
      </c>
      <c r="R993" s="6">
        <v>0.6</v>
      </c>
      <c r="S993" t="s">
        <v>367</v>
      </c>
      <c r="T993" t="s">
        <v>147</v>
      </c>
      <c r="U993" s="6">
        <v>12</v>
      </c>
      <c r="V993" s="6">
        <v>18</v>
      </c>
      <c r="W993" t="b">
        <v>0</v>
      </c>
      <c r="X993">
        <v>6</v>
      </c>
      <c r="Y993">
        <v>2</v>
      </c>
      <c r="Z993">
        <v>18</v>
      </c>
      <c r="AA993" s="6">
        <v>28.186274509803919</v>
      </c>
      <c r="AB993">
        <f>--PizzaDelivery[[#This Row],[Is Delayed]]</f>
        <v>0</v>
      </c>
    </row>
    <row r="994" spans="1:28">
      <c r="A994" t="s">
        <v>1259</v>
      </c>
      <c r="B994" t="s">
        <v>157</v>
      </c>
      <c r="C994" t="s">
        <v>693</v>
      </c>
      <c r="D994" s="1">
        <v>45834</v>
      </c>
      <c r="E994" s="5">
        <v>0.82291666666666663</v>
      </c>
      <c r="F994" s="1">
        <v>45834</v>
      </c>
      <c r="G994" s="5">
        <v>0.84375</v>
      </c>
      <c r="H994">
        <v>30</v>
      </c>
      <c r="I994" t="s">
        <v>167</v>
      </c>
      <c r="J994" t="s">
        <v>168</v>
      </c>
      <c r="K994">
        <v>5</v>
      </c>
      <c r="L994">
        <v>6</v>
      </c>
      <c r="M994" t="s">
        <v>153</v>
      </c>
      <c r="N994" t="s">
        <v>162</v>
      </c>
      <c r="O994" t="b">
        <v>1</v>
      </c>
      <c r="P994" t="b">
        <v>0</v>
      </c>
      <c r="Q994" s="6">
        <v>5</v>
      </c>
      <c r="R994" s="6">
        <v>0.83333333333333337</v>
      </c>
      <c r="S994" t="s">
        <v>367</v>
      </c>
      <c r="T994" t="s">
        <v>147</v>
      </c>
      <c r="U994" s="6">
        <v>14.4</v>
      </c>
      <c r="V994" s="6">
        <v>15.6</v>
      </c>
      <c r="W994" t="b">
        <v>0</v>
      </c>
      <c r="X994">
        <v>20</v>
      </c>
      <c r="Y994">
        <v>3</v>
      </c>
      <c r="Z994">
        <v>19</v>
      </c>
      <c r="AA994" s="6">
        <v>28.844221105527641</v>
      </c>
      <c r="AB994">
        <f>--PizzaDelivery[[#This Row],[Is Delayed]]</f>
        <v>0</v>
      </c>
    </row>
    <row r="995" spans="1:28">
      <c r="A995" t="s">
        <v>1260</v>
      </c>
      <c r="B995" t="s">
        <v>173</v>
      </c>
      <c r="C995" t="s">
        <v>695</v>
      </c>
      <c r="D995" s="1">
        <v>45835</v>
      </c>
      <c r="E995" s="5">
        <v>0.83333333333333337</v>
      </c>
      <c r="F995" s="1">
        <v>45835</v>
      </c>
      <c r="G995" s="5">
        <v>0.85416666666666663</v>
      </c>
      <c r="H995">
        <v>30</v>
      </c>
      <c r="I995" t="s">
        <v>143</v>
      </c>
      <c r="J995" t="s">
        <v>1021</v>
      </c>
      <c r="K995">
        <v>3</v>
      </c>
      <c r="L995">
        <v>4.5</v>
      </c>
      <c r="M995" t="s">
        <v>143</v>
      </c>
      <c r="N995" t="s">
        <v>169</v>
      </c>
      <c r="O995" t="b">
        <v>1</v>
      </c>
      <c r="P995" t="b">
        <v>1</v>
      </c>
      <c r="Q995" s="6">
        <v>6.666666666666667</v>
      </c>
      <c r="R995" s="6">
        <v>0.66666666666666663</v>
      </c>
      <c r="S995" t="s">
        <v>367</v>
      </c>
      <c r="T995" t="s">
        <v>171</v>
      </c>
      <c r="U995" s="6">
        <v>10.8</v>
      </c>
      <c r="V995" s="6">
        <v>19.2</v>
      </c>
      <c r="W995" t="b">
        <v>0</v>
      </c>
      <c r="X995">
        <v>6</v>
      </c>
      <c r="Y995">
        <v>2</v>
      </c>
      <c r="Z995">
        <v>20</v>
      </c>
      <c r="AA995" s="6">
        <v>30.286458333333329</v>
      </c>
      <c r="AB995">
        <f>--PizzaDelivery[[#This Row],[Is Delayed]]</f>
        <v>0</v>
      </c>
    </row>
    <row r="996" spans="1:28">
      <c r="A996" t="s">
        <v>1261</v>
      </c>
      <c r="B996" t="s">
        <v>142</v>
      </c>
      <c r="C996" t="s">
        <v>697</v>
      </c>
      <c r="D996" s="1">
        <v>45836</v>
      </c>
      <c r="E996" s="5">
        <v>0.80208333333333337</v>
      </c>
      <c r="F996" s="1">
        <v>45836</v>
      </c>
      <c r="G996" s="5">
        <v>0.82291666666666663</v>
      </c>
      <c r="H996">
        <v>30</v>
      </c>
      <c r="I996" t="s">
        <v>151</v>
      </c>
      <c r="J996" t="s">
        <v>657</v>
      </c>
      <c r="K996">
        <v>4</v>
      </c>
      <c r="L996">
        <v>5.5</v>
      </c>
      <c r="M996" t="s">
        <v>143</v>
      </c>
      <c r="N996" t="s">
        <v>162</v>
      </c>
      <c r="O996" t="b">
        <v>1</v>
      </c>
      <c r="P996" t="b">
        <v>1</v>
      </c>
      <c r="Q996" s="6">
        <v>5.4545454545454541</v>
      </c>
      <c r="R996" s="6">
        <v>0.72727272727272729</v>
      </c>
      <c r="S996" t="s">
        <v>367</v>
      </c>
      <c r="T996" t="s">
        <v>147</v>
      </c>
      <c r="U996" s="6">
        <v>13.2</v>
      </c>
      <c r="V996" s="6">
        <v>16.8</v>
      </c>
      <c r="W996" t="b">
        <v>0</v>
      </c>
      <c r="X996">
        <v>12</v>
      </c>
      <c r="Y996">
        <v>2</v>
      </c>
      <c r="Z996">
        <v>19</v>
      </c>
      <c r="AA996" s="6">
        <v>30.259433962264151</v>
      </c>
      <c r="AB996">
        <f>--PizzaDelivery[[#This Row],[Is Delayed]]</f>
        <v>0</v>
      </c>
    </row>
    <row r="997" spans="1:28">
      <c r="A997" t="s">
        <v>1262</v>
      </c>
      <c r="B997" t="s">
        <v>165</v>
      </c>
      <c r="C997" t="s">
        <v>188</v>
      </c>
      <c r="D997" s="1">
        <v>45837</v>
      </c>
      <c r="E997" s="5">
        <v>0.85416666666666663</v>
      </c>
      <c r="F997" s="1">
        <v>45837</v>
      </c>
      <c r="G997" s="5">
        <v>0.875</v>
      </c>
      <c r="H997">
        <v>30</v>
      </c>
      <c r="I997" t="s">
        <v>143</v>
      </c>
      <c r="J997" t="s">
        <v>144</v>
      </c>
      <c r="K997">
        <v>2</v>
      </c>
      <c r="L997">
        <v>4</v>
      </c>
      <c r="M997" t="s">
        <v>161</v>
      </c>
      <c r="N997" t="s">
        <v>154</v>
      </c>
      <c r="O997" t="b">
        <v>1</v>
      </c>
      <c r="P997" t="b">
        <v>0</v>
      </c>
      <c r="Q997" s="6">
        <v>7.5</v>
      </c>
      <c r="R997" s="6">
        <v>0.5</v>
      </c>
      <c r="S997" t="s">
        <v>367</v>
      </c>
      <c r="T997" t="s">
        <v>147</v>
      </c>
      <c r="U997" s="6">
        <v>9.6</v>
      </c>
      <c r="V997" s="6">
        <v>20.399999999999999</v>
      </c>
      <c r="W997" t="b">
        <v>0</v>
      </c>
      <c r="X997">
        <v>4</v>
      </c>
      <c r="Y997">
        <v>1</v>
      </c>
      <c r="Z997">
        <v>20</v>
      </c>
      <c r="AA997" s="6">
        <v>29.948453608247419</v>
      </c>
      <c r="AB997">
        <f>--PizzaDelivery[[#This Row],[Is Delayed]]</f>
        <v>0</v>
      </c>
    </row>
    <row r="998" spans="1:28">
      <c r="A998" t="s">
        <v>1263</v>
      </c>
      <c r="B998" t="s">
        <v>149</v>
      </c>
      <c r="C998" t="s">
        <v>712</v>
      </c>
      <c r="D998" s="1">
        <v>45838</v>
      </c>
      <c r="E998" s="5">
        <v>0.75</v>
      </c>
      <c r="F998" s="1">
        <v>45838</v>
      </c>
      <c r="G998" s="5">
        <v>0.77083333333333337</v>
      </c>
      <c r="H998">
        <v>30</v>
      </c>
      <c r="I998" t="s">
        <v>143</v>
      </c>
      <c r="J998" t="s">
        <v>1018</v>
      </c>
      <c r="K998">
        <v>3</v>
      </c>
      <c r="L998">
        <v>5</v>
      </c>
      <c r="M998" t="s">
        <v>143</v>
      </c>
      <c r="N998" t="s">
        <v>162</v>
      </c>
      <c r="O998" t="b">
        <v>1</v>
      </c>
      <c r="P998" t="b">
        <v>0</v>
      </c>
      <c r="Q998" s="6">
        <v>6</v>
      </c>
      <c r="R998" s="6">
        <v>0.6</v>
      </c>
      <c r="S998" t="s">
        <v>367</v>
      </c>
      <c r="T998" t="s">
        <v>147</v>
      </c>
      <c r="U998" s="6">
        <v>12</v>
      </c>
      <c r="V998" s="6">
        <v>18</v>
      </c>
      <c r="W998" t="b">
        <v>0</v>
      </c>
      <c r="X998">
        <v>6</v>
      </c>
      <c r="Y998">
        <v>2</v>
      </c>
      <c r="Z998">
        <v>18</v>
      </c>
      <c r="AA998" s="6">
        <v>28.186274509803919</v>
      </c>
      <c r="AB998">
        <f>--PizzaDelivery[[#This Row],[Is Delayed]]</f>
        <v>0</v>
      </c>
    </row>
    <row r="999" spans="1:28">
      <c r="A999" t="s">
        <v>1264</v>
      </c>
      <c r="B999" t="s">
        <v>157</v>
      </c>
      <c r="C999" t="s">
        <v>693</v>
      </c>
      <c r="D999" s="1">
        <v>45839</v>
      </c>
      <c r="E999" s="5">
        <v>0.80208333333333337</v>
      </c>
      <c r="F999" s="1">
        <v>45839</v>
      </c>
      <c r="G999" s="5">
        <v>0.82291666666666663</v>
      </c>
      <c r="H999">
        <v>30</v>
      </c>
      <c r="I999" t="s">
        <v>167</v>
      </c>
      <c r="J999" t="s">
        <v>168</v>
      </c>
      <c r="K999">
        <v>5</v>
      </c>
      <c r="L999">
        <v>6</v>
      </c>
      <c r="M999" t="s">
        <v>153</v>
      </c>
      <c r="N999" t="s">
        <v>145</v>
      </c>
      <c r="O999" t="b">
        <v>1</v>
      </c>
      <c r="P999" t="b">
        <v>0</v>
      </c>
      <c r="Q999" s="6">
        <v>5</v>
      </c>
      <c r="R999" s="6">
        <v>0.83333333333333337</v>
      </c>
      <c r="S999" t="s">
        <v>379</v>
      </c>
      <c r="T999" t="s">
        <v>147</v>
      </c>
      <c r="U999" s="6">
        <v>14.4</v>
      </c>
      <c r="V999" s="6">
        <v>15.6</v>
      </c>
      <c r="W999" t="b">
        <v>0</v>
      </c>
      <c r="X999">
        <v>20</v>
      </c>
      <c r="Y999">
        <v>3</v>
      </c>
      <c r="Z999">
        <v>19</v>
      </c>
      <c r="AA999" s="6">
        <v>28.844221105527641</v>
      </c>
      <c r="AB999">
        <f>--PizzaDelivery[[#This Row],[Is Delayed]]</f>
        <v>0</v>
      </c>
    </row>
    <row r="1000" spans="1:28">
      <c r="A1000" t="s">
        <v>1265</v>
      </c>
      <c r="B1000" t="s">
        <v>173</v>
      </c>
      <c r="C1000" t="s">
        <v>695</v>
      </c>
      <c r="D1000" s="1">
        <v>45840</v>
      </c>
      <c r="E1000" s="5">
        <v>0.85416666666666663</v>
      </c>
      <c r="F1000" s="1">
        <v>45840</v>
      </c>
      <c r="G1000" s="5">
        <v>0.875</v>
      </c>
      <c r="H1000">
        <v>30</v>
      </c>
      <c r="I1000" t="s">
        <v>143</v>
      </c>
      <c r="J1000" t="s">
        <v>1021</v>
      </c>
      <c r="K1000">
        <v>3</v>
      </c>
      <c r="L1000">
        <v>4.5</v>
      </c>
      <c r="M1000" t="s">
        <v>143</v>
      </c>
      <c r="N1000" t="s">
        <v>169</v>
      </c>
      <c r="O1000" t="b">
        <v>1</v>
      </c>
      <c r="P1000" t="b">
        <v>0</v>
      </c>
      <c r="Q1000" s="6">
        <v>6.666666666666667</v>
      </c>
      <c r="R1000" s="6">
        <v>0.66666666666666663</v>
      </c>
      <c r="S1000" t="s">
        <v>379</v>
      </c>
      <c r="T1000" t="s">
        <v>171</v>
      </c>
      <c r="U1000" s="6">
        <v>10.8</v>
      </c>
      <c r="V1000" s="6">
        <v>19.2</v>
      </c>
      <c r="W1000" t="b">
        <v>0</v>
      </c>
      <c r="X1000">
        <v>6</v>
      </c>
      <c r="Y1000">
        <v>2</v>
      </c>
      <c r="Z1000">
        <v>20</v>
      </c>
      <c r="AA1000" s="6">
        <v>30.286458333333329</v>
      </c>
      <c r="AB1000">
        <f>--PizzaDelivery[[#This Row],[Is Delayed]]</f>
        <v>0</v>
      </c>
    </row>
    <row r="1001" spans="1:28">
      <c r="A1001" t="s">
        <v>1266</v>
      </c>
      <c r="B1001" t="s">
        <v>142</v>
      </c>
      <c r="C1001" t="s">
        <v>697</v>
      </c>
      <c r="D1001" s="1">
        <v>45841</v>
      </c>
      <c r="E1001" s="5">
        <v>0.79166666666666663</v>
      </c>
      <c r="F1001" s="1">
        <v>45841</v>
      </c>
      <c r="G1001" s="5">
        <v>0.8125</v>
      </c>
      <c r="H1001">
        <v>30</v>
      </c>
      <c r="I1001" t="s">
        <v>151</v>
      </c>
      <c r="J1001" t="s">
        <v>657</v>
      </c>
      <c r="K1001">
        <v>4</v>
      </c>
      <c r="L1001">
        <v>5.5</v>
      </c>
      <c r="M1001" t="s">
        <v>143</v>
      </c>
      <c r="N1001" t="s">
        <v>162</v>
      </c>
      <c r="O1001" t="b">
        <v>1</v>
      </c>
      <c r="P1001" t="b">
        <v>0</v>
      </c>
      <c r="Q1001" s="6">
        <v>5.4545454545454541</v>
      </c>
      <c r="R1001" s="6">
        <v>0.72727272727272729</v>
      </c>
      <c r="S1001" t="s">
        <v>379</v>
      </c>
      <c r="T1001" t="s">
        <v>147</v>
      </c>
      <c r="U1001" s="6">
        <v>13.2</v>
      </c>
      <c r="V1001" s="6">
        <v>16.8</v>
      </c>
      <c r="W1001" t="b">
        <v>0</v>
      </c>
      <c r="X1001">
        <v>12</v>
      </c>
      <c r="Y1001">
        <v>2</v>
      </c>
      <c r="Z1001">
        <v>19</v>
      </c>
      <c r="AA1001" s="6">
        <v>30.259433962264151</v>
      </c>
      <c r="AB1001">
        <f>--PizzaDelivery[[#This Row],[Is Delayed]]</f>
        <v>0</v>
      </c>
    </row>
    <row r="1002" spans="1:28">
      <c r="A1002" t="s">
        <v>1267</v>
      </c>
      <c r="B1002" t="s">
        <v>165</v>
      </c>
      <c r="C1002" t="s">
        <v>188</v>
      </c>
      <c r="D1002" s="1">
        <v>45842</v>
      </c>
      <c r="E1002" s="5">
        <v>0.84375</v>
      </c>
      <c r="F1002" s="1">
        <v>45842</v>
      </c>
      <c r="G1002" s="5">
        <v>0.86458333333333337</v>
      </c>
      <c r="H1002">
        <v>30</v>
      </c>
      <c r="I1002" t="s">
        <v>143</v>
      </c>
      <c r="J1002" t="s">
        <v>144</v>
      </c>
      <c r="K1002">
        <v>2</v>
      </c>
      <c r="L1002">
        <v>4</v>
      </c>
      <c r="M1002" t="s">
        <v>161</v>
      </c>
      <c r="N1002" t="s">
        <v>154</v>
      </c>
      <c r="O1002" t="b">
        <v>1</v>
      </c>
      <c r="P1002" t="b">
        <v>1</v>
      </c>
      <c r="Q1002" s="6">
        <v>7.5</v>
      </c>
      <c r="R1002" s="6">
        <v>0.5</v>
      </c>
      <c r="S1002" t="s">
        <v>379</v>
      </c>
      <c r="T1002" t="s">
        <v>147</v>
      </c>
      <c r="U1002" s="6">
        <v>9.6</v>
      </c>
      <c r="V1002" s="6">
        <v>20.399999999999999</v>
      </c>
      <c r="W1002" t="b">
        <v>0</v>
      </c>
      <c r="X1002">
        <v>4</v>
      </c>
      <c r="Y1002">
        <v>1</v>
      </c>
      <c r="Z1002">
        <v>20</v>
      </c>
      <c r="AA1002" s="6">
        <v>29.948453608247419</v>
      </c>
      <c r="AB1002">
        <f>--PizzaDelivery[[#This Row],[Is Delayed]]</f>
        <v>0</v>
      </c>
    </row>
    <row r="1003" spans="1:28">
      <c r="A1003" t="s">
        <v>1268</v>
      </c>
      <c r="B1003" t="s">
        <v>149</v>
      </c>
      <c r="C1003" t="s">
        <v>712</v>
      </c>
      <c r="D1003" s="1">
        <v>45843</v>
      </c>
      <c r="E1003" s="5">
        <v>0.77083333333333337</v>
      </c>
      <c r="F1003" s="1">
        <v>45843</v>
      </c>
      <c r="G1003" s="5">
        <v>0.79166666666666663</v>
      </c>
      <c r="H1003">
        <v>30</v>
      </c>
      <c r="I1003" t="s">
        <v>143</v>
      </c>
      <c r="J1003" t="s">
        <v>1018</v>
      </c>
      <c r="K1003">
        <v>3</v>
      </c>
      <c r="L1003">
        <v>5</v>
      </c>
      <c r="M1003" t="s">
        <v>143</v>
      </c>
      <c r="N1003" t="s">
        <v>145</v>
      </c>
      <c r="O1003" t="b">
        <v>1</v>
      </c>
      <c r="P1003" t="b">
        <v>1</v>
      </c>
      <c r="Q1003" s="6">
        <v>6</v>
      </c>
      <c r="R1003" s="6">
        <v>0.6</v>
      </c>
      <c r="S1003" t="s">
        <v>379</v>
      </c>
      <c r="T1003" t="s">
        <v>147</v>
      </c>
      <c r="U1003" s="6">
        <v>12</v>
      </c>
      <c r="V1003" s="6">
        <v>18</v>
      </c>
      <c r="W1003" t="b">
        <v>0</v>
      </c>
      <c r="X1003">
        <v>6</v>
      </c>
      <c r="Y1003">
        <v>2</v>
      </c>
      <c r="Z1003">
        <v>18</v>
      </c>
      <c r="AA1003" s="6">
        <v>28.186274509803919</v>
      </c>
      <c r="AB1003">
        <f>--PizzaDelivery[[#This Row],[Is Delayed]]</f>
        <v>0</v>
      </c>
    </row>
    <row r="1004" spans="1:28">
      <c r="A1004" t="s">
        <v>1269</v>
      </c>
      <c r="B1004" t="s">
        <v>157</v>
      </c>
      <c r="C1004" t="s">
        <v>693</v>
      </c>
      <c r="D1004" s="1">
        <v>45844</v>
      </c>
      <c r="E1004" s="5">
        <v>0.82291666666666663</v>
      </c>
      <c r="F1004" s="1">
        <v>45844</v>
      </c>
      <c r="G1004" s="5">
        <v>0.84375</v>
      </c>
      <c r="H1004">
        <v>30</v>
      </c>
      <c r="I1004" t="s">
        <v>167</v>
      </c>
      <c r="J1004" t="s">
        <v>168</v>
      </c>
      <c r="K1004">
        <v>5</v>
      </c>
      <c r="L1004">
        <v>6</v>
      </c>
      <c r="M1004" t="s">
        <v>153</v>
      </c>
      <c r="N1004" t="s">
        <v>162</v>
      </c>
      <c r="O1004" t="b">
        <v>1</v>
      </c>
      <c r="P1004" t="b">
        <v>0</v>
      </c>
      <c r="Q1004" s="6">
        <v>5</v>
      </c>
      <c r="R1004" s="6">
        <v>0.83333333333333337</v>
      </c>
      <c r="S1004" t="s">
        <v>379</v>
      </c>
      <c r="T1004" t="s">
        <v>147</v>
      </c>
      <c r="U1004" s="6">
        <v>14.4</v>
      </c>
      <c r="V1004" s="6">
        <v>15.6</v>
      </c>
      <c r="W1004" t="b">
        <v>0</v>
      </c>
      <c r="X1004">
        <v>20</v>
      </c>
      <c r="Y1004">
        <v>3</v>
      </c>
      <c r="Z1004">
        <v>19</v>
      </c>
      <c r="AA1004" s="6">
        <v>28.844221105527641</v>
      </c>
      <c r="AB1004">
        <f>--PizzaDelivery[[#This Row],[Is Delayed]]</f>
        <v>0</v>
      </c>
    </row>
    <row r="1005" spans="1:28">
      <c r="A1005" t="s">
        <v>1270</v>
      </c>
      <c r="B1005" t="s">
        <v>173</v>
      </c>
      <c r="C1005" t="s">
        <v>695</v>
      </c>
      <c r="D1005" s="1">
        <v>45845</v>
      </c>
      <c r="E1005" s="5">
        <v>0.83333333333333337</v>
      </c>
      <c r="F1005" s="1">
        <v>45845</v>
      </c>
      <c r="G1005" s="5">
        <v>0.85416666666666663</v>
      </c>
      <c r="H1005">
        <v>30</v>
      </c>
      <c r="I1005" t="s">
        <v>143</v>
      </c>
      <c r="J1005" t="s">
        <v>1021</v>
      </c>
      <c r="K1005">
        <v>3</v>
      </c>
      <c r="L1005">
        <v>4.5</v>
      </c>
      <c r="M1005" t="s">
        <v>143</v>
      </c>
      <c r="N1005" t="s">
        <v>162</v>
      </c>
      <c r="O1005" t="b">
        <v>1</v>
      </c>
      <c r="P1005" t="b">
        <v>0</v>
      </c>
      <c r="Q1005" s="6">
        <v>6.666666666666667</v>
      </c>
      <c r="R1005" s="6">
        <v>0.66666666666666663</v>
      </c>
      <c r="S1005" t="s">
        <v>379</v>
      </c>
      <c r="T1005" t="s">
        <v>147</v>
      </c>
      <c r="U1005" s="6">
        <v>10.8</v>
      </c>
      <c r="V1005" s="6">
        <v>19.2</v>
      </c>
      <c r="W1005" t="b">
        <v>0</v>
      </c>
      <c r="X1005">
        <v>6</v>
      </c>
      <c r="Y1005">
        <v>2</v>
      </c>
      <c r="Z1005">
        <v>20</v>
      </c>
      <c r="AA1005" s="6">
        <v>30.286458333333329</v>
      </c>
      <c r="AB1005">
        <f>--PizzaDelivery[[#This Row],[Is Delayed]]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3B21-9C95-40E5-B583-DBCC6EB54740}">
  <dimension ref="A1:AD98"/>
  <sheetViews>
    <sheetView showGridLines="0" topLeftCell="K1" zoomScale="75" zoomScaleNormal="75" workbookViewId="0">
      <selection activeCell="F19" sqref="F19"/>
    </sheetView>
  </sheetViews>
  <sheetFormatPr baseColWidth="10" defaultColWidth="8.83203125" defaultRowHeight="15"/>
  <cols>
    <col min="1" max="1" width="17.33203125" customWidth="1"/>
    <col min="2" max="2" width="12" bestFit="1" customWidth="1"/>
    <col min="30" max="30" width="184" customWidth="1"/>
  </cols>
  <sheetData>
    <row r="1" spans="1:30" ht="17" customHeight="1"/>
    <row r="2" spans="1:30" ht="17" customHeight="1" thickBot="1"/>
    <row r="3" spans="1:30" ht="17" customHeight="1">
      <c r="A3" s="8" t="s">
        <v>56</v>
      </c>
      <c r="B3" s="8"/>
      <c r="AD3" s="143" t="s">
        <v>1271</v>
      </c>
    </row>
    <row r="4" spans="1:30" ht="17" customHeight="1">
      <c r="AD4" s="112"/>
    </row>
    <row r="5" spans="1:30" ht="17" customHeight="1">
      <c r="A5" t="s">
        <v>1272</v>
      </c>
      <c r="B5">
        <v>29.492031872509958</v>
      </c>
      <c r="AD5" s="112" t="s">
        <v>1273</v>
      </c>
    </row>
    <row r="6" spans="1:30" ht="17" customHeight="1">
      <c r="A6" t="s">
        <v>1274</v>
      </c>
      <c r="B6">
        <v>0.24468575757858865</v>
      </c>
      <c r="AD6" s="112" t="s">
        <v>1275</v>
      </c>
    </row>
    <row r="7" spans="1:30" ht="17" customHeight="1">
      <c r="A7" t="s">
        <v>1276</v>
      </c>
      <c r="B7">
        <v>30</v>
      </c>
      <c r="AD7" s="112" t="s">
        <v>1277</v>
      </c>
    </row>
    <row r="8" spans="1:30" ht="17" customHeight="1">
      <c r="A8" t="s">
        <v>1278</v>
      </c>
      <c r="B8">
        <v>30</v>
      </c>
      <c r="AD8" s="112" t="s">
        <v>1279</v>
      </c>
    </row>
    <row r="9" spans="1:30" ht="17" customHeight="1">
      <c r="A9" t="s">
        <v>1280</v>
      </c>
      <c r="B9">
        <v>7.7531028912078215</v>
      </c>
      <c r="AD9" s="112" t="s">
        <v>1281</v>
      </c>
    </row>
    <row r="10" spans="1:30" ht="17" customHeight="1">
      <c r="A10" t="s">
        <v>1282</v>
      </c>
      <c r="B10">
        <v>60.110604441655077</v>
      </c>
      <c r="AD10" s="112" t="s">
        <v>1283</v>
      </c>
    </row>
    <row r="11" spans="1:30" ht="17" customHeight="1">
      <c r="A11" t="s">
        <v>1284</v>
      </c>
      <c r="B11">
        <v>0.3746840241893179</v>
      </c>
      <c r="AD11" s="112" t="s">
        <v>1285</v>
      </c>
    </row>
    <row r="12" spans="1:30" ht="17" customHeight="1">
      <c r="A12" t="s">
        <v>1286</v>
      </c>
      <c r="B12">
        <v>0.79850095514709496</v>
      </c>
      <c r="AD12" s="112" t="s">
        <v>1287</v>
      </c>
    </row>
    <row r="13" spans="1:30" ht="17" customHeight="1">
      <c r="A13" t="s">
        <v>1288</v>
      </c>
      <c r="B13">
        <v>35</v>
      </c>
      <c r="AD13" s="112" t="s">
        <v>1289</v>
      </c>
    </row>
    <row r="14" spans="1:30" ht="17" customHeight="1">
      <c r="A14" t="s">
        <v>1290</v>
      </c>
      <c r="B14">
        <v>15</v>
      </c>
      <c r="AD14" s="112" t="s">
        <v>1291</v>
      </c>
    </row>
    <row r="15" spans="1:30" ht="17" customHeight="1">
      <c r="A15" t="s">
        <v>1292</v>
      </c>
      <c r="B15">
        <v>50</v>
      </c>
      <c r="AD15" s="112"/>
    </row>
    <row r="16" spans="1:30" ht="17" customHeight="1">
      <c r="A16" t="s">
        <v>1293</v>
      </c>
      <c r="B16">
        <v>29610</v>
      </c>
      <c r="AD16" s="153" t="s">
        <v>1294</v>
      </c>
    </row>
    <row r="17" spans="1:30" ht="17" customHeight="1" thickBot="1">
      <c r="A17" s="7" t="s">
        <v>1295</v>
      </c>
      <c r="B17" s="7">
        <v>1004</v>
      </c>
    </row>
    <row r="18" spans="1:30" ht="17" customHeight="1"/>
    <row r="19" spans="1:30" ht="17" customHeight="1"/>
    <row r="20" spans="1:30" s="98" customFormat="1"/>
    <row r="21" spans="1:30" ht="18" customHeight="1"/>
    <row r="22" spans="1:30" ht="18" customHeight="1" thickBot="1"/>
    <row r="23" spans="1:30" ht="18" customHeight="1">
      <c r="A23" s="8" t="s">
        <v>74</v>
      </c>
      <c r="B23" s="8"/>
      <c r="AD23" s="143" t="s">
        <v>1271</v>
      </c>
    </row>
    <row r="24" spans="1:30" ht="18" customHeight="1">
      <c r="AD24" s="112"/>
    </row>
    <row r="25" spans="1:30" ht="18" customHeight="1">
      <c r="A25" t="s">
        <v>1272</v>
      </c>
      <c r="B25">
        <v>4.9456175298804776</v>
      </c>
      <c r="AD25" s="112" t="s">
        <v>1296</v>
      </c>
    </row>
    <row r="26" spans="1:30" ht="18" customHeight="1">
      <c r="A26" t="s">
        <v>1274</v>
      </c>
      <c r="B26">
        <v>6.1587612090281942E-2</v>
      </c>
      <c r="AD26" s="112" t="s">
        <v>1297</v>
      </c>
    </row>
    <row r="27" spans="1:30" ht="18" customHeight="1">
      <c r="A27" t="s">
        <v>1276</v>
      </c>
      <c r="B27">
        <v>4.5</v>
      </c>
      <c r="AD27" s="112" t="s">
        <v>1298</v>
      </c>
    </row>
    <row r="28" spans="1:30" ht="18" customHeight="1">
      <c r="A28" t="s">
        <v>1278</v>
      </c>
      <c r="B28">
        <v>4</v>
      </c>
      <c r="AD28" s="112" t="s">
        <v>1299</v>
      </c>
    </row>
    <row r="29" spans="1:30" ht="18" customHeight="1">
      <c r="A29" t="s">
        <v>1280</v>
      </c>
      <c r="B29">
        <v>1.9514625537875367</v>
      </c>
      <c r="AD29" s="112" t="s">
        <v>1300</v>
      </c>
    </row>
    <row r="30" spans="1:30" ht="18" customHeight="1">
      <c r="A30" t="s">
        <v>1282</v>
      </c>
      <c r="B30">
        <v>3.8082060988349751</v>
      </c>
      <c r="AD30" s="112" t="s">
        <v>1301</v>
      </c>
    </row>
    <row r="31" spans="1:30" ht="18" customHeight="1">
      <c r="A31" t="s">
        <v>1284</v>
      </c>
      <c r="B31">
        <v>0.22336277465075627</v>
      </c>
      <c r="AD31" s="112" t="s">
        <v>1302</v>
      </c>
    </row>
    <row r="32" spans="1:30" ht="18" customHeight="1">
      <c r="A32" t="s">
        <v>1286</v>
      </c>
      <c r="B32">
        <v>0.76261871612670784</v>
      </c>
      <c r="AD32" s="112" t="s">
        <v>1303</v>
      </c>
    </row>
    <row r="33" spans="1:30" ht="18" customHeight="1">
      <c r="A33" t="s">
        <v>1288</v>
      </c>
      <c r="B33">
        <v>8</v>
      </c>
      <c r="AD33" s="112" t="s">
        <v>1304</v>
      </c>
    </row>
    <row r="34" spans="1:30" ht="18" customHeight="1">
      <c r="A34" t="s">
        <v>1290</v>
      </c>
      <c r="B34">
        <v>2</v>
      </c>
      <c r="AD34" s="112" t="s">
        <v>1305</v>
      </c>
    </row>
    <row r="35" spans="1:30" ht="18" customHeight="1">
      <c r="A35" t="s">
        <v>1292</v>
      </c>
      <c r="B35">
        <v>10</v>
      </c>
      <c r="AD35" s="112"/>
    </row>
    <row r="36" spans="1:30" ht="18" customHeight="1">
      <c r="A36" t="s">
        <v>1293</v>
      </c>
      <c r="B36">
        <v>4965.3999999999996</v>
      </c>
      <c r="AD36" s="153" t="s">
        <v>1306</v>
      </c>
    </row>
    <row r="37" spans="1:30" ht="18" customHeight="1" thickBot="1">
      <c r="A37" s="7" t="s">
        <v>1295</v>
      </c>
      <c r="B37" s="7">
        <v>1004</v>
      </c>
      <c r="AD37" s="153" t="s">
        <v>1307</v>
      </c>
    </row>
    <row r="38" spans="1:30" ht="18" customHeight="1"/>
    <row r="39" spans="1:30" ht="18" customHeight="1"/>
    <row r="40" spans="1:30" s="98" customFormat="1" ht="18" customHeight="1"/>
    <row r="41" spans="1:30" ht="18" customHeight="1"/>
    <row r="42" spans="1:30" ht="18" customHeight="1" thickBot="1"/>
    <row r="43" spans="1:30" ht="18" customHeight="1">
      <c r="A43" s="8" t="s">
        <v>69</v>
      </c>
      <c r="B43" s="8"/>
      <c r="AD43" s="143" t="s">
        <v>1271</v>
      </c>
    </row>
    <row r="44" spans="1:30" ht="18" customHeight="1">
      <c r="AD44" s="112"/>
    </row>
    <row r="45" spans="1:30" ht="18" customHeight="1">
      <c r="A45" t="s">
        <v>1272</v>
      </c>
      <c r="B45">
        <v>3.3625498007968129</v>
      </c>
      <c r="AD45" s="112" t="s">
        <v>1308</v>
      </c>
    </row>
    <row r="46" spans="1:30" ht="18" customHeight="1">
      <c r="A46" t="s">
        <v>1274</v>
      </c>
      <c r="B46">
        <v>3.5847193797177428E-2</v>
      </c>
      <c r="AD46" s="112" t="s">
        <v>1309</v>
      </c>
    </row>
    <row r="47" spans="1:30" ht="18" customHeight="1">
      <c r="A47" t="s">
        <v>1276</v>
      </c>
      <c r="B47">
        <v>3</v>
      </c>
      <c r="AD47" s="112" t="s">
        <v>1310</v>
      </c>
    </row>
    <row r="48" spans="1:30" ht="18" customHeight="1">
      <c r="A48" t="s">
        <v>1278</v>
      </c>
      <c r="B48">
        <v>3</v>
      </c>
      <c r="AD48" s="112" t="s">
        <v>1311</v>
      </c>
    </row>
    <row r="49" spans="1:30" ht="18" customHeight="1">
      <c r="A49" t="s">
        <v>1280</v>
      </c>
      <c r="B49">
        <v>1.1358527141953421</v>
      </c>
      <c r="AD49" s="112" t="s">
        <v>1312</v>
      </c>
    </row>
    <row r="50" spans="1:30" ht="18" customHeight="1">
      <c r="A50" t="s">
        <v>1282</v>
      </c>
      <c r="B50">
        <v>1.2901613883449257</v>
      </c>
      <c r="AD50" s="112" t="s">
        <v>1313</v>
      </c>
    </row>
    <row r="51" spans="1:30" ht="18" customHeight="1">
      <c r="A51" t="s">
        <v>1284</v>
      </c>
      <c r="B51">
        <v>-0.87961458797905134</v>
      </c>
      <c r="AD51" s="112" t="s">
        <v>1314</v>
      </c>
    </row>
    <row r="52" spans="1:30" ht="18" customHeight="1">
      <c r="A52" t="s">
        <v>1286</v>
      </c>
      <c r="B52">
        <v>-8.5416776014248769E-2</v>
      </c>
      <c r="AD52" s="112" t="s">
        <v>1315</v>
      </c>
    </row>
    <row r="53" spans="1:30" ht="18" customHeight="1">
      <c r="A53" t="s">
        <v>1288</v>
      </c>
      <c r="B53">
        <v>4</v>
      </c>
      <c r="AD53" s="112" t="s">
        <v>1316</v>
      </c>
    </row>
    <row r="54" spans="1:30" ht="18" customHeight="1">
      <c r="A54" t="s">
        <v>1290</v>
      </c>
      <c r="B54">
        <v>1</v>
      </c>
      <c r="AD54" s="112" t="s">
        <v>1317</v>
      </c>
    </row>
    <row r="55" spans="1:30" ht="18" customHeight="1">
      <c r="A55" t="s">
        <v>1292</v>
      </c>
      <c r="B55">
        <v>5</v>
      </c>
      <c r="AD55" s="112"/>
    </row>
    <row r="56" spans="1:30" ht="18" customHeight="1">
      <c r="A56" t="s">
        <v>1293</v>
      </c>
      <c r="B56">
        <v>3376</v>
      </c>
      <c r="AD56" s="153" t="s">
        <v>1318</v>
      </c>
    </row>
    <row r="57" spans="1:30" ht="18" customHeight="1" thickBot="1">
      <c r="A57" s="7" t="s">
        <v>1295</v>
      </c>
      <c r="B57" s="7">
        <v>1004</v>
      </c>
    </row>
    <row r="58" spans="1:30" ht="18" customHeight="1"/>
    <row r="59" spans="1:30" ht="18" customHeight="1"/>
    <row r="60" spans="1:30" s="98" customFormat="1" ht="18" customHeight="1"/>
    <row r="61" spans="1:30" ht="18" customHeight="1"/>
    <row r="62" spans="1:30" ht="18" customHeight="1" thickBot="1"/>
    <row r="63" spans="1:30" ht="18" customHeight="1">
      <c r="A63" s="8" t="s">
        <v>122</v>
      </c>
      <c r="B63" s="8"/>
      <c r="AD63" s="143" t="s">
        <v>1271</v>
      </c>
    </row>
    <row r="64" spans="1:30" ht="18" customHeight="1">
      <c r="AD64" s="112"/>
    </row>
    <row r="65" spans="1:30" ht="18" customHeight="1">
      <c r="A65" t="s">
        <v>1272</v>
      </c>
      <c r="B65">
        <v>2.049800796812749</v>
      </c>
      <c r="AD65" s="112" t="s">
        <v>1319</v>
      </c>
    </row>
    <row r="66" spans="1:30" ht="18" customHeight="1">
      <c r="A66" t="s">
        <v>1274</v>
      </c>
      <c r="B66">
        <v>2.4480760101799288E-2</v>
      </c>
      <c r="AD66" s="112" t="s">
        <v>1320</v>
      </c>
    </row>
    <row r="67" spans="1:30" ht="18" customHeight="1">
      <c r="A67" t="s">
        <v>1276</v>
      </c>
      <c r="B67">
        <v>2</v>
      </c>
      <c r="AD67" s="112" t="s">
        <v>1321</v>
      </c>
    </row>
    <row r="68" spans="1:30" ht="18" customHeight="1">
      <c r="A68" t="s">
        <v>1278</v>
      </c>
      <c r="B68">
        <v>2</v>
      </c>
      <c r="AD68" s="112" t="s">
        <v>1322</v>
      </c>
    </row>
    <row r="69" spans="1:30" ht="18" customHeight="1">
      <c r="A69" t="s">
        <v>1280</v>
      </c>
      <c r="B69">
        <v>0.775696361743753</v>
      </c>
      <c r="AD69" s="112" t="s">
        <v>1312</v>
      </c>
    </row>
    <row r="70" spans="1:30" ht="18" customHeight="1">
      <c r="A70" t="s">
        <v>1282</v>
      </c>
      <c r="B70">
        <v>0.60170484562249538</v>
      </c>
      <c r="AD70" s="112" t="s">
        <v>1323</v>
      </c>
    </row>
    <row r="71" spans="1:30" ht="18" customHeight="1">
      <c r="A71" t="s">
        <v>1284</v>
      </c>
      <c r="B71">
        <v>-1.3328419435469498</v>
      </c>
      <c r="AD71" s="112" t="s">
        <v>1324</v>
      </c>
    </row>
    <row r="72" spans="1:30" ht="18" customHeight="1">
      <c r="A72" t="s">
        <v>1286</v>
      </c>
      <c r="B72">
        <v>-8.6235344298509001E-2</v>
      </c>
      <c r="AD72" s="112" t="s">
        <v>1325</v>
      </c>
    </row>
    <row r="73" spans="1:30" ht="18" customHeight="1">
      <c r="A73" t="s">
        <v>1288</v>
      </c>
      <c r="B73">
        <v>2</v>
      </c>
      <c r="AD73" s="112" t="s">
        <v>1326</v>
      </c>
    </row>
    <row r="74" spans="1:30" ht="18" customHeight="1">
      <c r="A74" t="s">
        <v>1290</v>
      </c>
      <c r="B74">
        <v>1</v>
      </c>
      <c r="AD74" s="112" t="s">
        <v>1327</v>
      </c>
    </row>
    <row r="75" spans="1:30" ht="18" customHeight="1">
      <c r="A75" t="s">
        <v>1292</v>
      </c>
      <c r="B75">
        <v>3</v>
      </c>
      <c r="AD75" s="112"/>
    </row>
    <row r="76" spans="1:30" ht="18" customHeight="1">
      <c r="A76" t="s">
        <v>1293</v>
      </c>
      <c r="B76">
        <v>2058</v>
      </c>
      <c r="AD76" s="153" t="s">
        <v>1328</v>
      </c>
    </row>
    <row r="77" spans="1:30" ht="18" customHeight="1" thickBot="1">
      <c r="A77" s="7" t="s">
        <v>1295</v>
      </c>
      <c r="B77" s="7">
        <v>1004</v>
      </c>
    </row>
    <row r="78" spans="1:30" ht="18" customHeight="1"/>
    <row r="79" spans="1:30" ht="18" customHeight="1"/>
    <row r="80" spans="1:30" s="98" customFormat="1" ht="18" customHeight="1"/>
    <row r="81" spans="1:30" ht="18" customHeight="1"/>
    <row r="82" spans="1:30" ht="18" customHeight="1" thickBot="1"/>
    <row r="83" spans="1:30" ht="18" customHeight="1">
      <c r="A83" s="8" t="s">
        <v>126</v>
      </c>
      <c r="B83" s="8"/>
      <c r="AD83" s="143" t="s">
        <v>1271</v>
      </c>
    </row>
    <row r="84" spans="1:30" ht="18" customHeight="1">
      <c r="AD84" s="112"/>
    </row>
    <row r="85" spans="1:30" ht="18" customHeight="1">
      <c r="A85" t="s">
        <v>1272</v>
      </c>
      <c r="B85">
        <v>18.691235059760956</v>
      </c>
      <c r="AD85" s="112" t="s">
        <v>1329</v>
      </c>
    </row>
    <row r="86" spans="1:30" ht="18" customHeight="1">
      <c r="A86" t="s">
        <v>1274</v>
      </c>
      <c r="B86">
        <v>4.826950685616567E-2</v>
      </c>
      <c r="AD86" s="112" t="s">
        <v>1330</v>
      </c>
    </row>
    <row r="87" spans="1:30" ht="18" customHeight="1">
      <c r="A87" t="s">
        <v>1276</v>
      </c>
      <c r="B87">
        <v>19</v>
      </c>
      <c r="AD87" s="112" t="s">
        <v>1331</v>
      </c>
    </row>
    <row r="88" spans="1:30" ht="18" customHeight="1">
      <c r="A88" t="s">
        <v>1278</v>
      </c>
      <c r="B88">
        <v>19</v>
      </c>
      <c r="AD88" s="112" t="s">
        <v>1332</v>
      </c>
    </row>
    <row r="89" spans="1:30" ht="18" customHeight="1">
      <c r="A89" t="s">
        <v>1280</v>
      </c>
      <c r="B89">
        <v>1.5294656169087208</v>
      </c>
      <c r="AD89" s="112" t="s">
        <v>1333</v>
      </c>
    </row>
    <row r="90" spans="1:30" ht="18" customHeight="1">
      <c r="A90" t="s">
        <v>1282</v>
      </c>
      <c r="B90">
        <v>2.3392650733059739</v>
      </c>
      <c r="AD90" s="112" t="s">
        <v>1334</v>
      </c>
    </row>
    <row r="91" spans="1:30" ht="18" customHeight="1">
      <c r="A91" t="s">
        <v>1284</v>
      </c>
      <c r="B91">
        <v>6.7268830364604986</v>
      </c>
      <c r="AD91" s="112" t="s">
        <v>1335</v>
      </c>
    </row>
    <row r="92" spans="1:30" ht="18" customHeight="1">
      <c r="A92" t="s">
        <v>1286</v>
      </c>
      <c r="B92">
        <v>-2.3831661724087589</v>
      </c>
      <c r="AD92" s="112" t="s">
        <v>1336</v>
      </c>
    </row>
    <row r="93" spans="1:30" ht="18" customHeight="1">
      <c r="A93" t="s">
        <v>1288</v>
      </c>
      <c r="B93">
        <v>9</v>
      </c>
      <c r="AD93" s="112" t="s">
        <v>1337</v>
      </c>
    </row>
    <row r="94" spans="1:30" ht="18" customHeight="1">
      <c r="A94" t="s">
        <v>1290</v>
      </c>
      <c r="B94">
        <v>12</v>
      </c>
      <c r="AD94" s="112" t="s">
        <v>1338</v>
      </c>
    </row>
    <row r="95" spans="1:30" ht="18" customHeight="1">
      <c r="A95" t="s">
        <v>1292</v>
      </c>
      <c r="B95">
        <v>21</v>
      </c>
      <c r="AD95" s="112"/>
    </row>
    <row r="96" spans="1:30" ht="18" customHeight="1">
      <c r="A96" t="s">
        <v>1293</v>
      </c>
      <c r="B96">
        <v>18766</v>
      </c>
      <c r="AD96" s="153" t="s">
        <v>1339</v>
      </c>
    </row>
    <row r="97" spans="1:2" ht="18" customHeight="1" thickBot="1">
      <c r="A97" s="7" t="s">
        <v>1295</v>
      </c>
      <c r="B97" s="7">
        <v>1004</v>
      </c>
    </row>
    <row r="98" spans="1:2" ht="18" customHeight="1"/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ED90-224A-4465-BC30-2CD083C566BF}">
  <dimension ref="A1:T484"/>
  <sheetViews>
    <sheetView showGridLines="0" zoomScale="75" zoomScaleNormal="70" workbookViewId="0">
      <selection activeCell="K85" sqref="K85"/>
    </sheetView>
  </sheetViews>
  <sheetFormatPr baseColWidth="10" defaultColWidth="8.83203125" defaultRowHeight="15"/>
  <cols>
    <col min="1" max="1" width="15.5" bestFit="1" customWidth="1"/>
    <col min="2" max="2" width="18" bestFit="1" customWidth="1"/>
    <col min="3" max="3" width="24.6640625" customWidth="1"/>
    <col min="4" max="4" width="14.6640625" bestFit="1" customWidth="1"/>
    <col min="5" max="5" width="5.6640625" customWidth="1"/>
    <col min="6" max="6" width="5.6640625" bestFit="1" customWidth="1"/>
    <col min="7" max="7" width="10.1640625" bestFit="1" customWidth="1"/>
    <col min="8" max="16" width="16.1640625" bestFit="1" customWidth="1"/>
    <col min="17" max="17" width="11.33203125" bestFit="1" customWidth="1"/>
    <col min="18" max="19" width="4.6640625" bestFit="1" customWidth="1"/>
    <col min="20" max="20" width="7.83203125" bestFit="1" customWidth="1"/>
    <col min="21" max="27" width="4.6640625" bestFit="1" customWidth="1"/>
    <col min="28" max="28" width="7.83203125" bestFit="1" customWidth="1"/>
    <col min="29" max="35" width="4.6640625" bestFit="1" customWidth="1"/>
    <col min="36" max="36" width="7.83203125" bestFit="1" customWidth="1"/>
    <col min="37" max="38" width="4.6640625" bestFit="1" customWidth="1"/>
    <col min="39" max="39" width="7.83203125" bestFit="1" customWidth="1"/>
    <col min="40" max="40" width="8.6640625" bestFit="1" customWidth="1"/>
    <col min="41" max="41" width="11.83203125" bestFit="1" customWidth="1"/>
    <col min="42" max="42" width="11.33203125" bestFit="1" customWidth="1"/>
  </cols>
  <sheetData>
    <row r="1" spans="1:11" s="52" customFormat="1" ht="33.75" customHeight="1">
      <c r="A1" s="99" t="s">
        <v>1340</v>
      </c>
      <c r="B1" s="183" t="s">
        <v>1341</v>
      </c>
      <c r="C1" s="183"/>
      <c r="D1" s="183"/>
      <c r="E1" s="183"/>
      <c r="F1" s="183"/>
      <c r="G1" s="183"/>
      <c r="H1" s="183"/>
      <c r="I1" s="183"/>
      <c r="J1" s="51"/>
      <c r="K1" s="51"/>
    </row>
    <row r="3" spans="1:11" ht="62" customHeight="1">
      <c r="A3" s="129" t="s">
        <v>101</v>
      </c>
      <c r="B3" s="119" t="s">
        <v>1342</v>
      </c>
    </row>
    <row r="4" spans="1:11" ht="19">
      <c r="A4" s="115" t="s">
        <v>146</v>
      </c>
      <c r="B4" s="126">
        <v>28.636363636363637</v>
      </c>
    </row>
    <row r="5" spans="1:11" ht="19">
      <c r="A5" s="115" t="s">
        <v>155</v>
      </c>
      <c r="B5" s="126">
        <v>28.313953488372093</v>
      </c>
    </row>
    <row r="6" spans="1:11" ht="19">
      <c r="A6" s="115" t="s">
        <v>163</v>
      </c>
      <c r="B6" s="126">
        <v>28.085106382978722</v>
      </c>
    </row>
    <row r="7" spans="1:11" ht="19">
      <c r="A7" s="115" t="s">
        <v>170</v>
      </c>
      <c r="B7" s="126">
        <v>28.406593406593405</v>
      </c>
    </row>
    <row r="8" spans="1:11" ht="19">
      <c r="A8" s="115" t="s">
        <v>175</v>
      </c>
      <c r="B8" s="126">
        <v>30.882352941176471</v>
      </c>
    </row>
    <row r="9" spans="1:11" ht="19">
      <c r="A9" s="115" t="s">
        <v>367</v>
      </c>
      <c r="B9" s="126">
        <v>31.208791208791208</v>
      </c>
    </row>
    <row r="10" spans="1:11" ht="19">
      <c r="A10" s="115" t="s">
        <v>379</v>
      </c>
      <c r="B10" s="126">
        <v>26.530612244897959</v>
      </c>
    </row>
    <row r="11" spans="1:11" ht="19">
      <c r="A11" s="115" t="s">
        <v>304</v>
      </c>
      <c r="B11" s="126">
        <v>30.042735042735043</v>
      </c>
    </row>
    <row r="12" spans="1:11" ht="19">
      <c r="A12" s="115" t="s">
        <v>442</v>
      </c>
      <c r="B12" s="126">
        <v>29.142857142857142</v>
      </c>
    </row>
    <row r="13" spans="1:11" ht="19">
      <c r="A13" s="115" t="s">
        <v>488</v>
      </c>
      <c r="B13" s="126">
        <v>29.666666666666668</v>
      </c>
    </row>
    <row r="14" spans="1:11" ht="19">
      <c r="A14" s="115" t="s">
        <v>570</v>
      </c>
      <c r="B14" s="126">
        <v>31.333333333333332</v>
      </c>
    </row>
    <row r="15" spans="1:11" ht="19">
      <c r="A15" s="115" t="s">
        <v>603</v>
      </c>
      <c r="B15" s="126">
        <v>31.375</v>
      </c>
    </row>
    <row r="19" spans="1:12" ht="22">
      <c r="A19" s="55" t="s">
        <v>1343</v>
      </c>
      <c r="B19" s="101" t="s">
        <v>1344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6"/>
    </row>
    <row r="20" spans="1:12" ht="22">
      <c r="A20" s="13"/>
      <c r="B20" s="102" t="s">
        <v>1345</v>
      </c>
      <c r="C20" s="103"/>
      <c r="D20" s="103"/>
      <c r="E20" s="103"/>
      <c r="F20" s="103"/>
      <c r="G20" s="103"/>
      <c r="H20" s="103"/>
      <c r="I20" s="103"/>
      <c r="J20" s="103"/>
      <c r="K20" s="105"/>
      <c r="L20" s="106"/>
    </row>
    <row r="21" spans="1:12" ht="22">
      <c r="A21" s="13"/>
      <c r="B21" s="102" t="s">
        <v>1346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6"/>
    </row>
    <row r="22" spans="1:12" ht="22">
      <c r="A22" s="13"/>
      <c r="B22" s="102" t="s">
        <v>1347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6"/>
    </row>
    <row r="23" spans="1:12" ht="22">
      <c r="A23" s="13"/>
      <c r="B23" s="101" t="s">
        <v>1348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6"/>
    </row>
    <row r="24" spans="1:12" ht="22">
      <c r="A24" s="59" t="s">
        <v>1349</v>
      </c>
      <c r="B24" s="102" t="s">
        <v>1350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</row>
    <row r="25" spans="1:12" ht="22">
      <c r="A25" s="13"/>
      <c r="B25" s="102" t="s">
        <v>1351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</row>
    <row r="26" spans="1:12" ht="22">
      <c r="A26" s="13"/>
      <c r="B26" s="102" t="s">
        <v>1352</v>
      </c>
      <c r="C26" s="104"/>
      <c r="D26" s="104"/>
      <c r="E26" s="104"/>
      <c r="F26" s="104"/>
      <c r="G26" s="104"/>
      <c r="H26" s="104"/>
      <c r="I26" s="104"/>
      <c r="J26" s="104"/>
      <c r="K26" s="104"/>
      <c r="L26" s="104"/>
    </row>
    <row r="27" spans="1:12" ht="22">
      <c r="A27" s="54"/>
      <c r="B27" s="102" t="s">
        <v>1353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</row>
    <row r="28" spans="1:12" ht="22">
      <c r="A28" s="13"/>
      <c r="B28" s="102" t="s">
        <v>1354</v>
      </c>
      <c r="C28" s="104"/>
      <c r="D28" s="104"/>
      <c r="E28" s="104"/>
      <c r="F28" s="104"/>
      <c r="G28" s="104"/>
      <c r="H28" s="104"/>
      <c r="I28" s="104"/>
      <c r="J28" s="104"/>
      <c r="K28" s="104"/>
      <c r="L28" s="104"/>
    </row>
    <row r="29" spans="1:12" ht="22">
      <c r="A29" s="54"/>
      <c r="B29" s="102" t="s">
        <v>1355</v>
      </c>
      <c r="C29" s="104"/>
      <c r="D29" s="104"/>
      <c r="E29" s="104"/>
      <c r="F29" s="104"/>
      <c r="G29" s="104"/>
      <c r="H29" s="104"/>
      <c r="I29" s="104"/>
      <c r="J29" s="104"/>
      <c r="K29" s="104"/>
      <c r="L29" s="104"/>
    </row>
    <row r="31" spans="1:12" s="54" customFormat="1" ht="11" customHeight="1">
      <c r="B31" s="95"/>
      <c r="C31" s="96"/>
      <c r="D31" s="96"/>
      <c r="E31" s="96"/>
      <c r="F31" s="96"/>
      <c r="G31" s="96"/>
      <c r="H31" s="96"/>
      <c r="I31" s="96"/>
      <c r="J31" s="96"/>
      <c r="K31" s="96"/>
    </row>
    <row r="32" spans="1:12" s="52" customFormat="1" ht="33.75" customHeight="1">
      <c r="A32" s="99" t="s">
        <v>1340</v>
      </c>
      <c r="B32" s="183" t="s">
        <v>1616</v>
      </c>
      <c r="C32" s="183"/>
      <c r="D32" s="183"/>
      <c r="E32" s="183"/>
      <c r="F32" s="183"/>
      <c r="G32" s="183"/>
      <c r="H32" s="183"/>
      <c r="I32" s="183"/>
      <c r="J32" s="51"/>
      <c r="K32" s="51"/>
    </row>
    <row r="35" spans="1:2" ht="19">
      <c r="A35" s="111" t="s">
        <v>115</v>
      </c>
      <c r="B35" s="112" t="s">
        <v>1356</v>
      </c>
    </row>
    <row r="36" spans="1:2" ht="19">
      <c r="A36" s="112"/>
      <c r="B36" s="112"/>
    </row>
    <row r="37" spans="1:2" ht="19">
      <c r="A37" s="111" t="s">
        <v>101</v>
      </c>
      <c r="B37" s="114" t="s">
        <v>1618</v>
      </c>
    </row>
    <row r="38" spans="1:2" ht="19">
      <c r="A38" s="115" t="s">
        <v>146</v>
      </c>
      <c r="B38" s="186">
        <v>15</v>
      </c>
    </row>
    <row r="39" spans="1:2" ht="19">
      <c r="A39" s="115" t="s">
        <v>155</v>
      </c>
      <c r="B39" s="186">
        <v>14</v>
      </c>
    </row>
    <row r="40" spans="1:2" ht="19">
      <c r="A40" s="115" t="s">
        <v>163</v>
      </c>
      <c r="B40" s="186">
        <v>16</v>
      </c>
    </row>
    <row r="41" spans="1:2" ht="19">
      <c r="A41" s="115" t="s">
        <v>170</v>
      </c>
      <c r="B41" s="186">
        <v>15</v>
      </c>
    </row>
    <row r="42" spans="1:2" ht="19">
      <c r="A42" s="115" t="s">
        <v>175</v>
      </c>
      <c r="B42" s="186">
        <v>17</v>
      </c>
    </row>
    <row r="43" spans="1:2" ht="19">
      <c r="A43" s="115" t="s">
        <v>367</v>
      </c>
      <c r="B43" s="186">
        <v>26</v>
      </c>
    </row>
    <row r="44" spans="1:2" ht="19">
      <c r="A44" s="115" t="s">
        <v>379</v>
      </c>
      <c r="B44" s="186">
        <v>6</v>
      </c>
    </row>
    <row r="45" spans="1:2" ht="19">
      <c r="A45" s="115" t="s">
        <v>304</v>
      </c>
      <c r="B45" s="186">
        <v>31</v>
      </c>
    </row>
    <row r="46" spans="1:2" ht="19">
      <c r="A46" s="115" t="s">
        <v>442</v>
      </c>
      <c r="B46" s="186">
        <v>22</v>
      </c>
    </row>
    <row r="47" spans="1:2" ht="19">
      <c r="A47" s="115" t="s">
        <v>488</v>
      </c>
      <c r="B47" s="186">
        <v>14</v>
      </c>
    </row>
    <row r="48" spans="1:2" ht="19">
      <c r="A48" s="115" t="s">
        <v>570</v>
      </c>
      <c r="B48" s="186">
        <v>14</v>
      </c>
    </row>
    <row r="49" spans="1:12" ht="19">
      <c r="A49" s="115" t="s">
        <v>603</v>
      </c>
      <c r="B49" s="186">
        <v>20</v>
      </c>
    </row>
    <row r="50" spans="1:12" ht="19">
      <c r="A50" s="115" t="s">
        <v>1357</v>
      </c>
      <c r="B50" s="186">
        <v>210</v>
      </c>
    </row>
    <row r="51" spans="1:12">
      <c r="A51" s="10"/>
    </row>
    <row r="52" spans="1:12" ht="22">
      <c r="A52" s="55" t="s">
        <v>1343</v>
      </c>
      <c r="B52" s="102" t="s">
        <v>1358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6"/>
    </row>
    <row r="53" spans="1:12" ht="22">
      <c r="A53" s="13"/>
      <c r="B53" s="102" t="s">
        <v>1359</v>
      </c>
      <c r="C53" s="103"/>
      <c r="D53" s="103"/>
      <c r="E53" s="103"/>
      <c r="F53" s="103"/>
      <c r="G53" s="103"/>
      <c r="H53" s="103"/>
      <c r="I53" s="103"/>
      <c r="J53" s="103"/>
      <c r="K53" s="105"/>
      <c r="L53" s="106"/>
    </row>
    <row r="54" spans="1:12" ht="22">
      <c r="A54" s="13"/>
      <c r="B54" s="102" t="s">
        <v>1360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6"/>
    </row>
    <row r="55" spans="1:12" ht="22">
      <c r="A55" s="13"/>
      <c r="B55" s="102" t="s">
        <v>1361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6"/>
    </row>
    <row r="56" spans="1:12" ht="22">
      <c r="A56" s="13"/>
      <c r="B56" s="102" t="s">
        <v>1362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6"/>
    </row>
    <row r="57" spans="1:12" ht="22">
      <c r="A57" s="59" t="s">
        <v>1349</v>
      </c>
      <c r="B57" s="102" t="s">
        <v>1363</v>
      </c>
      <c r="C57" s="104"/>
      <c r="D57" s="104"/>
      <c r="E57" s="104"/>
      <c r="F57" s="104"/>
      <c r="G57" s="104"/>
      <c r="H57" s="104"/>
      <c r="I57" s="104"/>
      <c r="J57" s="104"/>
      <c r="K57" s="104"/>
      <c r="L57" s="104"/>
    </row>
    <row r="58" spans="1:12" ht="22">
      <c r="A58" s="13"/>
      <c r="B58" s="102" t="s">
        <v>1364</v>
      </c>
      <c r="C58" s="104"/>
      <c r="D58" s="104"/>
      <c r="E58" s="104"/>
      <c r="F58" s="104"/>
      <c r="G58" s="104"/>
      <c r="H58" s="104"/>
      <c r="I58" s="104"/>
      <c r="J58" s="104"/>
      <c r="K58" s="104"/>
      <c r="L58" s="104"/>
    </row>
    <row r="59" spans="1:12" ht="22">
      <c r="A59" s="13"/>
      <c r="B59" s="102" t="s">
        <v>1365</v>
      </c>
      <c r="C59" s="104"/>
      <c r="D59" s="104"/>
      <c r="E59" s="104"/>
      <c r="F59" s="104"/>
      <c r="G59" s="104"/>
      <c r="H59" s="104"/>
      <c r="I59" s="104"/>
      <c r="J59" s="104"/>
      <c r="K59" s="104"/>
      <c r="L59" s="104"/>
    </row>
    <row r="60" spans="1:12" ht="22">
      <c r="A60" s="13"/>
      <c r="B60" s="102" t="s">
        <v>1366</v>
      </c>
      <c r="C60" s="104"/>
      <c r="D60" s="104"/>
      <c r="E60" s="104"/>
      <c r="F60" s="104"/>
      <c r="G60" s="104"/>
      <c r="H60" s="104"/>
      <c r="I60" s="104"/>
      <c r="J60" s="104"/>
      <c r="K60" s="104"/>
      <c r="L60" s="104"/>
    </row>
    <row r="61" spans="1:12" ht="22">
      <c r="A61" s="13"/>
      <c r="B61" s="102" t="s">
        <v>1367</v>
      </c>
      <c r="C61" s="104"/>
      <c r="D61" s="104"/>
      <c r="E61" s="104"/>
      <c r="F61" s="104"/>
      <c r="G61" s="104"/>
      <c r="H61" s="104"/>
      <c r="I61" s="104"/>
      <c r="J61" s="104"/>
      <c r="K61" s="104"/>
      <c r="L61" s="104"/>
    </row>
    <row r="62" spans="1:12" ht="22">
      <c r="A62" s="13"/>
      <c r="B62" s="102" t="s">
        <v>1368</v>
      </c>
      <c r="C62" s="104"/>
      <c r="D62" s="104"/>
      <c r="E62" s="104"/>
      <c r="F62" s="104"/>
      <c r="G62" s="104"/>
      <c r="H62" s="104"/>
      <c r="I62" s="104"/>
      <c r="J62" s="104"/>
      <c r="K62" s="104"/>
      <c r="L62" s="104"/>
    </row>
    <row r="63" spans="1:12" ht="22">
      <c r="A63" s="13"/>
      <c r="B63" s="102" t="s">
        <v>1369</v>
      </c>
      <c r="C63" s="104"/>
      <c r="D63" s="104"/>
      <c r="E63" s="104"/>
      <c r="F63" s="104"/>
      <c r="G63" s="104"/>
      <c r="H63" s="104"/>
      <c r="I63" s="104"/>
      <c r="J63" s="104"/>
      <c r="K63" s="104"/>
      <c r="L63" s="104"/>
    </row>
    <row r="64" spans="1:12" ht="22">
      <c r="A64" s="13"/>
      <c r="B64" s="102" t="s">
        <v>1370</v>
      </c>
      <c r="C64" s="104"/>
      <c r="D64" s="104"/>
      <c r="E64" s="104"/>
      <c r="F64" s="104"/>
      <c r="G64" s="104"/>
      <c r="H64" s="104"/>
      <c r="I64" s="104"/>
      <c r="J64" s="104"/>
      <c r="K64" s="104"/>
      <c r="L64" s="104"/>
    </row>
    <row r="65" spans="1:12" ht="22">
      <c r="A65" s="13"/>
      <c r="B65" s="102" t="s">
        <v>1371</v>
      </c>
      <c r="C65" s="104"/>
      <c r="D65" s="104"/>
      <c r="E65" s="104"/>
      <c r="F65" s="104"/>
      <c r="G65" s="104"/>
      <c r="H65" s="104"/>
      <c r="I65" s="104"/>
      <c r="J65" s="104"/>
      <c r="K65" s="104"/>
      <c r="L65" s="104"/>
    </row>
    <row r="66" spans="1:12" ht="22">
      <c r="A66" s="13"/>
      <c r="B66" s="102" t="s">
        <v>1372</v>
      </c>
      <c r="C66" s="104"/>
      <c r="D66" s="104"/>
      <c r="E66" s="104"/>
      <c r="F66" s="104"/>
      <c r="G66" s="104"/>
      <c r="H66" s="104"/>
      <c r="I66" s="104"/>
      <c r="J66" s="104"/>
      <c r="K66" s="104"/>
      <c r="L66" s="104"/>
    </row>
    <row r="67" spans="1:12" ht="22">
      <c r="A67" s="13"/>
      <c r="B67" s="102" t="s">
        <v>1373</v>
      </c>
      <c r="C67" s="104"/>
      <c r="D67" s="104"/>
      <c r="E67" s="104"/>
      <c r="F67" s="104"/>
      <c r="G67" s="104"/>
      <c r="H67" s="104"/>
      <c r="I67" s="104"/>
      <c r="J67" s="104"/>
      <c r="K67" s="104"/>
      <c r="L67" s="104"/>
    </row>
    <row r="68" spans="1:12" ht="22">
      <c r="B68" s="108"/>
      <c r="C68" s="109"/>
      <c r="D68" s="109"/>
      <c r="E68" s="109"/>
      <c r="F68" s="109"/>
      <c r="G68" s="109"/>
      <c r="H68" s="109"/>
      <c r="I68" s="109"/>
      <c r="J68" s="109"/>
      <c r="K68" s="109"/>
      <c r="L68" s="109"/>
    </row>
    <row r="70" spans="1:12" s="52" customFormat="1" ht="33.75" customHeight="1">
      <c r="A70" s="99" t="s">
        <v>1340</v>
      </c>
      <c r="B70" s="183" t="s">
        <v>1374</v>
      </c>
      <c r="C70" s="183"/>
      <c r="D70" s="183"/>
      <c r="E70" s="183"/>
      <c r="F70" s="183"/>
      <c r="G70" s="183"/>
      <c r="H70" s="183"/>
      <c r="I70" s="183"/>
      <c r="J70" s="51"/>
      <c r="K70" s="51"/>
    </row>
    <row r="73" spans="1:12" ht="19">
      <c r="A73" s="111" t="s">
        <v>101</v>
      </c>
      <c r="B73" s="114" t="s">
        <v>1618</v>
      </c>
      <c r="C73" s="114" t="s">
        <v>1617</v>
      </c>
    </row>
    <row r="74" spans="1:12" ht="19">
      <c r="A74" s="115" t="s">
        <v>146</v>
      </c>
      <c r="B74" s="112">
        <v>88</v>
      </c>
      <c r="C74" s="112">
        <v>15</v>
      </c>
    </row>
    <row r="75" spans="1:12" ht="19">
      <c r="A75" s="115" t="s">
        <v>155</v>
      </c>
      <c r="B75" s="112">
        <v>86</v>
      </c>
      <c r="C75" s="112">
        <v>14</v>
      </c>
    </row>
    <row r="76" spans="1:12" ht="19">
      <c r="A76" s="115" t="s">
        <v>163</v>
      </c>
      <c r="B76" s="112">
        <v>94</v>
      </c>
      <c r="C76" s="112">
        <v>16</v>
      </c>
    </row>
    <row r="77" spans="1:12" ht="19">
      <c r="A77" s="115" t="s">
        <v>170</v>
      </c>
      <c r="B77" s="112">
        <v>91</v>
      </c>
      <c r="C77" s="112">
        <v>15</v>
      </c>
    </row>
    <row r="78" spans="1:12" ht="19">
      <c r="A78" s="115" t="s">
        <v>175</v>
      </c>
      <c r="B78" s="112">
        <v>68</v>
      </c>
      <c r="C78" s="112">
        <v>17</v>
      </c>
    </row>
    <row r="79" spans="1:12" ht="19">
      <c r="A79" s="115" t="s">
        <v>367</v>
      </c>
      <c r="B79" s="112">
        <v>91</v>
      </c>
      <c r="C79" s="112">
        <v>26</v>
      </c>
    </row>
    <row r="80" spans="1:12" ht="19">
      <c r="A80" s="115" t="s">
        <v>379</v>
      </c>
      <c r="B80" s="112">
        <v>49</v>
      </c>
      <c r="C80" s="112">
        <v>6</v>
      </c>
    </row>
    <row r="81" spans="1:3" ht="19">
      <c r="A81" s="115" t="s">
        <v>304</v>
      </c>
      <c r="B81" s="112">
        <v>117</v>
      </c>
      <c r="C81" s="112">
        <v>31</v>
      </c>
    </row>
    <row r="82" spans="1:3" ht="19">
      <c r="A82" s="115" t="s">
        <v>442</v>
      </c>
      <c r="B82" s="112">
        <v>105</v>
      </c>
      <c r="C82" s="112">
        <v>22</v>
      </c>
    </row>
    <row r="83" spans="1:3" ht="19">
      <c r="A83" s="115" t="s">
        <v>488</v>
      </c>
      <c r="B83" s="112">
        <v>75</v>
      </c>
      <c r="C83" s="112">
        <v>14</v>
      </c>
    </row>
    <row r="84" spans="1:3" ht="19">
      <c r="A84" s="115" t="s">
        <v>570</v>
      </c>
      <c r="B84" s="112">
        <v>60</v>
      </c>
      <c r="C84" s="112">
        <v>14</v>
      </c>
    </row>
    <row r="85" spans="1:3" ht="19">
      <c r="A85" s="115" t="s">
        <v>603</v>
      </c>
      <c r="B85" s="112">
        <v>80</v>
      </c>
      <c r="C85" s="112">
        <v>20</v>
      </c>
    </row>
    <row r="86" spans="1:3" ht="19">
      <c r="A86" s="115" t="s">
        <v>1357</v>
      </c>
      <c r="B86" s="112">
        <v>1004</v>
      </c>
      <c r="C86" s="112">
        <v>210</v>
      </c>
    </row>
    <row r="87" spans="1:3">
      <c r="A87" s="10"/>
    </row>
    <row r="88" spans="1:3">
      <c r="A88" s="10"/>
    </row>
    <row r="89" spans="1:3">
      <c r="A89" s="10"/>
    </row>
    <row r="90" spans="1:3">
      <c r="A90" s="10"/>
    </row>
    <row r="91" spans="1:3">
      <c r="A91" s="10"/>
    </row>
    <row r="92" spans="1:3">
      <c r="A92" s="10"/>
    </row>
    <row r="93" spans="1:3">
      <c r="A93" s="10"/>
    </row>
    <row r="94" spans="1:3">
      <c r="A94" s="10"/>
    </row>
    <row r="95" spans="1:3">
      <c r="A95" s="10"/>
    </row>
    <row r="96" spans="1:3">
      <c r="A96" s="10"/>
    </row>
    <row r="97" spans="1:12">
      <c r="A97" s="10"/>
    </row>
    <row r="98" spans="1:12">
      <c r="A98" s="10"/>
    </row>
    <row r="99" spans="1:12">
      <c r="A99" s="10"/>
    </row>
    <row r="100" spans="1:12">
      <c r="A100" s="10"/>
    </row>
    <row r="101" spans="1:12">
      <c r="A101" s="10"/>
    </row>
    <row r="102" spans="1:12">
      <c r="A102" s="10"/>
    </row>
    <row r="103" spans="1:12">
      <c r="A103" s="10"/>
    </row>
    <row r="104" spans="1:12">
      <c r="A104" s="10"/>
    </row>
    <row r="105" spans="1:12">
      <c r="A105" s="10"/>
    </row>
    <row r="106" spans="1:12">
      <c r="A106" s="10"/>
    </row>
    <row r="107" spans="1:12">
      <c r="A107" s="10"/>
    </row>
    <row r="108" spans="1:12">
      <c r="A108" s="10"/>
    </row>
    <row r="109" spans="1:12">
      <c r="A109" s="10"/>
    </row>
    <row r="110" spans="1:12">
      <c r="A110" s="10"/>
    </row>
    <row r="111" spans="1:12" ht="22">
      <c r="A111" s="55" t="s">
        <v>1343</v>
      </c>
      <c r="B111" s="107" t="s">
        <v>1375</v>
      </c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</row>
    <row r="112" spans="1:12" ht="22">
      <c r="A112" s="13"/>
      <c r="B112" s="107" t="s">
        <v>1376</v>
      </c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</row>
    <row r="113" spans="1:12" ht="22">
      <c r="A113" s="13"/>
      <c r="B113" s="107" t="s">
        <v>1377</v>
      </c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</row>
    <row r="114" spans="1:12" ht="22">
      <c r="A114" s="13"/>
      <c r="B114" s="107" t="s">
        <v>1378</v>
      </c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</row>
    <row r="115" spans="1:12" ht="22">
      <c r="A115" s="13"/>
      <c r="B115" s="107" t="s">
        <v>1379</v>
      </c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</row>
    <row r="116" spans="1:12" ht="22">
      <c r="A116" s="13"/>
      <c r="B116" s="107" t="s">
        <v>1380</v>
      </c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</row>
    <row r="117" spans="1:12" ht="22">
      <c r="B117" s="107" t="s">
        <v>1381</v>
      </c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</row>
    <row r="118" spans="1:12" ht="22">
      <c r="B118" s="107" t="s">
        <v>1382</v>
      </c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</row>
    <row r="119" spans="1:12" ht="22">
      <c r="B119" s="107" t="s">
        <v>1383</v>
      </c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</row>
    <row r="120" spans="1:12" ht="22">
      <c r="B120" s="107" t="s">
        <v>1384</v>
      </c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</row>
    <row r="121" spans="1:12" ht="22">
      <c r="B121" s="107" t="s">
        <v>1385</v>
      </c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</row>
    <row r="122" spans="1:12" ht="22">
      <c r="A122" s="59" t="s">
        <v>1349</v>
      </c>
      <c r="B122" s="107" t="s">
        <v>1386</v>
      </c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</row>
    <row r="123" spans="1:12" ht="22">
      <c r="A123" s="13"/>
      <c r="B123" s="107" t="s">
        <v>1387</v>
      </c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</row>
    <row r="124" spans="1:12" ht="22">
      <c r="A124" s="13"/>
      <c r="B124" s="107" t="s">
        <v>1388</v>
      </c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</row>
    <row r="125" spans="1:12" ht="22">
      <c r="A125" s="54"/>
      <c r="B125" s="107" t="s">
        <v>1389</v>
      </c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</row>
    <row r="126" spans="1:12" ht="22">
      <c r="A126" s="13"/>
      <c r="B126" s="107" t="s">
        <v>1390</v>
      </c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</row>
    <row r="127" spans="1:12" ht="22">
      <c r="A127" s="54"/>
      <c r="B127" s="107" t="s">
        <v>1391</v>
      </c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</row>
    <row r="128" spans="1:12" ht="22">
      <c r="B128" s="107" t="s">
        <v>1392</v>
      </c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</row>
    <row r="129" spans="1:12" ht="22">
      <c r="A129" s="10"/>
      <c r="B129" s="107" t="s">
        <v>1393</v>
      </c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</row>
    <row r="130" spans="1:12" ht="22">
      <c r="A130" s="10"/>
      <c r="B130" s="107" t="s">
        <v>1394</v>
      </c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</row>
    <row r="131" spans="1:12" ht="22">
      <c r="A131" s="10"/>
      <c r="B131" s="107" t="s">
        <v>1395</v>
      </c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</row>
    <row r="132" spans="1:12" ht="22">
      <c r="A132" s="10"/>
      <c r="B132" s="107" t="s">
        <v>1396</v>
      </c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</row>
    <row r="133" spans="1:12" ht="22">
      <c r="A133" s="10"/>
      <c r="B133" s="107" t="s">
        <v>1397</v>
      </c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</row>
    <row r="134" spans="1:12" ht="22">
      <c r="A134" s="10"/>
      <c r="B134" s="107" t="s">
        <v>1398</v>
      </c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</row>
    <row r="137" spans="1:12" s="52" customFormat="1" ht="33" customHeight="1">
      <c r="A137" s="99" t="s">
        <v>1340</v>
      </c>
      <c r="B137" s="100" t="s">
        <v>1399</v>
      </c>
      <c r="C137" s="100"/>
      <c r="D137" s="100"/>
      <c r="E137" s="100"/>
      <c r="F137" s="100"/>
      <c r="G137" s="100"/>
      <c r="H137" s="100"/>
      <c r="I137" s="100"/>
      <c r="J137" s="51"/>
      <c r="K137" s="51"/>
    </row>
    <row r="138" spans="1:12" s="54" customFormat="1" ht="23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13"/>
      <c r="K138" s="13"/>
    </row>
    <row r="139" spans="1:12" s="54" customFormat="1" ht="19">
      <c r="A139" s="89" t="s">
        <v>37</v>
      </c>
      <c r="B139" s="90" t="s">
        <v>1400</v>
      </c>
    </row>
    <row r="140" spans="1:12" s="54" customFormat="1" ht="19">
      <c r="A140" s="89" t="s">
        <v>74</v>
      </c>
      <c r="B140" s="90" t="s">
        <v>1400</v>
      </c>
    </row>
    <row r="141" spans="1:12" s="54" customFormat="1" ht="19">
      <c r="A141" s="89" t="s">
        <v>78</v>
      </c>
      <c r="B141" s="90" t="s">
        <v>1400</v>
      </c>
    </row>
    <row r="142" spans="1:12" s="54" customFormat="1" ht="19">
      <c r="A142" s="81"/>
      <c r="B142" s="81"/>
    </row>
    <row r="143" spans="1:12" s="97" customFormat="1" ht="47" customHeight="1">
      <c r="A143" s="130" t="s">
        <v>32</v>
      </c>
      <c r="B143" s="128" t="s">
        <v>126</v>
      </c>
      <c r="C143" s="94" t="s">
        <v>1342</v>
      </c>
    </row>
    <row r="144" spans="1:12" s="54" customFormat="1" ht="19">
      <c r="A144" s="90" t="s">
        <v>142</v>
      </c>
      <c r="B144" s="90"/>
      <c r="C144" s="90"/>
    </row>
    <row r="145" spans="1:3" s="54" customFormat="1" ht="19">
      <c r="A145" s="90"/>
      <c r="B145" s="91">
        <v>17</v>
      </c>
      <c r="C145" s="92">
        <v>20</v>
      </c>
    </row>
    <row r="146" spans="1:3" s="54" customFormat="1" ht="19">
      <c r="A146" s="90"/>
      <c r="B146" s="91">
        <v>18</v>
      </c>
      <c r="C146" s="92">
        <v>23.243243243243242</v>
      </c>
    </row>
    <row r="147" spans="1:3" s="54" customFormat="1" ht="19">
      <c r="A147" s="90"/>
      <c r="B147" s="91">
        <v>19</v>
      </c>
      <c r="C147" s="92">
        <v>33.736263736263737</v>
      </c>
    </row>
    <row r="148" spans="1:3" s="54" customFormat="1" ht="19">
      <c r="A148" s="90"/>
      <c r="B148" s="91">
        <v>20</v>
      </c>
      <c r="C148" s="92">
        <v>35</v>
      </c>
    </row>
    <row r="149" spans="1:3" s="54" customFormat="1" ht="19">
      <c r="A149" s="90"/>
      <c r="B149" s="91">
        <v>21</v>
      </c>
      <c r="C149" s="92">
        <v>32.5</v>
      </c>
    </row>
    <row r="150" spans="1:3" s="54" customFormat="1" ht="19">
      <c r="A150" s="90" t="s">
        <v>157</v>
      </c>
      <c r="B150" s="90"/>
      <c r="C150" s="92"/>
    </row>
    <row r="151" spans="1:3" s="54" customFormat="1" ht="19">
      <c r="A151" s="90"/>
      <c r="B151" s="91">
        <v>12</v>
      </c>
      <c r="C151" s="92">
        <v>20</v>
      </c>
    </row>
    <row r="152" spans="1:3" s="54" customFormat="1" ht="19">
      <c r="A152" s="90"/>
      <c r="B152" s="91">
        <v>17</v>
      </c>
      <c r="C152" s="92">
        <v>20</v>
      </c>
    </row>
    <row r="153" spans="1:3" s="54" customFormat="1" ht="19">
      <c r="A153" s="90"/>
      <c r="B153" s="91">
        <v>18</v>
      </c>
      <c r="C153" s="92">
        <v>23.169014084507044</v>
      </c>
    </row>
    <row r="154" spans="1:3" s="54" customFormat="1" ht="19">
      <c r="A154" s="90"/>
      <c r="B154" s="91">
        <v>19</v>
      </c>
      <c r="C154" s="92">
        <v>31.009615384615383</v>
      </c>
    </row>
    <row r="155" spans="1:3" s="54" customFormat="1" ht="19">
      <c r="A155" s="90"/>
      <c r="B155" s="91">
        <v>20</v>
      </c>
      <c r="C155" s="92">
        <v>37.727272727272727</v>
      </c>
    </row>
    <row r="156" spans="1:3" s="54" customFormat="1" ht="19">
      <c r="A156" s="90" t="s">
        <v>173</v>
      </c>
      <c r="B156" s="90"/>
      <c r="C156" s="92"/>
    </row>
    <row r="157" spans="1:3" s="54" customFormat="1" ht="19">
      <c r="A157" s="90"/>
      <c r="B157" s="91">
        <v>12</v>
      </c>
      <c r="C157" s="92">
        <v>30</v>
      </c>
    </row>
    <row r="158" spans="1:3" s="54" customFormat="1" ht="19">
      <c r="A158" s="90"/>
      <c r="B158" s="91">
        <v>13</v>
      </c>
      <c r="C158" s="92">
        <v>21.511627906976745</v>
      </c>
    </row>
    <row r="159" spans="1:3" s="54" customFormat="1" ht="19">
      <c r="A159" s="90"/>
      <c r="B159" s="91">
        <v>14</v>
      </c>
      <c r="C159" s="92">
        <v>20</v>
      </c>
    </row>
    <row r="160" spans="1:3" s="54" customFormat="1" ht="19">
      <c r="A160" s="90"/>
      <c r="B160" s="91">
        <v>18</v>
      </c>
      <c r="C160" s="92">
        <v>26.19047619047619</v>
      </c>
    </row>
    <row r="161" spans="1:20" s="54" customFormat="1" ht="19">
      <c r="A161" s="90"/>
      <c r="B161" s="91">
        <v>19</v>
      </c>
      <c r="C161" s="92">
        <v>45.96153846153846</v>
      </c>
    </row>
    <row r="162" spans="1:20" s="54" customFormat="1" ht="19">
      <c r="A162" s="90"/>
      <c r="B162" s="91">
        <v>20</v>
      </c>
      <c r="C162" s="92">
        <v>32.628205128205131</v>
      </c>
    </row>
    <row r="163" spans="1:20" s="54" customFormat="1" ht="19">
      <c r="A163" s="90" t="s">
        <v>149</v>
      </c>
      <c r="B163" s="90"/>
      <c r="C163" s="92"/>
    </row>
    <row r="164" spans="1:20" s="54" customFormat="1" ht="19">
      <c r="A164" s="90"/>
      <c r="B164" s="91">
        <v>17</v>
      </c>
      <c r="C164" s="92">
        <v>37.5</v>
      </c>
    </row>
    <row r="165" spans="1:20" s="54" customFormat="1" ht="19">
      <c r="A165" s="90"/>
      <c r="B165" s="91">
        <v>18</v>
      </c>
      <c r="C165" s="92">
        <v>26.894736842105264</v>
      </c>
    </row>
    <row r="166" spans="1:20" s="54" customFormat="1" ht="19">
      <c r="A166" s="90"/>
      <c r="B166" s="91">
        <v>19</v>
      </c>
      <c r="C166" s="92">
        <v>29.166666666666668</v>
      </c>
    </row>
    <row r="167" spans="1:20" s="54" customFormat="1" ht="19">
      <c r="A167" s="90"/>
      <c r="B167" s="91">
        <v>20</v>
      </c>
      <c r="C167" s="92">
        <v>29.155844155844157</v>
      </c>
    </row>
    <row r="168" spans="1:20" s="54" customFormat="1" ht="19">
      <c r="A168" s="90" t="s">
        <v>165</v>
      </c>
      <c r="B168" s="90"/>
      <c r="C168" s="92"/>
    </row>
    <row r="169" spans="1:20" s="54" customFormat="1" ht="19">
      <c r="A169" s="90"/>
      <c r="B169" s="91">
        <v>14</v>
      </c>
      <c r="C169" s="92">
        <v>20</v>
      </c>
    </row>
    <row r="170" spans="1:20" s="54" customFormat="1" ht="19">
      <c r="A170" s="90"/>
      <c r="B170" s="91">
        <v>18</v>
      </c>
      <c r="C170" s="92">
        <v>23.333333333333332</v>
      </c>
    </row>
    <row r="171" spans="1:20" s="54" customFormat="1" ht="19">
      <c r="A171" s="90"/>
      <c r="B171" s="91">
        <v>19</v>
      </c>
      <c r="C171" s="92">
        <v>29.870129870129869</v>
      </c>
    </row>
    <row r="172" spans="1:20" s="54" customFormat="1" ht="19">
      <c r="A172" s="90"/>
      <c r="B172" s="91">
        <v>20</v>
      </c>
      <c r="C172" s="92">
        <v>32.470588235294116</v>
      </c>
    </row>
    <row r="173" spans="1:20" s="54" customFormat="1" ht="19">
      <c r="A173" s="90"/>
      <c r="B173" s="91">
        <v>21</v>
      </c>
      <c r="C173" s="92">
        <v>30</v>
      </c>
    </row>
    <row r="174" spans="1:20" s="54" customFormat="1" ht="19">
      <c r="A174" s="90" t="s">
        <v>1357</v>
      </c>
      <c r="B174" s="90"/>
      <c r="C174" s="93">
        <v>29.492031872509958</v>
      </c>
    </row>
    <row r="175" spans="1:20" s="54" customFormat="1"/>
    <row r="176" spans="1:20" s="54" customFormat="1" ht="22">
      <c r="A176" s="55" t="s">
        <v>1343</v>
      </c>
      <c r="B176" s="58" t="s">
        <v>1401</v>
      </c>
      <c r="C176" s="58"/>
      <c r="D176" s="58"/>
      <c r="E176" s="58"/>
      <c r="F176" s="58"/>
      <c r="G176" s="58"/>
      <c r="H176" s="58"/>
      <c r="I176" s="58"/>
      <c r="J176" s="58"/>
      <c r="K176" s="58"/>
      <c r="L176" s="63"/>
      <c r="M176" s="63"/>
      <c r="N176" s="63"/>
      <c r="O176" s="63"/>
      <c r="P176" s="63"/>
      <c r="Q176" s="63"/>
      <c r="R176" s="63"/>
      <c r="S176" s="63"/>
      <c r="T176" s="63"/>
    </row>
    <row r="177" spans="1:20" s="54" customFormat="1" ht="22">
      <c r="A177" s="53"/>
      <c r="B177" s="56" t="s">
        <v>1402</v>
      </c>
      <c r="C177" s="56"/>
      <c r="D177" s="56"/>
      <c r="E177" s="56"/>
      <c r="F177" s="56"/>
      <c r="G177" s="56"/>
      <c r="H177" s="56"/>
      <c r="I177" s="56"/>
      <c r="J177" s="56"/>
      <c r="K177" s="56"/>
      <c r="L177" s="63"/>
      <c r="M177" s="63"/>
      <c r="N177" s="63"/>
      <c r="O177" s="63"/>
      <c r="P177" s="63"/>
      <c r="Q177" s="63"/>
      <c r="R177" s="63"/>
      <c r="S177" s="63"/>
      <c r="T177" s="63"/>
    </row>
    <row r="178" spans="1:20" s="54" customFormat="1" ht="22">
      <c r="A178" s="13"/>
      <c r="B178" s="67" t="s">
        <v>1403</v>
      </c>
      <c r="C178" s="67"/>
      <c r="D178" s="68"/>
      <c r="E178" s="69"/>
      <c r="F178" s="69"/>
      <c r="G178" s="69"/>
      <c r="H178" s="69"/>
      <c r="I178" s="69"/>
      <c r="J178" s="69"/>
      <c r="K178" s="69"/>
      <c r="L178" s="63"/>
      <c r="M178" s="63"/>
      <c r="N178" s="63"/>
      <c r="O178" s="63"/>
      <c r="P178" s="63"/>
      <c r="Q178" s="63"/>
      <c r="R178" s="63"/>
      <c r="S178" s="63"/>
      <c r="T178" s="63"/>
    </row>
    <row r="179" spans="1:20" s="54" customFormat="1" ht="22">
      <c r="A179" s="13"/>
      <c r="B179" s="68" t="s">
        <v>1404</v>
      </c>
      <c r="C179" s="68"/>
      <c r="D179" s="70"/>
      <c r="E179" s="71"/>
      <c r="F179" s="71"/>
      <c r="G179" s="71"/>
      <c r="H179" s="71"/>
      <c r="I179" s="71"/>
      <c r="J179" s="71"/>
      <c r="K179" s="71"/>
      <c r="L179" s="63"/>
      <c r="M179" s="63"/>
      <c r="N179" s="63"/>
      <c r="O179" s="63"/>
      <c r="P179" s="63"/>
      <c r="Q179" s="63"/>
      <c r="R179" s="63"/>
      <c r="S179" s="63"/>
      <c r="T179" s="63"/>
    </row>
    <row r="180" spans="1:20" s="54" customFormat="1" ht="22">
      <c r="A180" s="13"/>
      <c r="B180" s="68" t="s">
        <v>1405</v>
      </c>
      <c r="C180" s="68"/>
      <c r="D180" s="70"/>
      <c r="E180" s="71"/>
      <c r="F180" s="71"/>
      <c r="G180" s="71"/>
      <c r="H180" s="71"/>
      <c r="I180" s="71"/>
      <c r="J180" s="71"/>
      <c r="K180" s="71"/>
      <c r="L180" s="63"/>
      <c r="M180" s="63"/>
      <c r="N180" s="63"/>
      <c r="O180" s="63"/>
      <c r="P180" s="63"/>
      <c r="Q180" s="63"/>
      <c r="R180" s="63"/>
      <c r="S180" s="63"/>
      <c r="T180" s="63"/>
    </row>
    <row r="181" spans="1:20" s="54" customFormat="1" ht="22">
      <c r="A181" s="13"/>
      <c r="B181" s="68" t="s">
        <v>1406</v>
      </c>
      <c r="C181" s="68"/>
      <c r="D181" s="70"/>
      <c r="E181" s="71"/>
      <c r="F181" s="71"/>
      <c r="G181" s="71"/>
      <c r="H181" s="71"/>
      <c r="I181" s="71"/>
      <c r="J181" s="71"/>
      <c r="K181" s="71"/>
      <c r="L181" s="63"/>
      <c r="M181" s="63"/>
      <c r="N181" s="63"/>
      <c r="O181" s="63"/>
      <c r="P181" s="63"/>
      <c r="Q181" s="63"/>
      <c r="R181" s="63"/>
      <c r="S181" s="63"/>
      <c r="T181" s="63"/>
    </row>
    <row r="182" spans="1:20" s="54" customFormat="1" ht="22">
      <c r="A182" s="13"/>
      <c r="B182" s="68" t="s">
        <v>1407</v>
      </c>
      <c r="C182" s="68"/>
      <c r="D182" s="70"/>
      <c r="E182" s="71"/>
      <c r="F182" s="71"/>
      <c r="G182" s="71"/>
      <c r="H182" s="71"/>
      <c r="I182" s="71"/>
      <c r="J182" s="71"/>
      <c r="K182" s="71"/>
      <c r="L182" s="63"/>
      <c r="M182" s="63"/>
      <c r="N182" s="63"/>
      <c r="O182" s="63"/>
      <c r="P182" s="63"/>
      <c r="Q182" s="63"/>
      <c r="R182" s="63"/>
      <c r="S182" s="63"/>
      <c r="T182" s="63"/>
    </row>
    <row r="183" spans="1:20" s="54" customFormat="1" ht="22">
      <c r="A183" s="59" t="s">
        <v>1349</v>
      </c>
      <c r="B183" s="60" t="s">
        <v>1408</v>
      </c>
      <c r="C183" s="57"/>
      <c r="D183" s="61"/>
      <c r="E183" s="61"/>
      <c r="F183" s="61"/>
      <c r="G183" s="61"/>
      <c r="H183" s="62"/>
      <c r="I183" s="62"/>
      <c r="J183" s="62"/>
      <c r="K183" s="62"/>
      <c r="L183" s="63"/>
      <c r="M183" s="63"/>
      <c r="N183" s="63"/>
      <c r="O183" s="63"/>
      <c r="P183" s="63"/>
      <c r="Q183" s="63"/>
      <c r="R183" s="63"/>
      <c r="S183" s="63"/>
      <c r="T183" s="63"/>
    </row>
    <row r="184" spans="1:20" s="54" customFormat="1" ht="22">
      <c r="A184" s="13"/>
      <c r="B184" s="72" t="s">
        <v>1409</v>
      </c>
      <c r="C184" s="71"/>
      <c r="D184" s="71"/>
      <c r="E184" s="71"/>
      <c r="F184" s="71"/>
      <c r="G184" s="71"/>
      <c r="H184" s="71"/>
      <c r="I184" s="71"/>
      <c r="J184" s="71"/>
      <c r="K184" s="71"/>
      <c r="L184" s="63"/>
      <c r="M184" s="63"/>
      <c r="N184" s="63"/>
      <c r="O184" s="63"/>
      <c r="P184" s="63"/>
      <c r="Q184" s="63"/>
      <c r="R184" s="63"/>
      <c r="S184" s="63"/>
      <c r="T184" s="63"/>
    </row>
    <row r="185" spans="1:20" s="54" customFormat="1" ht="22">
      <c r="A185" s="13"/>
      <c r="B185" s="72" t="s">
        <v>1410</v>
      </c>
      <c r="C185" s="71"/>
      <c r="D185" s="71"/>
      <c r="E185" s="71"/>
      <c r="F185" s="71"/>
      <c r="G185" s="71"/>
      <c r="H185" s="71"/>
      <c r="I185" s="71"/>
      <c r="J185" s="71"/>
      <c r="K185" s="71"/>
      <c r="L185" s="63"/>
      <c r="M185" s="63"/>
      <c r="N185" s="63"/>
      <c r="O185" s="63"/>
      <c r="P185" s="63"/>
      <c r="Q185" s="63"/>
      <c r="R185" s="63"/>
      <c r="S185" s="63"/>
      <c r="T185" s="63"/>
    </row>
    <row r="186" spans="1:20" s="54" customFormat="1" ht="22">
      <c r="B186" s="72" t="s">
        <v>1411</v>
      </c>
      <c r="C186" s="73"/>
      <c r="D186" s="73"/>
      <c r="E186" s="73"/>
      <c r="F186" s="73"/>
      <c r="G186" s="73"/>
      <c r="H186" s="73"/>
      <c r="I186" s="73"/>
      <c r="J186" s="73"/>
      <c r="K186" s="73"/>
      <c r="L186" s="63"/>
      <c r="M186" s="63"/>
      <c r="N186" s="63"/>
      <c r="O186" s="63"/>
      <c r="P186" s="63"/>
      <c r="Q186" s="63"/>
      <c r="R186" s="63"/>
      <c r="S186" s="63"/>
      <c r="T186" s="63"/>
    </row>
    <row r="187" spans="1:20" s="54" customFormat="1" ht="22">
      <c r="A187" s="13"/>
      <c r="B187" s="72" t="s">
        <v>1412</v>
      </c>
      <c r="C187" s="71"/>
      <c r="D187" s="71"/>
      <c r="E187" s="71"/>
      <c r="F187" s="71"/>
      <c r="G187" s="71"/>
      <c r="H187" s="71"/>
      <c r="I187" s="71"/>
      <c r="J187" s="71"/>
      <c r="K187" s="71"/>
      <c r="L187" s="63"/>
      <c r="M187" s="63"/>
      <c r="N187" s="63"/>
      <c r="O187" s="63"/>
      <c r="P187" s="63"/>
      <c r="Q187" s="63"/>
      <c r="R187" s="63"/>
      <c r="S187" s="63"/>
      <c r="T187" s="63"/>
    </row>
    <row r="188" spans="1:20" s="54" customFormat="1" ht="22">
      <c r="B188" s="72" t="s">
        <v>1413</v>
      </c>
      <c r="C188" s="73"/>
      <c r="D188" s="73"/>
      <c r="E188" s="73"/>
      <c r="F188" s="73"/>
      <c r="G188" s="73"/>
      <c r="H188" s="73"/>
      <c r="I188" s="73"/>
      <c r="J188" s="73"/>
      <c r="K188" s="73"/>
      <c r="L188" s="63"/>
      <c r="M188" s="63"/>
      <c r="N188" s="63"/>
      <c r="O188" s="63"/>
      <c r="P188" s="63"/>
      <c r="Q188" s="63"/>
      <c r="R188" s="63"/>
      <c r="S188" s="63"/>
      <c r="T188" s="63"/>
    </row>
    <row r="191" spans="1:20" s="52" customFormat="1" ht="35" customHeight="1">
      <c r="A191" s="99" t="s">
        <v>1340</v>
      </c>
      <c r="B191" s="183" t="s">
        <v>1414</v>
      </c>
      <c r="C191" s="183"/>
      <c r="D191" s="183"/>
      <c r="E191" s="183"/>
      <c r="F191" s="183"/>
      <c r="G191" s="183"/>
      <c r="H191" s="183"/>
      <c r="I191" s="183"/>
      <c r="J191" s="51"/>
      <c r="K191" s="51"/>
    </row>
    <row r="193" spans="1:3" ht="19">
      <c r="A193" s="111" t="s">
        <v>126</v>
      </c>
      <c r="B193" s="113" t="s">
        <v>1618</v>
      </c>
      <c r="C193" s="114" t="s">
        <v>1617</v>
      </c>
    </row>
    <row r="194" spans="1:3" ht="19">
      <c r="A194" s="115">
        <v>12</v>
      </c>
      <c r="B194" s="112">
        <v>2</v>
      </c>
      <c r="C194" s="112">
        <v>0</v>
      </c>
    </row>
    <row r="195" spans="1:3" ht="19">
      <c r="A195" s="115">
        <v>13</v>
      </c>
      <c r="B195" s="112">
        <v>43</v>
      </c>
      <c r="C195" s="112">
        <v>0</v>
      </c>
    </row>
    <row r="196" spans="1:3" ht="19">
      <c r="A196" s="115">
        <v>14</v>
      </c>
      <c r="B196" s="112">
        <v>6</v>
      </c>
      <c r="C196" s="112">
        <v>0</v>
      </c>
    </row>
    <row r="197" spans="1:3" ht="19">
      <c r="A197" s="115">
        <v>17</v>
      </c>
      <c r="B197" s="112">
        <v>4</v>
      </c>
      <c r="C197" s="112">
        <v>1</v>
      </c>
    </row>
    <row r="198" spans="1:3" ht="19">
      <c r="A198" s="115">
        <v>18</v>
      </c>
      <c r="B198" s="112">
        <v>312</v>
      </c>
      <c r="C198" s="112">
        <v>11</v>
      </c>
    </row>
    <row r="199" spans="1:3" ht="19">
      <c r="A199" s="115">
        <v>19</v>
      </c>
      <c r="B199" s="112">
        <v>328</v>
      </c>
      <c r="C199" s="112">
        <v>88</v>
      </c>
    </row>
    <row r="200" spans="1:3" ht="19">
      <c r="A200" s="115">
        <v>20</v>
      </c>
      <c r="B200" s="112">
        <v>306</v>
      </c>
      <c r="C200" s="112">
        <v>109</v>
      </c>
    </row>
    <row r="201" spans="1:3" ht="19">
      <c r="A201" s="115">
        <v>21</v>
      </c>
      <c r="B201" s="112">
        <v>3</v>
      </c>
      <c r="C201" s="112">
        <v>1</v>
      </c>
    </row>
    <row r="202" spans="1:3" ht="19">
      <c r="A202" s="115" t="s">
        <v>1357</v>
      </c>
      <c r="B202" s="112">
        <v>1004</v>
      </c>
      <c r="C202" s="112">
        <v>210</v>
      </c>
    </row>
    <row r="203" spans="1:3">
      <c r="A203" s="10"/>
    </row>
    <row r="204" spans="1:3">
      <c r="A204" s="10"/>
    </row>
    <row r="205" spans="1:3">
      <c r="A205" s="10"/>
    </row>
    <row r="206" spans="1:3">
      <c r="A206" s="10"/>
    </row>
    <row r="207" spans="1:3">
      <c r="A207" s="10"/>
    </row>
    <row r="208" spans="1:3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3" ht="22">
      <c r="A225" s="55" t="s">
        <v>1343</v>
      </c>
      <c r="B225" s="133" t="s">
        <v>1415</v>
      </c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</row>
    <row r="226" spans="1:13" ht="22">
      <c r="A226" s="13"/>
      <c r="B226" s="133" t="s">
        <v>1416</v>
      </c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</row>
    <row r="227" spans="1:13" ht="22">
      <c r="A227" s="13"/>
      <c r="B227" s="133" t="s">
        <v>1417</v>
      </c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</row>
    <row r="228" spans="1:13" ht="22">
      <c r="A228" s="13"/>
      <c r="B228" s="133" t="s">
        <v>1418</v>
      </c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</row>
    <row r="229" spans="1:13" ht="22">
      <c r="A229" s="13"/>
      <c r="B229" s="133" t="s">
        <v>1419</v>
      </c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</row>
    <row r="230" spans="1:13" ht="22">
      <c r="A230" s="13"/>
      <c r="B230" s="133" t="s">
        <v>1420</v>
      </c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</row>
    <row r="231" spans="1:13" ht="22">
      <c r="A231" s="13"/>
      <c r="B231" s="133" t="s">
        <v>1421</v>
      </c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</row>
    <row r="232" spans="1:13" ht="22">
      <c r="A232" s="13"/>
      <c r="B232" s="133" t="s">
        <v>1422</v>
      </c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</row>
    <row r="233" spans="1:13" ht="22">
      <c r="A233" s="13"/>
      <c r="B233" s="133" t="s">
        <v>1423</v>
      </c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</row>
    <row r="234" spans="1:13" ht="22">
      <c r="A234" s="13"/>
      <c r="B234" s="133" t="s">
        <v>1424</v>
      </c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</row>
    <row r="235" spans="1:13" ht="22">
      <c r="A235" s="59" t="s">
        <v>1349</v>
      </c>
      <c r="B235" s="133" t="s">
        <v>1425</v>
      </c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</row>
    <row r="236" spans="1:13" ht="22">
      <c r="A236" s="13"/>
      <c r="B236" s="133" t="s">
        <v>1426</v>
      </c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</row>
    <row r="237" spans="1:13" ht="22">
      <c r="A237" s="13"/>
      <c r="B237" s="133" t="s">
        <v>1427</v>
      </c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</row>
    <row r="238" spans="1:13" ht="22">
      <c r="A238" s="13"/>
      <c r="B238" s="133" t="s">
        <v>1428</v>
      </c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</row>
    <row r="239" spans="1:13" ht="22">
      <c r="A239" s="13"/>
      <c r="B239" s="133" t="s">
        <v>1429</v>
      </c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</row>
    <row r="240" spans="1:13" ht="22">
      <c r="A240" s="13"/>
    </row>
    <row r="241" spans="1:11">
      <c r="A241" s="10"/>
    </row>
    <row r="242" spans="1:11" s="52" customFormat="1" ht="32.25" customHeight="1">
      <c r="A242" s="50" t="s">
        <v>1340</v>
      </c>
      <c r="B242" s="183" t="s">
        <v>1430</v>
      </c>
      <c r="C242" s="183"/>
      <c r="D242" s="183"/>
      <c r="E242" s="183"/>
      <c r="F242" s="183"/>
      <c r="G242" s="183"/>
      <c r="H242" s="183"/>
      <c r="I242" s="183"/>
      <c r="J242" s="51"/>
      <c r="K242" s="51"/>
    </row>
    <row r="243" spans="1:11" s="54" customFormat="1" ht="32.25" customHeight="1">
      <c r="A243" s="64"/>
      <c r="B243" s="65"/>
      <c r="C243" s="65"/>
      <c r="D243" s="65"/>
      <c r="E243" s="65"/>
      <c r="F243" s="65"/>
      <c r="G243" s="65"/>
      <c r="H243" s="65"/>
      <c r="I243" s="65"/>
      <c r="J243" s="13"/>
      <c r="K243" s="13"/>
    </row>
    <row r="244" spans="1:11" s="97" customFormat="1" ht="32.25" customHeight="1">
      <c r="A244" s="129" t="s">
        <v>74</v>
      </c>
      <c r="B244" s="127" t="s">
        <v>1618</v>
      </c>
      <c r="C244" s="127" t="s">
        <v>1617</v>
      </c>
      <c r="D244" s="88"/>
      <c r="E244" s="65"/>
      <c r="F244" s="65"/>
      <c r="G244" s="65"/>
      <c r="H244" s="65"/>
      <c r="I244" s="65"/>
      <c r="J244" s="15"/>
      <c r="K244" s="15"/>
    </row>
    <row r="245" spans="1:11" s="54" customFormat="1" ht="32.25" customHeight="1">
      <c r="A245" s="115">
        <v>2</v>
      </c>
      <c r="B245" s="112">
        <v>56</v>
      </c>
      <c r="C245" s="112">
        <v>0</v>
      </c>
      <c r="D245"/>
      <c r="E245" s="65"/>
      <c r="F245" s="65"/>
      <c r="G245" s="65"/>
      <c r="H245" s="65"/>
      <c r="I245" s="65"/>
      <c r="J245" s="13"/>
      <c r="K245" s="13"/>
    </row>
    <row r="246" spans="1:11" s="54" customFormat="1" ht="32.25" customHeight="1">
      <c r="A246" s="115">
        <v>2.5</v>
      </c>
      <c r="B246" s="112">
        <v>64</v>
      </c>
      <c r="C246" s="112">
        <v>0</v>
      </c>
      <c r="D246"/>
      <c r="E246" s="65"/>
      <c r="F246" s="65"/>
      <c r="G246" s="65"/>
      <c r="H246" s="65"/>
      <c r="I246" s="65"/>
      <c r="J246" s="13"/>
      <c r="K246" s="13"/>
    </row>
    <row r="247" spans="1:11" s="54" customFormat="1" ht="32.25" customHeight="1">
      <c r="A247" s="115">
        <v>3</v>
      </c>
      <c r="B247" s="112">
        <v>93</v>
      </c>
      <c r="C247" s="112">
        <v>0</v>
      </c>
      <c r="D247"/>
      <c r="E247" s="65"/>
      <c r="F247" s="65"/>
      <c r="G247" s="65"/>
      <c r="H247" s="65"/>
      <c r="I247" s="65"/>
      <c r="J247" s="13"/>
      <c r="K247" s="13"/>
    </row>
    <row r="248" spans="1:11" s="54" customFormat="1" ht="32.25" customHeight="1">
      <c r="A248" s="115">
        <v>3.2</v>
      </c>
      <c r="B248" s="112">
        <v>2</v>
      </c>
      <c r="C248" s="112">
        <v>0</v>
      </c>
      <c r="D248"/>
      <c r="E248" s="65"/>
      <c r="F248" s="65"/>
      <c r="G248" s="65"/>
      <c r="H248" s="65"/>
      <c r="I248" s="65"/>
      <c r="J248" s="13"/>
      <c r="K248" s="13"/>
    </row>
    <row r="249" spans="1:11" s="54" customFormat="1" ht="32.25" customHeight="1">
      <c r="A249" s="115">
        <v>3.5</v>
      </c>
      <c r="B249" s="112">
        <v>52</v>
      </c>
      <c r="C249" s="112">
        <v>0</v>
      </c>
      <c r="D249"/>
      <c r="E249" s="65"/>
      <c r="F249" s="65"/>
      <c r="G249" s="65"/>
      <c r="H249" s="65"/>
      <c r="I249" s="65"/>
      <c r="J249" s="13"/>
      <c r="K249" s="13"/>
    </row>
    <row r="250" spans="1:11" s="54" customFormat="1" ht="32.25" customHeight="1">
      <c r="A250" s="115">
        <v>3.9</v>
      </c>
      <c r="B250" s="112">
        <v>1</v>
      </c>
      <c r="C250" s="112">
        <v>0</v>
      </c>
      <c r="D250"/>
      <c r="E250" s="65"/>
      <c r="F250" s="65"/>
      <c r="G250" s="65"/>
      <c r="H250" s="65"/>
      <c r="I250" s="65"/>
      <c r="J250" s="13"/>
      <c r="K250" s="13"/>
    </row>
    <row r="251" spans="1:11" s="54" customFormat="1" ht="32.25" customHeight="1">
      <c r="A251" s="115">
        <v>4</v>
      </c>
      <c r="B251" s="112">
        <v>136</v>
      </c>
      <c r="C251" s="112">
        <v>1</v>
      </c>
      <c r="D251"/>
      <c r="E251" s="65"/>
      <c r="F251" s="65"/>
      <c r="G251" s="65"/>
      <c r="H251" s="65"/>
      <c r="I251" s="65"/>
      <c r="J251" s="13"/>
      <c r="K251" s="13"/>
    </row>
    <row r="252" spans="1:11" s="54" customFormat="1" ht="32.25" customHeight="1">
      <c r="A252" s="115">
        <v>4.0999999999999996</v>
      </c>
      <c r="B252" s="112">
        <v>3</v>
      </c>
      <c r="C252" s="112">
        <v>0</v>
      </c>
      <c r="D252"/>
      <c r="E252" s="65"/>
      <c r="F252" s="65"/>
      <c r="G252" s="65"/>
      <c r="H252" s="65"/>
      <c r="I252" s="65"/>
      <c r="J252" s="13"/>
      <c r="K252" s="13"/>
    </row>
    <row r="253" spans="1:11" s="54" customFormat="1" ht="32.25" customHeight="1">
      <c r="A253" s="115">
        <v>4.5</v>
      </c>
      <c r="B253" s="112">
        <v>112</v>
      </c>
      <c r="C253" s="112">
        <v>1</v>
      </c>
      <c r="D253"/>
      <c r="E253" s="65"/>
      <c r="F253" s="65"/>
      <c r="G253" s="65"/>
      <c r="H253" s="65"/>
      <c r="I253" s="65"/>
      <c r="J253" s="13"/>
      <c r="K253" s="13"/>
    </row>
    <row r="254" spans="1:11" s="54" customFormat="1" ht="24">
      <c r="A254" s="115">
        <v>5</v>
      </c>
      <c r="B254" s="112">
        <v>96</v>
      </c>
      <c r="C254" s="112">
        <v>4</v>
      </c>
      <c r="D254" s="65"/>
      <c r="E254" s="65"/>
      <c r="F254" s="65"/>
      <c r="G254" s="65"/>
      <c r="H254" s="65"/>
      <c r="I254" s="65"/>
      <c r="J254" s="13"/>
      <c r="K254" s="13"/>
    </row>
    <row r="255" spans="1:11" s="54" customFormat="1" ht="24">
      <c r="A255" s="115">
        <v>5.4</v>
      </c>
      <c r="B255" s="112">
        <v>5</v>
      </c>
      <c r="C255" s="112">
        <v>3</v>
      </c>
      <c r="D255" s="65"/>
      <c r="E255" s="65"/>
      <c r="F255" s="65"/>
      <c r="G255" s="65"/>
      <c r="H255" s="65"/>
      <c r="I255" s="65"/>
      <c r="J255" s="13"/>
      <c r="K255" s="13"/>
    </row>
    <row r="256" spans="1:11" s="54" customFormat="1" ht="24">
      <c r="A256" s="115">
        <v>5.5</v>
      </c>
      <c r="B256" s="112">
        <v>95</v>
      </c>
      <c r="C256" s="112">
        <v>32</v>
      </c>
      <c r="D256" s="65"/>
      <c r="E256" s="65"/>
      <c r="F256" s="65"/>
      <c r="G256" s="65"/>
      <c r="H256" s="65"/>
      <c r="I256" s="65"/>
      <c r="J256" s="13"/>
      <c r="K256" s="13"/>
    </row>
    <row r="257" spans="1:11" s="54" customFormat="1" ht="24">
      <c r="A257" s="115">
        <v>5.8</v>
      </c>
      <c r="B257" s="112">
        <v>1</v>
      </c>
      <c r="C257" s="112">
        <v>0</v>
      </c>
      <c r="D257" s="65"/>
      <c r="E257" s="65"/>
      <c r="F257" s="65"/>
      <c r="G257" s="65"/>
      <c r="H257" s="65"/>
      <c r="I257" s="65"/>
      <c r="J257" s="13"/>
      <c r="K257" s="13"/>
    </row>
    <row r="258" spans="1:11" s="54" customFormat="1" ht="24">
      <c r="A258" s="115">
        <v>6</v>
      </c>
      <c r="B258" s="112">
        <v>120</v>
      </c>
      <c r="C258" s="112">
        <v>5</v>
      </c>
      <c r="D258" s="65"/>
      <c r="E258" s="65"/>
      <c r="F258" s="65"/>
      <c r="G258" s="65"/>
      <c r="H258" s="65"/>
      <c r="I258" s="65"/>
      <c r="J258" s="13"/>
      <c r="K258" s="13"/>
    </row>
    <row r="259" spans="1:11" s="54" customFormat="1" ht="24">
      <c r="A259" s="115">
        <v>6.3</v>
      </c>
      <c r="B259" s="112">
        <v>1</v>
      </c>
      <c r="C259" s="112">
        <v>1</v>
      </c>
      <c r="D259" s="65"/>
      <c r="E259" s="65"/>
      <c r="F259" s="65"/>
      <c r="G259" s="65"/>
      <c r="H259" s="65"/>
      <c r="I259" s="65"/>
      <c r="J259" s="13"/>
      <c r="K259" s="13"/>
    </row>
    <row r="260" spans="1:11" s="54" customFormat="1" ht="24">
      <c r="A260" s="115">
        <v>6.5</v>
      </c>
      <c r="B260" s="112">
        <v>10</v>
      </c>
      <c r="C260" s="112">
        <v>6</v>
      </c>
      <c r="D260" s="65"/>
      <c r="E260" s="65"/>
      <c r="F260" s="65"/>
      <c r="G260" s="65"/>
      <c r="H260" s="65"/>
      <c r="I260" s="65"/>
      <c r="J260" s="13"/>
      <c r="K260" s="13"/>
    </row>
    <row r="261" spans="1:11" s="54" customFormat="1" ht="24">
      <c r="A261" s="115">
        <v>7</v>
      </c>
      <c r="B261" s="112">
        <v>8</v>
      </c>
      <c r="C261" s="112">
        <v>8</v>
      </c>
      <c r="D261" s="65"/>
      <c r="E261" s="65"/>
      <c r="F261" s="65"/>
      <c r="G261" s="65"/>
      <c r="H261" s="65"/>
      <c r="I261" s="65"/>
      <c r="J261" s="13"/>
      <c r="K261" s="13"/>
    </row>
    <row r="262" spans="1:11" s="54" customFormat="1" ht="24">
      <c r="A262" s="115">
        <v>7.2</v>
      </c>
      <c r="B262" s="112">
        <v>2</v>
      </c>
      <c r="C262" s="112">
        <v>2</v>
      </c>
      <c r="D262" s="65"/>
      <c r="E262" s="65"/>
      <c r="F262" s="65"/>
      <c r="G262" s="65"/>
      <c r="H262" s="65"/>
      <c r="I262" s="65"/>
      <c r="J262" s="13"/>
      <c r="K262" s="13"/>
    </row>
    <row r="263" spans="1:11" s="54" customFormat="1" ht="24">
      <c r="A263" s="115">
        <v>7.5</v>
      </c>
      <c r="B263" s="112">
        <v>32</v>
      </c>
      <c r="C263" s="112">
        <v>32</v>
      </c>
      <c r="D263" s="65"/>
      <c r="E263" s="65"/>
      <c r="F263" s="65"/>
      <c r="G263" s="65"/>
      <c r="H263" s="65"/>
      <c r="I263" s="65"/>
      <c r="J263" s="13"/>
      <c r="K263" s="13"/>
    </row>
    <row r="264" spans="1:11" s="54" customFormat="1" ht="24">
      <c r="A264" s="115">
        <v>7.8</v>
      </c>
      <c r="B264" s="112">
        <v>1</v>
      </c>
      <c r="C264" s="112">
        <v>1</v>
      </c>
      <c r="D264" s="65"/>
      <c r="E264" s="65"/>
      <c r="F264" s="65"/>
      <c r="G264" s="65"/>
      <c r="H264" s="65"/>
      <c r="I264" s="65"/>
      <c r="J264" s="13"/>
      <c r="K264" s="13"/>
    </row>
    <row r="265" spans="1:11" s="54" customFormat="1" ht="24">
      <c r="A265" s="115">
        <v>8</v>
      </c>
      <c r="B265" s="112">
        <v>46</v>
      </c>
      <c r="C265" s="112">
        <v>46</v>
      </c>
      <c r="D265" s="65"/>
      <c r="E265" s="65"/>
      <c r="F265" s="65"/>
      <c r="G265" s="65"/>
      <c r="H265" s="65"/>
      <c r="I265" s="65"/>
      <c r="J265" s="13"/>
      <c r="K265" s="13"/>
    </row>
    <row r="266" spans="1:11" s="54" customFormat="1" ht="24">
      <c r="A266" s="115">
        <v>8.3000000000000007</v>
      </c>
      <c r="B266" s="112">
        <v>1</v>
      </c>
      <c r="C266" s="112">
        <v>1</v>
      </c>
      <c r="D266" s="65"/>
      <c r="E266" s="65"/>
      <c r="F266" s="65"/>
      <c r="G266" s="65"/>
      <c r="H266" s="65"/>
      <c r="I266" s="65"/>
      <c r="J266" s="13"/>
      <c r="K266" s="13"/>
    </row>
    <row r="267" spans="1:11" s="54" customFormat="1" ht="24">
      <c r="A267" s="115">
        <v>8.6999999999999993</v>
      </c>
      <c r="B267" s="112">
        <v>1</v>
      </c>
      <c r="C267" s="112">
        <v>1</v>
      </c>
      <c r="D267" s="65"/>
      <c r="E267" s="65"/>
      <c r="F267" s="65"/>
      <c r="G267" s="65"/>
      <c r="H267" s="65"/>
      <c r="I267" s="65"/>
      <c r="J267" s="13"/>
      <c r="K267" s="13"/>
    </row>
    <row r="268" spans="1:11" s="54" customFormat="1" ht="24">
      <c r="A268" s="115">
        <v>9</v>
      </c>
      <c r="B268" s="112">
        <v>28</v>
      </c>
      <c r="C268" s="112">
        <v>28</v>
      </c>
      <c r="D268" s="65"/>
      <c r="E268" s="65"/>
      <c r="F268" s="65"/>
      <c r="G268" s="65"/>
      <c r="H268" s="65"/>
      <c r="I268" s="65"/>
      <c r="J268" s="13"/>
      <c r="K268" s="13"/>
    </row>
    <row r="269" spans="1:11" s="54" customFormat="1" ht="24">
      <c r="A269" s="115">
        <v>10</v>
      </c>
      <c r="B269" s="112">
        <v>38</v>
      </c>
      <c r="C269" s="112">
        <v>38</v>
      </c>
      <c r="D269" s="65"/>
      <c r="E269" s="65"/>
      <c r="F269" s="65"/>
      <c r="G269" s="65"/>
      <c r="H269" s="65"/>
      <c r="I269" s="65"/>
      <c r="J269" s="13"/>
      <c r="K269" s="13"/>
    </row>
    <row r="270" spans="1:11" s="54" customFormat="1" ht="24">
      <c r="A270" s="115" t="s">
        <v>1357</v>
      </c>
      <c r="B270" s="112">
        <v>1004</v>
      </c>
      <c r="C270" s="112">
        <v>210</v>
      </c>
      <c r="D270" s="65"/>
      <c r="E270" s="65"/>
      <c r="F270" s="65"/>
      <c r="G270" s="65"/>
      <c r="H270" s="65"/>
      <c r="I270" s="65"/>
      <c r="J270" s="13"/>
      <c r="K270" s="13"/>
    </row>
    <row r="271" spans="1:11" s="54" customFormat="1" ht="24">
      <c r="A271"/>
      <c r="B271"/>
      <c r="C271"/>
      <c r="D271" s="65"/>
      <c r="E271" s="65"/>
      <c r="F271" s="65"/>
      <c r="G271" s="65"/>
      <c r="H271" s="65"/>
      <c r="I271" s="65"/>
      <c r="J271" s="13"/>
      <c r="K271" s="13"/>
    </row>
    <row r="272" spans="1:11" s="54" customFormat="1" ht="24">
      <c r="A272" s="55" t="s">
        <v>1343</v>
      </c>
      <c r="B272" s="125" t="s">
        <v>1431</v>
      </c>
      <c r="C272" s="110"/>
      <c r="D272" s="136"/>
      <c r="E272" s="136"/>
      <c r="F272" s="136"/>
      <c r="G272" s="136"/>
      <c r="H272" s="136"/>
      <c r="I272" s="65"/>
      <c r="J272" s="13"/>
      <c r="K272" s="13"/>
    </row>
    <row r="273" spans="1:11" s="54" customFormat="1" ht="24">
      <c r="A273" s="13"/>
      <c r="B273" s="133" t="s">
        <v>1432</v>
      </c>
      <c r="C273" s="110"/>
      <c r="D273" s="136"/>
      <c r="E273" s="136"/>
      <c r="F273" s="136"/>
      <c r="G273" s="136"/>
      <c r="H273" s="136"/>
      <c r="I273" s="65"/>
      <c r="J273" s="13"/>
      <c r="K273" s="13"/>
    </row>
    <row r="274" spans="1:11" s="54" customFormat="1" ht="24">
      <c r="A274" s="13"/>
      <c r="B274" s="133" t="s">
        <v>1433</v>
      </c>
      <c r="C274" s="110"/>
      <c r="D274" s="136"/>
      <c r="E274" s="136"/>
      <c r="F274" s="136"/>
      <c r="G274" s="136"/>
      <c r="H274" s="136"/>
      <c r="I274" s="65"/>
      <c r="J274" s="13"/>
      <c r="K274" s="13"/>
    </row>
    <row r="275" spans="1:11" s="54" customFormat="1" ht="24">
      <c r="A275" s="13"/>
      <c r="B275" s="133" t="s">
        <v>1434</v>
      </c>
      <c r="C275" s="110"/>
      <c r="D275" s="136"/>
      <c r="E275" s="136"/>
      <c r="F275" s="136"/>
      <c r="G275" s="136"/>
      <c r="H275" s="136"/>
      <c r="I275" s="65"/>
      <c r="J275" s="13"/>
      <c r="K275" s="13"/>
    </row>
    <row r="276" spans="1:11" s="54" customFormat="1" ht="24">
      <c r="A276" s="13"/>
      <c r="B276" s="133" t="s">
        <v>1435</v>
      </c>
      <c r="C276" s="110"/>
      <c r="D276" s="136"/>
      <c r="E276" s="136"/>
      <c r="F276" s="136"/>
      <c r="G276" s="136"/>
      <c r="H276" s="136"/>
      <c r="I276" s="65"/>
      <c r="J276" s="13"/>
      <c r="K276" s="13"/>
    </row>
    <row r="277" spans="1:11" s="54" customFormat="1" ht="24">
      <c r="A277" s="13"/>
      <c r="B277" s="125" t="s">
        <v>1379</v>
      </c>
      <c r="C277" s="110"/>
      <c r="D277" s="136"/>
      <c r="E277" s="136"/>
      <c r="F277" s="136"/>
      <c r="G277" s="136"/>
      <c r="H277" s="136"/>
      <c r="I277" s="65"/>
      <c r="J277" s="13"/>
      <c r="K277" s="13"/>
    </row>
    <row r="278" spans="1:11" s="54" customFormat="1" ht="24">
      <c r="B278" s="133" t="s">
        <v>1436</v>
      </c>
      <c r="C278" s="110"/>
      <c r="D278" s="136"/>
      <c r="E278" s="136"/>
      <c r="F278" s="136"/>
      <c r="G278" s="136"/>
      <c r="H278" s="136"/>
      <c r="I278" s="65"/>
      <c r="J278" s="13"/>
      <c r="K278" s="13"/>
    </row>
    <row r="279" spans="1:11" s="54" customFormat="1" ht="24">
      <c r="A279"/>
      <c r="B279" s="125" t="s">
        <v>1437</v>
      </c>
      <c r="C279" s="110"/>
      <c r="D279" s="136"/>
      <c r="E279" s="136"/>
      <c r="F279" s="136"/>
      <c r="G279" s="136"/>
      <c r="H279" s="136"/>
      <c r="I279" s="65"/>
      <c r="J279" s="13"/>
      <c r="K279" s="13"/>
    </row>
    <row r="280" spans="1:11" s="54" customFormat="1" ht="24">
      <c r="A280"/>
      <c r="B280" s="125" t="s">
        <v>1438</v>
      </c>
      <c r="C280" s="110"/>
      <c r="D280" s="136"/>
      <c r="E280" s="136"/>
      <c r="F280" s="136"/>
      <c r="G280" s="136"/>
      <c r="H280" s="136"/>
      <c r="I280" s="65"/>
      <c r="J280" s="13"/>
      <c r="K280" s="13"/>
    </row>
    <row r="281" spans="1:11" s="54" customFormat="1" ht="24">
      <c r="A281"/>
      <c r="B281" s="125" t="s">
        <v>1439</v>
      </c>
      <c r="C281" s="110"/>
      <c r="D281" s="136"/>
      <c r="E281" s="136"/>
      <c r="F281" s="136"/>
      <c r="G281" s="136"/>
      <c r="H281" s="136"/>
      <c r="I281" s="65"/>
      <c r="J281" s="13"/>
      <c r="K281" s="13"/>
    </row>
    <row r="282" spans="1:11" s="54" customFormat="1" ht="24">
      <c r="A282"/>
      <c r="B282" s="125" t="s">
        <v>1440</v>
      </c>
      <c r="C282" s="110"/>
      <c r="D282" s="136"/>
      <c r="E282" s="136"/>
      <c r="F282" s="136"/>
      <c r="G282" s="136"/>
      <c r="H282" s="136"/>
      <c r="I282" s="65"/>
      <c r="J282" s="13"/>
      <c r="K282" s="13"/>
    </row>
    <row r="283" spans="1:11" s="54" customFormat="1" ht="24">
      <c r="A283"/>
      <c r="B283" s="133" t="s">
        <v>1441</v>
      </c>
      <c r="C283" s="110"/>
      <c r="D283" s="136"/>
      <c r="E283" s="136"/>
      <c r="F283" s="136"/>
      <c r="G283" s="136"/>
      <c r="H283" s="136"/>
      <c r="I283" s="65"/>
      <c r="J283" s="13"/>
      <c r="K283" s="13"/>
    </row>
    <row r="284" spans="1:11" s="54" customFormat="1" ht="24">
      <c r="A284"/>
      <c r="B284" s="125" t="s">
        <v>1442</v>
      </c>
      <c r="C284" s="110"/>
      <c r="D284" s="136"/>
      <c r="E284" s="136"/>
      <c r="F284" s="136"/>
      <c r="G284" s="136"/>
      <c r="H284" s="136"/>
      <c r="I284" s="65"/>
      <c r="J284" s="13"/>
      <c r="K284" s="13"/>
    </row>
    <row r="285" spans="1:11" s="54" customFormat="1" ht="24">
      <c r="A285" s="59" t="s">
        <v>1349</v>
      </c>
      <c r="B285" s="125" t="s">
        <v>1443</v>
      </c>
      <c r="C285" s="110"/>
      <c r="D285" s="136"/>
      <c r="E285" s="136"/>
      <c r="F285" s="136"/>
      <c r="G285" s="136"/>
      <c r="H285" s="136"/>
      <c r="I285" s="65"/>
      <c r="J285" s="13"/>
      <c r="K285" s="13"/>
    </row>
    <row r="286" spans="1:11" s="54" customFormat="1" ht="24">
      <c r="A286"/>
      <c r="B286" s="133" t="s">
        <v>1444</v>
      </c>
      <c r="C286" s="110"/>
      <c r="D286" s="136"/>
      <c r="E286" s="136"/>
      <c r="F286" s="136"/>
      <c r="G286" s="136"/>
      <c r="H286" s="136"/>
      <c r="I286" s="65"/>
      <c r="J286" s="13"/>
      <c r="K286" s="13"/>
    </row>
    <row r="287" spans="1:11" s="54" customFormat="1" ht="24">
      <c r="A287"/>
      <c r="B287" s="133" t="s">
        <v>1445</v>
      </c>
      <c r="C287" s="110"/>
      <c r="D287" s="136"/>
      <c r="E287" s="136"/>
      <c r="F287" s="136"/>
      <c r="G287" s="136"/>
      <c r="H287" s="136"/>
      <c r="I287" s="65"/>
      <c r="J287" s="13"/>
      <c r="K287" s="13"/>
    </row>
    <row r="288" spans="1:11" s="54" customFormat="1" ht="24">
      <c r="A288"/>
      <c r="B288" s="133" t="s">
        <v>1446</v>
      </c>
      <c r="C288" s="110"/>
      <c r="D288" s="136"/>
      <c r="E288" s="136"/>
      <c r="F288" s="136"/>
      <c r="G288" s="136"/>
      <c r="H288" s="136"/>
      <c r="I288" s="65"/>
      <c r="J288" s="13"/>
      <c r="K288" s="13"/>
    </row>
    <row r="289" spans="1:11" s="54" customFormat="1" ht="24">
      <c r="A289"/>
      <c r="B289" s="125" t="s">
        <v>1447</v>
      </c>
      <c r="C289" s="110"/>
      <c r="D289" s="136"/>
      <c r="E289" s="136"/>
      <c r="F289" s="136"/>
      <c r="G289" s="136"/>
      <c r="H289" s="136"/>
      <c r="I289" s="65"/>
      <c r="J289" s="13"/>
      <c r="K289" s="13"/>
    </row>
    <row r="290" spans="1:11" s="54" customFormat="1" ht="24">
      <c r="A290"/>
      <c r="B290" s="125" t="s">
        <v>1619</v>
      </c>
      <c r="C290" s="110"/>
      <c r="D290" s="136"/>
      <c r="E290" s="136"/>
      <c r="F290" s="136"/>
      <c r="G290" s="136"/>
      <c r="H290" s="136"/>
      <c r="I290" s="65"/>
      <c r="J290" s="13"/>
      <c r="K290" s="13"/>
    </row>
    <row r="291" spans="1:11" s="54" customFormat="1" ht="24">
      <c r="A291"/>
      <c r="B291" s="133" t="s">
        <v>1448</v>
      </c>
      <c r="C291" s="110"/>
      <c r="D291" s="136"/>
      <c r="E291" s="136"/>
      <c r="F291" s="136"/>
      <c r="G291" s="136"/>
      <c r="H291" s="136"/>
      <c r="I291" s="65"/>
      <c r="J291" s="13"/>
      <c r="K291" s="13"/>
    </row>
    <row r="292" spans="1:11" s="54" customFormat="1" ht="24">
      <c r="A292"/>
      <c r="B292" s="125" t="s">
        <v>1449</v>
      </c>
      <c r="C292" s="110"/>
      <c r="D292" s="136"/>
      <c r="E292" s="136"/>
      <c r="F292" s="136"/>
      <c r="G292" s="136"/>
      <c r="H292" s="136"/>
      <c r="I292" s="65"/>
      <c r="J292" s="13"/>
      <c r="K292" s="13"/>
    </row>
    <row r="293" spans="1:11" s="54" customFormat="1" ht="24">
      <c r="A293"/>
      <c r="B293" s="133" t="s">
        <v>1450</v>
      </c>
      <c r="C293" s="110"/>
      <c r="D293" s="136"/>
      <c r="E293" s="136"/>
      <c r="F293" s="136"/>
      <c r="G293" s="136"/>
      <c r="H293" s="136"/>
      <c r="I293" s="65"/>
      <c r="J293" s="13"/>
      <c r="K293" s="13"/>
    </row>
    <row r="294" spans="1:11" s="54" customFormat="1" ht="24">
      <c r="A294"/>
      <c r="B294" s="133" t="s">
        <v>1451</v>
      </c>
      <c r="C294" s="110"/>
      <c r="D294" s="136"/>
      <c r="E294" s="136"/>
      <c r="F294" s="136"/>
      <c r="G294" s="136"/>
      <c r="H294" s="136"/>
      <c r="I294" s="65"/>
      <c r="J294" s="13"/>
      <c r="K294" s="13"/>
    </row>
    <row r="295" spans="1:11" s="54" customFormat="1" ht="24">
      <c r="A295"/>
      <c r="B295" s="133" t="s">
        <v>1452</v>
      </c>
      <c r="C295" s="110"/>
      <c r="D295" s="136"/>
      <c r="E295" s="136"/>
      <c r="F295" s="136"/>
      <c r="G295" s="136"/>
      <c r="H295" s="136"/>
      <c r="I295" s="65"/>
      <c r="J295" s="13"/>
      <c r="K295" s="13"/>
    </row>
    <row r="296" spans="1:11" s="54" customFormat="1" ht="24">
      <c r="A296"/>
      <c r="B296" s="133" t="s">
        <v>1453</v>
      </c>
      <c r="C296" s="110"/>
      <c r="D296" s="136"/>
      <c r="E296" s="136"/>
      <c r="F296" s="136"/>
      <c r="G296" s="136"/>
      <c r="H296" s="136"/>
      <c r="I296" s="65"/>
      <c r="J296" s="13"/>
      <c r="K296" s="13"/>
    </row>
    <row r="297" spans="1:11" s="54" customFormat="1" ht="24">
      <c r="A297"/>
      <c r="C297"/>
      <c r="D297" s="65"/>
      <c r="E297" s="65"/>
      <c r="F297" s="65"/>
      <c r="G297" s="65"/>
      <c r="H297" s="65"/>
      <c r="I297" s="65"/>
      <c r="J297" s="13"/>
      <c r="K297" s="13"/>
    </row>
    <row r="298" spans="1:11">
      <c r="A298" s="10"/>
    </row>
    <row r="299" spans="1:11" s="52" customFormat="1" ht="32.25" customHeight="1">
      <c r="A299" s="50" t="s">
        <v>1340</v>
      </c>
      <c r="B299" s="183" t="s">
        <v>1454</v>
      </c>
      <c r="C299" s="183"/>
      <c r="D299" s="183"/>
      <c r="E299" s="183"/>
      <c r="F299" s="183"/>
      <c r="G299" s="183"/>
      <c r="H299" s="183"/>
      <c r="I299" s="183"/>
      <c r="J299" s="51"/>
      <c r="K299" s="51"/>
    </row>
    <row r="300" spans="1:11" s="54" customFormat="1" ht="16" customHeight="1">
      <c r="A300" s="64"/>
      <c r="B300" s="65"/>
      <c r="C300" s="65"/>
      <c r="D300" s="65"/>
      <c r="E300" s="65"/>
      <c r="F300" s="65"/>
      <c r="G300" s="65"/>
      <c r="H300" s="65"/>
      <c r="I300" s="65"/>
      <c r="J300" s="13"/>
      <c r="K300" s="13"/>
    </row>
    <row r="301" spans="1:11" s="54" customFormat="1" ht="18.75" customHeight="1">
      <c r="A301" s="74" t="s">
        <v>61</v>
      </c>
      <c r="B301" s="75" t="s">
        <v>1400</v>
      </c>
      <c r="C301" s="76"/>
      <c r="D301" s="65"/>
      <c r="E301" s="65"/>
      <c r="F301" s="65"/>
      <c r="G301" s="65"/>
      <c r="H301" s="65"/>
      <c r="I301" s="65"/>
      <c r="J301" s="13"/>
      <c r="K301" s="13"/>
    </row>
    <row r="302" spans="1:11" s="54" customFormat="1" ht="19">
      <c r="A302" s="74" t="s">
        <v>65</v>
      </c>
      <c r="B302" s="75" t="s">
        <v>1400</v>
      </c>
      <c r="C302" s="75"/>
    </row>
    <row r="303" spans="1:11" s="54" customFormat="1" ht="19">
      <c r="A303" s="75"/>
      <c r="B303" s="75"/>
      <c r="C303" s="75"/>
    </row>
    <row r="304" spans="1:11" s="54" customFormat="1" ht="40">
      <c r="A304" s="131" t="s">
        <v>32</v>
      </c>
      <c r="B304" s="83" t="s">
        <v>69</v>
      </c>
      <c r="C304" s="82" t="s">
        <v>1342</v>
      </c>
    </row>
    <row r="305" spans="1:3" s="54" customFormat="1" ht="19">
      <c r="A305" s="75" t="s">
        <v>142</v>
      </c>
      <c r="B305" s="75"/>
      <c r="C305" s="77"/>
    </row>
    <row r="306" spans="1:3" s="54" customFormat="1" ht="19">
      <c r="A306" s="75"/>
      <c r="B306" s="78">
        <v>1</v>
      </c>
      <c r="C306" s="79">
        <v>20</v>
      </c>
    </row>
    <row r="307" spans="1:3" s="54" customFormat="1" ht="19">
      <c r="A307" s="75"/>
      <c r="B307" s="78">
        <v>2</v>
      </c>
      <c r="C307" s="79">
        <v>20.517241379310345</v>
      </c>
    </row>
    <row r="308" spans="1:3" s="54" customFormat="1" ht="19">
      <c r="A308" s="75"/>
      <c r="B308" s="78">
        <v>3</v>
      </c>
      <c r="C308" s="79">
        <v>30.535714285714285</v>
      </c>
    </row>
    <row r="309" spans="1:3" s="54" customFormat="1" ht="19">
      <c r="A309" s="75"/>
      <c r="B309" s="78">
        <v>4</v>
      </c>
      <c r="C309" s="79">
        <v>32.1</v>
      </c>
    </row>
    <row r="310" spans="1:3" s="54" customFormat="1" ht="19">
      <c r="A310" s="75"/>
      <c r="B310" s="78">
        <v>5</v>
      </c>
      <c r="C310" s="79">
        <v>32.5</v>
      </c>
    </row>
    <row r="311" spans="1:3" s="54" customFormat="1" ht="19">
      <c r="A311" s="75" t="s">
        <v>157</v>
      </c>
      <c r="B311" s="78"/>
      <c r="C311" s="79"/>
    </row>
    <row r="312" spans="1:3" s="54" customFormat="1" ht="19">
      <c r="A312" s="75"/>
      <c r="B312" s="78">
        <v>1</v>
      </c>
      <c r="C312" s="79">
        <v>20</v>
      </c>
    </row>
    <row r="313" spans="1:3" s="54" customFormat="1" ht="19">
      <c r="A313" s="75"/>
      <c r="B313" s="78">
        <v>2</v>
      </c>
      <c r="C313" s="79">
        <v>22.173913043478262</v>
      </c>
    </row>
    <row r="314" spans="1:3" s="54" customFormat="1" ht="19">
      <c r="A314" s="75"/>
      <c r="B314" s="78">
        <v>3</v>
      </c>
      <c r="C314" s="79">
        <v>23.804347826086957</v>
      </c>
    </row>
    <row r="315" spans="1:3" s="54" customFormat="1" ht="19">
      <c r="A315" s="75"/>
      <c r="B315" s="78">
        <v>5</v>
      </c>
      <c r="C315" s="79">
        <v>34.082568807339449</v>
      </c>
    </row>
    <row r="316" spans="1:3" s="54" customFormat="1" ht="19">
      <c r="A316" s="75" t="s">
        <v>173</v>
      </c>
      <c r="B316" s="78"/>
      <c r="C316" s="79"/>
    </row>
    <row r="317" spans="1:3" s="54" customFormat="1" ht="19">
      <c r="A317" s="75"/>
      <c r="B317" s="78">
        <v>1</v>
      </c>
      <c r="C317" s="79">
        <v>20.666666666666668</v>
      </c>
    </row>
    <row r="318" spans="1:3" s="54" customFormat="1" ht="19">
      <c r="A318" s="75"/>
      <c r="B318" s="78">
        <v>2</v>
      </c>
      <c r="C318" s="79">
        <v>23.333333333333332</v>
      </c>
    </row>
    <row r="319" spans="1:3" s="54" customFormat="1" ht="19">
      <c r="A319" s="75"/>
      <c r="B319" s="78">
        <v>3</v>
      </c>
      <c r="C319" s="79">
        <v>26.861313868613138</v>
      </c>
    </row>
    <row r="320" spans="1:3" s="54" customFormat="1" ht="19">
      <c r="A320" s="75"/>
      <c r="B320" s="78">
        <v>4</v>
      </c>
      <c r="C320" s="79">
        <v>45.875</v>
      </c>
    </row>
    <row r="321" spans="1:17" s="54" customFormat="1" ht="19">
      <c r="A321" s="75" t="s">
        <v>149</v>
      </c>
      <c r="B321" s="78"/>
      <c r="C321" s="79"/>
    </row>
    <row r="322" spans="1:17" s="54" customFormat="1" ht="19">
      <c r="A322" s="75"/>
      <c r="B322" s="78">
        <v>1</v>
      </c>
      <c r="C322" s="79">
        <v>20</v>
      </c>
    </row>
    <row r="323" spans="1:17" s="54" customFormat="1" ht="19">
      <c r="A323" s="75"/>
      <c r="B323" s="78">
        <v>2</v>
      </c>
      <c r="C323" s="79">
        <v>23.196721311475411</v>
      </c>
    </row>
    <row r="324" spans="1:17" s="54" customFormat="1" ht="19">
      <c r="A324" s="75"/>
      <c r="B324" s="78">
        <v>3</v>
      </c>
      <c r="C324" s="79">
        <v>30.462962962962962</v>
      </c>
    </row>
    <row r="325" spans="1:17" s="54" customFormat="1" ht="19">
      <c r="A325" s="75"/>
      <c r="B325" s="78">
        <v>4</v>
      </c>
      <c r="C325" s="79">
        <v>29.53125</v>
      </c>
    </row>
    <row r="326" spans="1:17" s="54" customFormat="1" ht="19">
      <c r="A326" s="75"/>
      <c r="B326" s="78">
        <v>5</v>
      </c>
      <c r="C326" s="79">
        <v>40</v>
      </c>
    </row>
    <row r="327" spans="1:17" s="54" customFormat="1" ht="19">
      <c r="A327" s="75" t="s">
        <v>165</v>
      </c>
      <c r="B327" s="78"/>
      <c r="C327" s="79"/>
    </row>
    <row r="328" spans="1:17" s="54" customFormat="1" ht="19">
      <c r="A328" s="75"/>
      <c r="B328" s="78">
        <v>1</v>
      </c>
      <c r="C328" s="79">
        <v>20</v>
      </c>
    </row>
    <row r="329" spans="1:17" s="54" customFormat="1" ht="19">
      <c r="A329" s="75"/>
      <c r="B329" s="78">
        <v>2</v>
      </c>
      <c r="C329" s="79">
        <v>28.170731707317074</v>
      </c>
    </row>
    <row r="330" spans="1:17" s="54" customFormat="1" ht="19">
      <c r="A330" s="75"/>
      <c r="B330" s="78">
        <v>4</v>
      </c>
      <c r="C330" s="79">
        <v>31.944444444444443</v>
      </c>
    </row>
    <row r="331" spans="1:17" s="54" customFormat="1" ht="19">
      <c r="A331" s="75"/>
      <c r="B331" s="78">
        <v>5</v>
      </c>
      <c r="C331" s="79">
        <v>31.741573033707866</v>
      </c>
    </row>
    <row r="332" spans="1:17" s="54" customFormat="1" ht="19">
      <c r="A332" s="75" t="s">
        <v>1357</v>
      </c>
      <c r="B332" s="75"/>
      <c r="C332" s="80">
        <v>29.492031872509958</v>
      </c>
    </row>
    <row r="333" spans="1:17" s="54" customFormat="1"/>
    <row r="334" spans="1:17" s="66" customFormat="1" ht="22">
      <c r="A334" s="55" t="s">
        <v>1343</v>
      </c>
      <c r="B334" s="124" t="s">
        <v>1455</v>
      </c>
      <c r="C334" s="124"/>
      <c r="D334" s="124"/>
      <c r="E334" s="57"/>
      <c r="F334" s="57"/>
      <c r="G334" s="57"/>
      <c r="H334" s="57"/>
      <c r="I334" s="57"/>
      <c r="J334" s="57"/>
      <c r="K334" s="57"/>
      <c r="L334" s="57"/>
    </row>
    <row r="335" spans="1:17" s="45" customFormat="1" ht="22">
      <c r="A335" s="47"/>
      <c r="B335" s="125" t="s">
        <v>1456</v>
      </c>
      <c r="C335" s="125"/>
      <c r="D335" s="125"/>
      <c r="E335" s="48"/>
      <c r="F335" s="48"/>
      <c r="G335" s="48"/>
      <c r="H335" s="48"/>
      <c r="I335" s="48"/>
      <c r="J335" s="46"/>
      <c r="K335" s="46"/>
      <c r="L335" s="46"/>
      <c r="M335" s="47"/>
      <c r="N335" s="47"/>
      <c r="O335" s="47"/>
      <c r="P335" s="47"/>
      <c r="Q335" s="47"/>
    </row>
    <row r="336" spans="1:17" s="45" customFormat="1" ht="22">
      <c r="A336" s="47"/>
      <c r="B336" s="125" t="s">
        <v>1457</v>
      </c>
      <c r="C336" s="125"/>
      <c r="D336" s="125"/>
      <c r="E336" s="48"/>
      <c r="F336" s="48"/>
      <c r="G336" s="48"/>
      <c r="H336" s="48"/>
      <c r="I336" s="48"/>
      <c r="J336" s="46"/>
      <c r="K336" s="46"/>
      <c r="L336" s="46"/>
      <c r="M336" s="47"/>
      <c r="N336" s="47"/>
      <c r="O336" s="47"/>
      <c r="P336" s="47"/>
      <c r="Q336" s="47"/>
    </row>
    <row r="337" spans="1:17" s="45" customFormat="1" ht="22">
      <c r="A337" s="47"/>
      <c r="B337" s="125" t="s">
        <v>1458</v>
      </c>
      <c r="C337" s="125"/>
      <c r="D337" s="125"/>
      <c r="E337" s="48"/>
      <c r="F337" s="48"/>
      <c r="G337" s="48"/>
      <c r="H337" s="48"/>
      <c r="I337" s="48"/>
      <c r="J337" s="46"/>
      <c r="K337" s="46"/>
      <c r="L337" s="46"/>
      <c r="M337" s="47"/>
      <c r="N337" s="47"/>
      <c r="O337" s="47"/>
      <c r="P337" s="47"/>
      <c r="Q337" s="47"/>
    </row>
    <row r="338" spans="1:17" s="45" customFormat="1" ht="22">
      <c r="A338" s="47"/>
      <c r="B338" s="125" t="s">
        <v>1459</v>
      </c>
      <c r="C338" s="125"/>
      <c r="D338" s="125"/>
      <c r="E338" s="48"/>
      <c r="F338" s="48"/>
      <c r="G338" s="48"/>
      <c r="H338" s="48"/>
      <c r="I338" s="48"/>
      <c r="J338" s="46"/>
      <c r="K338" s="46"/>
      <c r="L338" s="46"/>
      <c r="M338" s="47"/>
      <c r="N338" s="47"/>
      <c r="O338" s="47"/>
      <c r="P338" s="47"/>
      <c r="Q338" s="47"/>
    </row>
    <row r="339" spans="1:17" s="45" customFormat="1" ht="22">
      <c r="A339" s="47"/>
      <c r="B339" s="125" t="s">
        <v>1460</v>
      </c>
      <c r="C339" s="125"/>
      <c r="D339" s="125"/>
      <c r="E339" s="48"/>
      <c r="F339" s="48"/>
      <c r="G339" s="48"/>
      <c r="H339" s="48"/>
      <c r="I339" s="48"/>
      <c r="J339" s="46"/>
      <c r="K339" s="46"/>
      <c r="L339" s="46"/>
      <c r="M339" s="47"/>
      <c r="N339" s="47"/>
      <c r="O339" s="47"/>
      <c r="P339" s="47"/>
      <c r="Q339" s="47"/>
    </row>
    <row r="340" spans="1:17" s="45" customFormat="1" ht="22">
      <c r="A340" s="49" t="s">
        <v>1349</v>
      </c>
      <c r="B340" s="125" t="s">
        <v>1461</v>
      </c>
      <c r="C340" s="125"/>
      <c r="D340" s="125"/>
      <c r="E340" s="48"/>
      <c r="F340" s="48"/>
      <c r="G340" s="48"/>
      <c r="H340" s="48"/>
      <c r="I340" s="48"/>
      <c r="J340" s="46"/>
      <c r="K340" s="46"/>
      <c r="L340" s="46"/>
      <c r="M340" s="47"/>
      <c r="N340" s="47"/>
      <c r="O340" s="47"/>
      <c r="P340" s="47"/>
      <c r="Q340" s="47"/>
    </row>
    <row r="341" spans="1:17" s="45" customFormat="1" ht="22">
      <c r="A341" s="47"/>
      <c r="B341" s="125" t="s">
        <v>1462</v>
      </c>
      <c r="C341" s="125"/>
      <c r="D341" s="125"/>
      <c r="E341" s="48"/>
      <c r="F341" s="48"/>
      <c r="G341" s="48"/>
      <c r="H341" s="48"/>
      <c r="I341" s="48"/>
      <c r="J341" s="46"/>
      <c r="K341" s="46"/>
      <c r="L341" s="46"/>
      <c r="M341" s="47"/>
      <c r="N341" s="47"/>
      <c r="O341" s="47"/>
      <c r="P341" s="47"/>
      <c r="Q341" s="47"/>
    </row>
    <row r="342" spans="1:17" s="45" customFormat="1" ht="22">
      <c r="A342" s="47"/>
      <c r="B342" s="125" t="s">
        <v>1463</v>
      </c>
      <c r="C342" s="125"/>
      <c r="D342" s="125"/>
      <c r="E342" s="48"/>
      <c r="F342" s="48"/>
      <c r="G342" s="48"/>
      <c r="H342" s="48"/>
      <c r="I342" s="48"/>
      <c r="J342" s="48"/>
      <c r="K342" s="48"/>
      <c r="L342" s="48"/>
      <c r="M342" s="135"/>
      <c r="N342" s="135"/>
      <c r="O342" s="135"/>
      <c r="P342" s="135"/>
      <c r="Q342" s="47"/>
    </row>
    <row r="343" spans="1:17">
      <c r="A343" s="10"/>
    </row>
    <row r="345" spans="1:17" s="52" customFormat="1" ht="33.75" customHeight="1">
      <c r="A345" s="99" t="s">
        <v>1340</v>
      </c>
      <c r="B345" s="183" t="s">
        <v>1464</v>
      </c>
      <c r="C345" s="183"/>
      <c r="D345" s="183"/>
      <c r="E345" s="183"/>
      <c r="F345" s="183"/>
      <c r="G345" s="183"/>
      <c r="H345" s="183"/>
      <c r="I345" s="183"/>
      <c r="J345" s="51"/>
      <c r="K345" s="51"/>
    </row>
    <row r="347" spans="1:17" s="88" customFormat="1" ht="20">
      <c r="A347" s="132" t="s">
        <v>78</v>
      </c>
      <c r="B347" s="119" t="s">
        <v>1618</v>
      </c>
      <c r="C347" s="119" t="s">
        <v>1617</v>
      </c>
    </row>
    <row r="348" spans="1:17" ht="20">
      <c r="A348" s="120" t="s">
        <v>161</v>
      </c>
      <c r="B348" s="121">
        <v>278</v>
      </c>
      <c r="C348" s="121">
        <v>1</v>
      </c>
    </row>
    <row r="349" spans="1:17" ht="20">
      <c r="A349" s="120" t="s">
        <v>143</v>
      </c>
      <c r="B349" s="121">
        <v>398</v>
      </c>
      <c r="C349" s="121">
        <v>44</v>
      </c>
    </row>
    <row r="350" spans="1:17" ht="20">
      <c r="A350" s="120" t="s">
        <v>153</v>
      </c>
      <c r="B350" s="121">
        <v>328</v>
      </c>
      <c r="C350" s="121">
        <v>165</v>
      </c>
    </row>
    <row r="351" spans="1:17" ht="20">
      <c r="A351" s="120" t="s">
        <v>1357</v>
      </c>
      <c r="B351" s="121">
        <v>1004</v>
      </c>
      <c r="C351" s="121">
        <v>210</v>
      </c>
    </row>
    <row r="375" spans="1:12" ht="22">
      <c r="A375" s="55" t="s">
        <v>1343</v>
      </c>
      <c r="B375" s="122" t="s">
        <v>1465</v>
      </c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</row>
    <row r="376" spans="1:12" ht="19">
      <c r="A376" s="47"/>
      <c r="B376" s="122" t="s">
        <v>1466</v>
      </c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</row>
    <row r="377" spans="1:12" ht="19">
      <c r="A377" s="47"/>
      <c r="B377" s="122" t="s">
        <v>1467</v>
      </c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</row>
    <row r="378" spans="1:12" ht="19">
      <c r="A378" s="47"/>
      <c r="B378" s="122" t="s">
        <v>1468</v>
      </c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</row>
    <row r="379" spans="1:12" ht="19">
      <c r="A379" s="47"/>
      <c r="B379" s="122" t="s">
        <v>1469</v>
      </c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</row>
    <row r="380" spans="1:12" ht="22">
      <c r="A380" s="49" t="s">
        <v>1349</v>
      </c>
      <c r="B380" s="122" t="s">
        <v>1470</v>
      </c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</row>
    <row r="381" spans="1:12" ht="19">
      <c r="A381" s="47"/>
      <c r="B381" s="122" t="s">
        <v>1471</v>
      </c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</row>
    <row r="382" spans="1:12" ht="19">
      <c r="A382" s="47"/>
      <c r="B382" s="123" t="s">
        <v>1472</v>
      </c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</row>
    <row r="383" spans="1:12" ht="19">
      <c r="A383" s="47"/>
      <c r="B383" s="122" t="s">
        <v>1473</v>
      </c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</row>
    <row r="384" spans="1:12" ht="19">
      <c r="A384" s="47"/>
      <c r="B384" s="123" t="s">
        <v>1474</v>
      </c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</row>
    <row r="385" spans="1:12" ht="19">
      <c r="A385" s="47"/>
      <c r="B385" s="122" t="s">
        <v>1475</v>
      </c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</row>
    <row r="386" spans="1:12" ht="19">
      <c r="A386" s="47"/>
      <c r="B386" s="123" t="s">
        <v>1476</v>
      </c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</row>
    <row r="387" spans="1:12" ht="19">
      <c r="A387" s="47"/>
      <c r="B387" s="123" t="s">
        <v>1477</v>
      </c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</row>
    <row r="388" spans="1:12" ht="19">
      <c r="A388" s="47"/>
      <c r="B388" s="122" t="s">
        <v>1478</v>
      </c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</row>
    <row r="389" spans="1:12" ht="19">
      <c r="A389" s="47"/>
      <c r="B389" s="122" t="s">
        <v>1479</v>
      </c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</row>
    <row r="390" spans="1:12" ht="19">
      <c r="A390" s="47"/>
      <c r="B390" s="122" t="s">
        <v>1480</v>
      </c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</row>
    <row r="393" spans="1:12" s="52" customFormat="1" ht="33.75" customHeight="1">
      <c r="A393" s="99" t="s">
        <v>1340</v>
      </c>
      <c r="B393" s="183" t="s">
        <v>1481</v>
      </c>
      <c r="C393" s="183"/>
      <c r="D393" s="183"/>
      <c r="E393" s="183"/>
      <c r="F393" s="183"/>
      <c r="G393" s="183"/>
      <c r="H393" s="183"/>
      <c r="I393" s="183"/>
      <c r="J393" s="51"/>
      <c r="K393" s="51"/>
    </row>
    <row r="395" spans="1:12" ht="22">
      <c r="A395" s="111" t="s">
        <v>32</v>
      </c>
      <c r="B395" s="112" t="s">
        <v>1400</v>
      </c>
      <c r="C395" s="112"/>
      <c r="D395" s="117"/>
    </row>
    <row r="396" spans="1:12" ht="22">
      <c r="A396" s="112"/>
      <c r="B396" s="112"/>
      <c r="C396" s="112"/>
      <c r="D396" s="117"/>
    </row>
    <row r="397" spans="1:12" s="88" customFormat="1" ht="28" customHeight="1">
      <c r="A397" s="129" t="s">
        <v>86</v>
      </c>
      <c r="B397" s="119" t="s">
        <v>1618</v>
      </c>
      <c r="C397" s="119" t="s">
        <v>1617</v>
      </c>
      <c r="D397" s="118"/>
    </row>
    <row r="398" spans="1:12" ht="22">
      <c r="A398" s="115" t="s">
        <v>1482</v>
      </c>
      <c r="B398" s="112">
        <v>55</v>
      </c>
      <c r="C398" s="112">
        <v>1</v>
      </c>
      <c r="D398" s="117"/>
    </row>
    <row r="399" spans="1:12" ht="22">
      <c r="A399" s="115" t="s">
        <v>1356</v>
      </c>
      <c r="B399" s="112">
        <v>949</v>
      </c>
      <c r="C399" s="112">
        <v>209</v>
      </c>
      <c r="D399" s="117"/>
    </row>
    <row r="400" spans="1:12" ht="22">
      <c r="A400" s="115" t="s">
        <v>1357</v>
      </c>
      <c r="B400" s="112">
        <v>1004</v>
      </c>
      <c r="C400" s="112">
        <v>210</v>
      </c>
      <c r="D400" s="117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8">
      <c r="A417" s="10"/>
    </row>
    <row r="418" spans="1:8">
      <c r="A418" s="10"/>
    </row>
    <row r="420" spans="1:8" ht="22">
      <c r="A420" s="55" t="s">
        <v>1343</v>
      </c>
      <c r="B420" s="123" t="s">
        <v>1483</v>
      </c>
      <c r="C420" s="134"/>
      <c r="D420" s="134"/>
      <c r="E420" s="134"/>
      <c r="F420" s="134"/>
      <c r="G420" s="134"/>
      <c r="H420" s="134"/>
    </row>
    <row r="421" spans="1:8" ht="19">
      <c r="A421" s="47"/>
      <c r="B421" s="123" t="s">
        <v>1484</v>
      </c>
      <c r="C421" s="134"/>
      <c r="D421" s="134"/>
      <c r="E421" s="134"/>
      <c r="F421" s="134"/>
      <c r="G421" s="134"/>
      <c r="H421" s="134"/>
    </row>
    <row r="422" spans="1:8" ht="19">
      <c r="A422" s="47"/>
      <c r="B422" s="123" t="s">
        <v>1485</v>
      </c>
      <c r="C422" s="134"/>
      <c r="D422" s="134"/>
      <c r="E422" s="134"/>
      <c r="F422" s="134"/>
      <c r="G422" s="134"/>
      <c r="H422" s="134"/>
    </row>
    <row r="423" spans="1:8" ht="19">
      <c r="A423" s="47"/>
      <c r="B423" s="122" t="s">
        <v>1486</v>
      </c>
      <c r="C423" s="134"/>
      <c r="D423" s="134"/>
      <c r="E423" s="134"/>
      <c r="F423" s="134"/>
      <c r="G423" s="134"/>
      <c r="H423" s="134"/>
    </row>
    <row r="424" spans="1:8" ht="19">
      <c r="A424" s="47"/>
      <c r="B424" s="122" t="s">
        <v>1487</v>
      </c>
      <c r="C424" s="134"/>
      <c r="D424" s="134"/>
      <c r="E424" s="134"/>
      <c r="F424" s="134"/>
      <c r="G424" s="134"/>
      <c r="H424" s="134"/>
    </row>
    <row r="425" spans="1:8" ht="19">
      <c r="A425" s="47"/>
      <c r="B425" s="123" t="s">
        <v>1488</v>
      </c>
      <c r="C425" s="134"/>
      <c r="D425" s="134"/>
      <c r="E425" s="134"/>
      <c r="F425" s="134"/>
      <c r="G425" s="134"/>
      <c r="H425" s="134"/>
    </row>
    <row r="426" spans="1:8" ht="22">
      <c r="A426" s="49" t="s">
        <v>1349</v>
      </c>
      <c r="B426" s="122" t="s">
        <v>1489</v>
      </c>
      <c r="C426" s="134"/>
      <c r="D426" s="134"/>
      <c r="E426" s="134"/>
      <c r="F426" s="134"/>
      <c r="G426" s="134"/>
      <c r="H426" s="134"/>
    </row>
    <row r="427" spans="1:8" ht="19">
      <c r="A427" s="47"/>
      <c r="B427" s="122" t="s">
        <v>1490</v>
      </c>
      <c r="C427" s="134"/>
      <c r="D427" s="134"/>
      <c r="E427" s="134"/>
      <c r="F427" s="134"/>
      <c r="G427" s="134"/>
      <c r="H427" s="134"/>
    </row>
    <row r="428" spans="1:8" ht="19">
      <c r="A428" s="47"/>
      <c r="B428" s="122" t="s">
        <v>1491</v>
      </c>
      <c r="C428" s="134"/>
      <c r="D428" s="134"/>
      <c r="E428" s="134"/>
      <c r="F428" s="134"/>
      <c r="G428" s="134"/>
      <c r="H428" s="134"/>
    </row>
    <row r="429" spans="1:8" ht="19">
      <c r="B429" s="122" t="s">
        <v>1492</v>
      </c>
      <c r="C429" s="134"/>
      <c r="D429" s="134"/>
      <c r="E429" s="134"/>
      <c r="F429" s="134"/>
      <c r="G429" s="134"/>
      <c r="H429" s="134"/>
    </row>
    <row r="430" spans="1:8" ht="19">
      <c r="B430" s="123" t="s">
        <v>1493</v>
      </c>
      <c r="C430" s="134"/>
      <c r="D430" s="134"/>
      <c r="E430" s="134"/>
      <c r="F430" s="134"/>
      <c r="G430" s="134"/>
      <c r="H430" s="134"/>
    </row>
    <row r="431" spans="1:8" ht="19">
      <c r="B431" s="123" t="s">
        <v>1494</v>
      </c>
      <c r="C431" s="134"/>
      <c r="D431" s="134"/>
      <c r="E431" s="134"/>
      <c r="F431" s="134"/>
      <c r="G431" s="134"/>
      <c r="H431" s="134"/>
    </row>
    <row r="432" spans="1:8" ht="19">
      <c r="B432" s="122" t="s">
        <v>1495</v>
      </c>
      <c r="C432" s="134"/>
      <c r="D432" s="134"/>
      <c r="E432" s="134"/>
      <c r="F432" s="134"/>
      <c r="G432" s="134"/>
      <c r="H432" s="134"/>
    </row>
    <row r="433" spans="1:11" ht="19">
      <c r="B433" s="122" t="s">
        <v>1496</v>
      </c>
      <c r="C433" s="134"/>
      <c r="D433" s="134"/>
      <c r="E433" s="134"/>
      <c r="F433" s="134"/>
      <c r="G433" s="134"/>
      <c r="H433" s="134"/>
    </row>
    <row r="434" spans="1:11" ht="19">
      <c r="B434" s="122" t="s">
        <v>1497</v>
      </c>
      <c r="C434" s="134"/>
      <c r="D434" s="134"/>
      <c r="E434" s="134"/>
      <c r="F434" s="134"/>
      <c r="G434" s="134"/>
      <c r="H434" s="134"/>
    </row>
    <row r="435" spans="1:11" ht="10" customHeight="1"/>
    <row r="437" spans="1:11" s="52" customFormat="1" ht="33.75" customHeight="1">
      <c r="A437" s="99" t="s">
        <v>1340</v>
      </c>
      <c r="B437" s="100" t="s">
        <v>1498</v>
      </c>
      <c r="C437" s="100"/>
      <c r="D437" s="100"/>
      <c r="E437" s="100"/>
      <c r="F437" s="100"/>
      <c r="G437" s="100"/>
      <c r="H437" s="100"/>
      <c r="I437" s="100"/>
      <c r="J437" s="51"/>
      <c r="K437" s="51"/>
    </row>
    <row r="439" spans="1:11" ht="22">
      <c r="A439" s="116" t="s">
        <v>32</v>
      </c>
      <c r="B439" s="117" t="s">
        <v>1400</v>
      </c>
      <c r="C439" s="117"/>
    </row>
    <row r="440" spans="1:11" ht="22">
      <c r="A440" s="117"/>
      <c r="B440" s="117"/>
      <c r="C440" s="117"/>
    </row>
    <row r="441" spans="1:11" s="88" customFormat="1" ht="24" customHeight="1">
      <c r="A441" s="129" t="s">
        <v>91</v>
      </c>
      <c r="B441" s="119" t="s">
        <v>1618</v>
      </c>
      <c r="C441" s="119" t="s">
        <v>1617</v>
      </c>
    </row>
    <row r="442" spans="1:11" ht="19">
      <c r="A442" s="115" t="s">
        <v>1482</v>
      </c>
      <c r="B442" s="112">
        <v>718</v>
      </c>
      <c r="C442" s="112">
        <v>148</v>
      </c>
    </row>
    <row r="443" spans="1:11" ht="19">
      <c r="A443" s="115" t="s">
        <v>1356</v>
      </c>
      <c r="B443" s="112">
        <v>286</v>
      </c>
      <c r="C443" s="112">
        <v>62</v>
      </c>
    </row>
    <row r="444" spans="1:11" ht="19">
      <c r="A444" s="115" t="s">
        <v>1357</v>
      </c>
      <c r="B444" s="112">
        <v>1004</v>
      </c>
      <c r="C444" s="112">
        <v>210</v>
      </c>
    </row>
    <row r="445" spans="1:11" ht="19">
      <c r="A445" s="112"/>
      <c r="B445" s="112"/>
      <c r="C445" s="112"/>
    </row>
    <row r="452" s="54" customFormat="1"/>
    <row r="467" spans="1:11" ht="22">
      <c r="A467" s="55" t="s">
        <v>1343</v>
      </c>
      <c r="B467" s="122" t="s">
        <v>1499</v>
      </c>
      <c r="C467" s="122"/>
      <c r="D467" s="122"/>
      <c r="E467" s="122"/>
      <c r="F467" s="122"/>
      <c r="G467" s="122"/>
      <c r="H467" s="122"/>
      <c r="I467" s="122"/>
      <c r="J467" s="122"/>
      <c r="K467" s="110"/>
    </row>
    <row r="468" spans="1:11" ht="19">
      <c r="A468" s="47"/>
      <c r="B468" s="123" t="s">
        <v>1500</v>
      </c>
      <c r="C468" s="122"/>
      <c r="D468" s="122"/>
      <c r="E468" s="122"/>
      <c r="F468" s="122"/>
      <c r="G468" s="122"/>
      <c r="H468" s="122"/>
      <c r="I468" s="122"/>
      <c r="J468" s="122"/>
      <c r="K468" s="110"/>
    </row>
    <row r="469" spans="1:11" ht="19">
      <c r="A469" s="47"/>
      <c r="B469" s="123" t="s">
        <v>1501</v>
      </c>
      <c r="C469" s="122"/>
      <c r="D469" s="122"/>
      <c r="E469" s="122"/>
      <c r="F469" s="122"/>
      <c r="G469" s="122"/>
      <c r="H469" s="122"/>
      <c r="I469" s="122"/>
      <c r="J469" s="122"/>
      <c r="K469" s="110"/>
    </row>
    <row r="470" spans="1:11" ht="19">
      <c r="A470" s="47"/>
      <c r="B470" s="122" t="s">
        <v>1502</v>
      </c>
      <c r="C470" s="122"/>
      <c r="D470" s="122"/>
      <c r="E470" s="122"/>
      <c r="F470" s="122"/>
      <c r="G470" s="122"/>
      <c r="H470" s="122"/>
      <c r="I470" s="122"/>
      <c r="J470" s="122"/>
      <c r="K470" s="110"/>
    </row>
    <row r="471" spans="1:11" ht="19">
      <c r="A471" s="47"/>
      <c r="B471" s="123" t="s">
        <v>1503</v>
      </c>
      <c r="C471" s="122"/>
      <c r="D471" s="122"/>
      <c r="E471" s="122"/>
      <c r="F471" s="122"/>
      <c r="G471" s="122"/>
      <c r="H471" s="122"/>
      <c r="I471" s="122"/>
      <c r="J471" s="122"/>
      <c r="K471" s="110"/>
    </row>
    <row r="472" spans="1:11" ht="19">
      <c r="A472" s="47"/>
      <c r="B472" s="123" t="s">
        <v>1504</v>
      </c>
      <c r="C472" s="122"/>
      <c r="D472" s="122"/>
      <c r="E472" s="122"/>
      <c r="F472" s="122"/>
      <c r="G472" s="122"/>
      <c r="H472" s="122"/>
      <c r="I472" s="122"/>
      <c r="J472" s="122"/>
      <c r="K472" s="110"/>
    </row>
    <row r="473" spans="1:11" ht="19">
      <c r="B473" s="122" t="s">
        <v>1505</v>
      </c>
      <c r="C473" s="122"/>
      <c r="D473" s="122"/>
      <c r="E473" s="122"/>
      <c r="F473" s="122"/>
      <c r="G473" s="122"/>
      <c r="H473" s="122"/>
      <c r="I473" s="122"/>
      <c r="J473" s="122"/>
      <c r="K473" s="110"/>
    </row>
    <row r="474" spans="1:11" ht="22">
      <c r="A474" s="49" t="s">
        <v>1349</v>
      </c>
      <c r="B474" s="122" t="s">
        <v>1506</v>
      </c>
      <c r="C474" s="122"/>
      <c r="D474" s="122"/>
      <c r="E474" s="122"/>
      <c r="F474" s="122"/>
      <c r="G474" s="122"/>
      <c r="H474" s="122"/>
      <c r="I474" s="122"/>
      <c r="J474" s="122"/>
      <c r="K474" s="110"/>
    </row>
    <row r="475" spans="1:11" ht="19">
      <c r="A475" s="47"/>
      <c r="B475" s="123" t="s">
        <v>1507</v>
      </c>
      <c r="C475" s="122"/>
      <c r="D475" s="122"/>
      <c r="E475" s="122"/>
      <c r="F475" s="122"/>
      <c r="G475" s="122"/>
      <c r="H475" s="122"/>
      <c r="I475" s="122"/>
      <c r="J475" s="122"/>
      <c r="K475" s="110"/>
    </row>
    <row r="476" spans="1:11" ht="19">
      <c r="B476" s="123" t="s">
        <v>1508</v>
      </c>
      <c r="C476" s="122"/>
      <c r="D476" s="122"/>
      <c r="E476" s="122"/>
      <c r="F476" s="122"/>
      <c r="G476" s="122"/>
      <c r="H476" s="122"/>
      <c r="I476" s="122"/>
      <c r="J476" s="122"/>
      <c r="K476" s="110"/>
    </row>
    <row r="477" spans="1:11" ht="19">
      <c r="B477" s="122" t="s">
        <v>1509</v>
      </c>
      <c r="C477" s="122"/>
      <c r="D477" s="122"/>
      <c r="E477" s="122"/>
      <c r="F477" s="122"/>
      <c r="G477" s="122"/>
      <c r="H477" s="122"/>
      <c r="I477" s="122"/>
      <c r="J477" s="122"/>
      <c r="K477" s="110"/>
    </row>
    <row r="478" spans="1:11" ht="19">
      <c r="B478" s="123" t="s">
        <v>1510</v>
      </c>
      <c r="C478" s="122"/>
      <c r="D478" s="122"/>
      <c r="E478" s="122"/>
      <c r="F478" s="122"/>
      <c r="G478" s="122"/>
      <c r="H478" s="122"/>
      <c r="I478" s="122"/>
      <c r="J478" s="122"/>
      <c r="K478" s="110"/>
    </row>
    <row r="479" spans="1:11" ht="19">
      <c r="B479" s="123" t="s">
        <v>1511</v>
      </c>
      <c r="C479" s="122"/>
      <c r="D479" s="122"/>
      <c r="E479" s="122"/>
      <c r="F479" s="122"/>
      <c r="G479" s="122"/>
      <c r="H479" s="122"/>
      <c r="I479" s="122"/>
      <c r="J479" s="122"/>
      <c r="K479" s="110"/>
    </row>
    <row r="480" spans="1:11" ht="19">
      <c r="B480" s="122" t="s">
        <v>1512</v>
      </c>
      <c r="C480" s="122"/>
      <c r="D480" s="122"/>
      <c r="E480" s="122"/>
      <c r="F480" s="122"/>
      <c r="G480" s="122"/>
      <c r="H480" s="122"/>
      <c r="I480" s="122"/>
      <c r="J480" s="122"/>
      <c r="K480" s="110"/>
    </row>
    <row r="481" spans="2:11" ht="19">
      <c r="B481" s="122" t="s">
        <v>1513</v>
      </c>
      <c r="C481" s="122"/>
      <c r="D481" s="122"/>
      <c r="E481" s="122"/>
      <c r="F481" s="122"/>
      <c r="G481" s="122"/>
      <c r="H481" s="122"/>
      <c r="I481" s="122"/>
      <c r="J481" s="122"/>
      <c r="K481" s="110"/>
    </row>
    <row r="482" spans="2:11" ht="19">
      <c r="B482" s="122" t="s">
        <v>1514</v>
      </c>
      <c r="C482" s="122"/>
      <c r="D482" s="122"/>
      <c r="E482" s="122"/>
      <c r="F482" s="122"/>
      <c r="G482" s="122"/>
      <c r="H482" s="122"/>
      <c r="I482" s="122"/>
      <c r="J482" s="122"/>
      <c r="K482" s="110"/>
    </row>
    <row r="483" spans="2:11" ht="19">
      <c r="B483" s="122" t="s">
        <v>1515</v>
      </c>
      <c r="C483" s="122"/>
      <c r="D483" s="122"/>
      <c r="E483" s="122"/>
      <c r="F483" s="122"/>
      <c r="G483" s="122"/>
      <c r="H483" s="122"/>
      <c r="I483" s="122"/>
      <c r="J483" s="122"/>
      <c r="K483" s="110"/>
    </row>
    <row r="484" spans="2:11" ht="19">
      <c r="B484" s="91"/>
      <c r="C484" s="91"/>
      <c r="D484" s="91"/>
      <c r="E484" s="91"/>
      <c r="F484" s="91"/>
      <c r="G484" s="91"/>
      <c r="H484" s="91"/>
      <c r="I484" s="91"/>
      <c r="J484" s="91"/>
    </row>
  </sheetData>
  <mergeCells count="8">
    <mergeCell ref="B299:I299"/>
    <mergeCell ref="B393:I393"/>
    <mergeCell ref="B242:I242"/>
    <mergeCell ref="B32:I32"/>
    <mergeCell ref="B1:I1"/>
    <mergeCell ref="B70:I70"/>
    <mergeCell ref="B191:I191"/>
    <mergeCell ref="B345:I345"/>
  </mergeCells>
  <conditionalFormatting pivot="1" sqref="B38 B39 B40 B41 B42 B43 B44 B45 B46 B47 B48 B49">
    <cfRule type="colorScale" priority="63">
      <colorScale>
        <cfvo type="min"/>
        <cfvo type="max"/>
        <color rgb="FFFCFCFF"/>
        <color rgb="FF63BE7B"/>
      </colorScale>
    </cfRule>
  </conditionalFormatting>
  <conditionalFormatting sqref="B3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B5 B6 B7 B8 B9 B10 B11 B12 B13 B14 B15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B4:B15">
    <cfRule type="colorScale" priority="32">
      <colorScale>
        <cfvo type="min"/>
        <cfvo type="num" val="30"/>
        <cfvo type="num" val="30.01"/>
        <color rgb="FF63BE7B"/>
        <color theme="9" tint="0.59999389629810485"/>
        <color rgb="FFF8696B"/>
      </colorScale>
    </cfRule>
  </conditionalFormatting>
  <conditionalFormatting pivot="1" sqref="B8">
    <cfRule type="colorScale" priority="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C145:C149 C150 C151:C155 C156 C157:C162 C163 C164:C167 C168 C169:C17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145:C149 C150 C151:C155 C156 C157:C162 C163 C164:C167 C168 C169:C173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C145:C149 C144 C150 C151:C155 C156 C157:C162 C163 C164:C167 C168 C169:C173">
    <cfRule type="colorScale" priority="29">
      <colorScale>
        <cfvo type="min"/>
        <cfvo type="max"/>
        <color rgb="FF63BE7B"/>
        <color rgb="FFFCFCFF"/>
      </colorScale>
    </cfRule>
  </conditionalFormatting>
  <conditionalFormatting pivot="1" sqref="C145:C149 C144 C150 C151:C155 C156 C157:C162 C163 C164:C167 C168 C169:C173">
    <cfRule type="colorScale" priority="28">
      <colorScale>
        <cfvo type="min"/>
        <cfvo type="max"/>
        <color rgb="FFFCFCFF"/>
        <color rgb="FF63BE7B"/>
      </colorScale>
    </cfRule>
  </conditionalFormatting>
  <conditionalFormatting pivot="1" sqref="C145:C149 C144 C150 C151:C155 C156 C157:C162 C163 C164:C167 C168 C169:C173">
    <cfRule type="colorScale" priority="27">
      <colorScale>
        <cfvo type="min"/>
        <cfvo type="max"/>
        <color rgb="FFFFEF9C"/>
        <color rgb="FF63BE7B"/>
      </colorScale>
    </cfRule>
  </conditionalFormatting>
  <conditionalFormatting pivot="1" sqref="C145:C149 C144 C150 C151:C155 C156 C157:C162 C163 C164:C167 C168 C169:C173">
    <cfRule type="colorScale" priority="26">
      <colorScale>
        <cfvo type="min"/>
        <cfvo type="max"/>
        <color rgb="FF63BE7B"/>
        <color rgb="FFFFEF9C"/>
      </colorScale>
    </cfRule>
  </conditionalFormatting>
  <conditionalFormatting pivot="1" sqref="C145:C149 C144 C150 C151:C155 C156 C157:C162 C163 C164:C167 C168 C169:C17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145:C149 C144 C150 C151:C155 C156 C157:C162 C163 C164:C167 C168 C169:C173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145:C149 C150 C151:C155 C156 C157:C162 C163 C164:C167 C168 C169:C173">
    <cfRule type="colorScale" priority="23">
      <colorScale>
        <cfvo type="min"/>
        <cfvo type="max"/>
        <color rgb="FF00B050"/>
        <color rgb="FFFF0000"/>
      </colorScale>
    </cfRule>
  </conditionalFormatting>
  <conditionalFormatting pivot="1" sqref="C145:C149 C150 C151:C155 C156 C157:C162 C163 C164:C167 C168 C169:C17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C145:C149 C150 C151:C155 C156 C157:C162 C163 C164:C167 C168 C169:C173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B38 B39 B40 B41 B42 B43 B44 B45 B46 B47 B48 B49">
    <cfRule type="colorScale" priority="20">
      <colorScale>
        <cfvo type="min"/>
        <cfvo type="max"/>
        <color rgb="FFFCFCFF"/>
        <color rgb="FFF8696B"/>
      </colorScale>
    </cfRule>
  </conditionalFormatting>
  <conditionalFormatting pivot="1" sqref="C306:C310 C311 C312:C315 C316 C317:C320 C321 C322:C326 C327 C328:C331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C306:C310 C311 C312:C315 C316 C317:C320 C321 C322:C326 C327 C328:C331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B74:B85">
    <cfRule type="colorScale" priority="15">
      <colorScale>
        <cfvo type="min"/>
        <cfvo type="max"/>
        <color rgb="FFFCFCFF"/>
        <color rgb="FF63BE7B"/>
      </colorScale>
    </cfRule>
  </conditionalFormatting>
  <conditionalFormatting pivot="1" sqref="C74:C85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B194:B201">
    <cfRule type="colorScale" priority="12">
      <colorScale>
        <cfvo type="min"/>
        <cfvo type="max"/>
        <color rgb="FFFCFCFF"/>
        <color rgb="FF63BE7B"/>
      </colorScale>
    </cfRule>
  </conditionalFormatting>
  <conditionalFormatting pivot="1" sqref="C194:C201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B245:B269">
    <cfRule type="colorScale" priority="10">
      <colorScale>
        <cfvo type="min"/>
        <cfvo type="max"/>
        <color rgb="FFFCFCFF"/>
        <color rgb="FF63BE7B"/>
      </colorScale>
    </cfRule>
  </conditionalFormatting>
  <conditionalFormatting pivot="1" sqref="C245:C269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B348:B350">
    <cfRule type="colorScale" priority="7">
      <colorScale>
        <cfvo type="min"/>
        <cfvo type="max"/>
        <color rgb="FFFCFCFF"/>
        <color rgb="FF63BE7B"/>
      </colorScale>
    </cfRule>
  </conditionalFormatting>
  <conditionalFormatting pivot="1" sqref="C348:C350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C348:C350">
    <cfRule type="colorScale" priority="5">
      <colorScale>
        <cfvo type="min"/>
        <cfvo type="percentile" val="20"/>
        <cfvo type="max"/>
        <color rgb="FF00B050"/>
        <color rgb="FFFFA3A2"/>
        <color rgb="FFFF0000"/>
      </colorScale>
    </cfRule>
  </conditionalFormatting>
  <conditionalFormatting pivot="1" sqref="B398:B399">
    <cfRule type="colorScale" priority="4">
      <colorScale>
        <cfvo type="min"/>
        <cfvo type="max"/>
        <color rgb="FFFCFCFF"/>
        <color rgb="FF63BE7B"/>
      </colorScale>
    </cfRule>
  </conditionalFormatting>
  <conditionalFormatting pivot="1" sqref="C398:C399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pivot="1" sqref="B442:B443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C442:C443">
    <cfRule type="colorScale" priority="1">
      <colorScale>
        <cfvo type="min"/>
        <cfvo type="max"/>
        <color rgb="FFFFA3A2"/>
        <color rgb="FFF8696B"/>
      </colorScale>
    </cfRule>
  </conditionalFormatting>
  <pageMargins left="0.7" right="0.7" top="0.75" bottom="0.75" header="0.3" footer="0.3"/>
  <pageSetup paperSize="8" orientation="landscape" horizontalDpi="300" verticalDpi="300" r:id="rId11"/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1DEC-C6C3-434C-BFD2-D8B53D031A8D}">
  <dimension ref="A1:S82"/>
  <sheetViews>
    <sheetView showGridLines="0" topLeftCell="A57" zoomScale="50" zoomScaleNormal="100" workbookViewId="0">
      <selection activeCell="M93" sqref="M93"/>
    </sheetView>
  </sheetViews>
  <sheetFormatPr baseColWidth="10" defaultColWidth="8.83203125" defaultRowHeight="15"/>
  <cols>
    <col min="10" max="10" width="4.1640625" customWidth="1"/>
    <col min="11" max="11" width="26.33203125" customWidth="1"/>
    <col min="12" max="12" width="27.1640625" customWidth="1"/>
    <col min="13" max="13" width="21.5" customWidth="1"/>
  </cols>
  <sheetData>
    <row r="1" spans="1:15" s="98" customFormat="1" ht="31" customHeight="1">
      <c r="A1" s="184" t="s">
        <v>1516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6" spans="1:15" ht="16">
      <c r="L6" s="11"/>
      <c r="N6" s="9"/>
    </row>
    <row r="7" spans="1:15" ht="16" thickBot="1"/>
    <row r="8" spans="1:15" s="140" customFormat="1" ht="20">
      <c r="K8" s="141"/>
      <c r="L8" s="141" t="s">
        <v>56</v>
      </c>
      <c r="M8" s="141" t="s">
        <v>74</v>
      </c>
      <c r="N8" s="119"/>
      <c r="O8" s="119"/>
    </row>
    <row r="9" spans="1:15" ht="19">
      <c r="K9" s="112" t="s">
        <v>56</v>
      </c>
      <c r="L9" s="112">
        <v>1</v>
      </c>
      <c r="M9" s="112"/>
      <c r="N9" s="112"/>
      <c r="O9" s="112"/>
    </row>
    <row r="10" spans="1:15" ht="20" thickBot="1">
      <c r="K10" s="142" t="s">
        <v>74</v>
      </c>
      <c r="L10" s="142">
        <v>0.91334494461329396</v>
      </c>
      <c r="M10" s="142">
        <v>1</v>
      </c>
      <c r="N10" s="112"/>
      <c r="O10" s="112"/>
    </row>
    <row r="11" spans="1:15" ht="19">
      <c r="K11" s="112"/>
      <c r="L11" s="112"/>
      <c r="M11" s="112"/>
      <c r="N11" s="112"/>
      <c r="O11" s="112"/>
    </row>
    <row r="12" spans="1:15" ht="19">
      <c r="K12" s="112"/>
      <c r="L12" s="112"/>
      <c r="M12" s="112"/>
      <c r="N12" s="112"/>
      <c r="O12" s="112"/>
    </row>
    <row r="13" spans="1:15" ht="19">
      <c r="K13" s="143" t="s">
        <v>1517</v>
      </c>
      <c r="L13" s="143">
        <f>L10</f>
        <v>0.91334494461329396</v>
      </c>
      <c r="M13" s="112"/>
      <c r="N13" s="112"/>
      <c r="O13" s="112"/>
    </row>
    <row r="14" spans="1:15" ht="19">
      <c r="K14" s="144" t="s">
        <v>1518</v>
      </c>
      <c r="L14" s="112"/>
      <c r="M14" s="112"/>
      <c r="N14" s="112"/>
      <c r="O14" s="112"/>
    </row>
    <row r="15" spans="1:15" ht="19">
      <c r="K15" s="112" t="s">
        <v>1519</v>
      </c>
      <c r="L15" s="112"/>
      <c r="M15" s="112"/>
      <c r="N15" s="112"/>
      <c r="O15" s="112"/>
    </row>
    <row r="16" spans="1:15" ht="19">
      <c r="K16" s="112"/>
      <c r="L16" s="112"/>
      <c r="M16" s="112"/>
      <c r="N16" s="112"/>
      <c r="O16" s="112"/>
    </row>
    <row r="22" spans="1:19" s="98" customFormat="1" ht="36" customHeight="1">
      <c r="A22" s="184" t="s">
        <v>1520</v>
      </c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</row>
    <row r="26" spans="1:19" ht="16" thickBot="1"/>
    <row r="27" spans="1:19" s="138" customFormat="1" ht="20">
      <c r="K27" s="146"/>
      <c r="L27" s="141" t="s">
        <v>56</v>
      </c>
      <c r="M27" s="141" t="s">
        <v>122</v>
      </c>
      <c r="N27" s="147"/>
      <c r="O27" s="147"/>
    </row>
    <row r="28" spans="1:19" s="137" customFormat="1" ht="29" customHeight="1">
      <c r="K28" s="112" t="s">
        <v>56</v>
      </c>
      <c r="L28" s="112">
        <v>1</v>
      </c>
      <c r="M28" s="112"/>
      <c r="N28" s="112"/>
      <c r="O28" s="112"/>
      <c r="P28"/>
      <c r="Q28"/>
      <c r="R28"/>
      <c r="S28"/>
    </row>
    <row r="29" spans="1:19" ht="20" thickBot="1">
      <c r="B29" s="2"/>
      <c r="K29" s="142" t="s">
        <v>122</v>
      </c>
      <c r="L29" s="142">
        <v>0.57863775441955601</v>
      </c>
      <c r="M29" s="142">
        <v>1</v>
      </c>
      <c r="N29" s="112"/>
      <c r="O29" s="112"/>
    </row>
    <row r="30" spans="1:19" ht="19">
      <c r="B30" s="2"/>
      <c r="K30" s="112"/>
      <c r="L30" s="112"/>
      <c r="M30" s="112"/>
      <c r="N30" s="112"/>
      <c r="O30" s="112"/>
    </row>
    <row r="31" spans="1:19" ht="19">
      <c r="B31" s="2"/>
      <c r="K31" s="143" t="s">
        <v>1517</v>
      </c>
      <c r="L31" s="90">
        <f>L29</f>
        <v>0.57863775441955601</v>
      </c>
      <c r="M31" s="112"/>
      <c r="N31" s="112"/>
      <c r="O31" s="112"/>
    </row>
    <row r="32" spans="1:19" ht="18">
      <c r="B32" s="2"/>
      <c r="K32" s="144" t="s">
        <v>1521</v>
      </c>
    </row>
    <row r="33" spans="1:15" ht="19">
      <c r="B33" s="2"/>
      <c r="K33" s="112" t="s">
        <v>1522</v>
      </c>
    </row>
    <row r="34" spans="1:15" ht="19">
      <c r="B34" s="2"/>
      <c r="K34" s="112" t="s">
        <v>1523</v>
      </c>
    </row>
    <row r="35" spans="1:15" ht="19">
      <c r="B35" s="2"/>
      <c r="K35" s="151" t="s">
        <v>1524</v>
      </c>
    </row>
    <row r="36" spans="1:15" ht="19">
      <c r="B36" s="2"/>
      <c r="K36" s="152" t="s">
        <v>1525</v>
      </c>
    </row>
    <row r="37" spans="1:15" ht="19">
      <c r="B37" s="2"/>
      <c r="K37" s="152" t="s">
        <v>1526</v>
      </c>
    </row>
    <row r="38" spans="1:15">
      <c r="B38" s="2"/>
    </row>
    <row r="39" spans="1:15" ht="19">
      <c r="B39" s="2"/>
      <c r="K39" s="112"/>
    </row>
    <row r="40" spans="1:15">
      <c r="B40" s="2"/>
    </row>
    <row r="41" spans="1:15">
      <c r="B41" s="2"/>
    </row>
    <row r="42" spans="1:15" s="98" customFormat="1" ht="35" customHeight="1">
      <c r="A42" s="184" t="s">
        <v>1527</v>
      </c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</row>
    <row r="43" spans="1:15">
      <c r="B43" s="2"/>
    </row>
    <row r="44" spans="1:15">
      <c r="B44" s="2"/>
    </row>
    <row r="45" spans="1:15">
      <c r="B45" s="2"/>
    </row>
    <row r="46" spans="1:15">
      <c r="B46" s="2"/>
    </row>
    <row r="47" spans="1:15" ht="20" thickBot="1">
      <c r="B47" s="2"/>
      <c r="K47" s="112"/>
      <c r="L47" s="112"/>
      <c r="M47" s="112"/>
      <c r="N47" s="112"/>
      <c r="O47" s="112"/>
    </row>
    <row r="48" spans="1:15" ht="20">
      <c r="B48" s="2"/>
      <c r="J48" s="112"/>
      <c r="K48" s="141"/>
      <c r="L48" s="141" t="s">
        <v>56</v>
      </c>
      <c r="M48" s="141" t="s">
        <v>69</v>
      </c>
      <c r="N48" s="112"/>
      <c r="O48" s="112"/>
    </row>
    <row r="49" spans="1:17" ht="19">
      <c r="B49" s="2"/>
      <c r="J49" s="112"/>
      <c r="K49" s="112" t="s">
        <v>56</v>
      </c>
      <c r="L49" s="112">
        <v>1</v>
      </c>
      <c r="M49" s="112"/>
      <c r="N49" s="112"/>
      <c r="O49" s="112"/>
    </row>
    <row r="50" spans="1:17" ht="20" thickBot="1">
      <c r="B50" s="2"/>
      <c r="J50" s="112"/>
      <c r="K50" s="142" t="s">
        <v>69</v>
      </c>
      <c r="L50" s="142">
        <v>0.48624438137373288</v>
      </c>
      <c r="M50" s="142">
        <v>1</v>
      </c>
      <c r="N50" s="145"/>
      <c r="O50" s="127"/>
      <c r="P50" s="88"/>
      <c r="Q50" s="88"/>
    </row>
    <row r="51" spans="1:17" s="88" customFormat="1" ht="19">
      <c r="B51" s="139"/>
      <c r="J51" s="127"/>
      <c r="K51" s="112"/>
      <c r="L51" s="112"/>
      <c r="M51" s="112"/>
      <c r="N51" s="112"/>
      <c r="O51" s="112"/>
      <c r="P51"/>
      <c r="Q51"/>
    </row>
    <row r="52" spans="1:17" ht="19">
      <c r="B52" s="2"/>
      <c r="J52" s="112"/>
      <c r="K52" s="143" t="s">
        <v>1517</v>
      </c>
      <c r="L52" s="90">
        <f>L50</f>
        <v>0.48624438137373288</v>
      </c>
      <c r="M52" s="112"/>
      <c r="N52" s="112"/>
      <c r="O52" s="112"/>
    </row>
    <row r="53" spans="1:17" ht="19">
      <c r="B53" s="2"/>
      <c r="J53" s="112"/>
      <c r="K53" s="144" t="s">
        <v>1528</v>
      </c>
      <c r="L53" s="112"/>
      <c r="M53" s="112"/>
      <c r="N53" s="112"/>
      <c r="O53" s="112"/>
    </row>
    <row r="54" spans="1:17" ht="19">
      <c r="B54" s="2"/>
      <c r="J54" s="112"/>
      <c r="K54" s="112" t="s">
        <v>1529</v>
      </c>
      <c r="L54" s="112"/>
      <c r="M54" s="112"/>
      <c r="N54" s="112"/>
      <c r="O54" s="112"/>
    </row>
    <row r="55" spans="1:17" ht="19">
      <c r="B55" s="2"/>
      <c r="J55" s="112"/>
      <c r="K55" s="112" t="s">
        <v>1530</v>
      </c>
      <c r="L55" s="112"/>
      <c r="M55" s="112"/>
      <c r="N55" s="112"/>
      <c r="O55" s="112"/>
    </row>
    <row r="56" spans="1:17" ht="19">
      <c r="B56" s="2"/>
      <c r="J56" s="112"/>
      <c r="K56" s="150" t="s">
        <v>1524</v>
      </c>
      <c r="L56" s="112"/>
      <c r="M56" s="112"/>
      <c r="N56" s="112"/>
      <c r="O56" s="112"/>
    </row>
    <row r="57" spans="1:17" ht="19">
      <c r="B57" s="2"/>
      <c r="J57" s="112"/>
      <c r="K57" s="152" t="s">
        <v>1531</v>
      </c>
      <c r="L57" s="112"/>
      <c r="M57" s="112"/>
      <c r="N57" s="112"/>
      <c r="O57" s="112"/>
    </row>
    <row r="58" spans="1:17" ht="19">
      <c r="B58" s="2"/>
      <c r="J58" s="112"/>
      <c r="K58" s="152" t="s">
        <v>1532</v>
      </c>
      <c r="L58" s="112"/>
      <c r="M58" s="112"/>
      <c r="N58" s="112"/>
      <c r="O58" s="112"/>
    </row>
    <row r="59" spans="1:17" ht="19">
      <c r="B59" s="2"/>
      <c r="J59" s="112"/>
      <c r="K59" s="152" t="s">
        <v>1533</v>
      </c>
      <c r="L59" s="112"/>
      <c r="M59" s="112"/>
      <c r="N59" s="112"/>
      <c r="O59" s="112"/>
    </row>
    <row r="60" spans="1:17" ht="19">
      <c r="B60" s="2"/>
      <c r="J60" s="112"/>
      <c r="K60" s="112"/>
    </row>
    <row r="61" spans="1:17">
      <c r="B61" s="2"/>
    </row>
    <row r="62" spans="1:17">
      <c r="B62" s="2"/>
    </row>
    <row r="63" spans="1:17" s="98" customFormat="1" ht="37" customHeight="1">
      <c r="A63" s="184" t="s">
        <v>1534</v>
      </c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</row>
    <row r="68" spans="11:13" ht="20" thickBot="1">
      <c r="K68" s="112"/>
      <c r="L68" s="112"/>
      <c r="M68" s="112"/>
    </row>
    <row r="69" spans="11:13" ht="20">
      <c r="K69" s="148"/>
      <c r="L69" s="149" t="s">
        <v>56</v>
      </c>
      <c r="M69" s="149" t="s">
        <v>126</v>
      </c>
    </row>
    <row r="70" spans="11:13" ht="19">
      <c r="K70" s="112" t="s">
        <v>56</v>
      </c>
      <c r="L70" s="112">
        <v>1</v>
      </c>
      <c r="M70" s="112"/>
    </row>
    <row r="71" spans="11:13" ht="20" thickBot="1">
      <c r="K71" s="142" t="s">
        <v>126</v>
      </c>
      <c r="L71" s="142">
        <v>0.40378843570767398</v>
      </c>
      <c r="M71" s="142">
        <v>1</v>
      </c>
    </row>
    <row r="72" spans="11:13" ht="19">
      <c r="K72" s="112"/>
      <c r="L72" s="112"/>
      <c r="M72" s="112"/>
    </row>
    <row r="73" spans="11:13" ht="19">
      <c r="K73" s="143" t="s">
        <v>1517</v>
      </c>
      <c r="L73" s="90">
        <f>L71</f>
        <v>0.40378843570767398</v>
      </c>
      <c r="M73" s="112"/>
    </row>
    <row r="75" spans="11:13" ht="19">
      <c r="K75" s="144" t="s">
        <v>1535</v>
      </c>
      <c r="L75" s="112"/>
      <c r="M75" s="112"/>
    </row>
    <row r="76" spans="11:13" ht="19">
      <c r="K76" s="112" t="s">
        <v>1536</v>
      </c>
    </row>
    <row r="77" spans="11:13" ht="19">
      <c r="K77" s="151" t="s">
        <v>1524</v>
      </c>
    </row>
    <row r="78" spans="11:13" ht="19">
      <c r="K78" s="152" t="s">
        <v>1537</v>
      </c>
    </row>
    <row r="79" spans="11:13" ht="19">
      <c r="K79" s="152" t="s">
        <v>1538</v>
      </c>
    </row>
    <row r="80" spans="11:13" ht="19">
      <c r="K80" s="152" t="s">
        <v>1539</v>
      </c>
    </row>
    <row r="82" spans="11:11" ht="19">
      <c r="K82" s="112"/>
    </row>
  </sheetData>
  <mergeCells count="4">
    <mergeCell ref="A42:L42"/>
    <mergeCell ref="A22:L22"/>
    <mergeCell ref="A63:L63"/>
    <mergeCell ref="A1:K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986E-54D7-4816-BEE0-FED59455063C}">
  <dimension ref="A1:K101"/>
  <sheetViews>
    <sheetView showGridLines="0" zoomScale="70" zoomScaleNormal="70" workbookViewId="0">
      <selection activeCell="A94" sqref="A94"/>
    </sheetView>
  </sheetViews>
  <sheetFormatPr baseColWidth="10" defaultColWidth="8.83203125" defaultRowHeight="15"/>
  <cols>
    <col min="1" max="1" width="7.1640625" customWidth="1"/>
    <col min="2" max="2" width="31.6640625" customWidth="1"/>
    <col min="3" max="3" width="19.83203125" customWidth="1"/>
    <col min="4" max="4" width="55.33203125" customWidth="1"/>
    <col min="9" max="9" width="12.5" customWidth="1"/>
  </cols>
  <sheetData>
    <row r="1" spans="1:8" ht="26.25" customHeight="1">
      <c r="A1" s="185" t="s">
        <v>1540</v>
      </c>
      <c r="B1" s="185"/>
      <c r="C1" s="185"/>
      <c r="D1" s="185"/>
      <c r="E1" s="185"/>
      <c r="F1" s="185"/>
      <c r="G1" s="185"/>
      <c r="H1" s="185"/>
    </row>
    <row r="14" spans="1:8" ht="16" customHeight="1"/>
    <row r="30" spans="1:11" s="158" customFormat="1" ht="17.25" customHeight="1">
      <c r="A30" s="154" t="s">
        <v>1541</v>
      </c>
      <c r="B30" s="155"/>
      <c r="C30" s="155"/>
      <c r="D30" s="155"/>
      <c r="E30" s="155"/>
      <c r="F30" s="155"/>
      <c r="G30" s="155"/>
      <c r="H30" s="155"/>
      <c r="I30" s="156"/>
      <c r="J30" s="157"/>
      <c r="K30" s="157"/>
    </row>
    <row r="31" spans="1:11" s="158" customFormat="1" ht="20">
      <c r="A31" s="159" t="s">
        <v>1542</v>
      </c>
      <c r="B31" s="156"/>
      <c r="C31" s="156"/>
      <c r="D31" s="156"/>
      <c r="E31" s="156"/>
      <c r="F31" s="156"/>
      <c r="G31" s="156"/>
      <c r="H31" s="156"/>
      <c r="I31" s="156"/>
      <c r="J31" s="157"/>
      <c r="K31" s="157"/>
    </row>
    <row r="32" spans="1:11" s="158" customFormat="1" ht="20">
      <c r="B32" s="160" t="s">
        <v>1543</v>
      </c>
      <c r="C32" s="160" t="s">
        <v>1544</v>
      </c>
      <c r="D32" s="160" t="s">
        <v>1545</v>
      </c>
      <c r="E32" s="156"/>
      <c r="F32" s="156"/>
      <c r="G32" s="156"/>
      <c r="H32" s="156"/>
      <c r="I32" s="156"/>
      <c r="J32" s="157"/>
      <c r="K32" s="157"/>
    </row>
    <row r="33" spans="1:11" s="158" customFormat="1" ht="20">
      <c r="B33" s="160" t="s">
        <v>1546</v>
      </c>
      <c r="C33" s="161" t="s">
        <v>1547</v>
      </c>
      <c r="D33" s="161" t="s">
        <v>1548</v>
      </c>
      <c r="E33" s="156"/>
      <c r="F33" s="156"/>
      <c r="G33" s="156"/>
      <c r="H33" s="156"/>
      <c r="I33" s="156"/>
      <c r="J33" s="157"/>
      <c r="K33" s="157"/>
    </row>
    <row r="34" spans="1:11" s="158" customFormat="1" ht="20">
      <c r="B34" s="160" t="s">
        <v>1549</v>
      </c>
      <c r="C34" s="161" t="s">
        <v>1547</v>
      </c>
      <c r="D34" s="161" t="s">
        <v>1550</v>
      </c>
      <c r="E34" s="156"/>
      <c r="F34" s="156"/>
      <c r="G34" s="156"/>
      <c r="H34" s="156"/>
      <c r="I34" s="156"/>
      <c r="J34" s="157"/>
      <c r="K34" s="157"/>
    </row>
    <row r="35" spans="1:11" s="158" customFormat="1" ht="20">
      <c r="B35" s="160" t="s">
        <v>1551</v>
      </c>
      <c r="C35" s="161" t="s">
        <v>1547</v>
      </c>
      <c r="D35" s="161" t="s">
        <v>1552</v>
      </c>
      <c r="E35" s="156"/>
      <c r="F35" s="156"/>
      <c r="G35" s="156"/>
      <c r="H35" s="156"/>
      <c r="I35" s="156"/>
      <c r="J35" s="157"/>
      <c r="K35" s="157"/>
    </row>
    <row r="36" spans="1:11" s="158" customFormat="1" ht="20">
      <c r="B36" s="160" t="s">
        <v>1553</v>
      </c>
      <c r="C36" s="161" t="s">
        <v>1554</v>
      </c>
      <c r="D36" s="161" t="s">
        <v>1555</v>
      </c>
      <c r="E36" s="156"/>
      <c r="F36" s="156"/>
      <c r="G36" s="156"/>
      <c r="H36" s="156"/>
      <c r="I36" s="156"/>
      <c r="J36" s="157"/>
      <c r="K36" s="157"/>
    </row>
    <row r="37" spans="1:11" s="158" customFormat="1" ht="20">
      <c r="B37" s="162" t="s">
        <v>1556</v>
      </c>
      <c r="C37" s="163" t="s">
        <v>1557</v>
      </c>
      <c r="D37" s="163" t="s">
        <v>1558</v>
      </c>
      <c r="E37" s="156"/>
      <c r="F37" s="156"/>
      <c r="G37" s="156"/>
      <c r="H37" s="156"/>
      <c r="I37" s="156"/>
      <c r="J37" s="157"/>
      <c r="K37" s="157"/>
    </row>
    <row r="38" spans="1:11" s="158" customFormat="1" ht="20">
      <c r="B38" s="160" t="s">
        <v>1559</v>
      </c>
      <c r="C38" s="161" t="s">
        <v>1557</v>
      </c>
      <c r="D38" s="161" t="s">
        <v>1560</v>
      </c>
      <c r="E38" s="156"/>
      <c r="F38" s="156"/>
      <c r="G38" s="156"/>
      <c r="H38" s="156"/>
      <c r="I38" s="156"/>
      <c r="J38" s="157"/>
      <c r="K38" s="157"/>
    </row>
    <row r="39" spans="1:11" s="158" customFormat="1" ht="20">
      <c r="A39" s="164" t="s">
        <v>1561</v>
      </c>
      <c r="B39" s="156"/>
      <c r="C39" s="156"/>
      <c r="D39" s="156"/>
      <c r="E39" s="156"/>
      <c r="F39" s="156"/>
      <c r="G39" s="156"/>
      <c r="H39" s="156"/>
      <c r="I39" s="156"/>
      <c r="J39" s="157"/>
      <c r="K39" s="157"/>
    </row>
    <row r="40" spans="1:11" s="158" customFormat="1" ht="20">
      <c r="A40" s="165" t="s">
        <v>1562</v>
      </c>
      <c r="B40" s="155"/>
      <c r="C40" s="155"/>
      <c r="D40" s="155"/>
      <c r="E40" s="155"/>
      <c r="F40" s="155"/>
      <c r="G40" s="155"/>
      <c r="H40" s="155"/>
      <c r="I40" s="156"/>
      <c r="J40" s="157"/>
      <c r="K40" s="157"/>
    </row>
    <row r="41" spans="1:11" s="158" customFormat="1" ht="20">
      <c r="A41" s="156" t="s">
        <v>1563</v>
      </c>
      <c r="B41" s="156"/>
      <c r="C41" s="156"/>
      <c r="D41" s="156"/>
      <c r="E41" s="156"/>
      <c r="F41" s="156"/>
      <c r="G41" s="156"/>
      <c r="H41" s="156"/>
      <c r="I41" s="156"/>
      <c r="J41" s="157"/>
      <c r="K41" s="157"/>
    </row>
    <row r="42" spans="1:11" s="158" customFormat="1" ht="20">
      <c r="A42" s="159" t="s">
        <v>1564</v>
      </c>
      <c r="B42" s="156"/>
      <c r="C42" s="156"/>
      <c r="D42" s="156"/>
      <c r="E42" s="156"/>
      <c r="F42" s="156"/>
      <c r="G42" s="156"/>
      <c r="H42" s="156"/>
      <c r="I42" s="156"/>
      <c r="J42" s="157"/>
      <c r="K42" s="157"/>
    </row>
    <row r="43" spans="1:11" s="158" customFormat="1" ht="20">
      <c r="A43" s="159" t="s">
        <v>1565</v>
      </c>
      <c r="B43" s="156"/>
      <c r="C43" s="156"/>
      <c r="D43" s="156"/>
      <c r="E43" s="156"/>
      <c r="F43" s="156"/>
      <c r="G43" s="156"/>
      <c r="H43" s="156"/>
      <c r="I43" s="156"/>
      <c r="J43" s="157"/>
      <c r="K43" s="157"/>
    </row>
    <row r="44" spans="1:11" s="158" customFormat="1" ht="20">
      <c r="A44" s="159" t="s">
        <v>1566</v>
      </c>
      <c r="B44" s="156"/>
      <c r="C44" s="156"/>
      <c r="D44" s="156"/>
      <c r="E44" s="156"/>
      <c r="F44" s="156"/>
      <c r="G44" s="156"/>
      <c r="H44" s="156"/>
      <c r="I44" s="156"/>
      <c r="J44" s="157"/>
      <c r="K44" s="157"/>
    </row>
    <row r="45" spans="1:11" s="158" customFormat="1" ht="20">
      <c r="A45" s="156" t="s">
        <v>1567</v>
      </c>
      <c r="B45" s="156"/>
      <c r="C45" s="156"/>
      <c r="D45" s="156"/>
      <c r="E45" s="156"/>
      <c r="F45" s="156"/>
      <c r="G45" s="156"/>
      <c r="H45" s="156"/>
      <c r="I45" s="156"/>
      <c r="J45" s="157"/>
      <c r="K45" s="157"/>
    </row>
    <row r="46" spans="1:11" s="158" customFormat="1" ht="20">
      <c r="A46" s="165" t="s">
        <v>1568</v>
      </c>
      <c r="B46" s="155"/>
      <c r="C46" s="155"/>
      <c r="D46" s="155"/>
      <c r="E46" s="155"/>
      <c r="F46" s="155"/>
      <c r="G46" s="155"/>
      <c r="H46" s="155"/>
      <c r="I46" s="156"/>
      <c r="J46" s="157"/>
      <c r="K46" s="157"/>
    </row>
    <row r="47" spans="1:11" s="158" customFormat="1" ht="20">
      <c r="A47" s="156" t="s">
        <v>1569</v>
      </c>
      <c r="B47" s="156"/>
      <c r="C47" s="156"/>
      <c r="D47" s="156"/>
      <c r="E47" s="156"/>
      <c r="F47" s="156"/>
      <c r="G47" s="156"/>
      <c r="H47" s="156"/>
      <c r="I47" s="156"/>
      <c r="J47" s="157"/>
      <c r="K47" s="157"/>
    </row>
    <row r="48" spans="1:11" s="158" customFormat="1" ht="20">
      <c r="A48" s="159" t="s">
        <v>1570</v>
      </c>
      <c r="B48" s="156"/>
      <c r="C48" s="156"/>
      <c r="D48" s="156"/>
      <c r="E48" s="156"/>
      <c r="F48" s="156"/>
      <c r="G48" s="156"/>
      <c r="H48" s="156"/>
      <c r="I48" s="156"/>
      <c r="J48" s="157"/>
      <c r="K48" s="157"/>
    </row>
    <row r="49" spans="1:11" s="158" customFormat="1" ht="20">
      <c r="A49" s="159" t="s">
        <v>1549</v>
      </c>
      <c r="B49" s="156"/>
      <c r="C49" s="156"/>
      <c r="D49" s="156"/>
      <c r="E49" s="156"/>
      <c r="F49" s="156"/>
      <c r="G49" s="156"/>
      <c r="H49" s="156"/>
      <c r="I49" s="156"/>
      <c r="J49" s="157"/>
      <c r="K49" s="157"/>
    </row>
    <row r="50" spans="1:11" s="158" customFormat="1" ht="20">
      <c r="A50" s="159" t="s">
        <v>1571</v>
      </c>
      <c r="B50" s="156"/>
      <c r="C50" s="156"/>
      <c r="D50" s="156"/>
      <c r="E50" s="156"/>
      <c r="F50" s="156"/>
      <c r="G50" s="156"/>
      <c r="H50" s="156"/>
      <c r="I50" s="156"/>
      <c r="J50" s="157"/>
      <c r="K50" s="157"/>
    </row>
    <row r="51" spans="1:11" s="158" customFormat="1" ht="20">
      <c r="A51" s="159" t="s">
        <v>1572</v>
      </c>
      <c r="B51" s="156"/>
      <c r="C51" s="156"/>
      <c r="D51" s="156"/>
      <c r="E51" s="156"/>
      <c r="F51" s="156"/>
      <c r="G51" s="156"/>
      <c r="H51" s="156"/>
      <c r="I51" s="156"/>
      <c r="J51" s="157"/>
      <c r="K51" s="157"/>
    </row>
    <row r="52" spans="1:11" s="158" customFormat="1" ht="20">
      <c r="A52" s="156" t="s">
        <v>1573</v>
      </c>
      <c r="B52" s="156"/>
      <c r="C52" s="156"/>
      <c r="D52" s="156"/>
      <c r="E52" s="156"/>
      <c r="F52" s="156"/>
      <c r="G52" s="156"/>
      <c r="H52" s="156"/>
      <c r="I52" s="156"/>
      <c r="J52" s="157"/>
      <c r="K52" s="157"/>
    </row>
    <row r="53" spans="1:11" s="158" customFormat="1" ht="20">
      <c r="A53" s="165" t="s">
        <v>1574</v>
      </c>
      <c r="B53" s="155"/>
      <c r="C53" s="155"/>
      <c r="D53" s="155"/>
      <c r="E53" s="155"/>
      <c r="F53" s="155"/>
      <c r="G53" s="155"/>
      <c r="H53" s="155"/>
      <c r="I53" s="156"/>
      <c r="J53" s="157"/>
      <c r="K53" s="157"/>
    </row>
    <row r="54" spans="1:11" s="158" customFormat="1" ht="20">
      <c r="A54" s="156" t="s">
        <v>1569</v>
      </c>
      <c r="B54" s="156"/>
      <c r="C54" s="156"/>
      <c r="D54" s="156"/>
      <c r="E54" s="156"/>
      <c r="F54" s="156"/>
      <c r="G54" s="156"/>
      <c r="H54" s="156"/>
      <c r="I54" s="156"/>
      <c r="J54" s="157"/>
      <c r="K54" s="157"/>
    </row>
    <row r="55" spans="1:11" s="158" customFormat="1" ht="20">
      <c r="A55" s="159" t="s">
        <v>1575</v>
      </c>
      <c r="B55" s="156"/>
      <c r="C55" s="156"/>
      <c r="D55" s="156"/>
      <c r="E55" s="156"/>
      <c r="F55" s="156"/>
      <c r="G55" s="156"/>
      <c r="H55" s="156"/>
      <c r="I55" s="156"/>
      <c r="J55" s="157"/>
      <c r="K55" s="157"/>
    </row>
    <row r="56" spans="1:11" s="158" customFormat="1" ht="20">
      <c r="A56" s="159" t="s">
        <v>1576</v>
      </c>
      <c r="B56" s="156"/>
      <c r="C56" s="156"/>
      <c r="D56" s="156"/>
      <c r="E56" s="156"/>
      <c r="F56" s="156"/>
      <c r="G56" s="156"/>
      <c r="H56" s="156"/>
      <c r="I56" s="156"/>
      <c r="J56" s="157"/>
      <c r="K56" s="157"/>
    </row>
    <row r="57" spans="1:11" s="158" customFormat="1" ht="20">
      <c r="A57" s="159" t="s">
        <v>1577</v>
      </c>
      <c r="B57" s="156"/>
      <c r="C57" s="156"/>
      <c r="D57" s="156"/>
      <c r="E57" s="156"/>
      <c r="F57" s="156"/>
      <c r="G57" s="156"/>
      <c r="H57" s="156"/>
      <c r="I57" s="156"/>
      <c r="J57" s="157"/>
      <c r="K57" s="157"/>
    </row>
    <row r="58" spans="1:11" s="158" customFormat="1" ht="20">
      <c r="A58" s="156" t="s">
        <v>1578</v>
      </c>
      <c r="B58" s="156"/>
      <c r="C58" s="156"/>
      <c r="D58" s="156"/>
      <c r="E58" s="156"/>
      <c r="F58" s="156"/>
      <c r="G58" s="156"/>
      <c r="H58" s="156"/>
      <c r="I58" s="156"/>
      <c r="J58" s="157"/>
      <c r="K58" s="157"/>
    </row>
    <row r="59" spans="1:11" s="158" customFormat="1" ht="20">
      <c r="A59" s="165" t="s">
        <v>1579</v>
      </c>
      <c r="B59" s="155"/>
      <c r="C59" s="155"/>
      <c r="D59" s="155"/>
      <c r="E59" s="155"/>
      <c r="F59" s="155"/>
      <c r="G59" s="155"/>
      <c r="H59" s="155"/>
      <c r="I59" s="156"/>
      <c r="J59" s="157"/>
      <c r="K59" s="157"/>
    </row>
    <row r="60" spans="1:11" s="158" customFormat="1" ht="20">
      <c r="A60" s="156" t="s">
        <v>1580</v>
      </c>
      <c r="B60" s="156"/>
      <c r="C60" s="156"/>
      <c r="D60" s="156"/>
      <c r="E60" s="156"/>
      <c r="F60" s="156"/>
      <c r="G60" s="156"/>
      <c r="H60" s="156"/>
      <c r="I60" s="156"/>
      <c r="J60" s="157"/>
      <c r="K60" s="157"/>
    </row>
    <row r="61" spans="1:11" s="158" customFormat="1" ht="20">
      <c r="A61" s="156"/>
      <c r="B61" s="159" t="s">
        <v>1581</v>
      </c>
      <c r="C61" s="156"/>
      <c r="D61" s="156"/>
      <c r="E61" s="156"/>
      <c r="F61" s="156"/>
      <c r="G61" s="156"/>
      <c r="H61" s="156"/>
      <c r="I61" s="156"/>
      <c r="J61" s="157"/>
      <c r="K61" s="157"/>
    </row>
    <row r="62" spans="1:11" s="158" customFormat="1" ht="20">
      <c r="A62" s="156"/>
      <c r="B62" s="159" t="s">
        <v>1582</v>
      </c>
      <c r="C62" s="156"/>
      <c r="D62" s="156"/>
      <c r="E62" s="156"/>
      <c r="F62" s="156"/>
      <c r="G62" s="156"/>
      <c r="H62" s="156"/>
      <c r="I62" s="156"/>
      <c r="J62" s="157"/>
      <c r="K62" s="157"/>
    </row>
    <row r="63" spans="1:11" s="158" customFormat="1" ht="20">
      <c r="A63" s="156"/>
      <c r="B63" s="159" t="s">
        <v>1583</v>
      </c>
      <c r="C63" s="156"/>
      <c r="D63" s="156"/>
      <c r="E63" s="156"/>
      <c r="F63" s="156"/>
      <c r="G63" s="156"/>
      <c r="H63" s="156"/>
      <c r="I63" s="156"/>
      <c r="J63" s="157"/>
      <c r="K63" s="157"/>
    </row>
    <row r="64" spans="1:11" s="158" customFormat="1" ht="20">
      <c r="A64" s="156" t="s">
        <v>1584</v>
      </c>
      <c r="B64" s="156"/>
      <c r="C64" s="156"/>
      <c r="D64" s="156"/>
      <c r="E64" s="156"/>
      <c r="F64" s="156"/>
      <c r="G64" s="156"/>
      <c r="H64" s="156"/>
      <c r="I64" s="156"/>
      <c r="J64" s="157"/>
      <c r="K64" s="157"/>
    </row>
    <row r="65" spans="1:11" s="158" customFormat="1" ht="20">
      <c r="A65" s="165" t="s">
        <v>1585</v>
      </c>
      <c r="B65" s="155"/>
      <c r="C65" s="155"/>
      <c r="D65" s="155"/>
      <c r="E65" s="155"/>
      <c r="F65" s="155"/>
      <c r="G65" s="155"/>
      <c r="H65" s="155"/>
      <c r="I65" s="156"/>
      <c r="J65" s="157"/>
      <c r="K65" s="157"/>
    </row>
    <row r="66" spans="1:11" s="158" customFormat="1" ht="20">
      <c r="A66" s="156" t="s">
        <v>1586</v>
      </c>
      <c r="B66" s="156"/>
      <c r="C66" s="156"/>
      <c r="D66" s="156"/>
      <c r="E66" s="156"/>
      <c r="F66" s="156"/>
      <c r="G66" s="156"/>
      <c r="H66" s="156"/>
      <c r="I66" s="156"/>
      <c r="J66" s="157"/>
      <c r="K66" s="157"/>
    </row>
    <row r="67" spans="1:11" s="158" customFormat="1" ht="20">
      <c r="A67" s="156" t="s">
        <v>1587</v>
      </c>
      <c r="B67" s="156"/>
      <c r="C67" s="156"/>
      <c r="D67" s="156"/>
      <c r="E67" s="156"/>
      <c r="F67" s="156"/>
      <c r="G67" s="156"/>
      <c r="H67" s="156"/>
      <c r="I67" s="156"/>
      <c r="J67" s="157"/>
      <c r="K67" s="157"/>
    </row>
    <row r="68" spans="1:11" s="158" customFormat="1" ht="20">
      <c r="A68" s="156" t="s">
        <v>1588</v>
      </c>
      <c r="B68" s="156"/>
      <c r="C68" s="156"/>
      <c r="D68" s="156"/>
      <c r="E68" s="156"/>
      <c r="F68" s="156"/>
      <c r="G68" s="156"/>
      <c r="H68" s="156"/>
      <c r="I68" s="156"/>
      <c r="J68" s="157"/>
      <c r="K68" s="157"/>
    </row>
    <row r="69" spans="1:11" s="158" customFormat="1" ht="20">
      <c r="A69" s="156" t="s">
        <v>1589</v>
      </c>
      <c r="B69" s="156"/>
      <c r="C69" s="156"/>
      <c r="D69" s="156"/>
      <c r="E69" s="156"/>
      <c r="F69" s="156"/>
      <c r="G69" s="156"/>
      <c r="H69" s="156"/>
      <c r="I69" s="156"/>
      <c r="J69" s="157"/>
      <c r="K69" s="157"/>
    </row>
    <row r="70" spans="1:11" s="158" customFormat="1" ht="20">
      <c r="A70" s="156" t="s">
        <v>1590</v>
      </c>
      <c r="B70" s="156"/>
      <c r="C70" s="156"/>
      <c r="D70" s="156"/>
      <c r="E70" s="156"/>
      <c r="F70" s="156"/>
      <c r="G70" s="156"/>
      <c r="H70" s="156"/>
      <c r="I70" s="156"/>
      <c r="J70" s="157"/>
      <c r="K70" s="157"/>
    </row>
    <row r="71" spans="1:11" s="158" customFormat="1" ht="20">
      <c r="A71" s="165" t="s">
        <v>1591</v>
      </c>
      <c r="B71" s="155"/>
      <c r="C71" s="155"/>
      <c r="D71" s="155"/>
      <c r="E71" s="155"/>
      <c r="F71" s="155"/>
      <c r="G71" s="155"/>
      <c r="H71" s="155"/>
      <c r="I71" s="156"/>
      <c r="J71" s="157"/>
      <c r="K71" s="157"/>
    </row>
    <row r="72" spans="1:11" s="158" customFormat="1" ht="20">
      <c r="A72" s="156" t="s">
        <v>1592</v>
      </c>
      <c r="B72" s="156"/>
      <c r="C72" s="156"/>
      <c r="D72" s="156"/>
      <c r="E72" s="156"/>
      <c r="F72" s="156"/>
      <c r="G72" s="156"/>
      <c r="H72" s="156"/>
      <c r="I72" s="156"/>
      <c r="J72" s="157"/>
      <c r="K72" s="157"/>
    </row>
    <row r="73" spans="1:11" s="158" customFormat="1" ht="20">
      <c r="A73" s="156" t="s">
        <v>1593</v>
      </c>
      <c r="B73" s="156"/>
      <c r="C73" s="156"/>
      <c r="D73" s="156"/>
      <c r="E73" s="156"/>
      <c r="F73" s="156"/>
      <c r="G73" s="156"/>
      <c r="H73" s="156"/>
      <c r="I73" s="156"/>
      <c r="J73" s="157"/>
      <c r="K73" s="157"/>
    </row>
    <row r="74" spans="1:11" s="158" customFormat="1" ht="20">
      <c r="A74" s="156" t="s">
        <v>1594</v>
      </c>
      <c r="B74" s="156"/>
      <c r="C74" s="156"/>
      <c r="D74" s="156"/>
      <c r="E74" s="156"/>
      <c r="F74" s="156"/>
      <c r="G74" s="156"/>
      <c r="H74" s="156"/>
      <c r="I74" s="156"/>
      <c r="J74" s="157"/>
      <c r="K74" s="157"/>
    </row>
    <row r="75" spans="1:11" s="158" customFormat="1" ht="20">
      <c r="A75" s="165" t="s">
        <v>1595</v>
      </c>
      <c r="B75" s="155"/>
      <c r="C75" s="155"/>
      <c r="D75" s="155"/>
      <c r="E75" s="155"/>
      <c r="F75" s="155"/>
      <c r="G75" s="155"/>
      <c r="H75" s="155"/>
      <c r="I75" s="156"/>
      <c r="J75" s="157"/>
      <c r="K75" s="157"/>
    </row>
    <row r="76" spans="1:11" s="158" customFormat="1" ht="20">
      <c r="A76" s="156">
        <v>1</v>
      </c>
      <c r="B76" s="159" t="s">
        <v>1596</v>
      </c>
      <c r="C76" s="156"/>
      <c r="D76" s="156"/>
      <c r="E76" s="156"/>
      <c r="F76" s="156"/>
      <c r="G76" s="156"/>
      <c r="H76" s="156"/>
      <c r="I76" s="156"/>
      <c r="J76" s="157"/>
      <c r="K76" s="157"/>
    </row>
    <row r="77" spans="1:11" s="158" customFormat="1" ht="20">
      <c r="A77" s="156">
        <v>2</v>
      </c>
      <c r="B77" s="156" t="s">
        <v>1597</v>
      </c>
      <c r="C77" s="156"/>
      <c r="D77" s="156"/>
      <c r="E77" s="156"/>
      <c r="F77" s="156"/>
      <c r="G77" s="156"/>
      <c r="H77" s="156"/>
      <c r="I77" s="156"/>
      <c r="J77" s="157"/>
      <c r="K77" s="157"/>
    </row>
    <row r="78" spans="1:11" s="158" customFormat="1" ht="20">
      <c r="A78" s="156">
        <v>3</v>
      </c>
      <c r="B78" s="159" t="s">
        <v>1598</v>
      </c>
      <c r="C78" s="156"/>
      <c r="D78" s="156"/>
      <c r="E78" s="156"/>
      <c r="F78" s="156"/>
      <c r="G78" s="156"/>
      <c r="H78" s="156"/>
      <c r="I78" s="156"/>
      <c r="J78" s="157"/>
      <c r="K78" s="157"/>
    </row>
    <row r="79" spans="1:11" s="158" customFormat="1" ht="20">
      <c r="A79" s="156">
        <v>4</v>
      </c>
      <c r="B79" s="156" t="s">
        <v>1599</v>
      </c>
      <c r="C79" s="156"/>
      <c r="D79" s="156"/>
      <c r="E79" s="156"/>
      <c r="F79" s="156"/>
      <c r="G79" s="156"/>
      <c r="H79" s="156"/>
      <c r="I79" s="156"/>
      <c r="J79" s="157"/>
      <c r="K79" s="157"/>
    </row>
    <row r="80" spans="1:11" s="158" customFormat="1" ht="20">
      <c r="A80" s="156">
        <v>5</v>
      </c>
      <c r="B80" s="156" t="s">
        <v>1600</v>
      </c>
      <c r="C80" s="156"/>
      <c r="D80" s="156"/>
      <c r="E80" s="156"/>
      <c r="F80" s="156"/>
      <c r="G80" s="156"/>
      <c r="H80" s="156"/>
      <c r="I80" s="156"/>
      <c r="J80" s="157"/>
      <c r="K80" s="157"/>
    </row>
    <row r="81" spans="1:11" s="158" customFormat="1" ht="20">
      <c r="A81" s="156"/>
      <c r="B81" s="166" t="s">
        <v>1601</v>
      </c>
      <c r="D81" s="156"/>
      <c r="E81" s="156"/>
      <c r="F81" s="156"/>
      <c r="G81" s="156"/>
      <c r="H81" s="156"/>
      <c r="I81" s="156"/>
      <c r="J81" s="157"/>
      <c r="K81" s="157"/>
    </row>
    <row r="82" spans="1:11" s="158" customFormat="1" ht="20">
      <c r="A82" s="156"/>
      <c r="B82" s="166" t="s">
        <v>1602</v>
      </c>
      <c r="D82" s="156"/>
      <c r="E82" s="156"/>
      <c r="F82" s="156"/>
      <c r="G82" s="156"/>
      <c r="H82" s="156"/>
      <c r="I82" s="156"/>
      <c r="J82" s="157"/>
      <c r="K82" s="157"/>
    </row>
    <row r="83" spans="1:11" s="158" customFormat="1" ht="20">
      <c r="A83" s="156"/>
      <c r="B83" s="166" t="s">
        <v>1603</v>
      </c>
      <c r="D83" s="156"/>
      <c r="E83" s="156"/>
      <c r="F83" s="156"/>
      <c r="G83" s="156"/>
      <c r="H83" s="156"/>
      <c r="I83" s="156"/>
      <c r="J83" s="157"/>
      <c r="K83" s="157"/>
    </row>
    <row r="84" spans="1:11" s="158" customFormat="1" ht="20">
      <c r="A84" s="167" t="s">
        <v>1604</v>
      </c>
      <c r="B84" s="168"/>
      <c r="C84" s="168"/>
      <c r="D84" s="168"/>
      <c r="E84" s="168"/>
      <c r="F84" s="168"/>
      <c r="G84" s="168"/>
      <c r="H84" s="168"/>
      <c r="I84" s="156"/>
      <c r="J84" s="157"/>
      <c r="K84" s="157"/>
    </row>
    <row r="85" spans="1:11" s="158" customFormat="1" ht="20">
      <c r="A85" s="159" t="s">
        <v>1605</v>
      </c>
      <c r="B85" s="156"/>
      <c r="C85" s="156"/>
      <c r="D85" s="156"/>
      <c r="E85" s="156"/>
      <c r="F85" s="156"/>
      <c r="G85" s="156"/>
      <c r="H85" s="156"/>
      <c r="I85" s="156"/>
      <c r="J85" s="157"/>
      <c r="K85" s="157"/>
    </row>
    <row r="86" spans="1:11" s="158" customFormat="1" ht="20">
      <c r="A86" s="166" t="s">
        <v>1606</v>
      </c>
      <c r="B86" s="156"/>
      <c r="C86" s="156"/>
      <c r="D86" s="156"/>
      <c r="E86" s="156"/>
      <c r="F86" s="156"/>
      <c r="G86" s="156"/>
      <c r="H86" s="156"/>
      <c r="I86" s="156"/>
      <c r="J86" s="157"/>
      <c r="K86" s="157"/>
    </row>
    <row r="87" spans="1:11" s="158" customFormat="1" ht="20">
      <c r="A87" s="166" t="s">
        <v>1607</v>
      </c>
      <c r="B87" s="156"/>
      <c r="C87" s="156"/>
      <c r="D87" s="156"/>
      <c r="E87" s="156"/>
      <c r="F87" s="156"/>
      <c r="G87" s="156"/>
      <c r="H87" s="156"/>
      <c r="I87" s="156"/>
      <c r="J87" s="157"/>
      <c r="K87" s="157"/>
    </row>
    <row r="88" spans="1:11" s="158" customFormat="1" ht="20">
      <c r="A88" s="166" t="s">
        <v>1608</v>
      </c>
      <c r="B88" s="156"/>
      <c r="C88" s="156"/>
      <c r="D88" s="156"/>
      <c r="E88" s="156"/>
      <c r="F88" s="156"/>
      <c r="G88" s="156"/>
      <c r="H88" s="156"/>
      <c r="I88" s="156"/>
      <c r="J88" s="157"/>
      <c r="K88" s="157"/>
    </row>
    <row r="89" spans="1:11" s="158" customFormat="1" ht="20">
      <c r="A89" s="159" t="s">
        <v>1609</v>
      </c>
      <c r="B89" s="156"/>
      <c r="C89" s="156"/>
      <c r="D89" s="156"/>
      <c r="E89" s="156"/>
      <c r="F89" s="156"/>
      <c r="G89" s="156"/>
      <c r="H89" s="156"/>
      <c r="I89" s="156"/>
      <c r="J89" s="157"/>
      <c r="K89" s="157"/>
    </row>
    <row r="90" spans="1:11" s="158" customFormat="1" ht="20">
      <c r="A90" s="166" t="s">
        <v>1610</v>
      </c>
      <c r="B90" s="156"/>
      <c r="C90" s="156"/>
      <c r="D90" s="156"/>
      <c r="E90" s="156"/>
      <c r="F90" s="156"/>
      <c r="G90" s="156"/>
      <c r="H90" s="156"/>
      <c r="I90" s="156"/>
      <c r="J90" s="157"/>
      <c r="K90" s="157"/>
    </row>
    <row r="91" spans="1:11" s="158" customFormat="1" ht="20">
      <c r="A91" s="166" t="s">
        <v>1611</v>
      </c>
      <c r="B91" s="156"/>
      <c r="C91" s="156"/>
      <c r="D91" s="156"/>
      <c r="E91" s="156"/>
      <c r="F91" s="156"/>
      <c r="G91" s="156"/>
      <c r="H91" s="156"/>
      <c r="I91" s="156"/>
      <c r="J91" s="157"/>
      <c r="K91" s="157"/>
    </row>
    <row r="92" spans="1:11" s="158" customFormat="1" ht="20">
      <c r="A92" s="159" t="s">
        <v>1612</v>
      </c>
      <c r="B92" s="156"/>
      <c r="C92" s="156"/>
      <c r="D92" s="156"/>
      <c r="E92" s="156"/>
      <c r="F92" s="156"/>
      <c r="G92" s="156"/>
      <c r="H92" s="156"/>
      <c r="I92" s="156"/>
      <c r="J92" s="157"/>
      <c r="K92" s="157"/>
    </row>
    <row r="93" spans="1:11" s="158" customFormat="1" ht="20">
      <c r="A93" s="166" t="s">
        <v>1613</v>
      </c>
      <c r="B93" s="156"/>
      <c r="C93" s="156"/>
      <c r="D93" s="156"/>
      <c r="E93" s="156"/>
      <c r="F93" s="156"/>
      <c r="G93" s="156"/>
      <c r="H93" s="156"/>
      <c r="I93" s="156"/>
      <c r="J93" s="157"/>
      <c r="K93" s="157"/>
    </row>
    <row r="94" spans="1:11" s="158" customFormat="1" ht="20">
      <c r="A94" s="166" t="s">
        <v>1614</v>
      </c>
      <c r="B94" s="156"/>
      <c r="C94" s="156"/>
      <c r="D94" s="156"/>
      <c r="E94" s="156"/>
      <c r="F94" s="156"/>
      <c r="G94" s="156"/>
      <c r="H94" s="156"/>
      <c r="I94" s="156"/>
      <c r="J94" s="157"/>
      <c r="K94" s="157"/>
    </row>
    <row r="95" spans="1:11" s="158" customFormat="1" ht="20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</row>
    <row r="96" spans="1:11" s="158" customFormat="1" ht="20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</row>
    <row r="97" spans="1:11" s="158" customFormat="1" ht="20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</row>
    <row r="98" spans="1:11" s="169" customFormat="1"/>
    <row r="99" spans="1:11" s="169" customFormat="1"/>
    <row r="100" spans="1:11" s="169" customFormat="1"/>
    <row r="101" spans="1:11" s="169" customFormat="1"/>
  </sheetData>
  <mergeCells count="1">
    <mergeCell ref="A1:H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374F-D247-4EF6-87E2-CF69959B5B78}">
  <dimension ref="A1:Y1005"/>
  <sheetViews>
    <sheetView workbookViewId="0">
      <selection activeCell="D1009" sqref="D1009"/>
    </sheetView>
  </sheetViews>
  <sheetFormatPr baseColWidth="10" defaultColWidth="8.83203125" defaultRowHeight="14"/>
  <cols>
    <col min="1" max="1" width="12.1640625" style="2" bestFit="1" customWidth="1"/>
    <col min="2" max="2" width="19.1640625" style="2" bestFit="1" customWidth="1"/>
    <col min="3" max="3" width="15.1640625" style="2" bestFit="1" customWidth="1"/>
    <col min="4" max="5" width="17.6640625" style="2" bestFit="1" customWidth="1"/>
    <col min="6" max="6" width="24.1640625" style="2" bestFit="1" customWidth="1"/>
    <col min="7" max="7" width="12.83203125" style="2" bestFit="1" customWidth="1"/>
    <col min="8" max="8" width="13.6640625" style="2" bestFit="1" customWidth="1"/>
    <col min="9" max="9" width="17.6640625" style="2" bestFit="1" customWidth="1"/>
    <col min="10" max="10" width="16.1640625" style="2" bestFit="1" customWidth="1"/>
    <col min="11" max="11" width="14.6640625" style="2" bestFit="1" customWidth="1"/>
    <col min="12" max="12" width="19.1640625" style="2" bestFit="1" customWidth="1"/>
    <col min="13" max="13" width="15.1640625" style="2" bestFit="1" customWidth="1"/>
    <col min="14" max="14" width="14.6640625" style="2" bestFit="1" customWidth="1"/>
    <col min="15" max="15" width="27.83203125" style="2" bestFit="1" customWidth="1"/>
    <col min="16" max="16" width="18.1640625" style="2" bestFit="1" customWidth="1"/>
    <col min="17" max="17" width="15.83203125" style="2" bestFit="1" customWidth="1"/>
    <col min="18" max="18" width="20" style="2" bestFit="1" customWidth="1"/>
    <col min="19" max="19" width="25.33203125" style="2" bestFit="1" customWidth="1"/>
    <col min="20" max="20" width="14.33203125" style="2" bestFit="1" customWidth="1"/>
    <col min="21" max="21" width="13.6640625" style="2" bestFit="1" customWidth="1"/>
    <col min="22" max="22" width="18.6640625" style="2" bestFit="1" customWidth="1"/>
    <col min="23" max="23" width="16.1640625" style="2" bestFit="1" customWidth="1"/>
    <col min="24" max="24" width="14.33203125" style="2" bestFit="1" customWidth="1"/>
    <col min="25" max="25" width="22" style="2" bestFit="1" customWidth="1"/>
    <col min="26" max="16384" width="8.83203125" style="2"/>
  </cols>
  <sheetData>
    <row r="1" spans="1:25">
      <c r="A1" s="4" t="s">
        <v>27</v>
      </c>
      <c r="B1" s="4" t="s">
        <v>32</v>
      </c>
      <c r="C1" s="4" t="s">
        <v>37</v>
      </c>
      <c r="D1" s="4" t="s">
        <v>45</v>
      </c>
      <c r="E1" s="4" t="s">
        <v>53</v>
      </c>
      <c r="F1" s="4" t="s">
        <v>56</v>
      </c>
      <c r="G1" s="4" t="s">
        <v>61</v>
      </c>
      <c r="H1" s="4" t="s">
        <v>65</v>
      </c>
      <c r="I1" s="4" t="s">
        <v>69</v>
      </c>
      <c r="J1" s="4" t="s">
        <v>74</v>
      </c>
      <c r="K1" s="4" t="s">
        <v>78</v>
      </c>
      <c r="L1" s="4" t="s">
        <v>82</v>
      </c>
      <c r="M1" s="4" t="s">
        <v>86</v>
      </c>
      <c r="N1" s="4" t="s">
        <v>91</v>
      </c>
      <c r="O1" s="4" t="s">
        <v>94</v>
      </c>
      <c r="P1" s="4" t="s">
        <v>97</v>
      </c>
      <c r="Q1" s="4" t="s">
        <v>101</v>
      </c>
      <c r="R1" s="4" t="s">
        <v>105</v>
      </c>
      <c r="S1" s="4" t="s">
        <v>109</v>
      </c>
      <c r="T1" s="4" t="s">
        <v>112</v>
      </c>
      <c r="U1" s="4" t="s">
        <v>115</v>
      </c>
      <c r="V1" s="4" t="s">
        <v>118</v>
      </c>
      <c r="W1" s="4" t="s">
        <v>122</v>
      </c>
      <c r="X1" s="4" t="s">
        <v>126</v>
      </c>
      <c r="Y1" s="4" t="s">
        <v>130</v>
      </c>
    </row>
    <row r="2" spans="1:25" hidden="1">
      <c r="A2" s="2" t="s">
        <v>141</v>
      </c>
      <c r="B2" s="2" t="s">
        <v>142</v>
      </c>
      <c r="C2" s="2" t="s">
        <v>40</v>
      </c>
      <c r="D2" s="3">
        <v>45296.770833333343</v>
      </c>
      <c r="E2" s="3">
        <v>45296.78125</v>
      </c>
      <c r="F2" s="2">
        <v>15</v>
      </c>
      <c r="G2" s="2" t="s">
        <v>143</v>
      </c>
      <c r="H2" s="2" t="s">
        <v>144</v>
      </c>
      <c r="I2" s="2">
        <v>3</v>
      </c>
      <c r="J2" s="2">
        <v>2.5</v>
      </c>
      <c r="K2" s="2" t="s">
        <v>143</v>
      </c>
      <c r="L2" s="2" t="s">
        <v>145</v>
      </c>
      <c r="M2" s="2" t="b">
        <v>1</v>
      </c>
      <c r="N2" s="2" t="b">
        <v>0</v>
      </c>
      <c r="O2" s="2">
        <v>6</v>
      </c>
      <c r="P2" s="2">
        <v>1.2</v>
      </c>
      <c r="Q2" s="2" t="s">
        <v>146</v>
      </c>
      <c r="R2" s="2" t="s">
        <v>147</v>
      </c>
      <c r="S2" s="2">
        <v>6</v>
      </c>
      <c r="T2" s="2">
        <v>9</v>
      </c>
      <c r="U2" s="2" t="b">
        <v>0</v>
      </c>
      <c r="V2" s="2">
        <v>6</v>
      </c>
      <c r="W2" s="2">
        <v>2</v>
      </c>
      <c r="X2" s="2">
        <v>18</v>
      </c>
      <c r="Y2" s="2">
        <v>30.259433962264151</v>
      </c>
    </row>
    <row r="3" spans="1:25" hidden="1">
      <c r="A3" s="2" t="s">
        <v>148</v>
      </c>
      <c r="B3" s="2" t="s">
        <v>149</v>
      </c>
      <c r="C3" s="2" t="s">
        <v>150</v>
      </c>
      <c r="D3" s="3">
        <v>45336.833333333343</v>
      </c>
      <c r="E3" s="3">
        <v>45336.850694444453</v>
      </c>
      <c r="F3" s="2">
        <v>25</v>
      </c>
      <c r="G3" s="2" t="s">
        <v>151</v>
      </c>
      <c r="H3" s="2" t="s">
        <v>152</v>
      </c>
      <c r="I3" s="2">
        <v>4</v>
      </c>
      <c r="J3" s="2">
        <v>5</v>
      </c>
      <c r="K3" s="2" t="s">
        <v>153</v>
      </c>
      <c r="L3" s="2" t="s">
        <v>154</v>
      </c>
      <c r="M3" s="2" t="b">
        <v>1</v>
      </c>
      <c r="N3" s="2" t="b">
        <v>0</v>
      </c>
      <c r="O3" s="2">
        <v>5</v>
      </c>
      <c r="P3" s="2">
        <v>0.8</v>
      </c>
      <c r="Q3" s="2" t="s">
        <v>155</v>
      </c>
      <c r="R3" s="2" t="s">
        <v>147</v>
      </c>
      <c r="S3" s="2">
        <v>12</v>
      </c>
      <c r="T3" s="2">
        <v>13</v>
      </c>
      <c r="U3" s="2" t="b">
        <v>0</v>
      </c>
      <c r="V3" s="2">
        <v>12</v>
      </c>
      <c r="W3" s="2">
        <v>3</v>
      </c>
      <c r="X3" s="2">
        <v>20</v>
      </c>
      <c r="Y3" s="2">
        <v>28.186274509803919</v>
      </c>
    </row>
    <row r="4" spans="1:25" hidden="1">
      <c r="A4" s="2" t="s">
        <v>156</v>
      </c>
      <c r="B4" s="2" t="s">
        <v>157</v>
      </c>
      <c r="C4" s="2" t="s">
        <v>158</v>
      </c>
      <c r="D4" s="3">
        <v>45372.510416666657</v>
      </c>
      <c r="E4" s="3">
        <v>45372.524305555547</v>
      </c>
      <c r="F4" s="2">
        <v>20</v>
      </c>
      <c r="G4" s="2" t="s">
        <v>159</v>
      </c>
      <c r="H4" s="2" t="s">
        <v>160</v>
      </c>
      <c r="I4" s="2">
        <v>2</v>
      </c>
      <c r="J4" s="2">
        <v>3</v>
      </c>
      <c r="K4" s="2" t="s">
        <v>161</v>
      </c>
      <c r="L4" s="2" t="s">
        <v>162</v>
      </c>
      <c r="M4" s="2" t="b">
        <v>0</v>
      </c>
      <c r="N4" s="2" t="b">
        <v>0</v>
      </c>
      <c r="O4" s="2">
        <v>6.666666666666667</v>
      </c>
      <c r="P4" s="2">
        <v>0.66666666666666663</v>
      </c>
      <c r="Q4" s="2" t="s">
        <v>163</v>
      </c>
      <c r="R4" s="2" t="s">
        <v>147</v>
      </c>
      <c r="S4" s="2">
        <v>7.1999999999999993</v>
      </c>
      <c r="T4" s="2">
        <v>12.8</v>
      </c>
      <c r="U4" s="2" t="b">
        <v>0</v>
      </c>
      <c r="V4" s="2">
        <v>2</v>
      </c>
      <c r="W4" s="2">
        <v>1</v>
      </c>
      <c r="X4" s="2">
        <v>12</v>
      </c>
      <c r="Y4" s="2">
        <v>28.844221105527641</v>
      </c>
    </row>
    <row r="5" spans="1:25" hidden="1">
      <c r="A5" s="2" t="s">
        <v>164</v>
      </c>
      <c r="B5" s="2" t="s">
        <v>165</v>
      </c>
      <c r="C5" s="2" t="s">
        <v>166</v>
      </c>
      <c r="D5" s="3">
        <v>45392.822916666657</v>
      </c>
      <c r="E5" s="3">
        <v>45392.840277777781</v>
      </c>
      <c r="F5" s="2">
        <v>25</v>
      </c>
      <c r="G5" s="2" t="s">
        <v>167</v>
      </c>
      <c r="H5" s="2" t="s">
        <v>168</v>
      </c>
      <c r="I5" s="2">
        <v>5</v>
      </c>
      <c r="J5" s="2">
        <v>4.5</v>
      </c>
      <c r="K5" s="2" t="s">
        <v>143</v>
      </c>
      <c r="L5" s="2" t="s">
        <v>169</v>
      </c>
      <c r="M5" s="2" t="b">
        <v>1</v>
      </c>
      <c r="N5" s="2" t="b">
        <v>0</v>
      </c>
      <c r="O5" s="2">
        <v>5.5555555555555554</v>
      </c>
      <c r="P5" s="2">
        <v>1.1111111111111109</v>
      </c>
      <c r="Q5" s="2" t="s">
        <v>170</v>
      </c>
      <c r="R5" s="2" t="s">
        <v>171</v>
      </c>
      <c r="S5" s="2">
        <v>10.8</v>
      </c>
      <c r="T5" s="2">
        <v>14.2</v>
      </c>
      <c r="U5" s="2" t="b">
        <v>0</v>
      </c>
      <c r="V5" s="2">
        <v>20</v>
      </c>
      <c r="W5" s="2">
        <v>2</v>
      </c>
      <c r="X5" s="2">
        <v>19</v>
      </c>
      <c r="Y5" s="2">
        <v>29.948453608247419</v>
      </c>
    </row>
    <row r="6" spans="1:25" hidden="1">
      <c r="A6" s="2" t="s">
        <v>172</v>
      </c>
      <c r="B6" s="2" t="s">
        <v>173</v>
      </c>
      <c r="C6" s="2" t="s">
        <v>174</v>
      </c>
      <c r="D6" s="3">
        <v>45417.541666666657</v>
      </c>
      <c r="E6" s="3">
        <v>45417.555555555547</v>
      </c>
      <c r="F6" s="2">
        <v>20</v>
      </c>
      <c r="G6" s="2" t="s">
        <v>143</v>
      </c>
      <c r="H6" s="2" t="s">
        <v>152</v>
      </c>
      <c r="I6" s="2">
        <v>3</v>
      </c>
      <c r="J6" s="2">
        <v>2</v>
      </c>
      <c r="K6" s="2" t="s">
        <v>153</v>
      </c>
      <c r="L6" s="2" t="s">
        <v>145</v>
      </c>
      <c r="M6" s="2" t="b">
        <v>0</v>
      </c>
      <c r="N6" s="2" t="b">
        <v>1</v>
      </c>
      <c r="O6" s="2">
        <v>10</v>
      </c>
      <c r="P6" s="2">
        <v>1.5</v>
      </c>
      <c r="Q6" s="2" t="s">
        <v>175</v>
      </c>
      <c r="R6" s="2" t="s">
        <v>147</v>
      </c>
      <c r="S6" s="2">
        <v>4.8</v>
      </c>
      <c r="T6" s="2">
        <v>15.2</v>
      </c>
      <c r="U6" s="2" t="b">
        <v>0</v>
      </c>
      <c r="V6" s="2">
        <v>6</v>
      </c>
      <c r="W6" s="2">
        <v>3</v>
      </c>
      <c r="X6" s="2">
        <v>13</v>
      </c>
      <c r="Y6" s="2">
        <v>30.286458333333329</v>
      </c>
    </row>
    <row r="7" spans="1:25" hidden="1">
      <c r="A7" s="2" t="s">
        <v>176</v>
      </c>
      <c r="B7" s="2" t="s">
        <v>142</v>
      </c>
      <c r="C7" s="2" t="s">
        <v>40</v>
      </c>
      <c r="D7" s="3">
        <v>45297.791666666657</v>
      </c>
      <c r="E7" s="3">
        <v>45297.805555555547</v>
      </c>
      <c r="F7" s="2">
        <v>20</v>
      </c>
      <c r="G7" s="2" t="s">
        <v>143</v>
      </c>
      <c r="H7" s="2" t="s">
        <v>152</v>
      </c>
      <c r="I7" s="2">
        <v>3</v>
      </c>
      <c r="J7" s="2">
        <v>3</v>
      </c>
      <c r="K7" s="2" t="s">
        <v>153</v>
      </c>
      <c r="L7" s="2" t="s">
        <v>145</v>
      </c>
      <c r="M7" s="2" t="b">
        <v>1</v>
      </c>
      <c r="N7" s="2" t="b">
        <v>1</v>
      </c>
      <c r="O7" s="2">
        <v>6.666666666666667</v>
      </c>
      <c r="P7" s="2">
        <v>1</v>
      </c>
      <c r="Q7" s="2" t="s">
        <v>146</v>
      </c>
      <c r="R7" s="2" t="s">
        <v>147</v>
      </c>
      <c r="S7" s="2">
        <v>7.1999999999999993</v>
      </c>
      <c r="T7" s="2">
        <v>12.8</v>
      </c>
      <c r="U7" s="2" t="b">
        <v>0</v>
      </c>
      <c r="V7" s="2">
        <v>6</v>
      </c>
      <c r="W7" s="2">
        <v>3</v>
      </c>
      <c r="X7" s="2">
        <v>19</v>
      </c>
      <c r="Y7" s="2">
        <v>30.259433962264151</v>
      </c>
    </row>
    <row r="8" spans="1:25" hidden="1">
      <c r="A8" s="2" t="s">
        <v>177</v>
      </c>
      <c r="B8" s="2" t="s">
        <v>149</v>
      </c>
      <c r="C8" s="2" t="s">
        <v>150</v>
      </c>
      <c r="D8" s="3">
        <v>45298.84375</v>
      </c>
      <c r="E8" s="3">
        <v>45298.861111111109</v>
      </c>
      <c r="F8" s="2">
        <v>25</v>
      </c>
      <c r="G8" s="2" t="s">
        <v>151</v>
      </c>
      <c r="H8" s="2" t="s">
        <v>144</v>
      </c>
      <c r="I8" s="2">
        <v>4</v>
      </c>
      <c r="J8" s="2">
        <v>4.5</v>
      </c>
      <c r="K8" s="2" t="s">
        <v>143</v>
      </c>
      <c r="L8" s="2" t="s">
        <v>162</v>
      </c>
      <c r="M8" s="2" t="b">
        <v>1</v>
      </c>
      <c r="N8" s="2" t="b">
        <v>1</v>
      </c>
      <c r="O8" s="2">
        <v>5.5555555555555554</v>
      </c>
      <c r="P8" s="2">
        <v>0.88888888888888884</v>
      </c>
      <c r="Q8" s="2" t="s">
        <v>146</v>
      </c>
      <c r="R8" s="2" t="s">
        <v>147</v>
      </c>
      <c r="S8" s="2">
        <v>10.8</v>
      </c>
      <c r="T8" s="2">
        <v>14.2</v>
      </c>
      <c r="U8" s="2" t="b">
        <v>0</v>
      </c>
      <c r="V8" s="2">
        <v>12</v>
      </c>
      <c r="W8" s="2">
        <v>2</v>
      </c>
      <c r="X8" s="2">
        <v>20</v>
      </c>
      <c r="Y8" s="2">
        <v>28.186274509803919</v>
      </c>
    </row>
    <row r="9" spans="1:25" hidden="1">
      <c r="A9" s="2" t="s">
        <v>178</v>
      </c>
      <c r="B9" s="2" t="s">
        <v>157</v>
      </c>
      <c r="C9" s="2" t="s">
        <v>158</v>
      </c>
      <c r="D9" s="3">
        <v>45299.770833333343</v>
      </c>
      <c r="E9" s="3">
        <v>45299.784722222219</v>
      </c>
      <c r="F9" s="2">
        <v>20</v>
      </c>
      <c r="G9" s="2" t="s">
        <v>159</v>
      </c>
      <c r="H9" s="2" t="s">
        <v>160</v>
      </c>
      <c r="I9" s="2">
        <v>2</v>
      </c>
      <c r="J9" s="2">
        <v>2</v>
      </c>
      <c r="K9" s="2" t="s">
        <v>161</v>
      </c>
      <c r="L9" s="2" t="s">
        <v>169</v>
      </c>
      <c r="M9" s="2" t="b">
        <v>1</v>
      </c>
      <c r="N9" s="2" t="b">
        <v>0</v>
      </c>
      <c r="O9" s="2">
        <v>10</v>
      </c>
      <c r="P9" s="2">
        <v>1</v>
      </c>
      <c r="Q9" s="2" t="s">
        <v>146</v>
      </c>
      <c r="R9" s="2" t="s">
        <v>171</v>
      </c>
      <c r="S9" s="2">
        <v>4.8</v>
      </c>
      <c r="T9" s="2">
        <v>15.2</v>
      </c>
      <c r="U9" s="2" t="b">
        <v>0</v>
      </c>
      <c r="V9" s="2">
        <v>2</v>
      </c>
      <c r="W9" s="2">
        <v>1</v>
      </c>
      <c r="X9" s="2">
        <v>18</v>
      </c>
      <c r="Y9" s="2">
        <v>28.844221105527641</v>
      </c>
    </row>
    <row r="10" spans="1:25" hidden="1">
      <c r="A10" s="2" t="s">
        <v>179</v>
      </c>
      <c r="B10" s="2" t="s">
        <v>165</v>
      </c>
      <c r="C10" s="2" t="s">
        <v>166</v>
      </c>
      <c r="D10" s="3">
        <v>45300.822916666657</v>
      </c>
      <c r="E10" s="3">
        <v>45300.840277777781</v>
      </c>
      <c r="F10" s="2">
        <v>25</v>
      </c>
      <c r="G10" s="2" t="s">
        <v>167</v>
      </c>
      <c r="H10" s="2" t="s">
        <v>168</v>
      </c>
      <c r="I10" s="2">
        <v>5</v>
      </c>
      <c r="J10" s="2">
        <v>5</v>
      </c>
      <c r="K10" s="2" t="s">
        <v>153</v>
      </c>
      <c r="L10" s="2" t="s">
        <v>154</v>
      </c>
      <c r="M10" s="2" t="b">
        <v>1</v>
      </c>
      <c r="N10" s="2" t="b">
        <v>0</v>
      </c>
      <c r="O10" s="2">
        <v>5</v>
      </c>
      <c r="P10" s="2">
        <v>1</v>
      </c>
      <c r="Q10" s="2" t="s">
        <v>146</v>
      </c>
      <c r="R10" s="2" t="s">
        <v>147</v>
      </c>
      <c r="S10" s="2">
        <v>12</v>
      </c>
      <c r="T10" s="2">
        <v>13</v>
      </c>
      <c r="U10" s="2" t="b">
        <v>0</v>
      </c>
      <c r="V10" s="2">
        <v>20</v>
      </c>
      <c r="W10" s="2">
        <v>3</v>
      </c>
      <c r="X10" s="2">
        <v>19</v>
      </c>
      <c r="Y10" s="2">
        <v>29.948453608247419</v>
      </c>
    </row>
    <row r="11" spans="1:25" hidden="1">
      <c r="A11" s="2" t="s">
        <v>180</v>
      </c>
      <c r="B11" s="2" t="s">
        <v>173</v>
      </c>
      <c r="C11" s="2" t="s">
        <v>174</v>
      </c>
      <c r="D11" s="3">
        <v>45301.541666666657</v>
      </c>
      <c r="E11" s="3">
        <v>45301.555555555547</v>
      </c>
      <c r="F11" s="2">
        <v>20</v>
      </c>
      <c r="G11" s="2" t="s">
        <v>143</v>
      </c>
      <c r="H11" s="2" t="s">
        <v>152</v>
      </c>
      <c r="I11" s="2">
        <v>3</v>
      </c>
      <c r="J11" s="2">
        <v>3.5</v>
      </c>
      <c r="K11" s="2" t="s">
        <v>143</v>
      </c>
      <c r="L11" s="2" t="s">
        <v>145</v>
      </c>
      <c r="M11" s="2" t="b">
        <v>0</v>
      </c>
      <c r="N11" s="2" t="b">
        <v>0</v>
      </c>
      <c r="O11" s="2">
        <v>5.7142857142857144</v>
      </c>
      <c r="P11" s="2">
        <v>0.8571428571428571</v>
      </c>
      <c r="Q11" s="2" t="s">
        <v>146</v>
      </c>
      <c r="R11" s="2" t="s">
        <v>147</v>
      </c>
      <c r="S11" s="2">
        <v>8.4</v>
      </c>
      <c r="T11" s="2">
        <v>11.6</v>
      </c>
      <c r="U11" s="2" t="b">
        <v>0</v>
      </c>
      <c r="V11" s="2">
        <v>6</v>
      </c>
      <c r="W11" s="2">
        <v>2</v>
      </c>
      <c r="X11" s="2">
        <v>13</v>
      </c>
      <c r="Y11" s="2">
        <v>30.286458333333329</v>
      </c>
    </row>
    <row r="12" spans="1:25" hidden="1">
      <c r="A12" s="2" t="s">
        <v>181</v>
      </c>
      <c r="B12" s="2" t="s">
        <v>142</v>
      </c>
      <c r="C12" s="2" t="s">
        <v>182</v>
      </c>
      <c r="D12" s="3">
        <v>45302.729166666657</v>
      </c>
      <c r="E12" s="3">
        <v>45302.743055555547</v>
      </c>
      <c r="F12" s="2">
        <v>20</v>
      </c>
      <c r="G12" s="2" t="s">
        <v>151</v>
      </c>
      <c r="H12" s="2" t="s">
        <v>144</v>
      </c>
      <c r="I12" s="2">
        <v>4</v>
      </c>
      <c r="J12" s="2">
        <v>4</v>
      </c>
      <c r="K12" s="2" t="s">
        <v>161</v>
      </c>
      <c r="L12" s="2" t="s">
        <v>162</v>
      </c>
      <c r="M12" s="2" t="b">
        <v>0</v>
      </c>
      <c r="N12" s="2" t="b">
        <v>0</v>
      </c>
      <c r="O12" s="2">
        <v>5</v>
      </c>
      <c r="P12" s="2">
        <v>1</v>
      </c>
      <c r="Q12" s="2" t="s">
        <v>146</v>
      </c>
      <c r="R12" s="2" t="s">
        <v>147</v>
      </c>
      <c r="S12" s="2">
        <v>9.6</v>
      </c>
      <c r="T12" s="2">
        <v>10.4</v>
      </c>
      <c r="U12" s="2" t="b">
        <v>0</v>
      </c>
      <c r="V12" s="2">
        <v>12</v>
      </c>
      <c r="W12" s="2">
        <v>1</v>
      </c>
      <c r="X12" s="2">
        <v>17</v>
      </c>
      <c r="Y12" s="2">
        <v>30.259433962264151</v>
      </c>
    </row>
    <row r="13" spans="1:25" hidden="1">
      <c r="A13" s="2" t="s">
        <v>183</v>
      </c>
      <c r="B13" s="2" t="s">
        <v>149</v>
      </c>
      <c r="C13" s="2" t="s">
        <v>184</v>
      </c>
      <c r="D13" s="3">
        <v>45303.791666666657</v>
      </c>
      <c r="E13" s="3">
        <v>45303.809027777781</v>
      </c>
      <c r="F13" s="2">
        <v>25</v>
      </c>
      <c r="G13" s="2" t="s">
        <v>143</v>
      </c>
      <c r="H13" s="2" t="s">
        <v>152</v>
      </c>
      <c r="I13" s="2">
        <v>3</v>
      </c>
      <c r="J13" s="2">
        <v>3</v>
      </c>
      <c r="K13" s="2" t="s">
        <v>143</v>
      </c>
      <c r="L13" s="2" t="s">
        <v>169</v>
      </c>
      <c r="M13" s="2" t="b">
        <v>1</v>
      </c>
      <c r="N13" s="2" t="b">
        <v>0</v>
      </c>
      <c r="O13" s="2">
        <v>8.3333333333333339</v>
      </c>
      <c r="P13" s="2">
        <v>1</v>
      </c>
      <c r="Q13" s="2" t="s">
        <v>146</v>
      </c>
      <c r="R13" s="2" t="s">
        <v>171</v>
      </c>
      <c r="S13" s="2">
        <v>7.1999999999999993</v>
      </c>
      <c r="T13" s="2">
        <v>17.8</v>
      </c>
      <c r="U13" s="2" t="b">
        <v>0</v>
      </c>
      <c r="V13" s="2">
        <v>6</v>
      </c>
      <c r="W13" s="2">
        <v>2</v>
      </c>
      <c r="X13" s="2">
        <v>19</v>
      </c>
      <c r="Y13" s="2">
        <v>28.186274509803919</v>
      </c>
    </row>
    <row r="14" spans="1:25" hidden="1">
      <c r="A14" s="2" t="s">
        <v>185</v>
      </c>
      <c r="B14" s="2" t="s">
        <v>157</v>
      </c>
      <c r="C14" s="2" t="s">
        <v>186</v>
      </c>
      <c r="D14" s="3">
        <v>45304.760416666657</v>
      </c>
      <c r="E14" s="3">
        <v>45304.774305555547</v>
      </c>
      <c r="F14" s="2">
        <v>20</v>
      </c>
      <c r="G14" s="2" t="s">
        <v>159</v>
      </c>
      <c r="H14" s="2" t="s">
        <v>160</v>
      </c>
      <c r="I14" s="2">
        <v>2</v>
      </c>
      <c r="J14" s="2">
        <v>2.5</v>
      </c>
      <c r="K14" s="2" t="s">
        <v>153</v>
      </c>
      <c r="L14" s="2" t="s">
        <v>154</v>
      </c>
      <c r="M14" s="2" t="b">
        <v>1</v>
      </c>
      <c r="N14" s="2" t="b">
        <v>1</v>
      </c>
      <c r="O14" s="2">
        <v>8</v>
      </c>
      <c r="P14" s="2">
        <v>0.8</v>
      </c>
      <c r="Q14" s="2" t="s">
        <v>146</v>
      </c>
      <c r="R14" s="2" t="s">
        <v>147</v>
      </c>
      <c r="S14" s="2">
        <v>6</v>
      </c>
      <c r="T14" s="2">
        <v>14</v>
      </c>
      <c r="U14" s="2" t="b">
        <v>0</v>
      </c>
      <c r="V14" s="2">
        <v>2</v>
      </c>
      <c r="W14" s="2">
        <v>3</v>
      </c>
      <c r="X14" s="2">
        <v>18</v>
      </c>
      <c r="Y14" s="2">
        <v>28.844221105527641</v>
      </c>
    </row>
    <row r="15" spans="1:25" hidden="1">
      <c r="A15" s="2" t="s">
        <v>187</v>
      </c>
      <c r="B15" s="2" t="s">
        <v>165</v>
      </c>
      <c r="C15" s="2" t="s">
        <v>188</v>
      </c>
      <c r="D15" s="3">
        <v>45305.854166666657</v>
      </c>
      <c r="E15" s="3">
        <v>45305.871527777781</v>
      </c>
      <c r="F15" s="2">
        <v>25</v>
      </c>
      <c r="G15" s="2" t="s">
        <v>167</v>
      </c>
      <c r="H15" s="2" t="s">
        <v>168</v>
      </c>
      <c r="I15" s="2">
        <v>5</v>
      </c>
      <c r="J15" s="2">
        <v>4</v>
      </c>
      <c r="K15" s="2" t="s">
        <v>161</v>
      </c>
      <c r="L15" s="2" t="s">
        <v>145</v>
      </c>
      <c r="M15" s="2" t="b">
        <v>1</v>
      </c>
      <c r="N15" s="2" t="b">
        <v>1</v>
      </c>
      <c r="O15" s="2">
        <v>6.25</v>
      </c>
      <c r="P15" s="2">
        <v>1.25</v>
      </c>
      <c r="Q15" s="2" t="s">
        <v>146</v>
      </c>
      <c r="R15" s="2" t="s">
        <v>147</v>
      </c>
      <c r="S15" s="2">
        <v>9.6</v>
      </c>
      <c r="T15" s="2">
        <v>15.4</v>
      </c>
      <c r="U15" s="2" t="b">
        <v>0</v>
      </c>
      <c r="V15" s="2">
        <v>20</v>
      </c>
      <c r="W15" s="2">
        <v>1</v>
      </c>
      <c r="X15" s="2">
        <v>20</v>
      </c>
      <c r="Y15" s="2">
        <v>29.948453608247419</v>
      </c>
    </row>
    <row r="16" spans="1:25" hidden="1">
      <c r="A16" s="2" t="s">
        <v>189</v>
      </c>
      <c r="B16" s="2" t="s">
        <v>173</v>
      </c>
      <c r="C16" s="2" t="s">
        <v>190</v>
      </c>
      <c r="D16" s="3">
        <v>45306.583333333343</v>
      </c>
      <c r="E16" s="3">
        <v>45306.597222222219</v>
      </c>
      <c r="F16" s="2">
        <v>20</v>
      </c>
      <c r="G16" s="2" t="s">
        <v>143</v>
      </c>
      <c r="H16" s="2" t="s">
        <v>152</v>
      </c>
      <c r="I16" s="2">
        <v>3</v>
      </c>
      <c r="J16" s="2">
        <v>3</v>
      </c>
      <c r="K16" s="2" t="s">
        <v>143</v>
      </c>
      <c r="L16" s="2" t="s">
        <v>162</v>
      </c>
      <c r="M16" s="2" t="b">
        <v>0</v>
      </c>
      <c r="N16" s="2" t="b">
        <v>0</v>
      </c>
      <c r="O16" s="2">
        <v>6.666666666666667</v>
      </c>
      <c r="P16" s="2">
        <v>1</v>
      </c>
      <c r="Q16" s="2" t="s">
        <v>146</v>
      </c>
      <c r="R16" s="2" t="s">
        <v>147</v>
      </c>
      <c r="S16" s="2">
        <v>7.1999999999999993</v>
      </c>
      <c r="T16" s="2">
        <v>12.8</v>
      </c>
      <c r="U16" s="2" t="b">
        <v>0</v>
      </c>
      <c r="V16" s="2">
        <v>6</v>
      </c>
      <c r="W16" s="2">
        <v>2</v>
      </c>
      <c r="X16" s="2">
        <v>14</v>
      </c>
      <c r="Y16" s="2">
        <v>30.286458333333329</v>
      </c>
    </row>
    <row r="17" spans="1:25" hidden="1">
      <c r="A17" s="2" t="s">
        <v>191</v>
      </c>
      <c r="B17" s="2" t="s">
        <v>142</v>
      </c>
      <c r="C17" s="2" t="s">
        <v>192</v>
      </c>
      <c r="D17" s="3">
        <v>45307.822916666657</v>
      </c>
      <c r="E17" s="3">
        <v>45307.840277777781</v>
      </c>
      <c r="F17" s="2">
        <v>25</v>
      </c>
      <c r="G17" s="2" t="s">
        <v>151</v>
      </c>
      <c r="H17" s="2" t="s">
        <v>144</v>
      </c>
      <c r="I17" s="2">
        <v>4</v>
      </c>
      <c r="J17" s="2">
        <v>4.5</v>
      </c>
      <c r="K17" s="2" t="s">
        <v>153</v>
      </c>
      <c r="L17" s="2" t="s">
        <v>169</v>
      </c>
      <c r="M17" s="2" t="b">
        <v>1</v>
      </c>
      <c r="N17" s="2" t="b">
        <v>0</v>
      </c>
      <c r="O17" s="2">
        <v>5.5555555555555554</v>
      </c>
      <c r="P17" s="2">
        <v>0.88888888888888884</v>
      </c>
      <c r="Q17" s="2" t="s">
        <v>146</v>
      </c>
      <c r="R17" s="2" t="s">
        <v>171</v>
      </c>
      <c r="S17" s="2">
        <v>10.8</v>
      </c>
      <c r="T17" s="2">
        <v>14.2</v>
      </c>
      <c r="U17" s="2" t="b">
        <v>0</v>
      </c>
      <c r="V17" s="2">
        <v>12</v>
      </c>
      <c r="W17" s="2">
        <v>3</v>
      </c>
      <c r="X17" s="2">
        <v>19</v>
      </c>
      <c r="Y17" s="2">
        <v>30.259433962264151</v>
      </c>
    </row>
    <row r="18" spans="1:25" hidden="1">
      <c r="A18" s="2" t="s">
        <v>193</v>
      </c>
      <c r="B18" s="2" t="s">
        <v>149</v>
      </c>
      <c r="C18" s="2" t="s">
        <v>194</v>
      </c>
      <c r="D18" s="3">
        <v>45308.770833333343</v>
      </c>
      <c r="E18" s="3">
        <v>45308.788194444453</v>
      </c>
      <c r="F18" s="2">
        <v>25</v>
      </c>
      <c r="G18" s="2" t="s">
        <v>159</v>
      </c>
      <c r="H18" s="2" t="s">
        <v>160</v>
      </c>
      <c r="I18" s="2">
        <v>2</v>
      </c>
      <c r="J18" s="2">
        <v>2</v>
      </c>
      <c r="K18" s="2" t="s">
        <v>161</v>
      </c>
      <c r="L18" s="2" t="s">
        <v>154</v>
      </c>
      <c r="M18" s="2" t="b">
        <v>1</v>
      </c>
      <c r="N18" s="2" t="b">
        <v>0</v>
      </c>
      <c r="O18" s="2">
        <v>12.5</v>
      </c>
      <c r="P18" s="2">
        <v>1</v>
      </c>
      <c r="Q18" s="2" t="s">
        <v>146</v>
      </c>
      <c r="R18" s="2" t="s">
        <v>147</v>
      </c>
      <c r="S18" s="2">
        <v>4.8</v>
      </c>
      <c r="T18" s="2">
        <v>20.2</v>
      </c>
      <c r="U18" s="2" t="b">
        <v>0</v>
      </c>
      <c r="V18" s="2">
        <v>2</v>
      </c>
      <c r="W18" s="2">
        <v>1</v>
      </c>
      <c r="X18" s="2">
        <v>18</v>
      </c>
      <c r="Y18" s="2">
        <v>28.186274509803919</v>
      </c>
    </row>
    <row r="19" spans="1:25" hidden="1">
      <c r="A19" s="2" t="s">
        <v>195</v>
      </c>
      <c r="B19" s="2" t="s">
        <v>157</v>
      </c>
      <c r="C19" s="2" t="s">
        <v>174</v>
      </c>
      <c r="D19" s="3">
        <v>45309.833333333343</v>
      </c>
      <c r="E19" s="3">
        <v>45309.847222222219</v>
      </c>
      <c r="F19" s="2">
        <v>20</v>
      </c>
      <c r="G19" s="2" t="s">
        <v>143</v>
      </c>
      <c r="H19" s="2" t="s">
        <v>152</v>
      </c>
      <c r="I19" s="2">
        <v>3</v>
      </c>
      <c r="J19" s="2">
        <v>3.5</v>
      </c>
      <c r="K19" s="2" t="s">
        <v>143</v>
      </c>
      <c r="L19" s="2" t="s">
        <v>145</v>
      </c>
      <c r="M19" s="2" t="b">
        <v>1</v>
      </c>
      <c r="N19" s="2" t="b">
        <v>0</v>
      </c>
      <c r="O19" s="2">
        <v>5.7142857142857144</v>
      </c>
      <c r="P19" s="2">
        <v>0.8571428571428571</v>
      </c>
      <c r="Q19" s="2" t="s">
        <v>146</v>
      </c>
      <c r="R19" s="2" t="s">
        <v>147</v>
      </c>
      <c r="S19" s="2">
        <v>8.4</v>
      </c>
      <c r="T19" s="2">
        <v>11.6</v>
      </c>
      <c r="U19" s="2" t="b">
        <v>0</v>
      </c>
      <c r="V19" s="2">
        <v>6</v>
      </c>
      <c r="W19" s="2">
        <v>2</v>
      </c>
      <c r="X19" s="2">
        <v>20</v>
      </c>
      <c r="Y19" s="2">
        <v>28.844221105527641</v>
      </c>
    </row>
    <row r="20" spans="1:25" hidden="1">
      <c r="A20" s="2" t="s">
        <v>196</v>
      </c>
      <c r="B20" s="2" t="s">
        <v>165</v>
      </c>
      <c r="C20" s="2" t="s">
        <v>150</v>
      </c>
      <c r="D20" s="3">
        <v>45310.802083333343</v>
      </c>
      <c r="E20" s="3">
        <v>45310.819444444453</v>
      </c>
      <c r="F20" s="2">
        <v>25</v>
      </c>
      <c r="G20" s="2" t="s">
        <v>167</v>
      </c>
      <c r="H20" s="2" t="s">
        <v>168</v>
      </c>
      <c r="I20" s="2">
        <v>5</v>
      </c>
      <c r="J20" s="2">
        <v>4</v>
      </c>
      <c r="K20" s="2" t="s">
        <v>153</v>
      </c>
      <c r="L20" s="2" t="s">
        <v>162</v>
      </c>
      <c r="M20" s="2" t="b">
        <v>1</v>
      </c>
      <c r="N20" s="2" t="b">
        <v>0</v>
      </c>
      <c r="O20" s="2">
        <v>6.25</v>
      </c>
      <c r="P20" s="2">
        <v>1.25</v>
      </c>
      <c r="Q20" s="2" t="s">
        <v>146</v>
      </c>
      <c r="R20" s="2" t="s">
        <v>147</v>
      </c>
      <c r="S20" s="2">
        <v>9.6</v>
      </c>
      <c r="T20" s="2">
        <v>15.4</v>
      </c>
      <c r="U20" s="2" t="b">
        <v>0</v>
      </c>
      <c r="V20" s="2">
        <v>20</v>
      </c>
      <c r="W20" s="2">
        <v>3</v>
      </c>
      <c r="X20" s="2">
        <v>19</v>
      </c>
      <c r="Y20" s="2">
        <v>29.948453608247419</v>
      </c>
    </row>
    <row r="21" spans="1:25" hidden="1">
      <c r="A21" s="2" t="s">
        <v>197</v>
      </c>
      <c r="B21" s="2" t="s">
        <v>173</v>
      </c>
      <c r="C21" s="2" t="s">
        <v>158</v>
      </c>
      <c r="D21" s="3">
        <v>45311.5625</v>
      </c>
      <c r="E21" s="3">
        <v>45311.576388888891</v>
      </c>
      <c r="F21" s="2">
        <v>20</v>
      </c>
      <c r="G21" s="2" t="s">
        <v>143</v>
      </c>
      <c r="H21" s="2" t="s">
        <v>152</v>
      </c>
      <c r="I21" s="2">
        <v>3</v>
      </c>
      <c r="J21" s="2">
        <v>3</v>
      </c>
      <c r="K21" s="2" t="s">
        <v>161</v>
      </c>
      <c r="L21" s="2" t="s">
        <v>169</v>
      </c>
      <c r="M21" s="2" t="b">
        <v>0</v>
      </c>
      <c r="N21" s="2" t="b">
        <v>1</v>
      </c>
      <c r="O21" s="2">
        <v>6.666666666666667</v>
      </c>
      <c r="P21" s="2">
        <v>1</v>
      </c>
      <c r="Q21" s="2" t="s">
        <v>146</v>
      </c>
      <c r="R21" s="2" t="s">
        <v>171</v>
      </c>
      <c r="S21" s="2">
        <v>7.1999999999999993</v>
      </c>
      <c r="T21" s="2">
        <v>12.8</v>
      </c>
      <c r="U21" s="2" t="b">
        <v>0</v>
      </c>
      <c r="V21" s="2">
        <v>6</v>
      </c>
      <c r="W21" s="2">
        <v>1</v>
      </c>
      <c r="X21" s="2">
        <v>13</v>
      </c>
      <c r="Y21" s="2">
        <v>30.286458333333329</v>
      </c>
    </row>
    <row r="22" spans="1:25" hidden="1">
      <c r="A22" s="2" t="s">
        <v>198</v>
      </c>
      <c r="B22" s="2" t="s">
        <v>142</v>
      </c>
      <c r="C22" s="2" t="s">
        <v>166</v>
      </c>
      <c r="D22" s="3">
        <v>45312.78125</v>
      </c>
      <c r="E22" s="3">
        <v>45312.798611111109</v>
      </c>
      <c r="F22" s="2">
        <v>25</v>
      </c>
      <c r="G22" s="2" t="s">
        <v>151</v>
      </c>
      <c r="H22" s="2" t="s">
        <v>144</v>
      </c>
      <c r="I22" s="2">
        <v>4</v>
      </c>
      <c r="J22" s="2">
        <v>4.5</v>
      </c>
      <c r="K22" s="2" t="s">
        <v>143</v>
      </c>
      <c r="L22" s="2" t="s">
        <v>154</v>
      </c>
      <c r="M22" s="2" t="b">
        <v>1</v>
      </c>
      <c r="N22" s="2" t="b">
        <v>1</v>
      </c>
      <c r="O22" s="2">
        <v>5.5555555555555554</v>
      </c>
      <c r="P22" s="2">
        <v>0.88888888888888884</v>
      </c>
      <c r="Q22" s="2" t="s">
        <v>146</v>
      </c>
      <c r="R22" s="2" t="s">
        <v>147</v>
      </c>
      <c r="S22" s="2">
        <v>10.8</v>
      </c>
      <c r="T22" s="2">
        <v>14.2</v>
      </c>
      <c r="U22" s="2" t="b">
        <v>0</v>
      </c>
      <c r="V22" s="2">
        <v>12</v>
      </c>
      <c r="W22" s="2">
        <v>2</v>
      </c>
      <c r="X22" s="2">
        <v>18</v>
      </c>
      <c r="Y22" s="2">
        <v>30.259433962264151</v>
      </c>
    </row>
    <row r="23" spans="1:25" hidden="1">
      <c r="A23" s="2" t="s">
        <v>199</v>
      </c>
      <c r="B23" s="2" t="s">
        <v>149</v>
      </c>
      <c r="C23" s="2" t="s">
        <v>174</v>
      </c>
      <c r="D23" s="3">
        <v>45313.833333333343</v>
      </c>
      <c r="E23" s="3">
        <v>45313.850694444453</v>
      </c>
      <c r="F23" s="2">
        <v>25</v>
      </c>
      <c r="G23" s="2" t="s">
        <v>159</v>
      </c>
      <c r="H23" s="2" t="s">
        <v>160</v>
      </c>
      <c r="I23" s="2">
        <v>2</v>
      </c>
      <c r="J23" s="2">
        <v>2</v>
      </c>
      <c r="K23" s="2" t="s">
        <v>153</v>
      </c>
      <c r="L23" s="2" t="s">
        <v>145</v>
      </c>
      <c r="M23" s="2" t="b">
        <v>1</v>
      </c>
      <c r="N23" s="2" t="b">
        <v>0</v>
      </c>
      <c r="O23" s="2">
        <v>12.5</v>
      </c>
      <c r="P23" s="2">
        <v>1</v>
      </c>
      <c r="Q23" s="2" t="s">
        <v>146</v>
      </c>
      <c r="R23" s="2" t="s">
        <v>147</v>
      </c>
      <c r="S23" s="2">
        <v>4.8</v>
      </c>
      <c r="T23" s="2">
        <v>20.2</v>
      </c>
      <c r="U23" s="2" t="b">
        <v>0</v>
      </c>
      <c r="V23" s="2">
        <v>2</v>
      </c>
      <c r="W23" s="2">
        <v>3</v>
      </c>
      <c r="X23" s="2">
        <v>20</v>
      </c>
      <c r="Y23" s="2">
        <v>28.186274509803919</v>
      </c>
    </row>
    <row r="24" spans="1:25" hidden="1">
      <c r="A24" s="2" t="s">
        <v>200</v>
      </c>
      <c r="B24" s="2" t="s">
        <v>157</v>
      </c>
      <c r="C24" s="2" t="s">
        <v>184</v>
      </c>
      <c r="D24" s="3">
        <v>45314.8125</v>
      </c>
      <c r="E24" s="3">
        <v>45314.826388888891</v>
      </c>
      <c r="F24" s="2">
        <v>20</v>
      </c>
      <c r="G24" s="2" t="s">
        <v>143</v>
      </c>
      <c r="H24" s="2" t="s">
        <v>152</v>
      </c>
      <c r="I24" s="2">
        <v>3</v>
      </c>
      <c r="J24" s="2">
        <v>3.5</v>
      </c>
      <c r="K24" s="2" t="s">
        <v>161</v>
      </c>
      <c r="L24" s="2" t="s">
        <v>162</v>
      </c>
      <c r="M24" s="2" t="b">
        <v>1</v>
      </c>
      <c r="N24" s="2" t="b">
        <v>0</v>
      </c>
      <c r="O24" s="2">
        <v>5.7142857142857144</v>
      </c>
      <c r="P24" s="2">
        <v>0.8571428571428571</v>
      </c>
      <c r="Q24" s="2" t="s">
        <v>146</v>
      </c>
      <c r="R24" s="2" t="s">
        <v>147</v>
      </c>
      <c r="S24" s="2">
        <v>8.4</v>
      </c>
      <c r="T24" s="2">
        <v>11.6</v>
      </c>
      <c r="U24" s="2" t="b">
        <v>0</v>
      </c>
      <c r="V24" s="2">
        <v>6</v>
      </c>
      <c r="W24" s="2">
        <v>1</v>
      </c>
      <c r="X24" s="2">
        <v>19</v>
      </c>
      <c r="Y24" s="2">
        <v>28.844221105527641</v>
      </c>
    </row>
    <row r="25" spans="1:25" hidden="1">
      <c r="A25" s="2" t="s">
        <v>201</v>
      </c>
      <c r="B25" s="2" t="s">
        <v>165</v>
      </c>
      <c r="C25" s="2" t="s">
        <v>186</v>
      </c>
      <c r="D25" s="3">
        <v>45315.760416666657</v>
      </c>
      <c r="E25" s="3">
        <v>45315.777777777781</v>
      </c>
      <c r="F25" s="2">
        <v>25</v>
      </c>
      <c r="G25" s="2" t="s">
        <v>167</v>
      </c>
      <c r="H25" s="2" t="s">
        <v>168</v>
      </c>
      <c r="I25" s="2">
        <v>5</v>
      </c>
      <c r="J25" s="2">
        <v>4</v>
      </c>
      <c r="K25" s="2" t="s">
        <v>143</v>
      </c>
      <c r="L25" s="2" t="s">
        <v>169</v>
      </c>
      <c r="M25" s="2" t="b">
        <v>1</v>
      </c>
      <c r="N25" s="2" t="b">
        <v>0</v>
      </c>
      <c r="O25" s="2">
        <v>6.25</v>
      </c>
      <c r="P25" s="2">
        <v>1.25</v>
      </c>
      <c r="Q25" s="2" t="s">
        <v>146</v>
      </c>
      <c r="R25" s="2" t="s">
        <v>171</v>
      </c>
      <c r="S25" s="2">
        <v>9.6</v>
      </c>
      <c r="T25" s="2">
        <v>15.4</v>
      </c>
      <c r="U25" s="2" t="b">
        <v>0</v>
      </c>
      <c r="V25" s="2">
        <v>20</v>
      </c>
      <c r="W25" s="2">
        <v>2</v>
      </c>
      <c r="X25" s="2">
        <v>18</v>
      </c>
      <c r="Y25" s="2">
        <v>29.948453608247419</v>
      </c>
    </row>
    <row r="26" spans="1:25" hidden="1">
      <c r="A26" s="2" t="s">
        <v>202</v>
      </c>
      <c r="B26" s="2" t="s">
        <v>173</v>
      </c>
      <c r="C26" s="2" t="s">
        <v>188</v>
      </c>
      <c r="D26" s="3">
        <v>45316.604166666657</v>
      </c>
      <c r="E26" s="3">
        <v>45316.618055555547</v>
      </c>
      <c r="F26" s="2">
        <v>20</v>
      </c>
      <c r="G26" s="2" t="s">
        <v>143</v>
      </c>
      <c r="H26" s="2" t="s">
        <v>152</v>
      </c>
      <c r="I26" s="2">
        <v>3</v>
      </c>
      <c r="J26" s="2">
        <v>3</v>
      </c>
      <c r="K26" s="2" t="s">
        <v>153</v>
      </c>
      <c r="L26" s="2" t="s">
        <v>154</v>
      </c>
      <c r="M26" s="2" t="b">
        <v>0</v>
      </c>
      <c r="N26" s="2" t="b">
        <v>0</v>
      </c>
      <c r="O26" s="2">
        <v>6.666666666666667</v>
      </c>
      <c r="P26" s="2">
        <v>1</v>
      </c>
      <c r="Q26" s="2" t="s">
        <v>146</v>
      </c>
      <c r="R26" s="2" t="s">
        <v>147</v>
      </c>
      <c r="S26" s="2">
        <v>7.1999999999999993</v>
      </c>
      <c r="T26" s="2">
        <v>12.8</v>
      </c>
      <c r="U26" s="2" t="b">
        <v>0</v>
      </c>
      <c r="V26" s="2">
        <v>6</v>
      </c>
      <c r="W26" s="2">
        <v>3</v>
      </c>
      <c r="X26" s="2">
        <v>14</v>
      </c>
      <c r="Y26" s="2">
        <v>30.286458333333329</v>
      </c>
    </row>
    <row r="27" spans="1:25" hidden="1">
      <c r="A27" s="2" t="s">
        <v>203</v>
      </c>
      <c r="B27" s="2" t="s">
        <v>142</v>
      </c>
      <c r="C27" s="2" t="s">
        <v>190</v>
      </c>
      <c r="D27" s="3">
        <v>45317.833333333343</v>
      </c>
      <c r="E27" s="3">
        <v>45317.850694444453</v>
      </c>
      <c r="F27" s="2">
        <v>25</v>
      </c>
      <c r="G27" s="2" t="s">
        <v>151</v>
      </c>
      <c r="H27" s="2" t="s">
        <v>144</v>
      </c>
      <c r="I27" s="2">
        <v>4</v>
      </c>
      <c r="J27" s="2">
        <v>4.5</v>
      </c>
      <c r="K27" s="2" t="s">
        <v>161</v>
      </c>
      <c r="L27" s="2" t="s">
        <v>145</v>
      </c>
      <c r="M27" s="2" t="b">
        <v>1</v>
      </c>
      <c r="N27" s="2" t="b">
        <v>0</v>
      </c>
      <c r="O27" s="2">
        <v>5.5555555555555554</v>
      </c>
      <c r="P27" s="2">
        <v>0.88888888888888884</v>
      </c>
      <c r="Q27" s="2" t="s">
        <v>146</v>
      </c>
      <c r="R27" s="2" t="s">
        <v>147</v>
      </c>
      <c r="S27" s="2">
        <v>10.8</v>
      </c>
      <c r="T27" s="2">
        <v>14.2</v>
      </c>
      <c r="U27" s="2" t="b">
        <v>0</v>
      </c>
      <c r="V27" s="2">
        <v>12</v>
      </c>
      <c r="W27" s="2">
        <v>1</v>
      </c>
      <c r="X27" s="2">
        <v>20</v>
      </c>
      <c r="Y27" s="2">
        <v>30.259433962264151</v>
      </c>
    </row>
    <row r="28" spans="1:25" hidden="1">
      <c r="A28" s="2" t="s">
        <v>204</v>
      </c>
      <c r="B28" s="2" t="s">
        <v>149</v>
      </c>
      <c r="C28" s="2" t="s">
        <v>192</v>
      </c>
      <c r="D28" s="3">
        <v>45318.802083333343</v>
      </c>
      <c r="E28" s="3">
        <v>45318.819444444453</v>
      </c>
      <c r="F28" s="2">
        <v>25</v>
      </c>
      <c r="G28" s="2" t="s">
        <v>159</v>
      </c>
      <c r="H28" s="2" t="s">
        <v>160</v>
      </c>
      <c r="I28" s="2">
        <v>2</v>
      </c>
      <c r="J28" s="2">
        <v>2</v>
      </c>
      <c r="K28" s="2" t="s">
        <v>143</v>
      </c>
      <c r="L28" s="2" t="s">
        <v>162</v>
      </c>
      <c r="M28" s="2" t="b">
        <v>1</v>
      </c>
      <c r="N28" s="2" t="b">
        <v>1</v>
      </c>
      <c r="O28" s="2">
        <v>12.5</v>
      </c>
      <c r="P28" s="2">
        <v>1</v>
      </c>
      <c r="Q28" s="2" t="s">
        <v>146</v>
      </c>
      <c r="R28" s="2" t="s">
        <v>147</v>
      </c>
      <c r="S28" s="2">
        <v>4.8</v>
      </c>
      <c r="T28" s="2">
        <v>20.2</v>
      </c>
      <c r="U28" s="2" t="b">
        <v>0</v>
      </c>
      <c r="V28" s="2">
        <v>2</v>
      </c>
      <c r="W28" s="2">
        <v>2</v>
      </c>
      <c r="X28" s="2">
        <v>19</v>
      </c>
      <c r="Y28" s="2">
        <v>28.186274509803919</v>
      </c>
    </row>
    <row r="29" spans="1:25" hidden="1">
      <c r="A29" s="2" t="s">
        <v>205</v>
      </c>
      <c r="B29" s="2" t="s">
        <v>157</v>
      </c>
      <c r="C29" s="2" t="s">
        <v>194</v>
      </c>
      <c r="D29" s="3">
        <v>45319.770833333343</v>
      </c>
      <c r="E29" s="3">
        <v>45319.784722222219</v>
      </c>
      <c r="F29" s="2">
        <v>20</v>
      </c>
      <c r="G29" s="2" t="s">
        <v>143</v>
      </c>
      <c r="H29" s="2" t="s">
        <v>152</v>
      </c>
      <c r="I29" s="2">
        <v>3</v>
      </c>
      <c r="J29" s="2">
        <v>3.5</v>
      </c>
      <c r="K29" s="2" t="s">
        <v>153</v>
      </c>
      <c r="L29" s="2" t="s">
        <v>169</v>
      </c>
      <c r="M29" s="2" t="b">
        <v>1</v>
      </c>
      <c r="N29" s="2" t="b">
        <v>1</v>
      </c>
      <c r="O29" s="2">
        <v>5.7142857142857144</v>
      </c>
      <c r="P29" s="2">
        <v>0.8571428571428571</v>
      </c>
      <c r="Q29" s="2" t="s">
        <v>146</v>
      </c>
      <c r="R29" s="2" t="s">
        <v>171</v>
      </c>
      <c r="S29" s="2">
        <v>8.4</v>
      </c>
      <c r="T29" s="2">
        <v>11.6</v>
      </c>
      <c r="U29" s="2" t="b">
        <v>0</v>
      </c>
      <c r="V29" s="2">
        <v>6</v>
      </c>
      <c r="W29" s="2">
        <v>3</v>
      </c>
      <c r="X29" s="2">
        <v>18</v>
      </c>
      <c r="Y29" s="2">
        <v>28.844221105527641</v>
      </c>
    </row>
    <row r="30" spans="1:25" hidden="1">
      <c r="A30" s="2" t="s">
        <v>206</v>
      </c>
      <c r="B30" s="2" t="s">
        <v>165</v>
      </c>
      <c r="C30" s="2" t="s">
        <v>158</v>
      </c>
      <c r="D30" s="3">
        <v>45320.833333333343</v>
      </c>
      <c r="E30" s="3">
        <v>45320.850694444453</v>
      </c>
      <c r="F30" s="2">
        <v>25</v>
      </c>
      <c r="G30" s="2" t="s">
        <v>167</v>
      </c>
      <c r="H30" s="2" t="s">
        <v>168</v>
      </c>
      <c r="I30" s="2">
        <v>5</v>
      </c>
      <c r="J30" s="2">
        <v>4</v>
      </c>
      <c r="K30" s="2" t="s">
        <v>161</v>
      </c>
      <c r="L30" s="2" t="s">
        <v>154</v>
      </c>
      <c r="M30" s="2" t="b">
        <v>1</v>
      </c>
      <c r="N30" s="2" t="b">
        <v>0</v>
      </c>
      <c r="O30" s="2">
        <v>6.25</v>
      </c>
      <c r="P30" s="2">
        <v>1.25</v>
      </c>
      <c r="Q30" s="2" t="s">
        <v>146</v>
      </c>
      <c r="R30" s="2" t="s">
        <v>147</v>
      </c>
      <c r="S30" s="2">
        <v>9.6</v>
      </c>
      <c r="T30" s="2">
        <v>15.4</v>
      </c>
      <c r="U30" s="2" t="b">
        <v>0</v>
      </c>
      <c r="V30" s="2">
        <v>20</v>
      </c>
      <c r="W30" s="2">
        <v>1</v>
      </c>
      <c r="X30" s="2">
        <v>20</v>
      </c>
      <c r="Y30" s="2">
        <v>29.948453608247419</v>
      </c>
    </row>
    <row r="31" spans="1:25" hidden="1">
      <c r="A31" s="2" t="s">
        <v>207</v>
      </c>
      <c r="B31" s="2" t="s">
        <v>173</v>
      </c>
      <c r="C31" s="2" t="s">
        <v>166</v>
      </c>
      <c r="D31" s="3">
        <v>45321.552083333343</v>
      </c>
      <c r="E31" s="3">
        <v>45321.565972222219</v>
      </c>
      <c r="F31" s="2">
        <v>20</v>
      </c>
      <c r="G31" s="2" t="s">
        <v>143</v>
      </c>
      <c r="H31" s="2" t="s">
        <v>152</v>
      </c>
      <c r="I31" s="2">
        <v>3</v>
      </c>
      <c r="J31" s="2">
        <v>3</v>
      </c>
      <c r="K31" s="2" t="s">
        <v>143</v>
      </c>
      <c r="L31" s="2" t="s">
        <v>145</v>
      </c>
      <c r="M31" s="2" t="b">
        <v>0</v>
      </c>
      <c r="N31" s="2" t="b">
        <v>0</v>
      </c>
      <c r="O31" s="2">
        <v>6.666666666666667</v>
      </c>
      <c r="P31" s="2">
        <v>1</v>
      </c>
      <c r="Q31" s="2" t="s">
        <v>146</v>
      </c>
      <c r="R31" s="2" t="s">
        <v>147</v>
      </c>
      <c r="S31" s="2">
        <v>7.1999999999999993</v>
      </c>
      <c r="T31" s="2">
        <v>12.8</v>
      </c>
      <c r="U31" s="2" t="b">
        <v>0</v>
      </c>
      <c r="V31" s="2">
        <v>6</v>
      </c>
      <c r="W31" s="2">
        <v>2</v>
      </c>
      <c r="X31" s="2">
        <v>13</v>
      </c>
      <c r="Y31" s="2">
        <v>30.286458333333329</v>
      </c>
    </row>
    <row r="32" spans="1:25" hidden="1">
      <c r="A32" s="2" t="s">
        <v>208</v>
      </c>
      <c r="B32" s="2" t="s">
        <v>142</v>
      </c>
      <c r="C32" s="2" t="s">
        <v>150</v>
      </c>
      <c r="D32" s="3">
        <v>45323.822916666657</v>
      </c>
      <c r="E32" s="3">
        <v>45323.840277777781</v>
      </c>
      <c r="F32" s="2">
        <v>25</v>
      </c>
      <c r="G32" s="2" t="s">
        <v>151</v>
      </c>
      <c r="H32" s="2" t="s">
        <v>144</v>
      </c>
      <c r="I32" s="2">
        <v>4</v>
      </c>
      <c r="J32" s="2">
        <v>4.5</v>
      </c>
      <c r="K32" s="2" t="s">
        <v>153</v>
      </c>
      <c r="L32" s="2" t="s">
        <v>162</v>
      </c>
      <c r="M32" s="2" t="b">
        <v>1</v>
      </c>
      <c r="N32" s="2" t="b">
        <v>0</v>
      </c>
      <c r="O32" s="2">
        <v>5.5555555555555554</v>
      </c>
      <c r="P32" s="2">
        <v>0.88888888888888884</v>
      </c>
      <c r="Q32" s="2" t="s">
        <v>155</v>
      </c>
      <c r="R32" s="2" t="s">
        <v>147</v>
      </c>
      <c r="S32" s="2">
        <v>10.8</v>
      </c>
      <c r="T32" s="2">
        <v>14.2</v>
      </c>
      <c r="U32" s="2" t="b">
        <v>0</v>
      </c>
      <c r="V32" s="2">
        <v>12</v>
      </c>
      <c r="W32" s="2">
        <v>3</v>
      </c>
      <c r="X32" s="2">
        <v>19</v>
      </c>
      <c r="Y32" s="2">
        <v>30.259433962264151</v>
      </c>
    </row>
    <row r="33" spans="1:25" hidden="1">
      <c r="A33" s="2" t="s">
        <v>209</v>
      </c>
      <c r="B33" s="2" t="s">
        <v>149</v>
      </c>
      <c r="C33" s="2" t="s">
        <v>186</v>
      </c>
      <c r="D33" s="3">
        <v>45324.75</v>
      </c>
      <c r="E33" s="3">
        <v>45324.767361111109</v>
      </c>
      <c r="F33" s="2">
        <v>25</v>
      </c>
      <c r="G33" s="2" t="s">
        <v>159</v>
      </c>
      <c r="H33" s="2" t="s">
        <v>160</v>
      </c>
      <c r="I33" s="2">
        <v>2</v>
      </c>
      <c r="J33" s="2">
        <v>2</v>
      </c>
      <c r="K33" s="2" t="s">
        <v>161</v>
      </c>
      <c r="L33" s="2" t="s">
        <v>169</v>
      </c>
      <c r="M33" s="2" t="b">
        <v>1</v>
      </c>
      <c r="N33" s="2" t="b">
        <v>0</v>
      </c>
      <c r="O33" s="2">
        <v>12.5</v>
      </c>
      <c r="P33" s="2">
        <v>1</v>
      </c>
      <c r="Q33" s="2" t="s">
        <v>155</v>
      </c>
      <c r="R33" s="2" t="s">
        <v>171</v>
      </c>
      <c r="S33" s="2">
        <v>4.8</v>
      </c>
      <c r="T33" s="2">
        <v>20.2</v>
      </c>
      <c r="U33" s="2" t="b">
        <v>0</v>
      </c>
      <c r="V33" s="2">
        <v>2</v>
      </c>
      <c r="W33" s="2">
        <v>1</v>
      </c>
      <c r="X33" s="2">
        <v>18</v>
      </c>
      <c r="Y33" s="2">
        <v>28.186274509803919</v>
      </c>
    </row>
    <row r="34" spans="1:25" hidden="1">
      <c r="A34" s="2" t="s">
        <v>210</v>
      </c>
      <c r="B34" s="2" t="s">
        <v>157</v>
      </c>
      <c r="C34" s="2" t="s">
        <v>188</v>
      </c>
      <c r="D34" s="3">
        <v>45325.854166666657</v>
      </c>
      <c r="E34" s="3">
        <v>45325.871527777781</v>
      </c>
      <c r="F34" s="2">
        <v>25</v>
      </c>
      <c r="G34" s="2" t="s">
        <v>143</v>
      </c>
      <c r="H34" s="2" t="s">
        <v>152</v>
      </c>
      <c r="I34" s="2">
        <v>3</v>
      </c>
      <c r="J34" s="2">
        <v>3.5</v>
      </c>
      <c r="K34" s="2" t="s">
        <v>143</v>
      </c>
      <c r="L34" s="2" t="s">
        <v>154</v>
      </c>
      <c r="M34" s="2" t="b">
        <v>1</v>
      </c>
      <c r="N34" s="2" t="b">
        <v>1</v>
      </c>
      <c r="O34" s="2">
        <v>7.1428571428571432</v>
      </c>
      <c r="P34" s="2">
        <v>0.8571428571428571</v>
      </c>
      <c r="Q34" s="2" t="s">
        <v>155</v>
      </c>
      <c r="R34" s="2" t="s">
        <v>147</v>
      </c>
      <c r="S34" s="2">
        <v>8.4</v>
      </c>
      <c r="T34" s="2">
        <v>16.600000000000001</v>
      </c>
      <c r="U34" s="2" t="b">
        <v>0</v>
      </c>
      <c r="V34" s="2">
        <v>6</v>
      </c>
      <c r="W34" s="2">
        <v>2</v>
      </c>
      <c r="X34" s="2">
        <v>20</v>
      </c>
      <c r="Y34" s="2">
        <v>28.844221105527641</v>
      </c>
    </row>
    <row r="35" spans="1:25" hidden="1">
      <c r="A35" s="2" t="s">
        <v>211</v>
      </c>
      <c r="B35" s="2" t="s">
        <v>165</v>
      </c>
      <c r="C35" s="2" t="s">
        <v>174</v>
      </c>
      <c r="D35" s="3">
        <v>45326.59375</v>
      </c>
      <c r="E35" s="3">
        <v>45326.607638888891</v>
      </c>
      <c r="F35" s="2">
        <v>20</v>
      </c>
      <c r="G35" s="2" t="s">
        <v>167</v>
      </c>
      <c r="H35" s="2" t="s">
        <v>168</v>
      </c>
      <c r="I35" s="2">
        <v>5</v>
      </c>
      <c r="J35" s="2">
        <v>4</v>
      </c>
      <c r="K35" s="2" t="s">
        <v>153</v>
      </c>
      <c r="L35" s="2" t="s">
        <v>145</v>
      </c>
      <c r="M35" s="2" t="b">
        <v>0</v>
      </c>
      <c r="N35" s="2" t="b">
        <v>1</v>
      </c>
      <c r="O35" s="2">
        <v>5</v>
      </c>
      <c r="P35" s="2">
        <v>1.25</v>
      </c>
      <c r="Q35" s="2" t="s">
        <v>155</v>
      </c>
      <c r="R35" s="2" t="s">
        <v>147</v>
      </c>
      <c r="S35" s="2">
        <v>9.6</v>
      </c>
      <c r="T35" s="2">
        <v>10.4</v>
      </c>
      <c r="U35" s="2" t="b">
        <v>0</v>
      </c>
      <c r="V35" s="2">
        <v>20</v>
      </c>
      <c r="W35" s="2">
        <v>3</v>
      </c>
      <c r="X35" s="2">
        <v>14</v>
      </c>
      <c r="Y35" s="2">
        <v>29.948453608247419</v>
      </c>
    </row>
    <row r="36" spans="1:25" hidden="1">
      <c r="A36" s="2" t="s">
        <v>212</v>
      </c>
      <c r="B36" s="2" t="s">
        <v>173</v>
      </c>
      <c r="C36" s="2" t="s">
        <v>190</v>
      </c>
      <c r="D36" s="3">
        <v>45327.791666666657</v>
      </c>
      <c r="E36" s="3">
        <v>45327.809027777781</v>
      </c>
      <c r="F36" s="2">
        <v>25</v>
      </c>
      <c r="G36" s="2" t="s">
        <v>143</v>
      </c>
      <c r="H36" s="2" t="s">
        <v>152</v>
      </c>
      <c r="I36" s="2">
        <v>3</v>
      </c>
      <c r="J36" s="2">
        <v>3</v>
      </c>
      <c r="K36" s="2" t="s">
        <v>161</v>
      </c>
      <c r="L36" s="2" t="s">
        <v>162</v>
      </c>
      <c r="M36" s="2" t="b">
        <v>1</v>
      </c>
      <c r="N36" s="2" t="b">
        <v>0</v>
      </c>
      <c r="O36" s="2">
        <v>8.3333333333333339</v>
      </c>
      <c r="P36" s="2">
        <v>1</v>
      </c>
      <c r="Q36" s="2" t="s">
        <v>155</v>
      </c>
      <c r="R36" s="2" t="s">
        <v>147</v>
      </c>
      <c r="S36" s="2">
        <v>7.1999999999999993</v>
      </c>
      <c r="T36" s="2">
        <v>17.8</v>
      </c>
      <c r="U36" s="2" t="b">
        <v>0</v>
      </c>
      <c r="V36" s="2">
        <v>6</v>
      </c>
      <c r="W36" s="2">
        <v>1</v>
      </c>
      <c r="X36" s="2">
        <v>19</v>
      </c>
      <c r="Y36" s="2">
        <v>30.286458333333329</v>
      </c>
    </row>
    <row r="37" spans="1:25" hidden="1">
      <c r="A37" s="2" t="s">
        <v>213</v>
      </c>
      <c r="B37" s="2" t="s">
        <v>142</v>
      </c>
      <c r="C37" s="2" t="s">
        <v>184</v>
      </c>
      <c r="D37" s="3">
        <v>45328.78125</v>
      </c>
      <c r="E37" s="3">
        <v>45328.798611111109</v>
      </c>
      <c r="F37" s="2">
        <v>25</v>
      </c>
      <c r="G37" s="2" t="s">
        <v>151</v>
      </c>
      <c r="H37" s="2" t="s">
        <v>144</v>
      </c>
      <c r="I37" s="2">
        <v>4</v>
      </c>
      <c r="J37" s="2">
        <v>4.5</v>
      </c>
      <c r="K37" s="2" t="s">
        <v>143</v>
      </c>
      <c r="L37" s="2" t="s">
        <v>145</v>
      </c>
      <c r="M37" s="2" t="b">
        <v>1</v>
      </c>
      <c r="N37" s="2" t="b">
        <v>0</v>
      </c>
      <c r="O37" s="2">
        <v>5.5555555555555554</v>
      </c>
      <c r="P37" s="2">
        <v>0.88888888888888884</v>
      </c>
      <c r="Q37" s="2" t="s">
        <v>155</v>
      </c>
      <c r="R37" s="2" t="s">
        <v>147</v>
      </c>
      <c r="S37" s="2">
        <v>10.8</v>
      </c>
      <c r="T37" s="2">
        <v>14.2</v>
      </c>
      <c r="U37" s="2" t="b">
        <v>0</v>
      </c>
      <c r="V37" s="2">
        <v>12</v>
      </c>
      <c r="W37" s="2">
        <v>2</v>
      </c>
      <c r="X37" s="2">
        <v>18</v>
      </c>
      <c r="Y37" s="2">
        <v>30.259433962264151</v>
      </c>
    </row>
    <row r="38" spans="1:25" hidden="1">
      <c r="A38" s="2" t="s">
        <v>214</v>
      </c>
      <c r="B38" s="2" t="s">
        <v>149</v>
      </c>
      <c r="C38" s="2" t="s">
        <v>186</v>
      </c>
      <c r="D38" s="3">
        <v>45329.833333333343</v>
      </c>
      <c r="E38" s="3">
        <v>45329.850694444453</v>
      </c>
      <c r="F38" s="2">
        <v>25</v>
      </c>
      <c r="G38" s="2" t="s">
        <v>143</v>
      </c>
      <c r="H38" s="2" t="s">
        <v>152</v>
      </c>
      <c r="I38" s="2">
        <v>3</v>
      </c>
      <c r="J38" s="2">
        <v>3</v>
      </c>
      <c r="K38" s="2" t="s">
        <v>153</v>
      </c>
      <c r="L38" s="2" t="s">
        <v>162</v>
      </c>
      <c r="M38" s="2" t="b">
        <v>1</v>
      </c>
      <c r="N38" s="2" t="b">
        <v>0</v>
      </c>
      <c r="O38" s="2">
        <v>8.3333333333333339</v>
      </c>
      <c r="P38" s="2">
        <v>1</v>
      </c>
      <c r="Q38" s="2" t="s">
        <v>155</v>
      </c>
      <c r="R38" s="2" t="s">
        <v>147</v>
      </c>
      <c r="S38" s="2">
        <v>7.1999999999999993</v>
      </c>
      <c r="T38" s="2">
        <v>17.8</v>
      </c>
      <c r="U38" s="2" t="b">
        <v>0</v>
      </c>
      <c r="V38" s="2">
        <v>6</v>
      </c>
      <c r="W38" s="2">
        <v>3</v>
      </c>
      <c r="X38" s="2">
        <v>20</v>
      </c>
      <c r="Y38" s="2">
        <v>28.186274509803919</v>
      </c>
    </row>
    <row r="39" spans="1:25" hidden="1">
      <c r="A39" s="2" t="s">
        <v>215</v>
      </c>
      <c r="B39" s="2" t="s">
        <v>157</v>
      </c>
      <c r="C39" s="2" t="s">
        <v>188</v>
      </c>
      <c r="D39" s="3">
        <v>45330.8125</v>
      </c>
      <c r="E39" s="3">
        <v>45330.826388888891</v>
      </c>
      <c r="F39" s="2">
        <v>20</v>
      </c>
      <c r="G39" s="2" t="s">
        <v>159</v>
      </c>
      <c r="H39" s="2" t="s">
        <v>160</v>
      </c>
      <c r="I39" s="2">
        <v>2</v>
      </c>
      <c r="J39" s="2">
        <v>2.5</v>
      </c>
      <c r="K39" s="2" t="s">
        <v>161</v>
      </c>
      <c r="L39" s="2" t="s">
        <v>169</v>
      </c>
      <c r="M39" s="2" t="b">
        <v>1</v>
      </c>
      <c r="N39" s="2" t="b">
        <v>0</v>
      </c>
      <c r="O39" s="2">
        <v>8</v>
      </c>
      <c r="P39" s="2">
        <v>0.8</v>
      </c>
      <c r="Q39" s="2" t="s">
        <v>155</v>
      </c>
      <c r="R39" s="2" t="s">
        <v>171</v>
      </c>
      <c r="S39" s="2">
        <v>6</v>
      </c>
      <c r="T39" s="2">
        <v>14</v>
      </c>
      <c r="U39" s="2" t="b">
        <v>0</v>
      </c>
      <c r="V39" s="2">
        <v>2</v>
      </c>
      <c r="W39" s="2">
        <v>1</v>
      </c>
      <c r="X39" s="2">
        <v>19</v>
      </c>
      <c r="Y39" s="2">
        <v>28.844221105527641</v>
      </c>
    </row>
    <row r="40" spans="1:25" hidden="1">
      <c r="A40" s="2" t="s">
        <v>216</v>
      </c>
      <c r="B40" s="2" t="s">
        <v>165</v>
      </c>
      <c r="C40" s="2" t="s">
        <v>174</v>
      </c>
      <c r="D40" s="3">
        <v>45331.760416666657</v>
      </c>
      <c r="E40" s="3">
        <v>45331.777777777781</v>
      </c>
      <c r="F40" s="2">
        <v>25</v>
      </c>
      <c r="G40" s="2" t="s">
        <v>167</v>
      </c>
      <c r="H40" s="2" t="s">
        <v>168</v>
      </c>
      <c r="I40" s="2">
        <v>5</v>
      </c>
      <c r="J40" s="2">
        <v>4</v>
      </c>
      <c r="K40" s="2" t="s">
        <v>143</v>
      </c>
      <c r="L40" s="2" t="s">
        <v>154</v>
      </c>
      <c r="M40" s="2" t="b">
        <v>1</v>
      </c>
      <c r="N40" s="2" t="b">
        <v>0</v>
      </c>
      <c r="O40" s="2">
        <v>6.25</v>
      </c>
      <c r="P40" s="2">
        <v>1.25</v>
      </c>
      <c r="Q40" s="2" t="s">
        <v>155</v>
      </c>
      <c r="R40" s="2" t="s">
        <v>147</v>
      </c>
      <c r="S40" s="2">
        <v>9.6</v>
      </c>
      <c r="T40" s="2">
        <v>15.4</v>
      </c>
      <c r="U40" s="2" t="b">
        <v>0</v>
      </c>
      <c r="V40" s="2">
        <v>20</v>
      </c>
      <c r="W40" s="2">
        <v>2</v>
      </c>
      <c r="X40" s="2">
        <v>18</v>
      </c>
      <c r="Y40" s="2">
        <v>29.948453608247419</v>
      </c>
    </row>
    <row r="41" spans="1:25" hidden="1">
      <c r="A41" s="2" t="s">
        <v>217</v>
      </c>
      <c r="B41" s="2" t="s">
        <v>173</v>
      </c>
      <c r="C41" s="2" t="s">
        <v>190</v>
      </c>
      <c r="D41" s="3">
        <v>45332.604166666657</v>
      </c>
      <c r="E41" s="3">
        <v>45332.618055555547</v>
      </c>
      <c r="F41" s="2">
        <v>20</v>
      </c>
      <c r="G41" s="2" t="s">
        <v>143</v>
      </c>
      <c r="H41" s="2" t="s">
        <v>152</v>
      </c>
      <c r="I41" s="2">
        <v>3</v>
      </c>
      <c r="J41" s="2">
        <v>3.5</v>
      </c>
      <c r="K41" s="2" t="s">
        <v>153</v>
      </c>
      <c r="L41" s="2" t="s">
        <v>145</v>
      </c>
      <c r="M41" s="2" t="b">
        <v>0</v>
      </c>
      <c r="N41" s="2" t="b">
        <v>1</v>
      </c>
      <c r="O41" s="2">
        <v>5.7142857142857144</v>
      </c>
      <c r="P41" s="2">
        <v>0.8571428571428571</v>
      </c>
      <c r="Q41" s="2" t="s">
        <v>155</v>
      </c>
      <c r="R41" s="2" t="s">
        <v>147</v>
      </c>
      <c r="S41" s="2">
        <v>8.4</v>
      </c>
      <c r="T41" s="2">
        <v>11.6</v>
      </c>
      <c r="U41" s="2" t="b">
        <v>0</v>
      </c>
      <c r="V41" s="2">
        <v>6</v>
      </c>
      <c r="W41" s="2">
        <v>3</v>
      </c>
      <c r="X41" s="2">
        <v>14</v>
      </c>
      <c r="Y41" s="2">
        <v>30.286458333333329</v>
      </c>
    </row>
    <row r="42" spans="1:25" hidden="1">
      <c r="A42" s="2" t="s">
        <v>218</v>
      </c>
      <c r="B42" s="2" t="s">
        <v>142</v>
      </c>
      <c r="C42" s="2" t="s">
        <v>192</v>
      </c>
      <c r="D42" s="3">
        <v>45333.791666666657</v>
      </c>
      <c r="E42" s="3">
        <v>45333.805555555547</v>
      </c>
      <c r="F42" s="2">
        <v>20</v>
      </c>
      <c r="G42" s="2" t="s">
        <v>151</v>
      </c>
      <c r="H42" s="2" t="s">
        <v>144</v>
      </c>
      <c r="I42" s="2">
        <v>4</v>
      </c>
      <c r="J42" s="2">
        <v>4</v>
      </c>
      <c r="K42" s="2" t="s">
        <v>161</v>
      </c>
      <c r="L42" s="2" t="s">
        <v>162</v>
      </c>
      <c r="M42" s="2" t="b">
        <v>1</v>
      </c>
      <c r="N42" s="2" t="b">
        <v>1</v>
      </c>
      <c r="O42" s="2">
        <v>5</v>
      </c>
      <c r="P42" s="2">
        <v>1</v>
      </c>
      <c r="Q42" s="2" t="s">
        <v>155</v>
      </c>
      <c r="R42" s="2" t="s">
        <v>147</v>
      </c>
      <c r="S42" s="2">
        <v>9.6</v>
      </c>
      <c r="T42" s="2">
        <v>10.4</v>
      </c>
      <c r="U42" s="2" t="b">
        <v>0</v>
      </c>
      <c r="V42" s="2">
        <v>12</v>
      </c>
      <c r="W42" s="2">
        <v>1</v>
      </c>
      <c r="X42" s="2">
        <v>19</v>
      </c>
      <c r="Y42" s="2">
        <v>30.259433962264151</v>
      </c>
    </row>
    <row r="43" spans="1:25" hidden="1">
      <c r="A43" s="2" t="s">
        <v>219</v>
      </c>
      <c r="B43" s="2" t="s">
        <v>149</v>
      </c>
      <c r="C43" s="2" t="s">
        <v>194</v>
      </c>
      <c r="D43" s="3">
        <v>45334.84375</v>
      </c>
      <c r="E43" s="3">
        <v>45334.861111111109</v>
      </c>
      <c r="F43" s="2">
        <v>25</v>
      </c>
      <c r="G43" s="2" t="s">
        <v>159</v>
      </c>
      <c r="H43" s="2" t="s">
        <v>160</v>
      </c>
      <c r="I43" s="2">
        <v>2</v>
      </c>
      <c r="J43" s="2">
        <v>2</v>
      </c>
      <c r="K43" s="2" t="s">
        <v>143</v>
      </c>
      <c r="L43" s="2" t="s">
        <v>169</v>
      </c>
      <c r="M43" s="2" t="b">
        <v>1</v>
      </c>
      <c r="N43" s="2" t="b">
        <v>0</v>
      </c>
      <c r="O43" s="2">
        <v>12.5</v>
      </c>
      <c r="P43" s="2">
        <v>1</v>
      </c>
      <c r="Q43" s="2" t="s">
        <v>155</v>
      </c>
      <c r="R43" s="2" t="s">
        <v>171</v>
      </c>
      <c r="S43" s="2">
        <v>4.8</v>
      </c>
      <c r="T43" s="2">
        <v>20.2</v>
      </c>
      <c r="U43" s="2" t="b">
        <v>0</v>
      </c>
      <c r="V43" s="2">
        <v>2</v>
      </c>
      <c r="W43" s="2">
        <v>2</v>
      </c>
      <c r="X43" s="2">
        <v>20</v>
      </c>
      <c r="Y43" s="2">
        <v>28.186274509803919</v>
      </c>
    </row>
    <row r="44" spans="1:25" hidden="1">
      <c r="A44" s="2" t="s">
        <v>220</v>
      </c>
      <c r="B44" s="2" t="s">
        <v>157</v>
      </c>
      <c r="C44" s="2" t="s">
        <v>174</v>
      </c>
      <c r="D44" s="3">
        <v>45335.770833333343</v>
      </c>
      <c r="E44" s="3">
        <v>45335.784722222219</v>
      </c>
      <c r="F44" s="2">
        <v>20</v>
      </c>
      <c r="G44" s="2" t="s">
        <v>143</v>
      </c>
      <c r="H44" s="2" t="s">
        <v>152</v>
      </c>
      <c r="I44" s="2">
        <v>3</v>
      </c>
      <c r="J44" s="2">
        <v>3</v>
      </c>
      <c r="K44" s="2" t="s">
        <v>153</v>
      </c>
      <c r="L44" s="2" t="s">
        <v>154</v>
      </c>
      <c r="M44" s="2" t="b">
        <v>1</v>
      </c>
      <c r="N44" s="2" t="b">
        <v>0</v>
      </c>
      <c r="O44" s="2">
        <v>6.666666666666667</v>
      </c>
      <c r="P44" s="2">
        <v>1</v>
      </c>
      <c r="Q44" s="2" t="s">
        <v>155</v>
      </c>
      <c r="R44" s="2" t="s">
        <v>147</v>
      </c>
      <c r="S44" s="2">
        <v>7.1999999999999993</v>
      </c>
      <c r="T44" s="2">
        <v>12.8</v>
      </c>
      <c r="U44" s="2" t="b">
        <v>0</v>
      </c>
      <c r="V44" s="2">
        <v>6</v>
      </c>
      <c r="W44" s="2">
        <v>3</v>
      </c>
      <c r="X44" s="2">
        <v>18</v>
      </c>
      <c r="Y44" s="2">
        <v>28.844221105527641</v>
      </c>
    </row>
    <row r="45" spans="1:25" hidden="1">
      <c r="A45" s="2" t="s">
        <v>221</v>
      </c>
      <c r="B45" s="2" t="s">
        <v>165</v>
      </c>
      <c r="C45" s="2" t="s">
        <v>150</v>
      </c>
      <c r="D45" s="3">
        <v>45336.822916666657</v>
      </c>
      <c r="E45" s="3">
        <v>45336.840277777781</v>
      </c>
      <c r="F45" s="2">
        <v>25</v>
      </c>
      <c r="G45" s="2" t="s">
        <v>167</v>
      </c>
      <c r="H45" s="2" t="s">
        <v>168</v>
      </c>
      <c r="I45" s="2">
        <v>5</v>
      </c>
      <c r="J45" s="2">
        <v>5</v>
      </c>
      <c r="K45" s="2" t="s">
        <v>161</v>
      </c>
      <c r="L45" s="2" t="s">
        <v>145</v>
      </c>
      <c r="M45" s="2" t="b">
        <v>1</v>
      </c>
      <c r="N45" s="2" t="b">
        <v>0</v>
      </c>
      <c r="O45" s="2">
        <v>5</v>
      </c>
      <c r="P45" s="2">
        <v>1</v>
      </c>
      <c r="Q45" s="2" t="s">
        <v>155</v>
      </c>
      <c r="R45" s="2" t="s">
        <v>147</v>
      </c>
      <c r="S45" s="2">
        <v>12</v>
      </c>
      <c r="T45" s="2">
        <v>13</v>
      </c>
      <c r="U45" s="2" t="b">
        <v>0</v>
      </c>
      <c r="V45" s="2">
        <v>20</v>
      </c>
      <c r="W45" s="2">
        <v>1</v>
      </c>
      <c r="X45" s="2">
        <v>19</v>
      </c>
      <c r="Y45" s="2">
        <v>29.948453608247419</v>
      </c>
    </row>
    <row r="46" spans="1:25" hidden="1">
      <c r="A46" s="2" t="s">
        <v>222</v>
      </c>
      <c r="B46" s="2" t="s">
        <v>173</v>
      </c>
      <c r="C46" s="2" t="s">
        <v>158</v>
      </c>
      <c r="D46" s="3">
        <v>45337.541666666657</v>
      </c>
      <c r="E46" s="3">
        <v>45337.555555555547</v>
      </c>
      <c r="F46" s="2">
        <v>20</v>
      </c>
      <c r="G46" s="2" t="s">
        <v>143</v>
      </c>
      <c r="H46" s="2" t="s">
        <v>152</v>
      </c>
      <c r="I46" s="2">
        <v>3</v>
      </c>
      <c r="J46" s="2">
        <v>3.5</v>
      </c>
      <c r="K46" s="2" t="s">
        <v>143</v>
      </c>
      <c r="L46" s="2" t="s">
        <v>162</v>
      </c>
      <c r="M46" s="2" t="b">
        <v>0</v>
      </c>
      <c r="N46" s="2" t="b">
        <v>0</v>
      </c>
      <c r="O46" s="2">
        <v>5.7142857142857144</v>
      </c>
      <c r="P46" s="2">
        <v>0.8571428571428571</v>
      </c>
      <c r="Q46" s="2" t="s">
        <v>155</v>
      </c>
      <c r="R46" s="2" t="s">
        <v>147</v>
      </c>
      <c r="S46" s="2">
        <v>8.4</v>
      </c>
      <c r="T46" s="2">
        <v>11.6</v>
      </c>
      <c r="U46" s="2" t="b">
        <v>0</v>
      </c>
      <c r="V46" s="2">
        <v>6</v>
      </c>
      <c r="W46" s="2">
        <v>2</v>
      </c>
      <c r="X46" s="2">
        <v>13</v>
      </c>
      <c r="Y46" s="2">
        <v>30.286458333333329</v>
      </c>
    </row>
    <row r="47" spans="1:25" hidden="1">
      <c r="A47" s="2" t="s">
        <v>223</v>
      </c>
      <c r="B47" s="2" t="s">
        <v>142</v>
      </c>
      <c r="C47" s="2" t="s">
        <v>166</v>
      </c>
      <c r="D47" s="3">
        <v>45338.770833333343</v>
      </c>
      <c r="E47" s="3">
        <v>45338.784722222219</v>
      </c>
      <c r="F47" s="2">
        <v>20</v>
      </c>
      <c r="G47" s="2" t="s">
        <v>151</v>
      </c>
      <c r="H47" s="2" t="s">
        <v>144</v>
      </c>
      <c r="I47" s="2">
        <v>4</v>
      </c>
      <c r="J47" s="2">
        <v>4</v>
      </c>
      <c r="K47" s="2" t="s">
        <v>153</v>
      </c>
      <c r="L47" s="2" t="s">
        <v>169</v>
      </c>
      <c r="M47" s="2" t="b">
        <v>1</v>
      </c>
      <c r="N47" s="2" t="b">
        <v>0</v>
      </c>
      <c r="O47" s="2">
        <v>5</v>
      </c>
      <c r="P47" s="2">
        <v>1</v>
      </c>
      <c r="Q47" s="2" t="s">
        <v>155</v>
      </c>
      <c r="R47" s="2" t="s">
        <v>171</v>
      </c>
      <c r="S47" s="2">
        <v>9.6</v>
      </c>
      <c r="T47" s="2">
        <v>10.4</v>
      </c>
      <c r="U47" s="2" t="b">
        <v>0</v>
      </c>
      <c r="V47" s="2">
        <v>12</v>
      </c>
      <c r="W47" s="2">
        <v>3</v>
      </c>
      <c r="X47" s="2">
        <v>18</v>
      </c>
      <c r="Y47" s="2">
        <v>30.259433962264151</v>
      </c>
    </row>
    <row r="48" spans="1:25" hidden="1">
      <c r="A48" s="2" t="s">
        <v>224</v>
      </c>
      <c r="B48" s="2" t="s">
        <v>149</v>
      </c>
      <c r="C48" s="2" t="s">
        <v>174</v>
      </c>
      <c r="D48" s="3">
        <v>45339.833333333343</v>
      </c>
      <c r="E48" s="3">
        <v>45339.850694444453</v>
      </c>
      <c r="F48" s="2">
        <v>25</v>
      </c>
      <c r="G48" s="2" t="s">
        <v>143</v>
      </c>
      <c r="H48" s="2" t="s">
        <v>152</v>
      </c>
      <c r="I48" s="2">
        <v>3</v>
      </c>
      <c r="J48" s="2">
        <v>3</v>
      </c>
      <c r="K48" s="2" t="s">
        <v>161</v>
      </c>
      <c r="L48" s="2" t="s">
        <v>154</v>
      </c>
      <c r="M48" s="2" t="b">
        <v>1</v>
      </c>
      <c r="N48" s="2" t="b">
        <v>1</v>
      </c>
      <c r="O48" s="2">
        <v>8.3333333333333339</v>
      </c>
      <c r="P48" s="2">
        <v>1</v>
      </c>
      <c r="Q48" s="2" t="s">
        <v>155</v>
      </c>
      <c r="R48" s="2" t="s">
        <v>147</v>
      </c>
      <c r="S48" s="2">
        <v>7.1999999999999993</v>
      </c>
      <c r="T48" s="2">
        <v>17.8</v>
      </c>
      <c r="U48" s="2" t="b">
        <v>0</v>
      </c>
      <c r="V48" s="2">
        <v>6</v>
      </c>
      <c r="W48" s="2">
        <v>1</v>
      </c>
      <c r="X48" s="2">
        <v>20</v>
      </c>
      <c r="Y48" s="2">
        <v>28.186274509803919</v>
      </c>
    </row>
    <row r="49" spans="1:25" hidden="1">
      <c r="A49" s="2" t="s">
        <v>225</v>
      </c>
      <c r="B49" s="2" t="s">
        <v>157</v>
      </c>
      <c r="C49" s="2" t="s">
        <v>184</v>
      </c>
      <c r="D49" s="3">
        <v>45340.802083333343</v>
      </c>
      <c r="E49" s="3">
        <v>45340.815972222219</v>
      </c>
      <c r="F49" s="2">
        <v>20</v>
      </c>
      <c r="G49" s="2" t="s">
        <v>159</v>
      </c>
      <c r="H49" s="2" t="s">
        <v>160</v>
      </c>
      <c r="I49" s="2">
        <v>2</v>
      </c>
      <c r="J49" s="2">
        <v>2.5</v>
      </c>
      <c r="K49" s="2" t="s">
        <v>143</v>
      </c>
      <c r="L49" s="2" t="s">
        <v>145</v>
      </c>
      <c r="M49" s="2" t="b">
        <v>1</v>
      </c>
      <c r="N49" s="2" t="b">
        <v>1</v>
      </c>
      <c r="O49" s="2">
        <v>8</v>
      </c>
      <c r="P49" s="2">
        <v>0.8</v>
      </c>
      <c r="Q49" s="2" t="s">
        <v>155</v>
      </c>
      <c r="R49" s="2" t="s">
        <v>147</v>
      </c>
      <c r="S49" s="2">
        <v>6</v>
      </c>
      <c r="T49" s="2">
        <v>14</v>
      </c>
      <c r="U49" s="2" t="b">
        <v>0</v>
      </c>
      <c r="V49" s="2">
        <v>2</v>
      </c>
      <c r="W49" s="2">
        <v>2</v>
      </c>
      <c r="X49" s="2">
        <v>19</v>
      </c>
      <c r="Y49" s="2">
        <v>28.844221105527641</v>
      </c>
    </row>
    <row r="50" spans="1:25" hidden="1">
      <c r="A50" s="2" t="s">
        <v>226</v>
      </c>
      <c r="B50" s="2" t="s">
        <v>165</v>
      </c>
      <c r="C50" s="2" t="s">
        <v>186</v>
      </c>
      <c r="D50" s="3">
        <v>45341.854166666657</v>
      </c>
      <c r="E50" s="3">
        <v>45341.871527777781</v>
      </c>
      <c r="F50" s="2">
        <v>25</v>
      </c>
      <c r="G50" s="2" t="s">
        <v>167</v>
      </c>
      <c r="H50" s="2" t="s">
        <v>168</v>
      </c>
      <c r="I50" s="2">
        <v>5</v>
      </c>
      <c r="J50" s="2">
        <v>4.5</v>
      </c>
      <c r="K50" s="2" t="s">
        <v>153</v>
      </c>
      <c r="L50" s="2" t="s">
        <v>162</v>
      </c>
      <c r="M50" s="2" t="b">
        <v>1</v>
      </c>
      <c r="N50" s="2" t="b">
        <v>0</v>
      </c>
      <c r="O50" s="2">
        <v>5.5555555555555554</v>
      </c>
      <c r="P50" s="2">
        <v>1.1111111111111109</v>
      </c>
      <c r="Q50" s="2" t="s">
        <v>155</v>
      </c>
      <c r="R50" s="2" t="s">
        <v>147</v>
      </c>
      <c r="S50" s="2">
        <v>10.8</v>
      </c>
      <c r="T50" s="2">
        <v>14.2</v>
      </c>
      <c r="U50" s="2" t="b">
        <v>0</v>
      </c>
      <c r="V50" s="2">
        <v>20</v>
      </c>
      <c r="W50" s="2">
        <v>3</v>
      </c>
      <c r="X50" s="2">
        <v>20</v>
      </c>
      <c r="Y50" s="2">
        <v>29.948453608247419</v>
      </c>
    </row>
    <row r="51" spans="1:25" hidden="1">
      <c r="A51" s="2" t="s">
        <v>227</v>
      </c>
      <c r="B51" s="2" t="s">
        <v>173</v>
      </c>
      <c r="C51" s="2" t="s">
        <v>188</v>
      </c>
      <c r="D51" s="3">
        <v>45342.614583333343</v>
      </c>
      <c r="E51" s="3">
        <v>45342.628472222219</v>
      </c>
      <c r="F51" s="2">
        <v>20</v>
      </c>
      <c r="G51" s="2" t="s">
        <v>143</v>
      </c>
      <c r="H51" s="2" t="s">
        <v>152</v>
      </c>
      <c r="I51" s="2">
        <v>3</v>
      </c>
      <c r="J51" s="2">
        <v>3</v>
      </c>
      <c r="K51" s="2" t="s">
        <v>161</v>
      </c>
      <c r="L51" s="2" t="s">
        <v>169</v>
      </c>
      <c r="M51" s="2" t="b">
        <v>0</v>
      </c>
      <c r="N51" s="2" t="b">
        <v>0</v>
      </c>
      <c r="O51" s="2">
        <v>6.666666666666667</v>
      </c>
      <c r="P51" s="2">
        <v>1</v>
      </c>
      <c r="Q51" s="2" t="s">
        <v>155</v>
      </c>
      <c r="R51" s="2" t="s">
        <v>171</v>
      </c>
      <c r="S51" s="2">
        <v>7.1999999999999993</v>
      </c>
      <c r="T51" s="2">
        <v>12.8</v>
      </c>
      <c r="U51" s="2" t="b">
        <v>0</v>
      </c>
      <c r="V51" s="2">
        <v>6</v>
      </c>
      <c r="W51" s="2">
        <v>1</v>
      </c>
      <c r="X51" s="2">
        <v>14</v>
      </c>
      <c r="Y51" s="2">
        <v>30.286458333333329</v>
      </c>
    </row>
    <row r="52" spans="1:25" hidden="1">
      <c r="A52" s="2" t="s">
        <v>228</v>
      </c>
      <c r="B52" s="2" t="s">
        <v>142</v>
      </c>
      <c r="C52" s="2" t="s">
        <v>190</v>
      </c>
      <c r="D52" s="3">
        <v>45343.791666666657</v>
      </c>
      <c r="E52" s="3">
        <v>45343.805555555547</v>
      </c>
      <c r="F52" s="2">
        <v>20</v>
      </c>
      <c r="G52" s="2" t="s">
        <v>151</v>
      </c>
      <c r="H52" s="2" t="s">
        <v>144</v>
      </c>
      <c r="I52" s="2">
        <v>4</v>
      </c>
      <c r="J52" s="2">
        <v>4</v>
      </c>
      <c r="K52" s="2" t="s">
        <v>143</v>
      </c>
      <c r="L52" s="2" t="s">
        <v>154</v>
      </c>
      <c r="M52" s="2" t="b">
        <v>1</v>
      </c>
      <c r="N52" s="2" t="b">
        <v>0</v>
      </c>
      <c r="O52" s="2">
        <v>5</v>
      </c>
      <c r="P52" s="2">
        <v>1</v>
      </c>
      <c r="Q52" s="2" t="s">
        <v>155</v>
      </c>
      <c r="R52" s="2" t="s">
        <v>147</v>
      </c>
      <c r="S52" s="2">
        <v>9.6</v>
      </c>
      <c r="T52" s="2">
        <v>10.4</v>
      </c>
      <c r="U52" s="2" t="b">
        <v>0</v>
      </c>
      <c r="V52" s="2">
        <v>12</v>
      </c>
      <c r="W52" s="2">
        <v>2</v>
      </c>
      <c r="X52" s="2">
        <v>19</v>
      </c>
      <c r="Y52" s="2">
        <v>30.259433962264151</v>
      </c>
    </row>
    <row r="53" spans="1:25" hidden="1">
      <c r="A53" s="2" t="s">
        <v>229</v>
      </c>
      <c r="B53" s="2" t="s">
        <v>149</v>
      </c>
      <c r="C53" s="2" t="s">
        <v>192</v>
      </c>
      <c r="D53" s="3">
        <v>45344.84375</v>
      </c>
      <c r="E53" s="3">
        <v>45344.861111111109</v>
      </c>
      <c r="F53" s="2">
        <v>25</v>
      </c>
      <c r="G53" s="2" t="s">
        <v>159</v>
      </c>
      <c r="H53" s="2" t="s">
        <v>160</v>
      </c>
      <c r="I53" s="2">
        <v>2</v>
      </c>
      <c r="J53" s="2">
        <v>2</v>
      </c>
      <c r="K53" s="2" t="s">
        <v>153</v>
      </c>
      <c r="L53" s="2" t="s">
        <v>145</v>
      </c>
      <c r="M53" s="2" t="b">
        <v>1</v>
      </c>
      <c r="N53" s="2" t="b">
        <v>0</v>
      </c>
      <c r="O53" s="2">
        <v>12.5</v>
      </c>
      <c r="P53" s="2">
        <v>1</v>
      </c>
      <c r="Q53" s="2" t="s">
        <v>155</v>
      </c>
      <c r="R53" s="2" t="s">
        <v>147</v>
      </c>
      <c r="S53" s="2">
        <v>4.8</v>
      </c>
      <c r="T53" s="2">
        <v>20.2</v>
      </c>
      <c r="U53" s="2" t="b">
        <v>0</v>
      </c>
      <c r="V53" s="2">
        <v>2</v>
      </c>
      <c r="W53" s="2">
        <v>3</v>
      </c>
      <c r="X53" s="2">
        <v>20</v>
      </c>
      <c r="Y53" s="2">
        <v>28.186274509803919</v>
      </c>
    </row>
    <row r="54" spans="1:25" hidden="1">
      <c r="A54" s="2" t="s">
        <v>230</v>
      </c>
      <c r="B54" s="2" t="s">
        <v>157</v>
      </c>
      <c r="C54" s="2" t="s">
        <v>194</v>
      </c>
      <c r="D54" s="3">
        <v>45345.770833333343</v>
      </c>
      <c r="E54" s="3">
        <v>45345.784722222219</v>
      </c>
      <c r="F54" s="2">
        <v>20</v>
      </c>
      <c r="G54" s="2" t="s">
        <v>143</v>
      </c>
      <c r="H54" s="2" t="s">
        <v>152</v>
      </c>
      <c r="I54" s="2">
        <v>3</v>
      </c>
      <c r="J54" s="2">
        <v>3.5</v>
      </c>
      <c r="K54" s="2" t="s">
        <v>161</v>
      </c>
      <c r="L54" s="2" t="s">
        <v>162</v>
      </c>
      <c r="M54" s="2" t="b">
        <v>1</v>
      </c>
      <c r="N54" s="2" t="b">
        <v>0</v>
      </c>
      <c r="O54" s="2">
        <v>5.7142857142857144</v>
      </c>
      <c r="P54" s="2">
        <v>0.8571428571428571</v>
      </c>
      <c r="Q54" s="2" t="s">
        <v>155</v>
      </c>
      <c r="R54" s="2" t="s">
        <v>147</v>
      </c>
      <c r="S54" s="2">
        <v>8.4</v>
      </c>
      <c r="T54" s="2">
        <v>11.6</v>
      </c>
      <c r="U54" s="2" t="b">
        <v>0</v>
      </c>
      <c r="V54" s="2">
        <v>6</v>
      </c>
      <c r="W54" s="2">
        <v>1</v>
      </c>
      <c r="X54" s="2">
        <v>18</v>
      </c>
      <c r="Y54" s="2">
        <v>28.844221105527641</v>
      </c>
    </row>
    <row r="55" spans="1:25" hidden="1">
      <c r="A55" s="2" t="s">
        <v>231</v>
      </c>
      <c r="B55" s="2" t="s">
        <v>165</v>
      </c>
      <c r="C55" s="2" t="s">
        <v>158</v>
      </c>
      <c r="D55" s="3">
        <v>45346.822916666657</v>
      </c>
      <c r="E55" s="3">
        <v>45346.840277777781</v>
      </c>
      <c r="F55" s="2">
        <v>25</v>
      </c>
      <c r="G55" s="2" t="s">
        <v>167</v>
      </c>
      <c r="H55" s="2" t="s">
        <v>168</v>
      </c>
      <c r="I55" s="2">
        <v>5</v>
      </c>
      <c r="J55" s="2">
        <v>4</v>
      </c>
      <c r="K55" s="2" t="s">
        <v>143</v>
      </c>
      <c r="L55" s="2" t="s">
        <v>169</v>
      </c>
      <c r="M55" s="2" t="b">
        <v>1</v>
      </c>
      <c r="N55" s="2" t="b">
        <v>1</v>
      </c>
      <c r="O55" s="2">
        <v>6.25</v>
      </c>
      <c r="P55" s="2">
        <v>1.25</v>
      </c>
      <c r="Q55" s="2" t="s">
        <v>155</v>
      </c>
      <c r="R55" s="2" t="s">
        <v>171</v>
      </c>
      <c r="S55" s="2">
        <v>9.6</v>
      </c>
      <c r="T55" s="2">
        <v>15.4</v>
      </c>
      <c r="U55" s="2" t="b">
        <v>0</v>
      </c>
      <c r="V55" s="2">
        <v>20</v>
      </c>
      <c r="W55" s="2">
        <v>2</v>
      </c>
      <c r="X55" s="2">
        <v>19</v>
      </c>
      <c r="Y55" s="2">
        <v>29.948453608247419</v>
      </c>
    </row>
    <row r="56" spans="1:25" hidden="1">
      <c r="A56" s="2" t="s">
        <v>232</v>
      </c>
      <c r="B56" s="2" t="s">
        <v>173</v>
      </c>
      <c r="C56" s="2" t="s">
        <v>166</v>
      </c>
      <c r="D56" s="3">
        <v>45347.541666666657</v>
      </c>
      <c r="E56" s="3">
        <v>45347.555555555547</v>
      </c>
      <c r="F56" s="2">
        <v>20</v>
      </c>
      <c r="G56" s="2" t="s">
        <v>143</v>
      </c>
      <c r="H56" s="2" t="s">
        <v>152</v>
      </c>
      <c r="I56" s="2">
        <v>3</v>
      </c>
      <c r="J56" s="2">
        <v>3</v>
      </c>
      <c r="K56" s="2" t="s">
        <v>153</v>
      </c>
      <c r="L56" s="2" t="s">
        <v>154</v>
      </c>
      <c r="M56" s="2" t="b">
        <v>0</v>
      </c>
      <c r="N56" s="2" t="b">
        <v>1</v>
      </c>
      <c r="O56" s="2">
        <v>6.666666666666667</v>
      </c>
      <c r="P56" s="2">
        <v>1</v>
      </c>
      <c r="Q56" s="2" t="s">
        <v>155</v>
      </c>
      <c r="R56" s="2" t="s">
        <v>147</v>
      </c>
      <c r="S56" s="2">
        <v>7.1999999999999993</v>
      </c>
      <c r="T56" s="2">
        <v>12.8</v>
      </c>
      <c r="U56" s="2" t="b">
        <v>0</v>
      </c>
      <c r="V56" s="2">
        <v>6</v>
      </c>
      <c r="W56" s="2">
        <v>3</v>
      </c>
      <c r="X56" s="2">
        <v>13</v>
      </c>
      <c r="Y56" s="2">
        <v>30.286458333333329</v>
      </c>
    </row>
    <row r="57" spans="1:25" hidden="1">
      <c r="A57" s="2" t="s">
        <v>233</v>
      </c>
      <c r="B57" s="2" t="s">
        <v>142</v>
      </c>
      <c r="C57" s="2" t="s">
        <v>150</v>
      </c>
      <c r="D57" s="3">
        <v>45348.770833333343</v>
      </c>
      <c r="E57" s="3">
        <v>45348.784722222219</v>
      </c>
      <c r="F57" s="2">
        <v>20</v>
      </c>
      <c r="G57" s="2" t="s">
        <v>151</v>
      </c>
      <c r="H57" s="2" t="s">
        <v>144</v>
      </c>
      <c r="I57" s="2">
        <v>4</v>
      </c>
      <c r="J57" s="2">
        <v>4.5</v>
      </c>
      <c r="K57" s="2" t="s">
        <v>161</v>
      </c>
      <c r="L57" s="2" t="s">
        <v>145</v>
      </c>
      <c r="M57" s="2" t="b">
        <v>1</v>
      </c>
      <c r="N57" s="2" t="b">
        <v>0</v>
      </c>
      <c r="O57" s="2">
        <v>4.4444444444444446</v>
      </c>
      <c r="P57" s="2">
        <v>0.88888888888888884</v>
      </c>
      <c r="Q57" s="2" t="s">
        <v>155</v>
      </c>
      <c r="R57" s="2" t="s">
        <v>147</v>
      </c>
      <c r="S57" s="2">
        <v>10.8</v>
      </c>
      <c r="T57" s="2">
        <v>9.2000000000000011</v>
      </c>
      <c r="U57" s="2" t="b">
        <v>0</v>
      </c>
      <c r="V57" s="2">
        <v>12</v>
      </c>
      <c r="W57" s="2">
        <v>1</v>
      </c>
      <c r="X57" s="2">
        <v>18</v>
      </c>
      <c r="Y57" s="2">
        <v>30.259433962264151</v>
      </c>
    </row>
    <row r="58" spans="1:25" hidden="1">
      <c r="A58" s="2" t="s">
        <v>234</v>
      </c>
      <c r="B58" s="2" t="s">
        <v>149</v>
      </c>
      <c r="C58" s="2" t="s">
        <v>186</v>
      </c>
      <c r="D58" s="3">
        <v>45349.833333333343</v>
      </c>
      <c r="E58" s="3">
        <v>45349.850694444453</v>
      </c>
      <c r="F58" s="2">
        <v>25</v>
      </c>
      <c r="G58" s="2" t="s">
        <v>143</v>
      </c>
      <c r="H58" s="2" t="s">
        <v>152</v>
      </c>
      <c r="I58" s="2">
        <v>3</v>
      </c>
      <c r="J58" s="2">
        <v>3</v>
      </c>
      <c r="K58" s="2" t="s">
        <v>153</v>
      </c>
      <c r="L58" s="2" t="s">
        <v>162</v>
      </c>
      <c r="M58" s="2" t="b">
        <v>1</v>
      </c>
      <c r="N58" s="2" t="b">
        <v>0</v>
      </c>
      <c r="O58" s="2">
        <v>8.3333333333333339</v>
      </c>
      <c r="P58" s="2">
        <v>1</v>
      </c>
      <c r="Q58" s="2" t="s">
        <v>155</v>
      </c>
      <c r="R58" s="2" t="s">
        <v>147</v>
      </c>
      <c r="S58" s="2">
        <v>7.1999999999999993</v>
      </c>
      <c r="T58" s="2">
        <v>17.8</v>
      </c>
      <c r="U58" s="2" t="b">
        <v>0</v>
      </c>
      <c r="V58" s="2">
        <v>6</v>
      </c>
      <c r="W58" s="2">
        <v>3</v>
      </c>
      <c r="X58" s="2">
        <v>20</v>
      </c>
      <c r="Y58" s="2">
        <v>28.186274509803919</v>
      </c>
    </row>
    <row r="59" spans="1:25" hidden="1">
      <c r="A59" s="2" t="s">
        <v>235</v>
      </c>
      <c r="B59" s="2" t="s">
        <v>157</v>
      </c>
      <c r="C59" s="2" t="s">
        <v>188</v>
      </c>
      <c r="D59" s="3">
        <v>45350.802083333343</v>
      </c>
      <c r="E59" s="3">
        <v>45350.815972222219</v>
      </c>
      <c r="F59" s="2">
        <v>20</v>
      </c>
      <c r="G59" s="2" t="s">
        <v>159</v>
      </c>
      <c r="H59" s="2" t="s">
        <v>160</v>
      </c>
      <c r="I59" s="2">
        <v>2</v>
      </c>
      <c r="J59" s="2">
        <v>2.5</v>
      </c>
      <c r="K59" s="2" t="s">
        <v>161</v>
      </c>
      <c r="L59" s="2" t="s">
        <v>169</v>
      </c>
      <c r="M59" s="2" t="b">
        <v>1</v>
      </c>
      <c r="N59" s="2" t="b">
        <v>0</v>
      </c>
      <c r="O59" s="2">
        <v>8</v>
      </c>
      <c r="P59" s="2">
        <v>0.8</v>
      </c>
      <c r="Q59" s="2" t="s">
        <v>155</v>
      </c>
      <c r="R59" s="2" t="s">
        <v>171</v>
      </c>
      <c r="S59" s="2">
        <v>6</v>
      </c>
      <c r="T59" s="2">
        <v>14</v>
      </c>
      <c r="U59" s="2" t="b">
        <v>0</v>
      </c>
      <c r="V59" s="2">
        <v>2</v>
      </c>
      <c r="W59" s="2">
        <v>1</v>
      </c>
      <c r="X59" s="2">
        <v>19</v>
      </c>
      <c r="Y59" s="2">
        <v>28.844221105527641</v>
      </c>
    </row>
    <row r="60" spans="1:25" hidden="1">
      <c r="A60" s="2" t="s">
        <v>236</v>
      </c>
      <c r="B60" s="2" t="s">
        <v>165</v>
      </c>
      <c r="C60" s="2" t="s">
        <v>174</v>
      </c>
      <c r="D60" s="3">
        <v>45351.854166666657</v>
      </c>
      <c r="E60" s="3">
        <v>45351.871527777781</v>
      </c>
      <c r="F60" s="2">
        <v>25</v>
      </c>
      <c r="G60" s="2" t="s">
        <v>167</v>
      </c>
      <c r="H60" s="2" t="s">
        <v>168</v>
      </c>
      <c r="I60" s="2">
        <v>5</v>
      </c>
      <c r="J60" s="2">
        <v>4</v>
      </c>
      <c r="K60" s="2" t="s">
        <v>143</v>
      </c>
      <c r="L60" s="2" t="s">
        <v>154</v>
      </c>
      <c r="M60" s="2" t="b">
        <v>1</v>
      </c>
      <c r="N60" s="2" t="b">
        <v>0</v>
      </c>
      <c r="O60" s="2">
        <v>6.25</v>
      </c>
      <c r="P60" s="2">
        <v>1.25</v>
      </c>
      <c r="Q60" s="2" t="s">
        <v>155</v>
      </c>
      <c r="R60" s="2" t="s">
        <v>147</v>
      </c>
      <c r="S60" s="2">
        <v>9.6</v>
      </c>
      <c r="T60" s="2">
        <v>15.4</v>
      </c>
      <c r="U60" s="2" t="b">
        <v>0</v>
      </c>
      <c r="V60" s="2">
        <v>20</v>
      </c>
      <c r="W60" s="2">
        <v>2</v>
      </c>
      <c r="X60" s="2">
        <v>20</v>
      </c>
      <c r="Y60" s="2">
        <v>29.948453608247419</v>
      </c>
    </row>
    <row r="61" spans="1:25" hidden="1">
      <c r="A61" s="2" t="s">
        <v>237</v>
      </c>
      <c r="B61" s="2" t="s">
        <v>173</v>
      </c>
      <c r="C61" s="2" t="s">
        <v>190</v>
      </c>
      <c r="D61" s="3">
        <v>45352.614583333343</v>
      </c>
      <c r="E61" s="3">
        <v>45352.628472222219</v>
      </c>
      <c r="F61" s="2">
        <v>20</v>
      </c>
      <c r="G61" s="2" t="s">
        <v>143</v>
      </c>
      <c r="H61" s="2" t="s">
        <v>152</v>
      </c>
      <c r="I61" s="2">
        <v>3</v>
      </c>
      <c r="J61" s="2">
        <v>3.5</v>
      </c>
      <c r="K61" s="2" t="s">
        <v>153</v>
      </c>
      <c r="L61" s="2" t="s">
        <v>145</v>
      </c>
      <c r="M61" s="2" t="b">
        <v>0</v>
      </c>
      <c r="N61" s="2" t="b">
        <v>0</v>
      </c>
      <c r="O61" s="2">
        <v>5.7142857142857144</v>
      </c>
      <c r="P61" s="2">
        <v>0.8571428571428571</v>
      </c>
      <c r="Q61" s="2" t="s">
        <v>163</v>
      </c>
      <c r="R61" s="2" t="s">
        <v>147</v>
      </c>
      <c r="S61" s="2">
        <v>8.4</v>
      </c>
      <c r="T61" s="2">
        <v>11.6</v>
      </c>
      <c r="U61" s="2" t="b">
        <v>0</v>
      </c>
      <c r="V61" s="2">
        <v>6</v>
      </c>
      <c r="W61" s="2">
        <v>3</v>
      </c>
      <c r="X61" s="2">
        <v>14</v>
      </c>
      <c r="Y61" s="2">
        <v>30.286458333333329</v>
      </c>
    </row>
    <row r="62" spans="1:25" hidden="1">
      <c r="A62" s="2" t="s">
        <v>238</v>
      </c>
      <c r="B62" s="2" t="s">
        <v>142</v>
      </c>
      <c r="C62" s="2" t="s">
        <v>192</v>
      </c>
      <c r="D62" s="3">
        <v>45353.791666666657</v>
      </c>
      <c r="E62" s="3">
        <v>45353.805555555547</v>
      </c>
      <c r="F62" s="2">
        <v>20</v>
      </c>
      <c r="G62" s="2" t="s">
        <v>151</v>
      </c>
      <c r="H62" s="2" t="s">
        <v>144</v>
      </c>
      <c r="I62" s="2">
        <v>4</v>
      </c>
      <c r="J62" s="2">
        <v>4</v>
      </c>
      <c r="K62" s="2" t="s">
        <v>161</v>
      </c>
      <c r="L62" s="2" t="s">
        <v>162</v>
      </c>
      <c r="M62" s="2" t="b">
        <v>1</v>
      </c>
      <c r="N62" s="2" t="b">
        <v>1</v>
      </c>
      <c r="O62" s="2">
        <v>5</v>
      </c>
      <c r="P62" s="2">
        <v>1</v>
      </c>
      <c r="Q62" s="2" t="s">
        <v>163</v>
      </c>
      <c r="R62" s="2" t="s">
        <v>147</v>
      </c>
      <c r="S62" s="2">
        <v>9.6</v>
      </c>
      <c r="T62" s="2">
        <v>10.4</v>
      </c>
      <c r="U62" s="2" t="b">
        <v>0</v>
      </c>
      <c r="V62" s="2">
        <v>12</v>
      </c>
      <c r="W62" s="2">
        <v>1</v>
      </c>
      <c r="X62" s="2">
        <v>19</v>
      </c>
      <c r="Y62" s="2">
        <v>30.259433962264151</v>
      </c>
    </row>
    <row r="63" spans="1:25" hidden="1">
      <c r="A63" s="2" t="s">
        <v>239</v>
      </c>
      <c r="B63" s="2" t="s">
        <v>149</v>
      </c>
      <c r="C63" s="2" t="s">
        <v>194</v>
      </c>
      <c r="D63" s="3">
        <v>45354.84375</v>
      </c>
      <c r="E63" s="3">
        <v>45354.861111111109</v>
      </c>
      <c r="F63" s="2">
        <v>25</v>
      </c>
      <c r="G63" s="2" t="s">
        <v>159</v>
      </c>
      <c r="H63" s="2" t="s">
        <v>160</v>
      </c>
      <c r="I63" s="2">
        <v>2</v>
      </c>
      <c r="J63" s="2">
        <v>2</v>
      </c>
      <c r="K63" s="2" t="s">
        <v>143</v>
      </c>
      <c r="L63" s="2" t="s">
        <v>169</v>
      </c>
      <c r="M63" s="2" t="b">
        <v>1</v>
      </c>
      <c r="N63" s="2" t="b">
        <v>1</v>
      </c>
      <c r="O63" s="2">
        <v>12.5</v>
      </c>
      <c r="P63" s="2">
        <v>1</v>
      </c>
      <c r="Q63" s="2" t="s">
        <v>163</v>
      </c>
      <c r="R63" s="2" t="s">
        <v>171</v>
      </c>
      <c r="S63" s="2">
        <v>4.8</v>
      </c>
      <c r="T63" s="2">
        <v>20.2</v>
      </c>
      <c r="U63" s="2" t="b">
        <v>0</v>
      </c>
      <c r="V63" s="2">
        <v>2</v>
      </c>
      <c r="W63" s="2">
        <v>2</v>
      </c>
      <c r="X63" s="2">
        <v>20</v>
      </c>
      <c r="Y63" s="2">
        <v>28.186274509803919</v>
      </c>
    </row>
    <row r="64" spans="1:25" hidden="1">
      <c r="A64" s="2" t="s">
        <v>240</v>
      </c>
      <c r="B64" s="2" t="s">
        <v>157</v>
      </c>
      <c r="C64" s="2" t="s">
        <v>174</v>
      </c>
      <c r="D64" s="3">
        <v>45355.770833333343</v>
      </c>
      <c r="E64" s="3">
        <v>45355.784722222219</v>
      </c>
      <c r="F64" s="2">
        <v>20</v>
      </c>
      <c r="G64" s="2" t="s">
        <v>143</v>
      </c>
      <c r="H64" s="2" t="s">
        <v>152</v>
      </c>
      <c r="I64" s="2">
        <v>3</v>
      </c>
      <c r="J64" s="2">
        <v>3</v>
      </c>
      <c r="K64" s="2" t="s">
        <v>153</v>
      </c>
      <c r="L64" s="2" t="s">
        <v>154</v>
      </c>
      <c r="M64" s="2" t="b">
        <v>1</v>
      </c>
      <c r="N64" s="2" t="b">
        <v>0</v>
      </c>
      <c r="O64" s="2">
        <v>6.666666666666667</v>
      </c>
      <c r="P64" s="2">
        <v>1</v>
      </c>
      <c r="Q64" s="2" t="s">
        <v>163</v>
      </c>
      <c r="R64" s="2" t="s">
        <v>147</v>
      </c>
      <c r="S64" s="2">
        <v>7.1999999999999993</v>
      </c>
      <c r="T64" s="2">
        <v>12.8</v>
      </c>
      <c r="U64" s="2" t="b">
        <v>0</v>
      </c>
      <c r="V64" s="2">
        <v>6</v>
      </c>
      <c r="W64" s="2">
        <v>3</v>
      </c>
      <c r="X64" s="2">
        <v>18</v>
      </c>
      <c r="Y64" s="2">
        <v>28.844221105527641</v>
      </c>
    </row>
    <row r="65" spans="1:25" hidden="1">
      <c r="A65" s="2" t="s">
        <v>241</v>
      </c>
      <c r="B65" s="2" t="s">
        <v>165</v>
      </c>
      <c r="C65" s="2" t="s">
        <v>150</v>
      </c>
      <c r="D65" s="3">
        <v>45356.822916666657</v>
      </c>
      <c r="E65" s="3">
        <v>45356.840277777781</v>
      </c>
      <c r="F65" s="2">
        <v>25</v>
      </c>
      <c r="G65" s="2" t="s">
        <v>167</v>
      </c>
      <c r="H65" s="2" t="s">
        <v>168</v>
      </c>
      <c r="I65" s="2">
        <v>5</v>
      </c>
      <c r="J65" s="2">
        <v>4.5</v>
      </c>
      <c r="K65" s="2" t="s">
        <v>161</v>
      </c>
      <c r="L65" s="2" t="s">
        <v>145</v>
      </c>
      <c r="M65" s="2" t="b">
        <v>1</v>
      </c>
      <c r="N65" s="2" t="b">
        <v>0</v>
      </c>
      <c r="O65" s="2">
        <v>5.5555555555555554</v>
      </c>
      <c r="P65" s="2">
        <v>1.1111111111111109</v>
      </c>
      <c r="Q65" s="2" t="s">
        <v>163</v>
      </c>
      <c r="R65" s="2" t="s">
        <v>147</v>
      </c>
      <c r="S65" s="2">
        <v>10.8</v>
      </c>
      <c r="T65" s="2">
        <v>14.2</v>
      </c>
      <c r="U65" s="2" t="b">
        <v>0</v>
      </c>
      <c r="V65" s="2">
        <v>20</v>
      </c>
      <c r="W65" s="2">
        <v>1</v>
      </c>
      <c r="X65" s="2">
        <v>19</v>
      </c>
      <c r="Y65" s="2">
        <v>29.948453608247419</v>
      </c>
    </row>
    <row r="66" spans="1:25" hidden="1">
      <c r="A66" s="2" t="s">
        <v>242</v>
      </c>
      <c r="B66" s="2" t="s">
        <v>173</v>
      </c>
      <c r="C66" s="2" t="s">
        <v>158</v>
      </c>
      <c r="D66" s="3">
        <v>45357.541666666657</v>
      </c>
      <c r="E66" s="3">
        <v>45357.555555555547</v>
      </c>
      <c r="F66" s="2">
        <v>20</v>
      </c>
      <c r="G66" s="2" t="s">
        <v>143</v>
      </c>
      <c r="H66" s="2" t="s">
        <v>152</v>
      </c>
      <c r="I66" s="2">
        <v>3</v>
      </c>
      <c r="J66" s="2">
        <v>3.5</v>
      </c>
      <c r="K66" s="2" t="s">
        <v>161</v>
      </c>
      <c r="L66" s="2" t="s">
        <v>145</v>
      </c>
      <c r="M66" s="2" t="b">
        <v>0</v>
      </c>
      <c r="N66" s="2" t="b">
        <v>0</v>
      </c>
      <c r="O66" s="2">
        <v>5.7142857142857144</v>
      </c>
      <c r="P66" s="2">
        <v>0.8571428571428571</v>
      </c>
      <c r="Q66" s="2" t="s">
        <v>163</v>
      </c>
      <c r="R66" s="2" t="s">
        <v>147</v>
      </c>
      <c r="S66" s="2">
        <v>8.4</v>
      </c>
      <c r="T66" s="2">
        <v>11.6</v>
      </c>
      <c r="U66" s="2" t="b">
        <v>0</v>
      </c>
      <c r="V66" s="2">
        <v>6</v>
      </c>
      <c r="W66" s="2">
        <v>1</v>
      </c>
      <c r="X66" s="2">
        <v>13</v>
      </c>
      <c r="Y66" s="2">
        <v>30.286458333333329</v>
      </c>
    </row>
    <row r="67" spans="1:25" hidden="1">
      <c r="A67" s="2" t="s">
        <v>243</v>
      </c>
      <c r="B67" s="2" t="s">
        <v>142</v>
      </c>
      <c r="C67" s="2" t="s">
        <v>166</v>
      </c>
      <c r="D67" s="3">
        <v>45358.770833333343</v>
      </c>
      <c r="E67" s="3">
        <v>45358.784722222219</v>
      </c>
      <c r="F67" s="2">
        <v>20</v>
      </c>
      <c r="G67" s="2" t="s">
        <v>151</v>
      </c>
      <c r="H67" s="2" t="s">
        <v>144</v>
      </c>
      <c r="I67" s="2">
        <v>4</v>
      </c>
      <c r="J67" s="2">
        <v>4</v>
      </c>
      <c r="K67" s="2" t="s">
        <v>153</v>
      </c>
      <c r="L67" s="2" t="s">
        <v>145</v>
      </c>
      <c r="M67" s="2" t="b">
        <v>1</v>
      </c>
      <c r="N67" s="2" t="b">
        <v>0</v>
      </c>
      <c r="O67" s="2">
        <v>5</v>
      </c>
      <c r="P67" s="2">
        <v>1</v>
      </c>
      <c r="Q67" s="2" t="s">
        <v>163</v>
      </c>
      <c r="R67" s="2" t="s">
        <v>147</v>
      </c>
      <c r="S67" s="2">
        <v>9.6</v>
      </c>
      <c r="T67" s="2">
        <v>10.4</v>
      </c>
      <c r="U67" s="2" t="b">
        <v>0</v>
      </c>
      <c r="V67" s="2">
        <v>12</v>
      </c>
      <c r="W67" s="2">
        <v>3</v>
      </c>
      <c r="X67" s="2">
        <v>18</v>
      </c>
      <c r="Y67" s="2">
        <v>30.259433962264151</v>
      </c>
    </row>
    <row r="68" spans="1:25" hidden="1">
      <c r="A68" s="2" t="s">
        <v>244</v>
      </c>
      <c r="B68" s="2" t="s">
        <v>149</v>
      </c>
      <c r="C68" s="2" t="s">
        <v>174</v>
      </c>
      <c r="D68" s="3">
        <v>45359.833333333343</v>
      </c>
      <c r="E68" s="3">
        <v>45359.850694444453</v>
      </c>
      <c r="F68" s="2">
        <v>25</v>
      </c>
      <c r="G68" s="2" t="s">
        <v>143</v>
      </c>
      <c r="H68" s="2" t="s">
        <v>152</v>
      </c>
      <c r="I68" s="2">
        <v>3</v>
      </c>
      <c r="J68" s="2">
        <v>3.5</v>
      </c>
      <c r="K68" s="2" t="s">
        <v>143</v>
      </c>
      <c r="L68" s="2" t="s">
        <v>162</v>
      </c>
      <c r="M68" s="2" t="b">
        <v>1</v>
      </c>
      <c r="N68" s="2" t="b">
        <v>0</v>
      </c>
      <c r="O68" s="2">
        <v>7.1428571428571432</v>
      </c>
      <c r="P68" s="2">
        <v>0.8571428571428571</v>
      </c>
      <c r="Q68" s="2" t="s">
        <v>163</v>
      </c>
      <c r="R68" s="2" t="s">
        <v>147</v>
      </c>
      <c r="S68" s="2">
        <v>8.4</v>
      </c>
      <c r="T68" s="2">
        <v>16.600000000000001</v>
      </c>
      <c r="U68" s="2" t="b">
        <v>0</v>
      </c>
      <c r="V68" s="2">
        <v>6</v>
      </c>
      <c r="W68" s="2">
        <v>2</v>
      </c>
      <c r="X68" s="2">
        <v>20</v>
      </c>
      <c r="Y68" s="2">
        <v>28.186274509803919</v>
      </c>
    </row>
    <row r="69" spans="1:25" hidden="1">
      <c r="A69" s="2" t="s">
        <v>245</v>
      </c>
      <c r="B69" s="2" t="s">
        <v>157</v>
      </c>
      <c r="C69" s="2" t="s">
        <v>158</v>
      </c>
      <c r="D69" s="3">
        <v>45360.802083333343</v>
      </c>
      <c r="E69" s="3">
        <v>45360.815972222219</v>
      </c>
      <c r="F69" s="2">
        <v>20</v>
      </c>
      <c r="G69" s="2" t="s">
        <v>159</v>
      </c>
      <c r="H69" s="2" t="s">
        <v>160</v>
      </c>
      <c r="I69" s="2">
        <v>2</v>
      </c>
      <c r="J69" s="2">
        <v>2.5</v>
      </c>
      <c r="K69" s="2" t="s">
        <v>161</v>
      </c>
      <c r="L69" s="2" t="s">
        <v>169</v>
      </c>
      <c r="M69" s="2" t="b">
        <v>1</v>
      </c>
      <c r="N69" s="2" t="b">
        <v>1</v>
      </c>
      <c r="O69" s="2">
        <v>8</v>
      </c>
      <c r="P69" s="2">
        <v>0.8</v>
      </c>
      <c r="Q69" s="2" t="s">
        <v>163</v>
      </c>
      <c r="R69" s="2" t="s">
        <v>171</v>
      </c>
      <c r="S69" s="2">
        <v>6</v>
      </c>
      <c r="T69" s="2">
        <v>14</v>
      </c>
      <c r="U69" s="2" t="b">
        <v>0</v>
      </c>
      <c r="V69" s="2">
        <v>2</v>
      </c>
      <c r="W69" s="2">
        <v>1</v>
      </c>
      <c r="X69" s="2">
        <v>19</v>
      </c>
      <c r="Y69" s="2">
        <v>28.844221105527641</v>
      </c>
    </row>
    <row r="70" spans="1:25" hidden="1">
      <c r="A70" s="2" t="s">
        <v>246</v>
      </c>
      <c r="B70" s="2" t="s">
        <v>165</v>
      </c>
      <c r="C70" s="2" t="s">
        <v>186</v>
      </c>
      <c r="D70" s="3">
        <v>45361.822916666657</v>
      </c>
      <c r="E70" s="3">
        <v>45361.840277777781</v>
      </c>
      <c r="F70" s="2">
        <v>25</v>
      </c>
      <c r="G70" s="2" t="s">
        <v>167</v>
      </c>
      <c r="H70" s="2" t="s">
        <v>168</v>
      </c>
      <c r="I70" s="2">
        <v>5</v>
      </c>
      <c r="J70" s="2">
        <v>4.5</v>
      </c>
      <c r="K70" s="2" t="s">
        <v>153</v>
      </c>
      <c r="L70" s="2" t="s">
        <v>154</v>
      </c>
      <c r="M70" s="2" t="b">
        <v>1</v>
      </c>
      <c r="N70" s="2" t="b">
        <v>1</v>
      </c>
      <c r="O70" s="2">
        <v>5.5555555555555554</v>
      </c>
      <c r="P70" s="2">
        <v>1.1111111111111109</v>
      </c>
      <c r="Q70" s="2" t="s">
        <v>163</v>
      </c>
      <c r="R70" s="2" t="s">
        <v>147</v>
      </c>
      <c r="S70" s="2">
        <v>10.8</v>
      </c>
      <c r="T70" s="2">
        <v>14.2</v>
      </c>
      <c r="U70" s="2" t="b">
        <v>0</v>
      </c>
      <c r="V70" s="2">
        <v>20</v>
      </c>
      <c r="W70" s="2">
        <v>3</v>
      </c>
      <c r="X70" s="2">
        <v>19</v>
      </c>
      <c r="Y70" s="2">
        <v>29.948453608247419</v>
      </c>
    </row>
    <row r="71" spans="1:25" hidden="1">
      <c r="A71" s="2" t="s">
        <v>247</v>
      </c>
      <c r="B71" s="2" t="s">
        <v>173</v>
      </c>
      <c r="C71" s="2" t="s">
        <v>188</v>
      </c>
      <c r="D71" s="3">
        <v>45362.541666666657</v>
      </c>
      <c r="E71" s="3">
        <v>45362.555555555547</v>
      </c>
      <c r="F71" s="2">
        <v>20</v>
      </c>
      <c r="G71" s="2" t="s">
        <v>143</v>
      </c>
      <c r="H71" s="2" t="s">
        <v>152</v>
      </c>
      <c r="I71" s="2">
        <v>3</v>
      </c>
      <c r="J71" s="2">
        <v>3</v>
      </c>
      <c r="K71" s="2" t="s">
        <v>161</v>
      </c>
      <c r="L71" s="2" t="s">
        <v>145</v>
      </c>
      <c r="M71" s="2" t="b">
        <v>0</v>
      </c>
      <c r="N71" s="2" t="b">
        <v>0</v>
      </c>
      <c r="O71" s="2">
        <v>6.666666666666667</v>
      </c>
      <c r="P71" s="2">
        <v>1</v>
      </c>
      <c r="Q71" s="2" t="s">
        <v>163</v>
      </c>
      <c r="R71" s="2" t="s">
        <v>147</v>
      </c>
      <c r="S71" s="2">
        <v>7.1999999999999993</v>
      </c>
      <c r="T71" s="2">
        <v>12.8</v>
      </c>
      <c r="U71" s="2" t="b">
        <v>0</v>
      </c>
      <c r="V71" s="2">
        <v>6</v>
      </c>
      <c r="W71" s="2">
        <v>1</v>
      </c>
      <c r="X71" s="2">
        <v>13</v>
      </c>
      <c r="Y71" s="2">
        <v>30.286458333333329</v>
      </c>
    </row>
    <row r="72" spans="1:25" hidden="1">
      <c r="A72" s="2" t="s">
        <v>248</v>
      </c>
      <c r="B72" s="2" t="s">
        <v>142</v>
      </c>
      <c r="C72" s="2" t="s">
        <v>190</v>
      </c>
      <c r="D72" s="3">
        <v>45363.770833333343</v>
      </c>
      <c r="E72" s="3">
        <v>45363.784722222219</v>
      </c>
      <c r="F72" s="2">
        <v>20</v>
      </c>
      <c r="G72" s="2" t="s">
        <v>151</v>
      </c>
      <c r="H72" s="2" t="s">
        <v>144</v>
      </c>
      <c r="I72" s="2">
        <v>4</v>
      </c>
      <c r="J72" s="2">
        <v>4</v>
      </c>
      <c r="K72" s="2" t="s">
        <v>143</v>
      </c>
      <c r="L72" s="2" t="s">
        <v>162</v>
      </c>
      <c r="M72" s="2" t="b">
        <v>1</v>
      </c>
      <c r="N72" s="2" t="b">
        <v>0</v>
      </c>
      <c r="O72" s="2">
        <v>5</v>
      </c>
      <c r="P72" s="2">
        <v>1</v>
      </c>
      <c r="Q72" s="2" t="s">
        <v>163</v>
      </c>
      <c r="R72" s="2" t="s">
        <v>147</v>
      </c>
      <c r="S72" s="2">
        <v>9.6</v>
      </c>
      <c r="T72" s="2">
        <v>10.4</v>
      </c>
      <c r="U72" s="2" t="b">
        <v>0</v>
      </c>
      <c r="V72" s="2">
        <v>12</v>
      </c>
      <c r="W72" s="2">
        <v>2</v>
      </c>
      <c r="X72" s="2">
        <v>18</v>
      </c>
      <c r="Y72" s="2">
        <v>30.259433962264151</v>
      </c>
    </row>
    <row r="73" spans="1:25" hidden="1">
      <c r="A73" s="2" t="s">
        <v>249</v>
      </c>
      <c r="B73" s="2" t="s">
        <v>149</v>
      </c>
      <c r="C73" s="2" t="s">
        <v>192</v>
      </c>
      <c r="D73" s="3">
        <v>45364.84375</v>
      </c>
      <c r="E73" s="3">
        <v>45364.861111111109</v>
      </c>
      <c r="F73" s="2">
        <v>25</v>
      </c>
      <c r="G73" s="2" t="s">
        <v>159</v>
      </c>
      <c r="H73" s="2" t="s">
        <v>160</v>
      </c>
      <c r="I73" s="2">
        <v>2</v>
      </c>
      <c r="J73" s="2">
        <v>2</v>
      </c>
      <c r="K73" s="2" t="s">
        <v>153</v>
      </c>
      <c r="L73" s="2" t="s">
        <v>169</v>
      </c>
      <c r="M73" s="2" t="b">
        <v>1</v>
      </c>
      <c r="N73" s="2" t="b">
        <v>0</v>
      </c>
      <c r="O73" s="2">
        <v>12.5</v>
      </c>
      <c r="P73" s="2">
        <v>1</v>
      </c>
      <c r="Q73" s="2" t="s">
        <v>163</v>
      </c>
      <c r="R73" s="2" t="s">
        <v>171</v>
      </c>
      <c r="S73" s="2">
        <v>4.8</v>
      </c>
      <c r="T73" s="2">
        <v>20.2</v>
      </c>
      <c r="U73" s="2" t="b">
        <v>0</v>
      </c>
      <c r="V73" s="2">
        <v>2</v>
      </c>
      <c r="W73" s="2">
        <v>3</v>
      </c>
      <c r="X73" s="2">
        <v>20</v>
      </c>
      <c r="Y73" s="2">
        <v>28.186274509803919</v>
      </c>
    </row>
    <row r="74" spans="1:25" hidden="1">
      <c r="A74" s="2" t="s">
        <v>250</v>
      </c>
      <c r="B74" s="2" t="s">
        <v>157</v>
      </c>
      <c r="C74" s="2" t="s">
        <v>194</v>
      </c>
      <c r="D74" s="3">
        <v>45365.770833333343</v>
      </c>
      <c r="E74" s="3">
        <v>45365.784722222219</v>
      </c>
      <c r="F74" s="2">
        <v>20</v>
      </c>
      <c r="G74" s="2" t="s">
        <v>143</v>
      </c>
      <c r="H74" s="2" t="s">
        <v>152</v>
      </c>
      <c r="I74" s="2">
        <v>3</v>
      </c>
      <c r="J74" s="2">
        <v>3.5</v>
      </c>
      <c r="K74" s="2" t="s">
        <v>161</v>
      </c>
      <c r="L74" s="2" t="s">
        <v>154</v>
      </c>
      <c r="M74" s="2" t="b">
        <v>1</v>
      </c>
      <c r="N74" s="2" t="b">
        <v>0</v>
      </c>
      <c r="O74" s="2">
        <v>5.7142857142857144</v>
      </c>
      <c r="P74" s="2">
        <v>0.8571428571428571</v>
      </c>
      <c r="Q74" s="2" t="s">
        <v>163</v>
      </c>
      <c r="R74" s="2" t="s">
        <v>147</v>
      </c>
      <c r="S74" s="2">
        <v>8.4</v>
      </c>
      <c r="T74" s="2">
        <v>11.6</v>
      </c>
      <c r="U74" s="2" t="b">
        <v>0</v>
      </c>
      <c r="V74" s="2">
        <v>6</v>
      </c>
      <c r="W74" s="2">
        <v>1</v>
      </c>
      <c r="X74" s="2">
        <v>18</v>
      </c>
      <c r="Y74" s="2">
        <v>28.844221105527641</v>
      </c>
    </row>
    <row r="75" spans="1:25" hidden="1">
      <c r="A75" s="2" t="s">
        <v>251</v>
      </c>
      <c r="B75" s="2" t="s">
        <v>165</v>
      </c>
      <c r="C75" s="2" t="s">
        <v>158</v>
      </c>
      <c r="D75" s="3">
        <v>45366.822916666657</v>
      </c>
      <c r="E75" s="3">
        <v>45366.840277777781</v>
      </c>
      <c r="F75" s="2">
        <v>25</v>
      </c>
      <c r="G75" s="2" t="s">
        <v>167</v>
      </c>
      <c r="H75" s="2" t="s">
        <v>168</v>
      </c>
      <c r="I75" s="2">
        <v>5</v>
      </c>
      <c r="J75" s="2">
        <v>4</v>
      </c>
      <c r="K75" s="2" t="s">
        <v>143</v>
      </c>
      <c r="L75" s="2" t="s">
        <v>145</v>
      </c>
      <c r="M75" s="2" t="b">
        <v>1</v>
      </c>
      <c r="N75" s="2" t="b">
        <v>0</v>
      </c>
      <c r="O75" s="2">
        <v>6.25</v>
      </c>
      <c r="P75" s="2">
        <v>1.25</v>
      </c>
      <c r="Q75" s="2" t="s">
        <v>163</v>
      </c>
      <c r="R75" s="2" t="s">
        <v>147</v>
      </c>
      <c r="S75" s="2">
        <v>9.6</v>
      </c>
      <c r="T75" s="2">
        <v>15.4</v>
      </c>
      <c r="U75" s="2" t="b">
        <v>0</v>
      </c>
      <c r="V75" s="2">
        <v>20</v>
      </c>
      <c r="W75" s="2">
        <v>2</v>
      </c>
      <c r="X75" s="2">
        <v>19</v>
      </c>
      <c r="Y75" s="2">
        <v>29.948453608247419</v>
      </c>
    </row>
    <row r="76" spans="1:25" hidden="1">
      <c r="A76" s="2" t="s">
        <v>252</v>
      </c>
      <c r="B76" s="2" t="s">
        <v>173</v>
      </c>
      <c r="C76" s="2" t="s">
        <v>166</v>
      </c>
      <c r="D76" s="3">
        <v>45367.541666666657</v>
      </c>
      <c r="E76" s="3">
        <v>45367.555555555547</v>
      </c>
      <c r="F76" s="2">
        <v>20</v>
      </c>
      <c r="G76" s="2" t="s">
        <v>143</v>
      </c>
      <c r="H76" s="2" t="s">
        <v>152</v>
      </c>
      <c r="I76" s="2">
        <v>3</v>
      </c>
      <c r="J76" s="2">
        <v>3</v>
      </c>
      <c r="K76" s="2" t="s">
        <v>153</v>
      </c>
      <c r="L76" s="2" t="s">
        <v>162</v>
      </c>
      <c r="M76" s="2" t="b">
        <v>0</v>
      </c>
      <c r="N76" s="2" t="b">
        <v>1</v>
      </c>
      <c r="O76" s="2">
        <v>6.666666666666667</v>
      </c>
      <c r="P76" s="2">
        <v>1</v>
      </c>
      <c r="Q76" s="2" t="s">
        <v>163</v>
      </c>
      <c r="R76" s="2" t="s">
        <v>147</v>
      </c>
      <c r="S76" s="2">
        <v>7.1999999999999993</v>
      </c>
      <c r="T76" s="2">
        <v>12.8</v>
      </c>
      <c r="U76" s="2" t="b">
        <v>0</v>
      </c>
      <c r="V76" s="2">
        <v>6</v>
      </c>
      <c r="W76" s="2">
        <v>3</v>
      </c>
      <c r="X76" s="2">
        <v>13</v>
      </c>
      <c r="Y76" s="2">
        <v>30.286458333333329</v>
      </c>
    </row>
    <row r="77" spans="1:25" hidden="1">
      <c r="A77" s="2" t="s">
        <v>253</v>
      </c>
      <c r="B77" s="2" t="s">
        <v>142</v>
      </c>
      <c r="C77" s="2" t="s">
        <v>150</v>
      </c>
      <c r="D77" s="3">
        <v>45368.770833333343</v>
      </c>
      <c r="E77" s="3">
        <v>45368.784722222219</v>
      </c>
      <c r="F77" s="2">
        <v>20</v>
      </c>
      <c r="G77" s="2" t="s">
        <v>151</v>
      </c>
      <c r="H77" s="2" t="s">
        <v>144</v>
      </c>
      <c r="I77" s="2">
        <v>4</v>
      </c>
      <c r="J77" s="2">
        <v>4.5</v>
      </c>
      <c r="K77" s="2" t="s">
        <v>161</v>
      </c>
      <c r="L77" s="2" t="s">
        <v>169</v>
      </c>
      <c r="M77" s="2" t="b">
        <v>1</v>
      </c>
      <c r="N77" s="2" t="b">
        <v>1</v>
      </c>
      <c r="O77" s="2">
        <v>4.4444444444444446</v>
      </c>
      <c r="P77" s="2">
        <v>0.88888888888888884</v>
      </c>
      <c r="Q77" s="2" t="s">
        <v>163</v>
      </c>
      <c r="R77" s="2" t="s">
        <v>171</v>
      </c>
      <c r="S77" s="2">
        <v>10.8</v>
      </c>
      <c r="T77" s="2">
        <v>9.2000000000000011</v>
      </c>
      <c r="U77" s="2" t="b">
        <v>0</v>
      </c>
      <c r="V77" s="2">
        <v>12</v>
      </c>
      <c r="W77" s="2">
        <v>1</v>
      </c>
      <c r="X77" s="2">
        <v>18</v>
      </c>
      <c r="Y77" s="2">
        <v>30.259433962264151</v>
      </c>
    </row>
    <row r="78" spans="1:25" hidden="1">
      <c r="A78" s="2" t="s">
        <v>254</v>
      </c>
      <c r="B78" s="2" t="s">
        <v>149</v>
      </c>
      <c r="C78" s="2" t="s">
        <v>186</v>
      </c>
      <c r="D78" s="3">
        <v>45369.833333333343</v>
      </c>
      <c r="E78" s="3">
        <v>45369.850694444453</v>
      </c>
      <c r="F78" s="2">
        <v>25</v>
      </c>
      <c r="G78" s="2" t="s">
        <v>143</v>
      </c>
      <c r="H78" s="2" t="s">
        <v>152</v>
      </c>
      <c r="I78" s="2">
        <v>3</v>
      </c>
      <c r="J78" s="2">
        <v>3</v>
      </c>
      <c r="K78" s="2" t="s">
        <v>153</v>
      </c>
      <c r="L78" s="2" t="s">
        <v>154</v>
      </c>
      <c r="M78" s="2" t="b">
        <v>1</v>
      </c>
      <c r="N78" s="2" t="b">
        <v>0</v>
      </c>
      <c r="O78" s="2">
        <v>8.3333333333333339</v>
      </c>
      <c r="P78" s="2">
        <v>1</v>
      </c>
      <c r="Q78" s="2" t="s">
        <v>163</v>
      </c>
      <c r="R78" s="2" t="s">
        <v>147</v>
      </c>
      <c r="S78" s="2">
        <v>7.1999999999999993</v>
      </c>
      <c r="T78" s="2">
        <v>17.8</v>
      </c>
      <c r="U78" s="2" t="b">
        <v>0</v>
      </c>
      <c r="V78" s="2">
        <v>6</v>
      </c>
      <c r="W78" s="2">
        <v>3</v>
      </c>
      <c r="X78" s="2">
        <v>20</v>
      </c>
      <c r="Y78" s="2">
        <v>28.186274509803919</v>
      </c>
    </row>
    <row r="79" spans="1:25" hidden="1">
      <c r="A79" s="2" t="s">
        <v>255</v>
      </c>
      <c r="B79" s="2" t="s">
        <v>157</v>
      </c>
      <c r="C79" s="2" t="s">
        <v>188</v>
      </c>
      <c r="D79" s="3">
        <v>45370.802083333343</v>
      </c>
      <c r="E79" s="3">
        <v>45370.815972222219</v>
      </c>
      <c r="F79" s="2">
        <v>20</v>
      </c>
      <c r="G79" s="2" t="s">
        <v>159</v>
      </c>
      <c r="H79" s="2" t="s">
        <v>160</v>
      </c>
      <c r="I79" s="2">
        <v>2</v>
      </c>
      <c r="J79" s="2">
        <v>2.5</v>
      </c>
      <c r="K79" s="2" t="s">
        <v>161</v>
      </c>
      <c r="L79" s="2" t="s">
        <v>145</v>
      </c>
      <c r="M79" s="2" t="b">
        <v>1</v>
      </c>
      <c r="N79" s="2" t="b">
        <v>0</v>
      </c>
      <c r="O79" s="2">
        <v>8</v>
      </c>
      <c r="P79" s="2">
        <v>0.8</v>
      </c>
      <c r="Q79" s="2" t="s">
        <v>163</v>
      </c>
      <c r="R79" s="2" t="s">
        <v>147</v>
      </c>
      <c r="S79" s="2">
        <v>6</v>
      </c>
      <c r="T79" s="2">
        <v>14</v>
      </c>
      <c r="U79" s="2" t="b">
        <v>0</v>
      </c>
      <c r="V79" s="2">
        <v>2</v>
      </c>
      <c r="W79" s="2">
        <v>1</v>
      </c>
      <c r="X79" s="2">
        <v>19</v>
      </c>
      <c r="Y79" s="2">
        <v>28.844221105527641</v>
      </c>
    </row>
    <row r="80" spans="1:25" hidden="1">
      <c r="A80" s="2" t="s">
        <v>256</v>
      </c>
      <c r="B80" s="2" t="s">
        <v>165</v>
      </c>
      <c r="C80" s="2" t="s">
        <v>174</v>
      </c>
      <c r="D80" s="3">
        <v>45371.822916666657</v>
      </c>
      <c r="E80" s="3">
        <v>45371.840277777781</v>
      </c>
      <c r="F80" s="2">
        <v>25</v>
      </c>
      <c r="G80" s="2" t="s">
        <v>167</v>
      </c>
      <c r="H80" s="2" t="s">
        <v>168</v>
      </c>
      <c r="I80" s="2">
        <v>5</v>
      </c>
      <c r="J80" s="2">
        <v>4</v>
      </c>
      <c r="K80" s="2" t="s">
        <v>143</v>
      </c>
      <c r="L80" s="2" t="s">
        <v>162</v>
      </c>
      <c r="M80" s="2" t="b">
        <v>1</v>
      </c>
      <c r="N80" s="2" t="b">
        <v>0</v>
      </c>
      <c r="O80" s="2">
        <v>6.25</v>
      </c>
      <c r="P80" s="2">
        <v>1.25</v>
      </c>
      <c r="Q80" s="2" t="s">
        <v>163</v>
      </c>
      <c r="R80" s="2" t="s">
        <v>147</v>
      </c>
      <c r="S80" s="2">
        <v>9.6</v>
      </c>
      <c r="T80" s="2">
        <v>15.4</v>
      </c>
      <c r="U80" s="2" t="b">
        <v>0</v>
      </c>
      <c r="V80" s="2">
        <v>20</v>
      </c>
      <c r="W80" s="2">
        <v>2</v>
      </c>
      <c r="X80" s="2">
        <v>19</v>
      </c>
      <c r="Y80" s="2">
        <v>29.948453608247419</v>
      </c>
    </row>
    <row r="81" spans="1:25" hidden="1">
      <c r="A81" s="2" t="s">
        <v>257</v>
      </c>
      <c r="B81" s="2" t="s">
        <v>173</v>
      </c>
      <c r="C81" s="2" t="s">
        <v>190</v>
      </c>
      <c r="D81" s="3">
        <v>45372.541666666657</v>
      </c>
      <c r="E81" s="3">
        <v>45372.555555555547</v>
      </c>
      <c r="F81" s="2">
        <v>20</v>
      </c>
      <c r="G81" s="2" t="s">
        <v>143</v>
      </c>
      <c r="H81" s="2" t="s">
        <v>152</v>
      </c>
      <c r="I81" s="2">
        <v>3</v>
      </c>
      <c r="J81" s="2">
        <v>3.5</v>
      </c>
      <c r="K81" s="2" t="s">
        <v>153</v>
      </c>
      <c r="L81" s="2" t="s">
        <v>169</v>
      </c>
      <c r="M81" s="2" t="b">
        <v>0</v>
      </c>
      <c r="N81" s="2" t="b">
        <v>0</v>
      </c>
      <c r="O81" s="2">
        <v>5.7142857142857144</v>
      </c>
      <c r="P81" s="2">
        <v>0.8571428571428571</v>
      </c>
      <c r="Q81" s="2" t="s">
        <v>163</v>
      </c>
      <c r="R81" s="2" t="s">
        <v>171</v>
      </c>
      <c r="S81" s="2">
        <v>8.4</v>
      </c>
      <c r="T81" s="2">
        <v>11.6</v>
      </c>
      <c r="U81" s="2" t="b">
        <v>0</v>
      </c>
      <c r="V81" s="2">
        <v>6</v>
      </c>
      <c r="W81" s="2">
        <v>3</v>
      </c>
      <c r="X81" s="2">
        <v>13</v>
      </c>
      <c r="Y81" s="2">
        <v>30.286458333333329</v>
      </c>
    </row>
    <row r="82" spans="1:25" hidden="1">
      <c r="A82" s="2" t="s">
        <v>258</v>
      </c>
      <c r="B82" s="2" t="s">
        <v>142</v>
      </c>
      <c r="C82" s="2" t="s">
        <v>192</v>
      </c>
      <c r="D82" s="3">
        <v>45373.770833333343</v>
      </c>
      <c r="E82" s="3">
        <v>45373.784722222219</v>
      </c>
      <c r="F82" s="2">
        <v>20</v>
      </c>
      <c r="G82" s="2" t="s">
        <v>151</v>
      </c>
      <c r="H82" s="2" t="s">
        <v>144</v>
      </c>
      <c r="I82" s="2">
        <v>4</v>
      </c>
      <c r="J82" s="2">
        <v>4</v>
      </c>
      <c r="K82" s="2" t="s">
        <v>161</v>
      </c>
      <c r="L82" s="2" t="s">
        <v>154</v>
      </c>
      <c r="M82" s="2" t="b">
        <v>1</v>
      </c>
      <c r="N82" s="2" t="b">
        <v>0</v>
      </c>
      <c r="O82" s="2">
        <v>5</v>
      </c>
      <c r="P82" s="2">
        <v>1</v>
      </c>
      <c r="Q82" s="2" t="s">
        <v>163</v>
      </c>
      <c r="R82" s="2" t="s">
        <v>147</v>
      </c>
      <c r="S82" s="2">
        <v>9.6</v>
      </c>
      <c r="T82" s="2">
        <v>10.4</v>
      </c>
      <c r="U82" s="2" t="b">
        <v>0</v>
      </c>
      <c r="V82" s="2">
        <v>12</v>
      </c>
      <c r="W82" s="2">
        <v>1</v>
      </c>
      <c r="X82" s="2">
        <v>18</v>
      </c>
      <c r="Y82" s="2">
        <v>30.259433962264151</v>
      </c>
    </row>
    <row r="83" spans="1:25" hidden="1">
      <c r="A83" s="2" t="s">
        <v>259</v>
      </c>
      <c r="B83" s="2" t="s">
        <v>149</v>
      </c>
      <c r="C83" s="2" t="s">
        <v>194</v>
      </c>
      <c r="D83" s="3">
        <v>45374.84375</v>
      </c>
      <c r="E83" s="3">
        <v>45374.861111111109</v>
      </c>
      <c r="F83" s="2">
        <v>25</v>
      </c>
      <c r="G83" s="2" t="s">
        <v>159</v>
      </c>
      <c r="H83" s="2" t="s">
        <v>160</v>
      </c>
      <c r="I83" s="2">
        <v>2</v>
      </c>
      <c r="J83" s="2">
        <v>2</v>
      </c>
      <c r="K83" s="2" t="s">
        <v>153</v>
      </c>
      <c r="L83" s="2" t="s">
        <v>145</v>
      </c>
      <c r="M83" s="2" t="b">
        <v>1</v>
      </c>
      <c r="N83" s="2" t="b">
        <v>1</v>
      </c>
      <c r="O83" s="2">
        <v>12.5</v>
      </c>
      <c r="P83" s="2">
        <v>1</v>
      </c>
      <c r="Q83" s="2" t="s">
        <v>163</v>
      </c>
      <c r="R83" s="2" t="s">
        <v>147</v>
      </c>
      <c r="S83" s="2">
        <v>4.8</v>
      </c>
      <c r="T83" s="2">
        <v>20.2</v>
      </c>
      <c r="U83" s="2" t="b">
        <v>0</v>
      </c>
      <c r="V83" s="2">
        <v>2</v>
      </c>
      <c r="W83" s="2">
        <v>3</v>
      </c>
      <c r="X83" s="2">
        <v>20</v>
      </c>
      <c r="Y83" s="2">
        <v>28.186274509803919</v>
      </c>
    </row>
    <row r="84" spans="1:25" hidden="1">
      <c r="A84" s="2" t="s">
        <v>260</v>
      </c>
      <c r="B84" s="2" t="s">
        <v>157</v>
      </c>
      <c r="C84" s="2" t="s">
        <v>174</v>
      </c>
      <c r="D84" s="3">
        <v>45375.770833333343</v>
      </c>
      <c r="E84" s="3">
        <v>45375.784722222219</v>
      </c>
      <c r="F84" s="2">
        <v>20</v>
      </c>
      <c r="G84" s="2" t="s">
        <v>143</v>
      </c>
      <c r="H84" s="2" t="s">
        <v>152</v>
      </c>
      <c r="I84" s="2">
        <v>3</v>
      </c>
      <c r="J84" s="2">
        <v>3</v>
      </c>
      <c r="K84" s="2" t="s">
        <v>153</v>
      </c>
      <c r="L84" s="2" t="s">
        <v>162</v>
      </c>
      <c r="M84" s="2" t="b">
        <v>1</v>
      </c>
      <c r="N84" s="2" t="b">
        <v>1</v>
      </c>
      <c r="O84" s="2">
        <v>6.666666666666667</v>
      </c>
      <c r="P84" s="2">
        <v>1</v>
      </c>
      <c r="Q84" s="2" t="s">
        <v>163</v>
      </c>
      <c r="R84" s="2" t="s">
        <v>147</v>
      </c>
      <c r="S84" s="2">
        <v>7.1999999999999993</v>
      </c>
      <c r="T84" s="2">
        <v>12.8</v>
      </c>
      <c r="U84" s="2" t="b">
        <v>0</v>
      </c>
      <c r="V84" s="2">
        <v>6</v>
      </c>
      <c r="W84" s="2">
        <v>3</v>
      </c>
      <c r="X84" s="2">
        <v>18</v>
      </c>
      <c r="Y84" s="2">
        <v>28.844221105527641</v>
      </c>
    </row>
    <row r="85" spans="1:25" hidden="1">
      <c r="A85" s="2" t="s">
        <v>261</v>
      </c>
      <c r="B85" s="2" t="s">
        <v>165</v>
      </c>
      <c r="C85" s="2" t="s">
        <v>150</v>
      </c>
      <c r="D85" s="3">
        <v>45376.822916666657</v>
      </c>
      <c r="E85" s="3">
        <v>45376.840277777781</v>
      </c>
      <c r="F85" s="2">
        <v>25</v>
      </c>
      <c r="G85" s="2" t="s">
        <v>167</v>
      </c>
      <c r="H85" s="2" t="s">
        <v>168</v>
      </c>
      <c r="I85" s="2">
        <v>5</v>
      </c>
      <c r="J85" s="2">
        <v>4.5</v>
      </c>
      <c r="K85" s="2" t="s">
        <v>161</v>
      </c>
      <c r="L85" s="2" t="s">
        <v>169</v>
      </c>
      <c r="M85" s="2" t="b">
        <v>1</v>
      </c>
      <c r="N85" s="2" t="b">
        <v>0</v>
      </c>
      <c r="O85" s="2">
        <v>5.5555555555555554</v>
      </c>
      <c r="P85" s="2">
        <v>1.1111111111111109</v>
      </c>
      <c r="Q85" s="2" t="s">
        <v>163</v>
      </c>
      <c r="R85" s="2" t="s">
        <v>171</v>
      </c>
      <c r="S85" s="2">
        <v>10.8</v>
      </c>
      <c r="T85" s="2">
        <v>14.2</v>
      </c>
      <c r="U85" s="2" t="b">
        <v>0</v>
      </c>
      <c r="V85" s="2">
        <v>20</v>
      </c>
      <c r="W85" s="2">
        <v>1</v>
      </c>
      <c r="X85" s="2">
        <v>19</v>
      </c>
      <c r="Y85" s="2">
        <v>29.948453608247419</v>
      </c>
    </row>
    <row r="86" spans="1:25" hidden="1">
      <c r="A86" s="2" t="s">
        <v>262</v>
      </c>
      <c r="B86" s="2" t="s">
        <v>173</v>
      </c>
      <c r="C86" s="2" t="s">
        <v>158</v>
      </c>
      <c r="D86" s="3">
        <v>45377.541666666657</v>
      </c>
      <c r="E86" s="3">
        <v>45377.555555555547</v>
      </c>
      <c r="F86" s="2">
        <v>20</v>
      </c>
      <c r="G86" s="2" t="s">
        <v>143</v>
      </c>
      <c r="H86" s="2" t="s">
        <v>152</v>
      </c>
      <c r="I86" s="2">
        <v>3</v>
      </c>
      <c r="J86" s="2">
        <v>3.5</v>
      </c>
      <c r="K86" s="2" t="s">
        <v>143</v>
      </c>
      <c r="L86" s="2" t="s">
        <v>154</v>
      </c>
      <c r="M86" s="2" t="b">
        <v>0</v>
      </c>
      <c r="N86" s="2" t="b">
        <v>0</v>
      </c>
      <c r="O86" s="2">
        <v>5.7142857142857144</v>
      </c>
      <c r="P86" s="2">
        <v>0.8571428571428571</v>
      </c>
      <c r="Q86" s="2" t="s">
        <v>163</v>
      </c>
      <c r="R86" s="2" t="s">
        <v>147</v>
      </c>
      <c r="S86" s="2">
        <v>8.4</v>
      </c>
      <c r="T86" s="2">
        <v>11.6</v>
      </c>
      <c r="U86" s="2" t="b">
        <v>0</v>
      </c>
      <c r="V86" s="2">
        <v>6</v>
      </c>
      <c r="W86" s="2">
        <v>2</v>
      </c>
      <c r="X86" s="2">
        <v>13</v>
      </c>
      <c r="Y86" s="2">
        <v>30.286458333333329</v>
      </c>
    </row>
    <row r="87" spans="1:25" hidden="1">
      <c r="A87" s="2" t="s">
        <v>263</v>
      </c>
      <c r="B87" s="2" t="s">
        <v>142</v>
      </c>
      <c r="C87" s="2" t="s">
        <v>166</v>
      </c>
      <c r="D87" s="3">
        <v>45378.770833333343</v>
      </c>
      <c r="E87" s="3">
        <v>45378.784722222219</v>
      </c>
      <c r="F87" s="2">
        <v>20</v>
      </c>
      <c r="G87" s="2" t="s">
        <v>151</v>
      </c>
      <c r="H87" s="2" t="s">
        <v>144</v>
      </c>
      <c r="I87" s="2">
        <v>4</v>
      </c>
      <c r="J87" s="2">
        <v>4</v>
      </c>
      <c r="K87" s="2" t="s">
        <v>153</v>
      </c>
      <c r="L87" s="2" t="s">
        <v>145</v>
      </c>
      <c r="M87" s="2" t="b">
        <v>1</v>
      </c>
      <c r="N87" s="2" t="b">
        <v>0</v>
      </c>
      <c r="O87" s="2">
        <v>5</v>
      </c>
      <c r="P87" s="2">
        <v>1</v>
      </c>
      <c r="Q87" s="2" t="s">
        <v>163</v>
      </c>
      <c r="R87" s="2" t="s">
        <v>147</v>
      </c>
      <c r="S87" s="2">
        <v>9.6</v>
      </c>
      <c r="T87" s="2">
        <v>10.4</v>
      </c>
      <c r="U87" s="2" t="b">
        <v>0</v>
      </c>
      <c r="V87" s="2">
        <v>12</v>
      </c>
      <c r="W87" s="2">
        <v>3</v>
      </c>
      <c r="X87" s="2">
        <v>18</v>
      </c>
      <c r="Y87" s="2">
        <v>30.259433962264151</v>
      </c>
    </row>
    <row r="88" spans="1:25" hidden="1">
      <c r="A88" s="2" t="s">
        <v>264</v>
      </c>
      <c r="B88" s="2" t="s">
        <v>149</v>
      </c>
      <c r="C88" s="2" t="s">
        <v>174</v>
      </c>
      <c r="D88" s="3">
        <v>45379.833333333343</v>
      </c>
      <c r="E88" s="3">
        <v>45379.850694444453</v>
      </c>
      <c r="F88" s="2">
        <v>25</v>
      </c>
      <c r="G88" s="2" t="s">
        <v>143</v>
      </c>
      <c r="H88" s="2" t="s">
        <v>152</v>
      </c>
      <c r="I88" s="2">
        <v>3</v>
      </c>
      <c r="J88" s="2">
        <v>3</v>
      </c>
      <c r="K88" s="2" t="s">
        <v>161</v>
      </c>
      <c r="L88" s="2" t="s">
        <v>162</v>
      </c>
      <c r="M88" s="2" t="b">
        <v>1</v>
      </c>
      <c r="N88" s="2" t="b">
        <v>0</v>
      </c>
      <c r="O88" s="2">
        <v>8.3333333333333339</v>
      </c>
      <c r="P88" s="2">
        <v>1</v>
      </c>
      <c r="Q88" s="2" t="s">
        <v>163</v>
      </c>
      <c r="R88" s="2" t="s">
        <v>147</v>
      </c>
      <c r="S88" s="2">
        <v>7.1999999999999993</v>
      </c>
      <c r="T88" s="2">
        <v>17.8</v>
      </c>
      <c r="U88" s="2" t="b">
        <v>0</v>
      </c>
      <c r="V88" s="2">
        <v>6</v>
      </c>
      <c r="W88" s="2">
        <v>1</v>
      </c>
      <c r="X88" s="2">
        <v>20</v>
      </c>
      <c r="Y88" s="2">
        <v>28.186274509803919</v>
      </c>
    </row>
    <row r="89" spans="1:25" hidden="1">
      <c r="A89" s="2" t="s">
        <v>265</v>
      </c>
      <c r="B89" s="2" t="s">
        <v>157</v>
      </c>
      <c r="C89" s="2" t="s">
        <v>184</v>
      </c>
      <c r="D89" s="3">
        <v>45380.802083333343</v>
      </c>
      <c r="E89" s="3">
        <v>45380.815972222219</v>
      </c>
      <c r="F89" s="2">
        <v>20</v>
      </c>
      <c r="G89" s="2" t="s">
        <v>159</v>
      </c>
      <c r="H89" s="2" t="s">
        <v>160</v>
      </c>
      <c r="I89" s="2">
        <v>2</v>
      </c>
      <c r="J89" s="2">
        <v>2.5</v>
      </c>
      <c r="K89" s="2" t="s">
        <v>161</v>
      </c>
      <c r="L89" s="2" t="s">
        <v>169</v>
      </c>
      <c r="M89" s="2" t="b">
        <v>1</v>
      </c>
      <c r="N89" s="2" t="b">
        <v>0</v>
      </c>
      <c r="O89" s="2">
        <v>8</v>
      </c>
      <c r="P89" s="2">
        <v>0.8</v>
      </c>
      <c r="Q89" s="2" t="s">
        <v>163</v>
      </c>
      <c r="R89" s="2" t="s">
        <v>171</v>
      </c>
      <c r="S89" s="2">
        <v>6</v>
      </c>
      <c r="T89" s="2">
        <v>14</v>
      </c>
      <c r="U89" s="2" t="b">
        <v>0</v>
      </c>
      <c r="V89" s="2">
        <v>2</v>
      </c>
      <c r="W89" s="2">
        <v>1</v>
      </c>
      <c r="X89" s="2">
        <v>19</v>
      </c>
      <c r="Y89" s="2">
        <v>28.844221105527641</v>
      </c>
    </row>
    <row r="90" spans="1:25" hidden="1">
      <c r="A90" s="2" t="s">
        <v>266</v>
      </c>
      <c r="B90" s="2" t="s">
        <v>165</v>
      </c>
      <c r="C90" s="2" t="s">
        <v>186</v>
      </c>
      <c r="D90" s="3">
        <v>45381.822916666657</v>
      </c>
      <c r="E90" s="3">
        <v>45381.840277777781</v>
      </c>
      <c r="F90" s="2">
        <v>25</v>
      </c>
      <c r="G90" s="2" t="s">
        <v>167</v>
      </c>
      <c r="H90" s="2" t="s">
        <v>168</v>
      </c>
      <c r="I90" s="2">
        <v>5</v>
      </c>
      <c r="J90" s="2">
        <v>4.5</v>
      </c>
      <c r="K90" s="2" t="s">
        <v>153</v>
      </c>
      <c r="L90" s="2" t="s">
        <v>154</v>
      </c>
      <c r="M90" s="2" t="b">
        <v>1</v>
      </c>
      <c r="N90" s="2" t="b">
        <v>1</v>
      </c>
      <c r="O90" s="2">
        <v>5.5555555555555554</v>
      </c>
      <c r="P90" s="2">
        <v>1.1111111111111109</v>
      </c>
      <c r="Q90" s="2" t="s">
        <v>163</v>
      </c>
      <c r="R90" s="2" t="s">
        <v>147</v>
      </c>
      <c r="S90" s="2">
        <v>10.8</v>
      </c>
      <c r="T90" s="2">
        <v>14.2</v>
      </c>
      <c r="U90" s="2" t="b">
        <v>0</v>
      </c>
      <c r="V90" s="2">
        <v>20</v>
      </c>
      <c r="W90" s="2">
        <v>3</v>
      </c>
      <c r="X90" s="2">
        <v>19</v>
      </c>
      <c r="Y90" s="2">
        <v>29.948453608247419</v>
      </c>
    </row>
    <row r="91" spans="1:25" hidden="1">
      <c r="A91" s="2" t="s">
        <v>267</v>
      </c>
      <c r="B91" s="2" t="s">
        <v>173</v>
      </c>
      <c r="C91" s="2" t="s">
        <v>188</v>
      </c>
      <c r="D91" s="3">
        <v>45382.541666666657</v>
      </c>
      <c r="E91" s="3">
        <v>45382.555555555547</v>
      </c>
      <c r="F91" s="2">
        <v>20</v>
      </c>
      <c r="G91" s="2" t="s">
        <v>143</v>
      </c>
      <c r="H91" s="2" t="s">
        <v>152</v>
      </c>
      <c r="I91" s="2">
        <v>3</v>
      </c>
      <c r="J91" s="2">
        <v>3</v>
      </c>
      <c r="K91" s="2" t="s">
        <v>143</v>
      </c>
      <c r="L91" s="2" t="s">
        <v>145</v>
      </c>
      <c r="M91" s="2" t="b">
        <v>0</v>
      </c>
      <c r="N91" s="2" t="b">
        <v>1</v>
      </c>
      <c r="O91" s="2">
        <v>6.666666666666667</v>
      </c>
      <c r="P91" s="2">
        <v>1</v>
      </c>
      <c r="Q91" s="2" t="s">
        <v>163</v>
      </c>
      <c r="R91" s="2" t="s">
        <v>147</v>
      </c>
      <c r="S91" s="2">
        <v>7.1999999999999993</v>
      </c>
      <c r="T91" s="2">
        <v>12.8</v>
      </c>
      <c r="U91" s="2" t="b">
        <v>0</v>
      </c>
      <c r="V91" s="2">
        <v>6</v>
      </c>
      <c r="W91" s="2">
        <v>2</v>
      </c>
      <c r="X91" s="2">
        <v>13</v>
      </c>
      <c r="Y91" s="2">
        <v>30.286458333333329</v>
      </c>
    </row>
    <row r="92" spans="1:25" hidden="1">
      <c r="A92" s="2" t="s">
        <v>268</v>
      </c>
      <c r="B92" s="2" t="s">
        <v>142</v>
      </c>
      <c r="C92" s="2" t="s">
        <v>190</v>
      </c>
      <c r="D92" s="3">
        <v>45383.770833333343</v>
      </c>
      <c r="E92" s="3">
        <v>45383.784722222219</v>
      </c>
      <c r="F92" s="2">
        <v>20</v>
      </c>
      <c r="G92" s="2" t="s">
        <v>151</v>
      </c>
      <c r="H92" s="2" t="s">
        <v>144</v>
      </c>
      <c r="I92" s="2">
        <v>4</v>
      </c>
      <c r="J92" s="2">
        <v>4</v>
      </c>
      <c r="K92" s="2" t="s">
        <v>161</v>
      </c>
      <c r="L92" s="2" t="s">
        <v>162</v>
      </c>
      <c r="M92" s="2" t="b">
        <v>1</v>
      </c>
      <c r="N92" s="2" t="b">
        <v>0</v>
      </c>
      <c r="O92" s="2">
        <v>5</v>
      </c>
      <c r="P92" s="2">
        <v>1</v>
      </c>
      <c r="Q92" s="2" t="s">
        <v>170</v>
      </c>
      <c r="R92" s="2" t="s">
        <v>147</v>
      </c>
      <c r="S92" s="2">
        <v>9.6</v>
      </c>
      <c r="T92" s="2">
        <v>10.4</v>
      </c>
      <c r="U92" s="2" t="b">
        <v>0</v>
      </c>
      <c r="V92" s="2">
        <v>12</v>
      </c>
      <c r="W92" s="2">
        <v>1</v>
      </c>
      <c r="X92" s="2">
        <v>18</v>
      </c>
      <c r="Y92" s="2">
        <v>30.259433962264151</v>
      </c>
    </row>
    <row r="93" spans="1:25" hidden="1">
      <c r="A93" s="2" t="s">
        <v>269</v>
      </c>
      <c r="B93" s="2" t="s">
        <v>149</v>
      </c>
      <c r="C93" s="2" t="s">
        <v>192</v>
      </c>
      <c r="D93" s="3">
        <v>45384.84375</v>
      </c>
      <c r="E93" s="3">
        <v>45384.861111111109</v>
      </c>
      <c r="F93" s="2">
        <v>25</v>
      </c>
      <c r="G93" s="2" t="s">
        <v>159</v>
      </c>
      <c r="H93" s="2" t="s">
        <v>160</v>
      </c>
      <c r="I93" s="2">
        <v>2</v>
      </c>
      <c r="J93" s="2">
        <v>2</v>
      </c>
      <c r="K93" s="2" t="s">
        <v>153</v>
      </c>
      <c r="L93" s="2" t="s">
        <v>169</v>
      </c>
      <c r="M93" s="2" t="b">
        <v>1</v>
      </c>
      <c r="N93" s="2" t="b">
        <v>0</v>
      </c>
      <c r="O93" s="2">
        <v>12.5</v>
      </c>
      <c r="P93" s="2">
        <v>1</v>
      </c>
      <c r="Q93" s="2" t="s">
        <v>170</v>
      </c>
      <c r="R93" s="2" t="s">
        <v>171</v>
      </c>
      <c r="S93" s="2">
        <v>4.8</v>
      </c>
      <c r="T93" s="2">
        <v>20.2</v>
      </c>
      <c r="U93" s="2" t="b">
        <v>0</v>
      </c>
      <c r="V93" s="2">
        <v>2</v>
      </c>
      <c r="W93" s="2">
        <v>3</v>
      </c>
      <c r="X93" s="2">
        <v>20</v>
      </c>
      <c r="Y93" s="2">
        <v>28.186274509803919</v>
      </c>
    </row>
    <row r="94" spans="1:25" hidden="1">
      <c r="A94" s="2" t="s">
        <v>270</v>
      </c>
      <c r="B94" s="2" t="s">
        <v>157</v>
      </c>
      <c r="C94" s="2" t="s">
        <v>194</v>
      </c>
      <c r="D94" s="3">
        <v>45385.770833333343</v>
      </c>
      <c r="E94" s="3">
        <v>45385.784722222219</v>
      </c>
      <c r="F94" s="2">
        <v>20</v>
      </c>
      <c r="G94" s="2" t="s">
        <v>143</v>
      </c>
      <c r="H94" s="2" t="s">
        <v>152</v>
      </c>
      <c r="I94" s="2">
        <v>3</v>
      </c>
      <c r="J94" s="2">
        <v>3.5</v>
      </c>
      <c r="K94" s="2" t="s">
        <v>161</v>
      </c>
      <c r="L94" s="2" t="s">
        <v>154</v>
      </c>
      <c r="M94" s="2" t="b">
        <v>1</v>
      </c>
      <c r="N94" s="2" t="b">
        <v>0</v>
      </c>
      <c r="O94" s="2">
        <v>5.7142857142857144</v>
      </c>
      <c r="P94" s="2">
        <v>0.8571428571428571</v>
      </c>
      <c r="Q94" s="2" t="s">
        <v>170</v>
      </c>
      <c r="R94" s="2" t="s">
        <v>147</v>
      </c>
      <c r="S94" s="2">
        <v>8.4</v>
      </c>
      <c r="T94" s="2">
        <v>11.6</v>
      </c>
      <c r="U94" s="2" t="b">
        <v>0</v>
      </c>
      <c r="V94" s="2">
        <v>6</v>
      </c>
      <c r="W94" s="2">
        <v>1</v>
      </c>
      <c r="X94" s="2">
        <v>18</v>
      </c>
      <c r="Y94" s="2">
        <v>28.844221105527641</v>
      </c>
    </row>
    <row r="95" spans="1:25" hidden="1">
      <c r="A95" s="2" t="s">
        <v>271</v>
      </c>
      <c r="B95" s="2" t="s">
        <v>165</v>
      </c>
      <c r="C95" s="2" t="s">
        <v>158</v>
      </c>
      <c r="D95" s="3">
        <v>45386.822916666657</v>
      </c>
      <c r="E95" s="3">
        <v>45386.840277777781</v>
      </c>
      <c r="F95" s="2">
        <v>25</v>
      </c>
      <c r="G95" s="2" t="s">
        <v>167</v>
      </c>
      <c r="H95" s="2" t="s">
        <v>168</v>
      </c>
      <c r="I95" s="2">
        <v>5</v>
      </c>
      <c r="J95" s="2">
        <v>4</v>
      </c>
      <c r="K95" s="2" t="s">
        <v>143</v>
      </c>
      <c r="L95" s="2" t="s">
        <v>145</v>
      </c>
      <c r="M95" s="2" t="b">
        <v>1</v>
      </c>
      <c r="N95" s="2" t="b">
        <v>0</v>
      </c>
      <c r="O95" s="2">
        <v>6.25</v>
      </c>
      <c r="P95" s="2">
        <v>1.25</v>
      </c>
      <c r="Q95" s="2" t="s">
        <v>170</v>
      </c>
      <c r="R95" s="2" t="s">
        <v>147</v>
      </c>
      <c r="S95" s="2">
        <v>9.6</v>
      </c>
      <c r="T95" s="2">
        <v>15.4</v>
      </c>
      <c r="U95" s="2" t="b">
        <v>0</v>
      </c>
      <c r="V95" s="2">
        <v>20</v>
      </c>
      <c r="W95" s="2">
        <v>2</v>
      </c>
      <c r="X95" s="2">
        <v>19</v>
      </c>
      <c r="Y95" s="2">
        <v>29.948453608247419</v>
      </c>
    </row>
    <row r="96" spans="1:25" hidden="1">
      <c r="A96" s="2" t="s">
        <v>272</v>
      </c>
      <c r="B96" s="2" t="s">
        <v>173</v>
      </c>
      <c r="C96" s="2" t="s">
        <v>166</v>
      </c>
      <c r="D96" s="3">
        <v>45387.541666666657</v>
      </c>
      <c r="E96" s="3">
        <v>45387.555555555547</v>
      </c>
      <c r="F96" s="2">
        <v>20</v>
      </c>
      <c r="G96" s="2" t="s">
        <v>143</v>
      </c>
      <c r="H96" s="2" t="s">
        <v>152</v>
      </c>
      <c r="I96" s="2">
        <v>3</v>
      </c>
      <c r="J96" s="2">
        <v>3</v>
      </c>
      <c r="K96" s="2" t="s">
        <v>153</v>
      </c>
      <c r="L96" s="2" t="s">
        <v>162</v>
      </c>
      <c r="M96" s="2" t="b">
        <v>0</v>
      </c>
      <c r="N96" s="2" t="b">
        <v>0</v>
      </c>
      <c r="O96" s="2">
        <v>6.666666666666667</v>
      </c>
      <c r="P96" s="2">
        <v>1</v>
      </c>
      <c r="Q96" s="2" t="s">
        <v>170</v>
      </c>
      <c r="R96" s="2" t="s">
        <v>147</v>
      </c>
      <c r="S96" s="2">
        <v>7.1999999999999993</v>
      </c>
      <c r="T96" s="2">
        <v>12.8</v>
      </c>
      <c r="U96" s="2" t="b">
        <v>0</v>
      </c>
      <c r="V96" s="2">
        <v>6</v>
      </c>
      <c r="W96" s="2">
        <v>3</v>
      </c>
      <c r="X96" s="2">
        <v>13</v>
      </c>
      <c r="Y96" s="2">
        <v>30.286458333333329</v>
      </c>
    </row>
    <row r="97" spans="1:25" hidden="1">
      <c r="A97" s="2" t="s">
        <v>273</v>
      </c>
      <c r="B97" s="2" t="s">
        <v>142</v>
      </c>
      <c r="C97" s="2" t="s">
        <v>150</v>
      </c>
      <c r="D97" s="3">
        <v>45388.770833333343</v>
      </c>
      <c r="E97" s="3">
        <v>45388.784722222219</v>
      </c>
      <c r="F97" s="2">
        <v>20</v>
      </c>
      <c r="G97" s="2" t="s">
        <v>151</v>
      </c>
      <c r="H97" s="2" t="s">
        <v>144</v>
      </c>
      <c r="I97" s="2">
        <v>4</v>
      </c>
      <c r="J97" s="2">
        <v>4.5</v>
      </c>
      <c r="K97" s="2" t="s">
        <v>153</v>
      </c>
      <c r="L97" s="2" t="s">
        <v>145</v>
      </c>
      <c r="M97" s="2" t="b">
        <v>1</v>
      </c>
      <c r="N97" s="2" t="b">
        <v>1</v>
      </c>
      <c r="O97" s="2">
        <v>4.4444444444444446</v>
      </c>
      <c r="P97" s="2">
        <v>0.88888888888888884</v>
      </c>
      <c r="Q97" s="2" t="s">
        <v>170</v>
      </c>
      <c r="R97" s="2" t="s">
        <v>147</v>
      </c>
      <c r="S97" s="2">
        <v>10.8</v>
      </c>
      <c r="T97" s="2">
        <v>9.2000000000000011</v>
      </c>
      <c r="U97" s="2" t="b">
        <v>0</v>
      </c>
      <c r="V97" s="2">
        <v>12</v>
      </c>
      <c r="W97" s="2">
        <v>3</v>
      </c>
      <c r="X97" s="2">
        <v>18</v>
      </c>
      <c r="Y97" s="2">
        <v>30.259433962264151</v>
      </c>
    </row>
    <row r="98" spans="1:25" hidden="1">
      <c r="A98" s="2" t="s">
        <v>274</v>
      </c>
      <c r="B98" s="2" t="s">
        <v>149</v>
      </c>
      <c r="C98" s="2" t="s">
        <v>174</v>
      </c>
      <c r="D98" s="3">
        <v>45389.833333333343</v>
      </c>
      <c r="E98" s="3">
        <v>45389.850694444453</v>
      </c>
      <c r="F98" s="2">
        <v>25</v>
      </c>
      <c r="G98" s="2" t="s">
        <v>143</v>
      </c>
      <c r="H98" s="2" t="s">
        <v>152</v>
      </c>
      <c r="I98" s="2">
        <v>3</v>
      </c>
      <c r="J98" s="2">
        <v>3</v>
      </c>
      <c r="K98" s="2" t="s">
        <v>143</v>
      </c>
      <c r="L98" s="2" t="s">
        <v>162</v>
      </c>
      <c r="M98" s="2" t="b">
        <v>1</v>
      </c>
      <c r="N98" s="2" t="b">
        <v>1</v>
      </c>
      <c r="O98" s="2">
        <v>8.3333333333333339</v>
      </c>
      <c r="P98" s="2">
        <v>1</v>
      </c>
      <c r="Q98" s="2" t="s">
        <v>170</v>
      </c>
      <c r="R98" s="2" t="s">
        <v>147</v>
      </c>
      <c r="S98" s="2">
        <v>7.1999999999999993</v>
      </c>
      <c r="T98" s="2">
        <v>17.8</v>
      </c>
      <c r="U98" s="2" t="b">
        <v>0</v>
      </c>
      <c r="V98" s="2">
        <v>6</v>
      </c>
      <c r="W98" s="2">
        <v>2</v>
      </c>
      <c r="X98" s="2">
        <v>20</v>
      </c>
      <c r="Y98" s="2">
        <v>28.186274509803919</v>
      </c>
    </row>
    <row r="99" spans="1:25" hidden="1">
      <c r="A99" s="2" t="s">
        <v>275</v>
      </c>
      <c r="B99" s="2" t="s">
        <v>157</v>
      </c>
      <c r="C99" s="2" t="s">
        <v>158</v>
      </c>
      <c r="D99" s="3">
        <v>45390.802083333343</v>
      </c>
      <c r="E99" s="3">
        <v>45390.815972222219</v>
      </c>
      <c r="F99" s="2">
        <v>20</v>
      </c>
      <c r="G99" s="2" t="s">
        <v>159</v>
      </c>
      <c r="H99" s="2" t="s">
        <v>160</v>
      </c>
      <c r="I99" s="2">
        <v>2</v>
      </c>
      <c r="J99" s="2">
        <v>2.5</v>
      </c>
      <c r="K99" s="2" t="s">
        <v>161</v>
      </c>
      <c r="L99" s="2" t="s">
        <v>169</v>
      </c>
      <c r="M99" s="2" t="b">
        <v>1</v>
      </c>
      <c r="N99" s="2" t="b">
        <v>0</v>
      </c>
      <c r="O99" s="2">
        <v>8</v>
      </c>
      <c r="P99" s="2">
        <v>0.8</v>
      </c>
      <c r="Q99" s="2" t="s">
        <v>170</v>
      </c>
      <c r="R99" s="2" t="s">
        <v>171</v>
      </c>
      <c r="S99" s="2">
        <v>6</v>
      </c>
      <c r="T99" s="2">
        <v>14</v>
      </c>
      <c r="U99" s="2" t="b">
        <v>0</v>
      </c>
      <c r="V99" s="2">
        <v>2</v>
      </c>
      <c r="W99" s="2">
        <v>1</v>
      </c>
      <c r="X99" s="2">
        <v>19</v>
      </c>
      <c r="Y99" s="2">
        <v>28.844221105527641</v>
      </c>
    </row>
    <row r="100" spans="1:25" hidden="1">
      <c r="A100" s="2" t="s">
        <v>276</v>
      </c>
      <c r="B100" s="2" t="s">
        <v>165</v>
      </c>
      <c r="C100" s="2" t="s">
        <v>186</v>
      </c>
      <c r="D100" s="3">
        <v>45391.822916666657</v>
      </c>
      <c r="E100" s="3">
        <v>45391.840277777781</v>
      </c>
      <c r="F100" s="2">
        <v>25</v>
      </c>
      <c r="G100" s="2" t="s">
        <v>167</v>
      </c>
      <c r="H100" s="2" t="s">
        <v>168</v>
      </c>
      <c r="I100" s="2">
        <v>5</v>
      </c>
      <c r="J100" s="2">
        <v>4</v>
      </c>
      <c r="K100" s="2" t="s">
        <v>153</v>
      </c>
      <c r="L100" s="2" t="s">
        <v>154</v>
      </c>
      <c r="M100" s="2" t="b">
        <v>1</v>
      </c>
      <c r="N100" s="2" t="b">
        <v>0</v>
      </c>
      <c r="O100" s="2">
        <v>6.25</v>
      </c>
      <c r="P100" s="2">
        <v>1.25</v>
      </c>
      <c r="Q100" s="2" t="s">
        <v>170</v>
      </c>
      <c r="R100" s="2" t="s">
        <v>147</v>
      </c>
      <c r="S100" s="2">
        <v>9.6</v>
      </c>
      <c r="T100" s="2">
        <v>15.4</v>
      </c>
      <c r="U100" s="2" t="b">
        <v>0</v>
      </c>
      <c r="V100" s="2">
        <v>20</v>
      </c>
      <c r="W100" s="2">
        <v>3</v>
      </c>
      <c r="X100" s="2">
        <v>19</v>
      </c>
      <c r="Y100" s="2">
        <v>29.948453608247419</v>
      </c>
    </row>
    <row r="101" spans="1:25" hidden="1">
      <c r="A101" s="2" t="s">
        <v>277</v>
      </c>
      <c r="B101" s="2" t="s">
        <v>173</v>
      </c>
      <c r="C101" s="2" t="s">
        <v>188</v>
      </c>
      <c r="D101" s="3">
        <v>45392.541666666657</v>
      </c>
      <c r="E101" s="3">
        <v>45392.555555555547</v>
      </c>
      <c r="F101" s="2">
        <v>20</v>
      </c>
      <c r="G101" s="2" t="s">
        <v>143</v>
      </c>
      <c r="H101" s="2" t="s">
        <v>152</v>
      </c>
      <c r="I101" s="2">
        <v>3</v>
      </c>
      <c r="J101" s="2">
        <v>3.5</v>
      </c>
      <c r="K101" s="2" t="s">
        <v>161</v>
      </c>
      <c r="L101" s="2" t="s">
        <v>145</v>
      </c>
      <c r="M101" s="2" t="b">
        <v>0</v>
      </c>
      <c r="N101" s="2" t="b">
        <v>0</v>
      </c>
      <c r="O101" s="2">
        <v>5.7142857142857144</v>
      </c>
      <c r="P101" s="2">
        <v>0.8571428571428571</v>
      </c>
      <c r="Q101" s="2" t="s">
        <v>170</v>
      </c>
      <c r="R101" s="2" t="s">
        <v>147</v>
      </c>
      <c r="S101" s="2">
        <v>8.4</v>
      </c>
      <c r="T101" s="2">
        <v>11.6</v>
      </c>
      <c r="U101" s="2" t="b">
        <v>0</v>
      </c>
      <c r="V101" s="2">
        <v>6</v>
      </c>
      <c r="W101" s="2">
        <v>1</v>
      </c>
      <c r="X101" s="2">
        <v>13</v>
      </c>
      <c r="Y101" s="2">
        <v>30.286458333333329</v>
      </c>
    </row>
    <row r="102" spans="1:25" hidden="1">
      <c r="A102" s="2" t="s">
        <v>278</v>
      </c>
      <c r="B102" s="2" t="s">
        <v>142</v>
      </c>
      <c r="C102" s="2" t="s">
        <v>190</v>
      </c>
      <c r="D102" s="3">
        <v>45393.770833333343</v>
      </c>
      <c r="E102" s="3">
        <v>45393.784722222219</v>
      </c>
      <c r="F102" s="2">
        <v>20</v>
      </c>
      <c r="G102" s="2" t="s">
        <v>151</v>
      </c>
      <c r="H102" s="2" t="s">
        <v>144</v>
      </c>
      <c r="I102" s="2">
        <v>4</v>
      </c>
      <c r="J102" s="2">
        <v>4.5</v>
      </c>
      <c r="K102" s="2" t="s">
        <v>143</v>
      </c>
      <c r="L102" s="2" t="s">
        <v>162</v>
      </c>
      <c r="M102" s="2" t="b">
        <v>1</v>
      </c>
      <c r="N102" s="2" t="b">
        <v>0</v>
      </c>
      <c r="O102" s="2">
        <v>4.4444444444444446</v>
      </c>
      <c r="P102" s="2">
        <v>0.88888888888888884</v>
      </c>
      <c r="Q102" s="2" t="s">
        <v>170</v>
      </c>
      <c r="R102" s="2" t="s">
        <v>147</v>
      </c>
      <c r="S102" s="2">
        <v>10.8</v>
      </c>
      <c r="T102" s="2">
        <v>9.2000000000000011</v>
      </c>
      <c r="U102" s="2" t="b">
        <v>0</v>
      </c>
      <c r="V102" s="2">
        <v>12</v>
      </c>
      <c r="W102" s="2">
        <v>2</v>
      </c>
      <c r="X102" s="2">
        <v>18</v>
      </c>
      <c r="Y102" s="2">
        <v>30.259433962264151</v>
      </c>
    </row>
    <row r="103" spans="1:25" hidden="1">
      <c r="A103" s="2" t="s">
        <v>279</v>
      </c>
      <c r="B103" s="2" t="s">
        <v>149</v>
      </c>
      <c r="C103" s="2" t="s">
        <v>192</v>
      </c>
      <c r="D103" s="3">
        <v>45394.84375</v>
      </c>
      <c r="E103" s="3">
        <v>45394.861111111109</v>
      </c>
      <c r="F103" s="2">
        <v>25</v>
      </c>
      <c r="G103" s="2" t="s">
        <v>159</v>
      </c>
      <c r="H103" s="2" t="s">
        <v>160</v>
      </c>
      <c r="I103" s="2">
        <v>2</v>
      </c>
      <c r="J103" s="2">
        <v>2</v>
      </c>
      <c r="K103" s="2" t="s">
        <v>153</v>
      </c>
      <c r="L103" s="2" t="s">
        <v>169</v>
      </c>
      <c r="M103" s="2" t="b">
        <v>1</v>
      </c>
      <c r="N103" s="2" t="b">
        <v>0</v>
      </c>
      <c r="O103" s="2">
        <v>12.5</v>
      </c>
      <c r="P103" s="2">
        <v>1</v>
      </c>
      <c r="Q103" s="2" t="s">
        <v>170</v>
      </c>
      <c r="R103" s="2" t="s">
        <v>171</v>
      </c>
      <c r="S103" s="2">
        <v>4.8</v>
      </c>
      <c r="T103" s="2">
        <v>20.2</v>
      </c>
      <c r="U103" s="2" t="b">
        <v>0</v>
      </c>
      <c r="V103" s="2">
        <v>2</v>
      </c>
      <c r="W103" s="2">
        <v>3</v>
      </c>
      <c r="X103" s="2">
        <v>20</v>
      </c>
      <c r="Y103" s="2">
        <v>28.186274509803919</v>
      </c>
    </row>
    <row r="104" spans="1:25" hidden="1">
      <c r="A104" s="2" t="s">
        <v>280</v>
      </c>
      <c r="B104" s="2" t="s">
        <v>157</v>
      </c>
      <c r="C104" s="2" t="s">
        <v>194</v>
      </c>
      <c r="D104" s="3">
        <v>45395.770833333343</v>
      </c>
      <c r="E104" s="3">
        <v>45395.784722222219</v>
      </c>
      <c r="F104" s="2">
        <v>20</v>
      </c>
      <c r="G104" s="2" t="s">
        <v>143</v>
      </c>
      <c r="H104" s="2" t="s">
        <v>152</v>
      </c>
      <c r="I104" s="2">
        <v>3</v>
      </c>
      <c r="J104" s="2">
        <v>3.5</v>
      </c>
      <c r="K104" s="2" t="s">
        <v>161</v>
      </c>
      <c r="L104" s="2" t="s">
        <v>154</v>
      </c>
      <c r="M104" s="2" t="b">
        <v>1</v>
      </c>
      <c r="N104" s="2" t="b">
        <v>1</v>
      </c>
      <c r="O104" s="2">
        <v>5.7142857142857144</v>
      </c>
      <c r="P104" s="2">
        <v>0.8571428571428571</v>
      </c>
      <c r="Q104" s="2" t="s">
        <v>170</v>
      </c>
      <c r="R104" s="2" t="s">
        <v>147</v>
      </c>
      <c r="S104" s="2">
        <v>8.4</v>
      </c>
      <c r="T104" s="2">
        <v>11.6</v>
      </c>
      <c r="U104" s="2" t="b">
        <v>0</v>
      </c>
      <c r="V104" s="2">
        <v>6</v>
      </c>
      <c r="W104" s="2">
        <v>1</v>
      </c>
      <c r="X104" s="2">
        <v>18</v>
      </c>
      <c r="Y104" s="2">
        <v>28.844221105527641</v>
      </c>
    </row>
    <row r="105" spans="1:25" hidden="1">
      <c r="A105" s="2" t="s">
        <v>281</v>
      </c>
      <c r="B105" s="2" t="s">
        <v>165</v>
      </c>
      <c r="C105" s="2" t="s">
        <v>158</v>
      </c>
      <c r="D105" s="3">
        <v>45396.822916666657</v>
      </c>
      <c r="E105" s="3">
        <v>45396.840277777781</v>
      </c>
      <c r="F105" s="2">
        <v>25</v>
      </c>
      <c r="G105" s="2" t="s">
        <v>167</v>
      </c>
      <c r="H105" s="2" t="s">
        <v>168</v>
      </c>
      <c r="I105" s="2">
        <v>5</v>
      </c>
      <c r="J105" s="2">
        <v>4</v>
      </c>
      <c r="K105" s="2" t="s">
        <v>143</v>
      </c>
      <c r="L105" s="2" t="s">
        <v>145</v>
      </c>
      <c r="M105" s="2" t="b">
        <v>1</v>
      </c>
      <c r="N105" s="2" t="b">
        <v>1</v>
      </c>
      <c r="O105" s="2">
        <v>6.25</v>
      </c>
      <c r="P105" s="2">
        <v>1.25</v>
      </c>
      <c r="Q105" s="2" t="s">
        <v>170</v>
      </c>
      <c r="R105" s="2" t="s">
        <v>147</v>
      </c>
      <c r="S105" s="2">
        <v>9.6</v>
      </c>
      <c r="T105" s="2">
        <v>15.4</v>
      </c>
      <c r="U105" s="2" t="b">
        <v>0</v>
      </c>
      <c r="V105" s="2">
        <v>20</v>
      </c>
      <c r="W105" s="2">
        <v>2</v>
      </c>
      <c r="X105" s="2">
        <v>19</v>
      </c>
      <c r="Y105" s="2">
        <v>29.948453608247419</v>
      </c>
    </row>
    <row r="106" spans="1:25" hidden="1">
      <c r="A106" s="2" t="s">
        <v>282</v>
      </c>
      <c r="B106" s="2" t="s">
        <v>173</v>
      </c>
      <c r="C106" s="2" t="s">
        <v>166</v>
      </c>
      <c r="D106" s="3">
        <v>45397.541666666657</v>
      </c>
      <c r="E106" s="3">
        <v>45397.555555555547</v>
      </c>
      <c r="F106" s="2">
        <v>20</v>
      </c>
      <c r="G106" s="2" t="s">
        <v>143</v>
      </c>
      <c r="H106" s="2" t="s">
        <v>152</v>
      </c>
      <c r="I106" s="2">
        <v>3</v>
      </c>
      <c r="J106" s="2">
        <v>3</v>
      </c>
      <c r="K106" s="2" t="s">
        <v>153</v>
      </c>
      <c r="L106" s="2" t="s">
        <v>162</v>
      </c>
      <c r="M106" s="2" t="b">
        <v>0</v>
      </c>
      <c r="N106" s="2" t="b">
        <v>0</v>
      </c>
      <c r="O106" s="2">
        <v>6.666666666666667</v>
      </c>
      <c r="P106" s="2">
        <v>1</v>
      </c>
      <c r="Q106" s="2" t="s">
        <v>170</v>
      </c>
      <c r="R106" s="2" t="s">
        <v>147</v>
      </c>
      <c r="S106" s="2">
        <v>7.1999999999999993</v>
      </c>
      <c r="T106" s="2">
        <v>12.8</v>
      </c>
      <c r="U106" s="2" t="b">
        <v>0</v>
      </c>
      <c r="V106" s="2">
        <v>6</v>
      </c>
      <c r="W106" s="2">
        <v>3</v>
      </c>
      <c r="X106" s="2">
        <v>13</v>
      </c>
      <c r="Y106" s="2">
        <v>30.286458333333329</v>
      </c>
    </row>
    <row r="107" spans="1:25" hidden="1">
      <c r="A107" s="2" t="s">
        <v>283</v>
      </c>
      <c r="B107" s="2" t="s">
        <v>142</v>
      </c>
      <c r="C107" s="2" t="s">
        <v>150</v>
      </c>
      <c r="D107" s="3">
        <v>45398.770833333343</v>
      </c>
      <c r="E107" s="3">
        <v>45398.784722222219</v>
      </c>
      <c r="F107" s="2">
        <v>20</v>
      </c>
      <c r="G107" s="2" t="s">
        <v>151</v>
      </c>
      <c r="H107" s="2" t="s">
        <v>144</v>
      </c>
      <c r="I107" s="2">
        <v>4</v>
      </c>
      <c r="J107" s="2">
        <v>4.5</v>
      </c>
      <c r="K107" s="2" t="s">
        <v>161</v>
      </c>
      <c r="L107" s="2" t="s">
        <v>169</v>
      </c>
      <c r="M107" s="2" t="b">
        <v>1</v>
      </c>
      <c r="N107" s="2" t="b">
        <v>0</v>
      </c>
      <c r="O107" s="2">
        <v>4.4444444444444446</v>
      </c>
      <c r="P107" s="2">
        <v>0.88888888888888884</v>
      </c>
      <c r="Q107" s="2" t="s">
        <v>170</v>
      </c>
      <c r="R107" s="2" t="s">
        <v>171</v>
      </c>
      <c r="S107" s="2">
        <v>10.8</v>
      </c>
      <c r="T107" s="2">
        <v>9.2000000000000011</v>
      </c>
      <c r="U107" s="2" t="b">
        <v>0</v>
      </c>
      <c r="V107" s="2">
        <v>12</v>
      </c>
      <c r="W107" s="2">
        <v>1</v>
      </c>
      <c r="X107" s="2">
        <v>18</v>
      </c>
      <c r="Y107" s="2">
        <v>30.259433962264151</v>
      </c>
    </row>
    <row r="108" spans="1:25" hidden="1">
      <c r="A108" s="2" t="s">
        <v>284</v>
      </c>
      <c r="B108" s="2" t="s">
        <v>149</v>
      </c>
      <c r="C108" s="2" t="s">
        <v>186</v>
      </c>
      <c r="D108" s="3">
        <v>45399.833333333343</v>
      </c>
      <c r="E108" s="3">
        <v>45399.850694444453</v>
      </c>
      <c r="F108" s="2">
        <v>25</v>
      </c>
      <c r="G108" s="2" t="s">
        <v>143</v>
      </c>
      <c r="H108" s="2" t="s">
        <v>152</v>
      </c>
      <c r="I108" s="2">
        <v>3</v>
      </c>
      <c r="J108" s="2">
        <v>3</v>
      </c>
      <c r="K108" s="2" t="s">
        <v>153</v>
      </c>
      <c r="L108" s="2" t="s">
        <v>154</v>
      </c>
      <c r="M108" s="2" t="b">
        <v>1</v>
      </c>
      <c r="N108" s="2" t="b">
        <v>0</v>
      </c>
      <c r="O108" s="2">
        <v>8.3333333333333339</v>
      </c>
      <c r="P108" s="2">
        <v>1</v>
      </c>
      <c r="Q108" s="2" t="s">
        <v>170</v>
      </c>
      <c r="R108" s="2" t="s">
        <v>147</v>
      </c>
      <c r="S108" s="2">
        <v>7.1999999999999993</v>
      </c>
      <c r="T108" s="2">
        <v>17.8</v>
      </c>
      <c r="U108" s="2" t="b">
        <v>0</v>
      </c>
      <c r="V108" s="2">
        <v>6</v>
      </c>
      <c r="W108" s="2">
        <v>3</v>
      </c>
      <c r="X108" s="2">
        <v>20</v>
      </c>
      <c r="Y108" s="2">
        <v>28.186274509803919</v>
      </c>
    </row>
    <row r="109" spans="1:25" hidden="1">
      <c r="A109" s="2" t="s">
        <v>285</v>
      </c>
      <c r="B109" s="2" t="s">
        <v>157</v>
      </c>
      <c r="C109" s="2" t="s">
        <v>188</v>
      </c>
      <c r="D109" s="3">
        <v>45400.802083333343</v>
      </c>
      <c r="E109" s="3">
        <v>45400.815972222219</v>
      </c>
      <c r="F109" s="2">
        <v>20</v>
      </c>
      <c r="G109" s="2" t="s">
        <v>159</v>
      </c>
      <c r="H109" s="2" t="s">
        <v>160</v>
      </c>
      <c r="I109" s="2">
        <v>2</v>
      </c>
      <c r="J109" s="2">
        <v>2.5</v>
      </c>
      <c r="K109" s="2" t="s">
        <v>161</v>
      </c>
      <c r="L109" s="2" t="s">
        <v>145</v>
      </c>
      <c r="M109" s="2" t="b">
        <v>1</v>
      </c>
      <c r="N109" s="2" t="b">
        <v>0</v>
      </c>
      <c r="O109" s="2">
        <v>8</v>
      </c>
      <c r="P109" s="2">
        <v>0.8</v>
      </c>
      <c r="Q109" s="2" t="s">
        <v>170</v>
      </c>
      <c r="R109" s="2" t="s">
        <v>147</v>
      </c>
      <c r="S109" s="2">
        <v>6</v>
      </c>
      <c r="T109" s="2">
        <v>14</v>
      </c>
      <c r="U109" s="2" t="b">
        <v>0</v>
      </c>
      <c r="V109" s="2">
        <v>2</v>
      </c>
      <c r="W109" s="2">
        <v>1</v>
      </c>
      <c r="X109" s="2">
        <v>19</v>
      </c>
      <c r="Y109" s="2">
        <v>28.844221105527641</v>
      </c>
    </row>
    <row r="110" spans="1:25" hidden="1">
      <c r="A110" s="2" t="s">
        <v>286</v>
      </c>
      <c r="B110" s="2" t="s">
        <v>165</v>
      </c>
      <c r="C110" s="2" t="s">
        <v>174</v>
      </c>
      <c r="D110" s="3">
        <v>45401.822916666657</v>
      </c>
      <c r="E110" s="3">
        <v>45401.840277777781</v>
      </c>
      <c r="F110" s="2">
        <v>25</v>
      </c>
      <c r="G110" s="2" t="s">
        <v>167</v>
      </c>
      <c r="H110" s="2" t="s">
        <v>168</v>
      </c>
      <c r="I110" s="2">
        <v>5</v>
      </c>
      <c r="J110" s="2">
        <v>4</v>
      </c>
      <c r="K110" s="2" t="s">
        <v>143</v>
      </c>
      <c r="L110" s="2" t="s">
        <v>162</v>
      </c>
      <c r="M110" s="2" t="b">
        <v>1</v>
      </c>
      <c r="N110" s="2" t="b">
        <v>0</v>
      </c>
      <c r="O110" s="2">
        <v>6.25</v>
      </c>
      <c r="P110" s="2">
        <v>1.25</v>
      </c>
      <c r="Q110" s="2" t="s">
        <v>170</v>
      </c>
      <c r="R110" s="2" t="s">
        <v>147</v>
      </c>
      <c r="S110" s="2">
        <v>9.6</v>
      </c>
      <c r="T110" s="2">
        <v>15.4</v>
      </c>
      <c r="U110" s="2" t="b">
        <v>0</v>
      </c>
      <c r="V110" s="2">
        <v>20</v>
      </c>
      <c r="W110" s="2">
        <v>2</v>
      </c>
      <c r="X110" s="2">
        <v>19</v>
      </c>
      <c r="Y110" s="2">
        <v>29.948453608247419</v>
      </c>
    </row>
    <row r="111" spans="1:25" hidden="1">
      <c r="A111" s="2" t="s">
        <v>287</v>
      </c>
      <c r="B111" s="2" t="s">
        <v>173</v>
      </c>
      <c r="C111" s="2" t="s">
        <v>190</v>
      </c>
      <c r="D111" s="3">
        <v>45402.541666666657</v>
      </c>
      <c r="E111" s="3">
        <v>45402.555555555547</v>
      </c>
      <c r="F111" s="2">
        <v>20</v>
      </c>
      <c r="G111" s="2" t="s">
        <v>143</v>
      </c>
      <c r="H111" s="2" t="s">
        <v>152</v>
      </c>
      <c r="I111" s="2">
        <v>3</v>
      </c>
      <c r="J111" s="2">
        <v>3.5</v>
      </c>
      <c r="K111" s="2" t="s">
        <v>153</v>
      </c>
      <c r="L111" s="2" t="s">
        <v>169</v>
      </c>
      <c r="M111" s="2" t="b">
        <v>0</v>
      </c>
      <c r="N111" s="2" t="b">
        <v>1</v>
      </c>
      <c r="O111" s="2">
        <v>5.7142857142857144</v>
      </c>
      <c r="P111" s="2">
        <v>0.8571428571428571</v>
      </c>
      <c r="Q111" s="2" t="s">
        <v>170</v>
      </c>
      <c r="R111" s="2" t="s">
        <v>171</v>
      </c>
      <c r="S111" s="2">
        <v>8.4</v>
      </c>
      <c r="T111" s="2">
        <v>11.6</v>
      </c>
      <c r="U111" s="2" t="b">
        <v>0</v>
      </c>
      <c r="V111" s="2">
        <v>6</v>
      </c>
      <c r="W111" s="2">
        <v>3</v>
      </c>
      <c r="X111" s="2">
        <v>13</v>
      </c>
      <c r="Y111" s="2">
        <v>30.286458333333329</v>
      </c>
    </row>
    <row r="112" spans="1:25" hidden="1">
      <c r="A112" s="2" t="s">
        <v>288</v>
      </c>
      <c r="B112" s="2" t="s">
        <v>142</v>
      </c>
      <c r="C112" s="2" t="s">
        <v>192</v>
      </c>
      <c r="D112" s="3">
        <v>45403.770833333343</v>
      </c>
      <c r="E112" s="3">
        <v>45403.784722222219</v>
      </c>
      <c r="F112" s="2">
        <v>20</v>
      </c>
      <c r="G112" s="2" t="s">
        <v>151</v>
      </c>
      <c r="H112" s="2" t="s">
        <v>144</v>
      </c>
      <c r="I112" s="2">
        <v>4</v>
      </c>
      <c r="J112" s="2">
        <v>4.5</v>
      </c>
      <c r="K112" s="2" t="s">
        <v>161</v>
      </c>
      <c r="L112" s="2" t="s">
        <v>154</v>
      </c>
      <c r="M112" s="2" t="b">
        <v>1</v>
      </c>
      <c r="N112" s="2" t="b">
        <v>1</v>
      </c>
      <c r="O112" s="2">
        <v>4.4444444444444446</v>
      </c>
      <c r="P112" s="2">
        <v>0.88888888888888884</v>
      </c>
      <c r="Q112" s="2" t="s">
        <v>170</v>
      </c>
      <c r="R112" s="2" t="s">
        <v>147</v>
      </c>
      <c r="S112" s="2">
        <v>10.8</v>
      </c>
      <c r="T112" s="2">
        <v>9.2000000000000011</v>
      </c>
      <c r="U112" s="2" t="b">
        <v>0</v>
      </c>
      <c r="V112" s="2">
        <v>12</v>
      </c>
      <c r="W112" s="2">
        <v>1</v>
      </c>
      <c r="X112" s="2">
        <v>18</v>
      </c>
      <c r="Y112" s="2">
        <v>30.259433962264151</v>
      </c>
    </row>
    <row r="113" spans="1:25" hidden="1">
      <c r="A113" s="2" t="s">
        <v>289</v>
      </c>
      <c r="B113" s="2" t="s">
        <v>149</v>
      </c>
      <c r="C113" s="2" t="s">
        <v>194</v>
      </c>
      <c r="D113" s="3">
        <v>45404.84375</v>
      </c>
      <c r="E113" s="3">
        <v>45404.861111111109</v>
      </c>
      <c r="F113" s="2">
        <v>25</v>
      </c>
      <c r="G113" s="2" t="s">
        <v>159</v>
      </c>
      <c r="H113" s="2" t="s">
        <v>160</v>
      </c>
      <c r="I113" s="2">
        <v>2</v>
      </c>
      <c r="J113" s="2">
        <v>2</v>
      </c>
      <c r="K113" s="2" t="s">
        <v>153</v>
      </c>
      <c r="L113" s="2" t="s">
        <v>145</v>
      </c>
      <c r="M113" s="2" t="b">
        <v>1</v>
      </c>
      <c r="N113" s="2" t="b">
        <v>0</v>
      </c>
      <c r="O113" s="2">
        <v>12.5</v>
      </c>
      <c r="P113" s="2">
        <v>1</v>
      </c>
      <c r="Q113" s="2" t="s">
        <v>170</v>
      </c>
      <c r="R113" s="2" t="s">
        <v>147</v>
      </c>
      <c r="S113" s="2">
        <v>4.8</v>
      </c>
      <c r="T113" s="2">
        <v>20.2</v>
      </c>
      <c r="U113" s="2" t="b">
        <v>0</v>
      </c>
      <c r="V113" s="2">
        <v>2</v>
      </c>
      <c r="W113" s="2">
        <v>3</v>
      </c>
      <c r="X113" s="2">
        <v>20</v>
      </c>
      <c r="Y113" s="2">
        <v>28.186274509803919</v>
      </c>
    </row>
    <row r="114" spans="1:25" hidden="1">
      <c r="A114" s="2" t="s">
        <v>290</v>
      </c>
      <c r="B114" s="2" t="s">
        <v>157</v>
      </c>
      <c r="C114" s="2" t="s">
        <v>174</v>
      </c>
      <c r="D114" s="3">
        <v>45405.770833333343</v>
      </c>
      <c r="E114" s="3">
        <v>45405.784722222219</v>
      </c>
      <c r="F114" s="2">
        <v>20</v>
      </c>
      <c r="G114" s="2" t="s">
        <v>143</v>
      </c>
      <c r="H114" s="2" t="s">
        <v>152</v>
      </c>
      <c r="I114" s="2">
        <v>3</v>
      </c>
      <c r="J114" s="2">
        <v>3</v>
      </c>
      <c r="K114" s="2" t="s">
        <v>153</v>
      </c>
      <c r="L114" s="2" t="s">
        <v>162</v>
      </c>
      <c r="M114" s="2" t="b">
        <v>1</v>
      </c>
      <c r="N114" s="2" t="b">
        <v>0</v>
      </c>
      <c r="O114" s="2">
        <v>6.666666666666667</v>
      </c>
      <c r="P114" s="2">
        <v>1</v>
      </c>
      <c r="Q114" s="2" t="s">
        <v>170</v>
      </c>
      <c r="R114" s="2" t="s">
        <v>147</v>
      </c>
      <c r="S114" s="2">
        <v>7.1999999999999993</v>
      </c>
      <c r="T114" s="2">
        <v>12.8</v>
      </c>
      <c r="U114" s="2" t="b">
        <v>0</v>
      </c>
      <c r="V114" s="2">
        <v>6</v>
      </c>
      <c r="W114" s="2">
        <v>3</v>
      </c>
      <c r="X114" s="2">
        <v>18</v>
      </c>
      <c r="Y114" s="2">
        <v>28.844221105527641</v>
      </c>
    </row>
    <row r="115" spans="1:25" hidden="1">
      <c r="A115" s="2" t="s">
        <v>291</v>
      </c>
      <c r="B115" s="2" t="s">
        <v>165</v>
      </c>
      <c r="C115" s="2" t="s">
        <v>150</v>
      </c>
      <c r="D115" s="3">
        <v>45406.822916666657</v>
      </c>
      <c r="E115" s="3">
        <v>45406.840277777781</v>
      </c>
      <c r="F115" s="2">
        <v>25</v>
      </c>
      <c r="G115" s="2" t="s">
        <v>167</v>
      </c>
      <c r="H115" s="2" t="s">
        <v>168</v>
      </c>
      <c r="I115" s="2">
        <v>5</v>
      </c>
      <c r="J115" s="2">
        <v>4.5</v>
      </c>
      <c r="K115" s="2" t="s">
        <v>161</v>
      </c>
      <c r="L115" s="2" t="s">
        <v>169</v>
      </c>
      <c r="M115" s="2" t="b">
        <v>1</v>
      </c>
      <c r="N115" s="2" t="b">
        <v>0</v>
      </c>
      <c r="O115" s="2">
        <v>5.5555555555555554</v>
      </c>
      <c r="P115" s="2">
        <v>1.1111111111111109</v>
      </c>
      <c r="Q115" s="2" t="s">
        <v>170</v>
      </c>
      <c r="R115" s="2" t="s">
        <v>171</v>
      </c>
      <c r="S115" s="2">
        <v>10.8</v>
      </c>
      <c r="T115" s="2">
        <v>14.2</v>
      </c>
      <c r="U115" s="2" t="b">
        <v>0</v>
      </c>
      <c r="V115" s="2">
        <v>20</v>
      </c>
      <c r="W115" s="2">
        <v>1</v>
      </c>
      <c r="X115" s="2">
        <v>19</v>
      </c>
      <c r="Y115" s="2">
        <v>29.948453608247419</v>
      </c>
    </row>
    <row r="116" spans="1:25" hidden="1">
      <c r="A116" s="2" t="s">
        <v>292</v>
      </c>
      <c r="B116" s="2" t="s">
        <v>173</v>
      </c>
      <c r="C116" s="2" t="s">
        <v>158</v>
      </c>
      <c r="D116" s="3">
        <v>45407.541666666657</v>
      </c>
      <c r="E116" s="3">
        <v>45407.555555555547</v>
      </c>
      <c r="F116" s="2">
        <v>20</v>
      </c>
      <c r="G116" s="2" t="s">
        <v>143</v>
      </c>
      <c r="H116" s="2" t="s">
        <v>152</v>
      </c>
      <c r="I116" s="2">
        <v>3</v>
      </c>
      <c r="J116" s="2">
        <v>3.5</v>
      </c>
      <c r="K116" s="2" t="s">
        <v>143</v>
      </c>
      <c r="L116" s="2" t="s">
        <v>154</v>
      </c>
      <c r="M116" s="2" t="b">
        <v>0</v>
      </c>
      <c r="N116" s="2" t="b">
        <v>0</v>
      </c>
      <c r="O116" s="2">
        <v>5.7142857142857144</v>
      </c>
      <c r="P116" s="2">
        <v>0.8571428571428571</v>
      </c>
      <c r="Q116" s="2" t="s">
        <v>170</v>
      </c>
      <c r="R116" s="2" t="s">
        <v>147</v>
      </c>
      <c r="S116" s="2">
        <v>8.4</v>
      </c>
      <c r="T116" s="2">
        <v>11.6</v>
      </c>
      <c r="U116" s="2" t="b">
        <v>0</v>
      </c>
      <c r="V116" s="2">
        <v>6</v>
      </c>
      <c r="W116" s="2">
        <v>2</v>
      </c>
      <c r="X116" s="2">
        <v>13</v>
      </c>
      <c r="Y116" s="2">
        <v>30.286458333333329</v>
      </c>
    </row>
    <row r="117" spans="1:25" hidden="1">
      <c r="A117" s="2" t="s">
        <v>293</v>
      </c>
      <c r="B117" s="2" t="s">
        <v>142</v>
      </c>
      <c r="C117" s="2" t="s">
        <v>166</v>
      </c>
      <c r="D117" s="3">
        <v>45408.770833333343</v>
      </c>
      <c r="E117" s="3">
        <v>45408.784722222219</v>
      </c>
      <c r="F117" s="2">
        <v>20</v>
      </c>
      <c r="G117" s="2" t="s">
        <v>151</v>
      </c>
      <c r="H117" s="2" t="s">
        <v>144</v>
      </c>
      <c r="I117" s="2">
        <v>4</v>
      </c>
      <c r="J117" s="2">
        <v>4</v>
      </c>
      <c r="K117" s="2" t="s">
        <v>153</v>
      </c>
      <c r="L117" s="2" t="s">
        <v>145</v>
      </c>
      <c r="M117" s="2" t="b">
        <v>1</v>
      </c>
      <c r="N117" s="2" t="b">
        <v>0</v>
      </c>
      <c r="O117" s="2">
        <v>5</v>
      </c>
      <c r="P117" s="2">
        <v>1</v>
      </c>
      <c r="Q117" s="2" t="s">
        <v>170</v>
      </c>
      <c r="R117" s="2" t="s">
        <v>147</v>
      </c>
      <c r="S117" s="2">
        <v>9.6</v>
      </c>
      <c r="T117" s="2">
        <v>10.4</v>
      </c>
      <c r="U117" s="2" t="b">
        <v>0</v>
      </c>
      <c r="V117" s="2">
        <v>12</v>
      </c>
      <c r="W117" s="2">
        <v>3</v>
      </c>
      <c r="X117" s="2">
        <v>18</v>
      </c>
      <c r="Y117" s="2">
        <v>30.259433962264151</v>
      </c>
    </row>
    <row r="118" spans="1:25" hidden="1">
      <c r="A118" s="2" t="s">
        <v>294</v>
      </c>
      <c r="B118" s="2" t="s">
        <v>149</v>
      </c>
      <c r="C118" s="2" t="s">
        <v>174</v>
      </c>
      <c r="D118" s="3">
        <v>45409.833333333343</v>
      </c>
      <c r="E118" s="3">
        <v>45409.850694444453</v>
      </c>
      <c r="F118" s="2">
        <v>25</v>
      </c>
      <c r="G118" s="2" t="s">
        <v>143</v>
      </c>
      <c r="H118" s="2" t="s">
        <v>152</v>
      </c>
      <c r="I118" s="2">
        <v>3</v>
      </c>
      <c r="J118" s="2">
        <v>3</v>
      </c>
      <c r="K118" s="2" t="s">
        <v>161</v>
      </c>
      <c r="L118" s="2" t="s">
        <v>162</v>
      </c>
      <c r="M118" s="2" t="b">
        <v>1</v>
      </c>
      <c r="N118" s="2" t="b">
        <v>1</v>
      </c>
      <c r="O118" s="2">
        <v>8.3333333333333339</v>
      </c>
      <c r="P118" s="2">
        <v>1</v>
      </c>
      <c r="Q118" s="2" t="s">
        <v>170</v>
      </c>
      <c r="R118" s="2" t="s">
        <v>147</v>
      </c>
      <c r="S118" s="2">
        <v>7.1999999999999993</v>
      </c>
      <c r="T118" s="2">
        <v>17.8</v>
      </c>
      <c r="U118" s="2" t="b">
        <v>0</v>
      </c>
      <c r="V118" s="2">
        <v>6</v>
      </c>
      <c r="W118" s="2">
        <v>1</v>
      </c>
      <c r="X118" s="2">
        <v>20</v>
      </c>
      <c r="Y118" s="2">
        <v>28.186274509803919</v>
      </c>
    </row>
    <row r="119" spans="1:25" hidden="1">
      <c r="A119" s="2" t="s">
        <v>295</v>
      </c>
      <c r="B119" s="2" t="s">
        <v>157</v>
      </c>
      <c r="C119" s="2" t="s">
        <v>184</v>
      </c>
      <c r="D119" s="3">
        <v>45410.802083333343</v>
      </c>
      <c r="E119" s="3">
        <v>45410.815972222219</v>
      </c>
      <c r="F119" s="2">
        <v>20</v>
      </c>
      <c r="G119" s="2" t="s">
        <v>159</v>
      </c>
      <c r="H119" s="2" t="s">
        <v>160</v>
      </c>
      <c r="I119" s="2">
        <v>2</v>
      </c>
      <c r="J119" s="2">
        <v>2.5</v>
      </c>
      <c r="K119" s="2" t="s">
        <v>161</v>
      </c>
      <c r="L119" s="2" t="s">
        <v>169</v>
      </c>
      <c r="M119" s="2" t="b">
        <v>1</v>
      </c>
      <c r="N119" s="2" t="b">
        <v>1</v>
      </c>
      <c r="O119" s="2">
        <v>8</v>
      </c>
      <c r="P119" s="2">
        <v>0.8</v>
      </c>
      <c r="Q119" s="2" t="s">
        <v>170</v>
      </c>
      <c r="R119" s="2" t="s">
        <v>171</v>
      </c>
      <c r="S119" s="2">
        <v>6</v>
      </c>
      <c r="T119" s="2">
        <v>14</v>
      </c>
      <c r="U119" s="2" t="b">
        <v>0</v>
      </c>
      <c r="V119" s="2">
        <v>2</v>
      </c>
      <c r="W119" s="2">
        <v>1</v>
      </c>
      <c r="X119" s="2">
        <v>19</v>
      </c>
      <c r="Y119" s="2">
        <v>28.844221105527641</v>
      </c>
    </row>
    <row r="120" spans="1:25" hidden="1">
      <c r="A120" s="2" t="s">
        <v>296</v>
      </c>
      <c r="B120" s="2" t="s">
        <v>165</v>
      </c>
      <c r="C120" s="2" t="s">
        <v>186</v>
      </c>
      <c r="D120" s="3">
        <v>45411.822916666657</v>
      </c>
      <c r="E120" s="3">
        <v>45411.840277777781</v>
      </c>
      <c r="F120" s="2">
        <v>25</v>
      </c>
      <c r="G120" s="2" t="s">
        <v>167</v>
      </c>
      <c r="H120" s="2" t="s">
        <v>168</v>
      </c>
      <c r="I120" s="2">
        <v>5</v>
      </c>
      <c r="J120" s="2">
        <v>4.5</v>
      </c>
      <c r="K120" s="2" t="s">
        <v>153</v>
      </c>
      <c r="L120" s="2" t="s">
        <v>154</v>
      </c>
      <c r="M120" s="2" t="b">
        <v>1</v>
      </c>
      <c r="N120" s="2" t="b">
        <v>0</v>
      </c>
      <c r="O120" s="2">
        <v>5.5555555555555554</v>
      </c>
      <c r="P120" s="2">
        <v>1.1111111111111109</v>
      </c>
      <c r="Q120" s="2" t="s">
        <v>170</v>
      </c>
      <c r="R120" s="2" t="s">
        <v>147</v>
      </c>
      <c r="S120" s="2">
        <v>10.8</v>
      </c>
      <c r="T120" s="2">
        <v>14.2</v>
      </c>
      <c r="U120" s="2" t="b">
        <v>0</v>
      </c>
      <c r="V120" s="2">
        <v>20</v>
      </c>
      <c r="W120" s="2">
        <v>3</v>
      </c>
      <c r="X120" s="2">
        <v>19</v>
      </c>
      <c r="Y120" s="2">
        <v>29.948453608247419</v>
      </c>
    </row>
    <row r="121" spans="1:25" hidden="1">
      <c r="A121" s="2" t="s">
        <v>297</v>
      </c>
      <c r="B121" s="2" t="s">
        <v>173</v>
      </c>
      <c r="C121" s="2" t="s">
        <v>188</v>
      </c>
      <c r="D121" s="3">
        <v>45412.541666666657</v>
      </c>
      <c r="E121" s="3">
        <v>45412.555555555547</v>
      </c>
      <c r="F121" s="2">
        <v>20</v>
      </c>
      <c r="G121" s="2" t="s">
        <v>143</v>
      </c>
      <c r="H121" s="2" t="s">
        <v>152</v>
      </c>
      <c r="I121" s="2">
        <v>3</v>
      </c>
      <c r="J121" s="2">
        <v>3</v>
      </c>
      <c r="K121" s="2" t="s">
        <v>143</v>
      </c>
      <c r="L121" s="2" t="s">
        <v>145</v>
      </c>
      <c r="M121" s="2" t="b">
        <v>0</v>
      </c>
      <c r="N121" s="2" t="b">
        <v>0</v>
      </c>
      <c r="O121" s="2">
        <v>6.666666666666667</v>
      </c>
      <c r="P121" s="2">
        <v>1</v>
      </c>
      <c r="Q121" s="2" t="s">
        <v>170</v>
      </c>
      <c r="R121" s="2" t="s">
        <v>147</v>
      </c>
      <c r="S121" s="2">
        <v>7.1999999999999993</v>
      </c>
      <c r="T121" s="2">
        <v>12.8</v>
      </c>
      <c r="U121" s="2" t="b">
        <v>0</v>
      </c>
      <c r="V121" s="2">
        <v>6</v>
      </c>
      <c r="W121" s="2">
        <v>2</v>
      </c>
      <c r="X121" s="2">
        <v>13</v>
      </c>
      <c r="Y121" s="2">
        <v>30.286458333333329</v>
      </c>
    </row>
    <row r="122" spans="1:25" hidden="1">
      <c r="A122" s="2" t="s">
        <v>298</v>
      </c>
      <c r="B122" s="2" t="s">
        <v>142</v>
      </c>
      <c r="C122" s="2" t="s">
        <v>190</v>
      </c>
      <c r="D122" s="3">
        <v>45413.770833333343</v>
      </c>
      <c r="E122" s="3">
        <v>45413.784722222219</v>
      </c>
      <c r="F122" s="2">
        <v>20</v>
      </c>
      <c r="G122" s="2" t="s">
        <v>151</v>
      </c>
      <c r="H122" s="2" t="s">
        <v>144</v>
      </c>
      <c r="I122" s="2">
        <v>4</v>
      </c>
      <c r="J122" s="2">
        <v>4.5</v>
      </c>
      <c r="K122" s="2" t="s">
        <v>161</v>
      </c>
      <c r="L122" s="2" t="s">
        <v>162</v>
      </c>
      <c r="M122" s="2" t="b">
        <v>1</v>
      </c>
      <c r="N122" s="2" t="b">
        <v>0</v>
      </c>
      <c r="O122" s="2">
        <v>4.4444444444444446</v>
      </c>
      <c r="P122" s="2">
        <v>0.88888888888888884</v>
      </c>
      <c r="Q122" s="2" t="s">
        <v>175</v>
      </c>
      <c r="R122" s="2" t="s">
        <v>147</v>
      </c>
      <c r="S122" s="2">
        <v>10.8</v>
      </c>
      <c r="T122" s="2">
        <v>9.2000000000000011</v>
      </c>
      <c r="U122" s="2" t="b">
        <v>0</v>
      </c>
      <c r="V122" s="2">
        <v>12</v>
      </c>
      <c r="W122" s="2">
        <v>1</v>
      </c>
      <c r="X122" s="2">
        <v>18</v>
      </c>
      <c r="Y122" s="2">
        <v>30.259433962264151</v>
      </c>
    </row>
    <row r="123" spans="1:25" hidden="1">
      <c r="A123" s="2" t="s">
        <v>299</v>
      </c>
      <c r="B123" s="2" t="s">
        <v>149</v>
      </c>
      <c r="C123" s="2" t="s">
        <v>192</v>
      </c>
      <c r="D123" s="3">
        <v>45414.84375</v>
      </c>
      <c r="E123" s="3">
        <v>45414.861111111109</v>
      </c>
      <c r="F123" s="2">
        <v>25</v>
      </c>
      <c r="G123" s="2" t="s">
        <v>159</v>
      </c>
      <c r="H123" s="2" t="s">
        <v>160</v>
      </c>
      <c r="I123" s="2">
        <v>2</v>
      </c>
      <c r="J123" s="2">
        <v>2</v>
      </c>
      <c r="K123" s="2" t="s">
        <v>153</v>
      </c>
      <c r="L123" s="2" t="s">
        <v>169</v>
      </c>
      <c r="M123" s="2" t="b">
        <v>1</v>
      </c>
      <c r="N123" s="2" t="b">
        <v>0</v>
      </c>
      <c r="O123" s="2">
        <v>12.5</v>
      </c>
      <c r="P123" s="2">
        <v>1</v>
      </c>
      <c r="Q123" s="2" t="s">
        <v>175</v>
      </c>
      <c r="R123" s="2" t="s">
        <v>171</v>
      </c>
      <c r="S123" s="2">
        <v>4.8</v>
      </c>
      <c r="T123" s="2">
        <v>20.2</v>
      </c>
      <c r="U123" s="2" t="b">
        <v>0</v>
      </c>
      <c r="V123" s="2">
        <v>2</v>
      </c>
      <c r="W123" s="2">
        <v>3</v>
      </c>
      <c r="X123" s="2">
        <v>20</v>
      </c>
      <c r="Y123" s="2">
        <v>28.186274509803919</v>
      </c>
    </row>
    <row r="124" spans="1:25" hidden="1">
      <c r="A124" s="2" t="s">
        <v>300</v>
      </c>
      <c r="B124" s="2" t="s">
        <v>157</v>
      </c>
      <c r="C124" s="2" t="s">
        <v>194</v>
      </c>
      <c r="D124" s="3">
        <v>45415.770833333343</v>
      </c>
      <c r="E124" s="3">
        <v>45415.784722222219</v>
      </c>
      <c r="F124" s="2">
        <v>20</v>
      </c>
      <c r="G124" s="2" t="s">
        <v>143</v>
      </c>
      <c r="H124" s="2" t="s">
        <v>152</v>
      </c>
      <c r="I124" s="2">
        <v>3</v>
      </c>
      <c r="J124" s="2">
        <v>3.5</v>
      </c>
      <c r="K124" s="2" t="s">
        <v>161</v>
      </c>
      <c r="L124" s="2" t="s">
        <v>154</v>
      </c>
      <c r="M124" s="2" t="b">
        <v>1</v>
      </c>
      <c r="N124" s="2" t="b">
        <v>0</v>
      </c>
      <c r="O124" s="2">
        <v>5.7142857142857144</v>
      </c>
      <c r="P124" s="2">
        <v>0.8571428571428571</v>
      </c>
      <c r="Q124" s="2" t="s">
        <v>175</v>
      </c>
      <c r="R124" s="2" t="s">
        <v>147</v>
      </c>
      <c r="S124" s="2">
        <v>8.4</v>
      </c>
      <c r="T124" s="2">
        <v>11.6</v>
      </c>
      <c r="U124" s="2" t="b">
        <v>0</v>
      </c>
      <c r="V124" s="2">
        <v>6</v>
      </c>
      <c r="W124" s="2">
        <v>1</v>
      </c>
      <c r="X124" s="2">
        <v>18</v>
      </c>
      <c r="Y124" s="2">
        <v>28.844221105527641</v>
      </c>
    </row>
    <row r="125" spans="1:25" hidden="1">
      <c r="A125" s="2" t="s">
        <v>301</v>
      </c>
      <c r="B125" s="2" t="s">
        <v>165</v>
      </c>
      <c r="C125" s="2" t="s">
        <v>158</v>
      </c>
      <c r="D125" s="3">
        <v>45416.822916666657</v>
      </c>
      <c r="E125" s="3">
        <v>45416.840277777781</v>
      </c>
      <c r="F125" s="2">
        <v>25</v>
      </c>
      <c r="G125" s="2" t="s">
        <v>167</v>
      </c>
      <c r="H125" s="2" t="s">
        <v>168</v>
      </c>
      <c r="I125" s="2">
        <v>5</v>
      </c>
      <c r="J125" s="2">
        <v>4</v>
      </c>
      <c r="K125" s="2" t="s">
        <v>143</v>
      </c>
      <c r="L125" s="2" t="s">
        <v>145</v>
      </c>
      <c r="M125" s="2" t="b">
        <v>1</v>
      </c>
      <c r="N125" s="2" t="b">
        <v>1</v>
      </c>
      <c r="O125" s="2">
        <v>6.25</v>
      </c>
      <c r="P125" s="2">
        <v>1.25</v>
      </c>
      <c r="Q125" s="2" t="s">
        <v>175</v>
      </c>
      <c r="R125" s="2" t="s">
        <v>147</v>
      </c>
      <c r="S125" s="2">
        <v>9.6</v>
      </c>
      <c r="T125" s="2">
        <v>15.4</v>
      </c>
      <c r="U125" s="2" t="b">
        <v>0</v>
      </c>
      <c r="V125" s="2">
        <v>20</v>
      </c>
      <c r="W125" s="2">
        <v>2</v>
      </c>
      <c r="X125" s="2">
        <v>19</v>
      </c>
      <c r="Y125" s="2">
        <v>29.948453608247419</v>
      </c>
    </row>
    <row r="126" spans="1:25" hidden="1">
      <c r="A126" s="2" t="s">
        <v>302</v>
      </c>
      <c r="B126" s="2" t="s">
        <v>173</v>
      </c>
      <c r="C126" s="2" t="s">
        <v>166</v>
      </c>
      <c r="D126" s="3">
        <v>45417.541666666657</v>
      </c>
      <c r="E126" s="3">
        <v>45417.555555555547</v>
      </c>
      <c r="F126" s="2">
        <v>20</v>
      </c>
      <c r="G126" s="2" t="s">
        <v>143</v>
      </c>
      <c r="H126" s="2" t="s">
        <v>152</v>
      </c>
      <c r="I126" s="2">
        <v>3</v>
      </c>
      <c r="J126" s="2">
        <v>3</v>
      </c>
      <c r="K126" s="2" t="s">
        <v>153</v>
      </c>
      <c r="L126" s="2" t="s">
        <v>162</v>
      </c>
      <c r="M126" s="2" t="b">
        <v>0</v>
      </c>
      <c r="N126" s="2" t="b">
        <v>1</v>
      </c>
      <c r="O126" s="2">
        <v>6.666666666666667</v>
      </c>
      <c r="P126" s="2">
        <v>1</v>
      </c>
      <c r="Q126" s="2" t="s">
        <v>175</v>
      </c>
      <c r="R126" s="2" t="s">
        <v>147</v>
      </c>
      <c r="S126" s="2">
        <v>7.1999999999999993</v>
      </c>
      <c r="T126" s="2">
        <v>12.8</v>
      </c>
      <c r="U126" s="2" t="b">
        <v>0</v>
      </c>
      <c r="V126" s="2">
        <v>6</v>
      </c>
      <c r="W126" s="2">
        <v>3</v>
      </c>
      <c r="X126" s="2">
        <v>13</v>
      </c>
      <c r="Y126" s="2">
        <v>30.286458333333329</v>
      </c>
    </row>
    <row r="127" spans="1:25" hidden="1">
      <c r="A127" s="2" t="s">
        <v>303</v>
      </c>
      <c r="B127" s="2" t="s">
        <v>142</v>
      </c>
      <c r="C127" s="2" t="s">
        <v>40</v>
      </c>
      <c r="D127" s="3">
        <v>45505.75</v>
      </c>
      <c r="E127" s="3">
        <v>45505.763888888891</v>
      </c>
      <c r="F127" s="2">
        <v>20</v>
      </c>
      <c r="G127" s="2" t="s">
        <v>143</v>
      </c>
      <c r="H127" s="2" t="s">
        <v>144</v>
      </c>
      <c r="I127" s="2">
        <v>2</v>
      </c>
      <c r="J127" s="2">
        <v>3</v>
      </c>
      <c r="K127" s="2" t="s">
        <v>161</v>
      </c>
      <c r="L127" s="2" t="s">
        <v>145</v>
      </c>
      <c r="M127" s="2" t="b">
        <v>1</v>
      </c>
      <c r="N127" s="2" t="b">
        <v>0</v>
      </c>
      <c r="O127" s="2">
        <v>6.666666666666667</v>
      </c>
      <c r="P127" s="2">
        <v>0.66666666666666663</v>
      </c>
      <c r="Q127" s="2" t="s">
        <v>304</v>
      </c>
      <c r="R127" s="2" t="s">
        <v>147</v>
      </c>
      <c r="S127" s="2">
        <v>7.1999999999999993</v>
      </c>
      <c r="T127" s="2">
        <v>12.8</v>
      </c>
      <c r="U127" s="2" t="b">
        <v>0</v>
      </c>
      <c r="V127" s="2">
        <v>4</v>
      </c>
      <c r="W127" s="2">
        <v>1</v>
      </c>
      <c r="X127" s="2">
        <v>18</v>
      </c>
      <c r="Y127" s="2">
        <v>30.259433962264151</v>
      </c>
    </row>
    <row r="128" spans="1:25" hidden="1">
      <c r="A128" s="2" t="s">
        <v>305</v>
      </c>
      <c r="B128" s="2" t="s">
        <v>149</v>
      </c>
      <c r="C128" s="2" t="s">
        <v>158</v>
      </c>
      <c r="D128" s="3">
        <v>45506.802083333343</v>
      </c>
      <c r="E128" s="3">
        <v>45506.822916666657</v>
      </c>
      <c r="F128" s="2">
        <v>30</v>
      </c>
      <c r="G128" s="2" t="s">
        <v>151</v>
      </c>
      <c r="H128" s="2" t="s">
        <v>152</v>
      </c>
      <c r="I128" s="2">
        <v>4</v>
      </c>
      <c r="J128" s="2">
        <v>6</v>
      </c>
      <c r="K128" s="2" t="s">
        <v>143</v>
      </c>
      <c r="L128" s="2" t="s">
        <v>162</v>
      </c>
      <c r="M128" s="2" t="b">
        <v>1</v>
      </c>
      <c r="N128" s="2" t="b">
        <v>0</v>
      </c>
      <c r="O128" s="2">
        <v>5</v>
      </c>
      <c r="P128" s="2">
        <v>0.66666666666666663</v>
      </c>
      <c r="Q128" s="2" t="s">
        <v>304</v>
      </c>
      <c r="R128" s="2" t="s">
        <v>147</v>
      </c>
      <c r="S128" s="2">
        <v>14.4</v>
      </c>
      <c r="T128" s="2">
        <v>15.6</v>
      </c>
      <c r="U128" s="2" t="b">
        <v>0</v>
      </c>
      <c r="V128" s="2">
        <v>12</v>
      </c>
      <c r="W128" s="2">
        <v>2</v>
      </c>
      <c r="X128" s="2">
        <v>19</v>
      </c>
      <c r="Y128" s="2">
        <v>28.186274509803919</v>
      </c>
    </row>
    <row r="129" spans="1:25" hidden="1">
      <c r="A129" s="2" t="s">
        <v>306</v>
      </c>
      <c r="B129" s="2" t="s">
        <v>165</v>
      </c>
      <c r="C129" s="2" t="s">
        <v>150</v>
      </c>
      <c r="D129" s="3">
        <v>45507.854166666657</v>
      </c>
      <c r="E129" s="3">
        <v>45507.881944444453</v>
      </c>
      <c r="F129" s="2">
        <v>40</v>
      </c>
      <c r="G129" s="2" t="s">
        <v>167</v>
      </c>
      <c r="H129" s="2" t="s">
        <v>168</v>
      </c>
      <c r="I129" s="2">
        <v>5</v>
      </c>
      <c r="J129" s="2">
        <v>8</v>
      </c>
      <c r="K129" s="2" t="s">
        <v>153</v>
      </c>
      <c r="L129" s="2" t="s">
        <v>154</v>
      </c>
      <c r="M129" s="2" t="b">
        <v>1</v>
      </c>
      <c r="N129" s="2" t="b">
        <v>1</v>
      </c>
      <c r="O129" s="2">
        <v>5</v>
      </c>
      <c r="P129" s="2">
        <v>0.625</v>
      </c>
      <c r="Q129" s="2" t="s">
        <v>304</v>
      </c>
      <c r="R129" s="2" t="s">
        <v>147</v>
      </c>
      <c r="S129" s="2">
        <v>19.2</v>
      </c>
      <c r="T129" s="2">
        <v>20.8</v>
      </c>
      <c r="U129" s="2" t="b">
        <v>1</v>
      </c>
      <c r="V129" s="2">
        <v>20</v>
      </c>
      <c r="W129" s="2">
        <v>3</v>
      </c>
      <c r="X129" s="2">
        <v>20</v>
      </c>
      <c r="Y129" s="2">
        <v>29.948453608247419</v>
      </c>
    </row>
    <row r="130" spans="1:25" hidden="1">
      <c r="A130" s="2" t="s">
        <v>307</v>
      </c>
      <c r="B130" s="2" t="s">
        <v>157</v>
      </c>
      <c r="C130" s="2" t="s">
        <v>184</v>
      </c>
      <c r="D130" s="3">
        <v>45508.78125</v>
      </c>
      <c r="E130" s="3">
        <v>45508.795138888891</v>
      </c>
      <c r="F130" s="2">
        <v>20</v>
      </c>
      <c r="G130" s="2" t="s">
        <v>159</v>
      </c>
      <c r="H130" s="2" t="s">
        <v>160</v>
      </c>
      <c r="I130" s="2">
        <v>1</v>
      </c>
      <c r="J130" s="2">
        <v>2.5</v>
      </c>
      <c r="K130" s="2" t="s">
        <v>161</v>
      </c>
      <c r="L130" s="2" t="s">
        <v>169</v>
      </c>
      <c r="M130" s="2" t="b">
        <v>1</v>
      </c>
      <c r="N130" s="2" t="b">
        <v>1</v>
      </c>
      <c r="O130" s="2">
        <v>8</v>
      </c>
      <c r="P130" s="2">
        <v>0.4</v>
      </c>
      <c r="Q130" s="2" t="s">
        <v>304</v>
      </c>
      <c r="R130" s="2" t="s">
        <v>171</v>
      </c>
      <c r="S130" s="2">
        <v>6</v>
      </c>
      <c r="T130" s="2">
        <v>14</v>
      </c>
      <c r="U130" s="2" t="b">
        <v>0</v>
      </c>
      <c r="V130" s="2">
        <v>1</v>
      </c>
      <c r="W130" s="2">
        <v>1</v>
      </c>
      <c r="X130" s="2">
        <v>18</v>
      </c>
      <c r="Y130" s="2">
        <v>28.844221105527641</v>
      </c>
    </row>
    <row r="131" spans="1:25" hidden="1">
      <c r="A131" s="2" t="s">
        <v>308</v>
      </c>
      <c r="B131" s="2" t="s">
        <v>173</v>
      </c>
      <c r="C131" s="2" t="s">
        <v>186</v>
      </c>
      <c r="D131" s="3">
        <v>45509.791666666657</v>
      </c>
      <c r="E131" s="3">
        <v>45509.826388888891</v>
      </c>
      <c r="F131" s="2">
        <v>50</v>
      </c>
      <c r="G131" s="2" t="s">
        <v>151</v>
      </c>
      <c r="H131" s="2" t="s">
        <v>152</v>
      </c>
      <c r="I131" s="2">
        <v>4</v>
      </c>
      <c r="J131" s="2">
        <v>10</v>
      </c>
      <c r="K131" s="2" t="s">
        <v>153</v>
      </c>
      <c r="L131" s="2" t="s">
        <v>145</v>
      </c>
      <c r="M131" s="2" t="b">
        <v>1</v>
      </c>
      <c r="N131" s="2" t="b">
        <v>0</v>
      </c>
      <c r="O131" s="2">
        <v>5</v>
      </c>
      <c r="P131" s="2">
        <v>0.4</v>
      </c>
      <c r="Q131" s="2" t="s">
        <v>304</v>
      </c>
      <c r="R131" s="2" t="s">
        <v>147</v>
      </c>
      <c r="S131" s="2">
        <v>24</v>
      </c>
      <c r="T131" s="2">
        <v>26</v>
      </c>
      <c r="U131" s="2" t="b">
        <v>1</v>
      </c>
      <c r="V131" s="2">
        <v>12</v>
      </c>
      <c r="W131" s="2">
        <v>3</v>
      </c>
      <c r="X131" s="2">
        <v>19</v>
      </c>
      <c r="Y131" s="2">
        <v>30.286458333333329</v>
      </c>
    </row>
    <row r="132" spans="1:25" hidden="1">
      <c r="A132" s="2" t="s">
        <v>309</v>
      </c>
      <c r="B132" s="2" t="s">
        <v>142</v>
      </c>
      <c r="C132" s="2" t="s">
        <v>166</v>
      </c>
      <c r="D132" s="3">
        <v>45510.833333333343</v>
      </c>
      <c r="E132" s="3">
        <v>45510.857638888891</v>
      </c>
      <c r="F132" s="2">
        <v>35</v>
      </c>
      <c r="G132" s="2" t="s">
        <v>143</v>
      </c>
      <c r="H132" s="2" t="s">
        <v>144</v>
      </c>
      <c r="I132" s="2">
        <v>3</v>
      </c>
      <c r="J132" s="2">
        <v>5.5</v>
      </c>
      <c r="K132" s="2" t="s">
        <v>143</v>
      </c>
      <c r="L132" s="2" t="s">
        <v>154</v>
      </c>
      <c r="M132" s="2" t="b">
        <v>1</v>
      </c>
      <c r="N132" s="2" t="b">
        <v>0</v>
      </c>
      <c r="O132" s="2">
        <v>6.3636363636363633</v>
      </c>
      <c r="P132" s="2">
        <v>0.54545454545454541</v>
      </c>
      <c r="Q132" s="2" t="s">
        <v>304</v>
      </c>
      <c r="R132" s="2" t="s">
        <v>147</v>
      </c>
      <c r="S132" s="2">
        <v>13.2</v>
      </c>
      <c r="T132" s="2">
        <v>21.8</v>
      </c>
      <c r="U132" s="2" t="b">
        <v>1</v>
      </c>
      <c r="V132" s="2">
        <v>6</v>
      </c>
      <c r="W132" s="2">
        <v>2</v>
      </c>
      <c r="X132" s="2">
        <v>20</v>
      </c>
      <c r="Y132" s="2">
        <v>30.259433962264151</v>
      </c>
    </row>
    <row r="133" spans="1:25" hidden="1">
      <c r="A133" s="2" t="s">
        <v>310</v>
      </c>
      <c r="B133" s="2" t="s">
        <v>149</v>
      </c>
      <c r="C133" s="2" t="s">
        <v>192</v>
      </c>
      <c r="D133" s="3">
        <v>45511.770833333343</v>
      </c>
      <c r="E133" s="3">
        <v>45511.784722222219</v>
      </c>
      <c r="F133" s="2">
        <v>20</v>
      </c>
      <c r="G133" s="2" t="s">
        <v>159</v>
      </c>
      <c r="H133" s="2" t="s">
        <v>160</v>
      </c>
      <c r="I133" s="2">
        <v>2</v>
      </c>
      <c r="J133" s="2">
        <v>2</v>
      </c>
      <c r="K133" s="2" t="s">
        <v>161</v>
      </c>
      <c r="L133" s="2" t="s">
        <v>162</v>
      </c>
      <c r="M133" s="2" t="b">
        <v>1</v>
      </c>
      <c r="N133" s="2" t="b">
        <v>0</v>
      </c>
      <c r="O133" s="2">
        <v>10</v>
      </c>
      <c r="P133" s="2">
        <v>1</v>
      </c>
      <c r="Q133" s="2" t="s">
        <v>304</v>
      </c>
      <c r="R133" s="2" t="s">
        <v>147</v>
      </c>
      <c r="S133" s="2">
        <v>4.8</v>
      </c>
      <c r="T133" s="2">
        <v>15.2</v>
      </c>
      <c r="U133" s="2" t="b">
        <v>0</v>
      </c>
      <c r="V133" s="2">
        <v>2</v>
      </c>
      <c r="W133" s="2">
        <v>1</v>
      </c>
      <c r="X133" s="2">
        <v>18</v>
      </c>
      <c r="Y133" s="2">
        <v>28.186274509803919</v>
      </c>
    </row>
    <row r="134" spans="1:25" hidden="1">
      <c r="A134" s="2" t="s">
        <v>311</v>
      </c>
      <c r="B134" s="2" t="s">
        <v>165</v>
      </c>
      <c r="C134" s="2" t="s">
        <v>194</v>
      </c>
      <c r="D134" s="3">
        <v>45512.822916666657</v>
      </c>
      <c r="E134" s="3">
        <v>45512.850694444453</v>
      </c>
      <c r="F134" s="2">
        <v>40</v>
      </c>
      <c r="G134" s="2" t="s">
        <v>167</v>
      </c>
      <c r="H134" s="2" t="s">
        <v>168</v>
      </c>
      <c r="I134" s="2">
        <v>5</v>
      </c>
      <c r="J134" s="2">
        <v>7.5</v>
      </c>
      <c r="K134" s="2" t="s">
        <v>153</v>
      </c>
      <c r="L134" s="2" t="s">
        <v>169</v>
      </c>
      <c r="M134" s="2" t="b">
        <v>1</v>
      </c>
      <c r="N134" s="2" t="b">
        <v>0</v>
      </c>
      <c r="O134" s="2">
        <v>5.333333333333333</v>
      </c>
      <c r="P134" s="2">
        <v>0.66666666666666663</v>
      </c>
      <c r="Q134" s="2" t="s">
        <v>304</v>
      </c>
      <c r="R134" s="2" t="s">
        <v>171</v>
      </c>
      <c r="S134" s="2">
        <v>18</v>
      </c>
      <c r="T134" s="2">
        <v>22</v>
      </c>
      <c r="U134" s="2" t="b">
        <v>1</v>
      </c>
      <c r="V134" s="2">
        <v>20</v>
      </c>
      <c r="W134" s="2">
        <v>3</v>
      </c>
      <c r="X134" s="2">
        <v>19</v>
      </c>
      <c r="Y134" s="2">
        <v>29.948453608247419</v>
      </c>
    </row>
    <row r="135" spans="1:25" hidden="1">
      <c r="A135" s="2" t="s">
        <v>312</v>
      </c>
      <c r="B135" s="2" t="s">
        <v>157</v>
      </c>
      <c r="C135" s="2" t="s">
        <v>174</v>
      </c>
      <c r="D135" s="3">
        <v>45513.75</v>
      </c>
      <c r="E135" s="3">
        <v>45513.770833333343</v>
      </c>
      <c r="F135" s="2">
        <v>30</v>
      </c>
      <c r="G135" s="2" t="s">
        <v>143</v>
      </c>
      <c r="H135" s="2" t="s">
        <v>152</v>
      </c>
      <c r="I135" s="2">
        <v>3</v>
      </c>
      <c r="J135" s="2">
        <v>4</v>
      </c>
      <c r="K135" s="2" t="s">
        <v>143</v>
      </c>
      <c r="L135" s="2" t="s">
        <v>145</v>
      </c>
      <c r="M135" s="2" t="b">
        <v>1</v>
      </c>
      <c r="N135" s="2" t="b">
        <v>0</v>
      </c>
      <c r="O135" s="2">
        <v>7.5</v>
      </c>
      <c r="P135" s="2">
        <v>0.75</v>
      </c>
      <c r="Q135" s="2" t="s">
        <v>304</v>
      </c>
      <c r="R135" s="2" t="s">
        <v>147</v>
      </c>
      <c r="S135" s="2">
        <v>9.6</v>
      </c>
      <c r="T135" s="2">
        <v>20.399999999999999</v>
      </c>
      <c r="U135" s="2" t="b">
        <v>0</v>
      </c>
      <c r="V135" s="2">
        <v>6</v>
      </c>
      <c r="W135" s="2">
        <v>2</v>
      </c>
      <c r="X135" s="2">
        <v>18</v>
      </c>
      <c r="Y135" s="2">
        <v>28.844221105527641</v>
      </c>
    </row>
    <row r="136" spans="1:25" hidden="1">
      <c r="A136" s="2" t="s">
        <v>313</v>
      </c>
      <c r="B136" s="2" t="s">
        <v>173</v>
      </c>
      <c r="C136" s="2" t="s">
        <v>190</v>
      </c>
      <c r="D136" s="3">
        <v>45514.84375</v>
      </c>
      <c r="E136" s="3">
        <v>45514.875</v>
      </c>
      <c r="F136" s="2">
        <v>45</v>
      </c>
      <c r="G136" s="2" t="s">
        <v>151</v>
      </c>
      <c r="H136" s="2" t="s">
        <v>144</v>
      </c>
      <c r="I136" s="2">
        <v>4</v>
      </c>
      <c r="J136" s="2">
        <v>9</v>
      </c>
      <c r="K136" s="2" t="s">
        <v>153</v>
      </c>
      <c r="L136" s="2" t="s">
        <v>154</v>
      </c>
      <c r="M136" s="2" t="b">
        <v>1</v>
      </c>
      <c r="N136" s="2" t="b">
        <v>1</v>
      </c>
      <c r="O136" s="2">
        <v>5</v>
      </c>
      <c r="P136" s="2">
        <v>0.44444444444444442</v>
      </c>
      <c r="Q136" s="2" t="s">
        <v>304</v>
      </c>
      <c r="R136" s="2" t="s">
        <v>147</v>
      </c>
      <c r="S136" s="2">
        <v>21.6</v>
      </c>
      <c r="T136" s="2">
        <v>23.4</v>
      </c>
      <c r="U136" s="2" t="b">
        <v>1</v>
      </c>
      <c r="V136" s="2">
        <v>12</v>
      </c>
      <c r="W136" s="2">
        <v>3</v>
      </c>
      <c r="X136" s="2">
        <v>20</v>
      </c>
      <c r="Y136" s="2">
        <v>30.286458333333329</v>
      </c>
    </row>
    <row r="137" spans="1:25" hidden="1">
      <c r="A137" s="2" t="s">
        <v>314</v>
      </c>
      <c r="B137" s="2" t="s">
        <v>142</v>
      </c>
      <c r="C137" s="2" t="s">
        <v>315</v>
      </c>
      <c r="D137" s="3">
        <v>45515.75</v>
      </c>
      <c r="E137" s="3">
        <v>45515.763888888891</v>
      </c>
      <c r="F137" s="2">
        <v>20</v>
      </c>
      <c r="G137" s="2" t="s">
        <v>143</v>
      </c>
      <c r="H137" s="2" t="s">
        <v>144</v>
      </c>
      <c r="I137" s="2">
        <v>2</v>
      </c>
      <c r="J137" s="2">
        <v>3</v>
      </c>
      <c r="K137" s="2" t="s">
        <v>161</v>
      </c>
      <c r="L137" s="2" t="s">
        <v>162</v>
      </c>
      <c r="M137" s="2" t="b">
        <v>1</v>
      </c>
      <c r="N137" s="2" t="b">
        <v>1</v>
      </c>
      <c r="O137" s="2">
        <v>6.666666666666667</v>
      </c>
      <c r="P137" s="2">
        <v>0.66666666666666663</v>
      </c>
      <c r="Q137" s="2" t="s">
        <v>304</v>
      </c>
      <c r="R137" s="2" t="s">
        <v>147</v>
      </c>
      <c r="S137" s="2">
        <v>7.1999999999999993</v>
      </c>
      <c r="T137" s="2">
        <v>12.8</v>
      </c>
      <c r="U137" s="2" t="b">
        <v>0</v>
      </c>
      <c r="V137" s="2">
        <v>4</v>
      </c>
      <c r="W137" s="2">
        <v>1</v>
      </c>
      <c r="X137" s="2">
        <v>18</v>
      </c>
      <c r="Y137" s="2">
        <v>30.259433962264151</v>
      </c>
    </row>
    <row r="138" spans="1:25" hidden="1">
      <c r="A138" s="2" t="s">
        <v>316</v>
      </c>
      <c r="B138" s="2" t="s">
        <v>149</v>
      </c>
      <c r="C138" s="2" t="s">
        <v>317</v>
      </c>
      <c r="D138" s="3">
        <v>45516.802083333343</v>
      </c>
      <c r="E138" s="3">
        <v>45516.822916666657</v>
      </c>
      <c r="F138" s="2">
        <v>30</v>
      </c>
      <c r="G138" s="2" t="s">
        <v>151</v>
      </c>
      <c r="H138" s="2" t="s">
        <v>152</v>
      </c>
      <c r="I138" s="2">
        <v>4</v>
      </c>
      <c r="J138" s="2">
        <v>6</v>
      </c>
      <c r="K138" s="2" t="s">
        <v>143</v>
      </c>
      <c r="L138" s="2" t="s">
        <v>169</v>
      </c>
      <c r="M138" s="2" t="b">
        <v>1</v>
      </c>
      <c r="N138" s="2" t="b">
        <v>0</v>
      </c>
      <c r="O138" s="2">
        <v>5</v>
      </c>
      <c r="P138" s="2">
        <v>0.66666666666666663</v>
      </c>
      <c r="Q138" s="2" t="s">
        <v>304</v>
      </c>
      <c r="R138" s="2" t="s">
        <v>171</v>
      </c>
      <c r="S138" s="2">
        <v>14.4</v>
      </c>
      <c r="T138" s="2">
        <v>15.6</v>
      </c>
      <c r="U138" s="2" t="b">
        <v>0</v>
      </c>
      <c r="V138" s="2">
        <v>12</v>
      </c>
      <c r="W138" s="2">
        <v>2</v>
      </c>
      <c r="X138" s="2">
        <v>19</v>
      </c>
      <c r="Y138" s="2">
        <v>28.186274509803919</v>
      </c>
    </row>
    <row r="139" spans="1:25" hidden="1">
      <c r="A139" s="2" t="s">
        <v>318</v>
      </c>
      <c r="B139" s="2" t="s">
        <v>165</v>
      </c>
      <c r="C139" s="2" t="s">
        <v>319</v>
      </c>
      <c r="D139" s="3">
        <v>45517.854166666657</v>
      </c>
      <c r="E139" s="3">
        <v>45517.881944444453</v>
      </c>
      <c r="F139" s="2">
        <v>40</v>
      </c>
      <c r="G139" s="2" t="s">
        <v>167</v>
      </c>
      <c r="H139" s="2" t="s">
        <v>168</v>
      </c>
      <c r="I139" s="2">
        <v>5</v>
      </c>
      <c r="J139" s="2">
        <v>8</v>
      </c>
      <c r="K139" s="2" t="s">
        <v>153</v>
      </c>
      <c r="L139" s="2" t="s">
        <v>145</v>
      </c>
      <c r="M139" s="2" t="b">
        <v>1</v>
      </c>
      <c r="N139" s="2" t="b">
        <v>0</v>
      </c>
      <c r="O139" s="2">
        <v>5</v>
      </c>
      <c r="P139" s="2">
        <v>0.625</v>
      </c>
      <c r="Q139" s="2" t="s">
        <v>304</v>
      </c>
      <c r="R139" s="2" t="s">
        <v>147</v>
      </c>
      <c r="S139" s="2">
        <v>19.2</v>
      </c>
      <c r="T139" s="2">
        <v>20.8</v>
      </c>
      <c r="U139" s="2" t="b">
        <v>1</v>
      </c>
      <c r="V139" s="2">
        <v>20</v>
      </c>
      <c r="W139" s="2">
        <v>3</v>
      </c>
      <c r="X139" s="2">
        <v>20</v>
      </c>
      <c r="Y139" s="2">
        <v>29.948453608247419</v>
      </c>
    </row>
    <row r="140" spans="1:25" hidden="1">
      <c r="A140" s="2" t="s">
        <v>320</v>
      </c>
      <c r="B140" s="2" t="s">
        <v>157</v>
      </c>
      <c r="C140" s="2" t="s">
        <v>321</v>
      </c>
      <c r="D140" s="3">
        <v>45518.78125</v>
      </c>
      <c r="E140" s="3">
        <v>45518.795138888891</v>
      </c>
      <c r="F140" s="2">
        <v>20</v>
      </c>
      <c r="G140" s="2" t="s">
        <v>159</v>
      </c>
      <c r="H140" s="2" t="s">
        <v>160</v>
      </c>
      <c r="I140" s="2">
        <v>1</v>
      </c>
      <c r="J140" s="2">
        <v>2.5</v>
      </c>
      <c r="K140" s="2" t="s">
        <v>161</v>
      </c>
      <c r="L140" s="2" t="s">
        <v>154</v>
      </c>
      <c r="M140" s="2" t="b">
        <v>1</v>
      </c>
      <c r="N140" s="2" t="b">
        <v>0</v>
      </c>
      <c r="O140" s="2">
        <v>8</v>
      </c>
      <c r="P140" s="2">
        <v>0.4</v>
      </c>
      <c r="Q140" s="2" t="s">
        <v>304</v>
      </c>
      <c r="R140" s="2" t="s">
        <v>147</v>
      </c>
      <c r="S140" s="2">
        <v>6</v>
      </c>
      <c r="T140" s="2">
        <v>14</v>
      </c>
      <c r="U140" s="2" t="b">
        <v>0</v>
      </c>
      <c r="V140" s="2">
        <v>1</v>
      </c>
      <c r="W140" s="2">
        <v>1</v>
      </c>
      <c r="X140" s="2">
        <v>18</v>
      </c>
      <c r="Y140" s="2">
        <v>28.844221105527641</v>
      </c>
    </row>
    <row r="141" spans="1:25" hidden="1">
      <c r="A141" s="2" t="s">
        <v>322</v>
      </c>
      <c r="B141" s="2" t="s">
        <v>173</v>
      </c>
      <c r="C141" s="2" t="s">
        <v>323</v>
      </c>
      <c r="D141" s="3">
        <v>45519.791666666657</v>
      </c>
      <c r="E141" s="3">
        <v>45519.826388888891</v>
      </c>
      <c r="F141" s="2">
        <v>50</v>
      </c>
      <c r="G141" s="2" t="s">
        <v>151</v>
      </c>
      <c r="H141" s="2" t="s">
        <v>152</v>
      </c>
      <c r="I141" s="2">
        <v>4</v>
      </c>
      <c r="J141" s="2">
        <v>10</v>
      </c>
      <c r="K141" s="2" t="s">
        <v>153</v>
      </c>
      <c r="L141" s="2" t="s">
        <v>162</v>
      </c>
      <c r="M141" s="2" t="b">
        <v>1</v>
      </c>
      <c r="N141" s="2" t="b">
        <v>0</v>
      </c>
      <c r="O141" s="2">
        <v>5</v>
      </c>
      <c r="P141" s="2">
        <v>0.4</v>
      </c>
      <c r="Q141" s="2" t="s">
        <v>304</v>
      </c>
      <c r="R141" s="2" t="s">
        <v>147</v>
      </c>
      <c r="S141" s="2">
        <v>24</v>
      </c>
      <c r="T141" s="2">
        <v>26</v>
      </c>
      <c r="U141" s="2" t="b">
        <v>1</v>
      </c>
      <c r="V141" s="2">
        <v>12</v>
      </c>
      <c r="W141" s="2">
        <v>3</v>
      </c>
      <c r="X141" s="2">
        <v>19</v>
      </c>
      <c r="Y141" s="2">
        <v>30.286458333333329</v>
      </c>
    </row>
    <row r="142" spans="1:25" hidden="1">
      <c r="A142" s="2" t="s">
        <v>324</v>
      </c>
      <c r="B142" s="2" t="s">
        <v>142</v>
      </c>
      <c r="C142" s="2" t="s">
        <v>325</v>
      </c>
      <c r="D142" s="3">
        <v>45520.833333333343</v>
      </c>
      <c r="E142" s="3">
        <v>45520.857638888891</v>
      </c>
      <c r="F142" s="2">
        <v>35</v>
      </c>
      <c r="G142" s="2" t="s">
        <v>143</v>
      </c>
      <c r="H142" s="2" t="s">
        <v>144</v>
      </c>
      <c r="I142" s="2">
        <v>3</v>
      </c>
      <c r="J142" s="2">
        <v>5.5</v>
      </c>
      <c r="K142" s="2" t="s">
        <v>143</v>
      </c>
      <c r="L142" s="2" t="s">
        <v>169</v>
      </c>
      <c r="M142" s="2" t="b">
        <v>1</v>
      </c>
      <c r="N142" s="2" t="b">
        <v>0</v>
      </c>
      <c r="O142" s="2">
        <v>6.3636363636363633</v>
      </c>
      <c r="P142" s="2">
        <v>0.54545454545454541</v>
      </c>
      <c r="Q142" s="2" t="s">
        <v>304</v>
      </c>
      <c r="R142" s="2" t="s">
        <v>171</v>
      </c>
      <c r="S142" s="2">
        <v>13.2</v>
      </c>
      <c r="T142" s="2">
        <v>21.8</v>
      </c>
      <c r="U142" s="2" t="b">
        <v>1</v>
      </c>
      <c r="V142" s="2">
        <v>6</v>
      </c>
      <c r="W142" s="2">
        <v>2</v>
      </c>
      <c r="X142" s="2">
        <v>20</v>
      </c>
      <c r="Y142" s="2">
        <v>30.259433962264151</v>
      </c>
    </row>
    <row r="143" spans="1:25" hidden="1">
      <c r="A143" s="2" t="s">
        <v>326</v>
      </c>
      <c r="B143" s="2" t="s">
        <v>149</v>
      </c>
      <c r="C143" s="2" t="s">
        <v>327</v>
      </c>
      <c r="D143" s="3">
        <v>45521.770833333343</v>
      </c>
      <c r="E143" s="3">
        <v>45521.784722222219</v>
      </c>
      <c r="F143" s="2">
        <v>20</v>
      </c>
      <c r="G143" s="2" t="s">
        <v>159</v>
      </c>
      <c r="H143" s="2" t="s">
        <v>160</v>
      </c>
      <c r="I143" s="2">
        <v>2</v>
      </c>
      <c r="J143" s="2">
        <v>2</v>
      </c>
      <c r="K143" s="2" t="s">
        <v>161</v>
      </c>
      <c r="L143" s="2" t="s">
        <v>145</v>
      </c>
      <c r="M143" s="2" t="b">
        <v>1</v>
      </c>
      <c r="N143" s="2" t="b">
        <v>1</v>
      </c>
      <c r="O143" s="2">
        <v>10</v>
      </c>
      <c r="P143" s="2">
        <v>1</v>
      </c>
      <c r="Q143" s="2" t="s">
        <v>304</v>
      </c>
      <c r="R143" s="2" t="s">
        <v>147</v>
      </c>
      <c r="S143" s="2">
        <v>4.8</v>
      </c>
      <c r="T143" s="2">
        <v>15.2</v>
      </c>
      <c r="U143" s="2" t="b">
        <v>0</v>
      </c>
      <c r="V143" s="2">
        <v>2</v>
      </c>
      <c r="W143" s="2">
        <v>1</v>
      </c>
      <c r="X143" s="2">
        <v>18</v>
      </c>
      <c r="Y143" s="2">
        <v>28.186274509803919</v>
      </c>
    </row>
    <row r="144" spans="1:25" hidden="1">
      <c r="A144" s="2" t="s">
        <v>328</v>
      </c>
      <c r="B144" s="2" t="s">
        <v>165</v>
      </c>
      <c r="C144" s="2" t="s">
        <v>329</v>
      </c>
      <c r="D144" s="3">
        <v>45522.822916666657</v>
      </c>
      <c r="E144" s="3">
        <v>45522.850694444453</v>
      </c>
      <c r="F144" s="2">
        <v>40</v>
      </c>
      <c r="G144" s="2" t="s">
        <v>167</v>
      </c>
      <c r="H144" s="2" t="s">
        <v>168</v>
      </c>
      <c r="I144" s="2">
        <v>5</v>
      </c>
      <c r="J144" s="2">
        <v>7.5</v>
      </c>
      <c r="K144" s="2" t="s">
        <v>153</v>
      </c>
      <c r="L144" s="2" t="s">
        <v>154</v>
      </c>
      <c r="M144" s="2" t="b">
        <v>1</v>
      </c>
      <c r="N144" s="2" t="b">
        <v>1</v>
      </c>
      <c r="O144" s="2">
        <v>5.333333333333333</v>
      </c>
      <c r="P144" s="2">
        <v>0.66666666666666663</v>
      </c>
      <c r="Q144" s="2" t="s">
        <v>304</v>
      </c>
      <c r="R144" s="2" t="s">
        <v>147</v>
      </c>
      <c r="S144" s="2">
        <v>18</v>
      </c>
      <c r="T144" s="2">
        <v>22</v>
      </c>
      <c r="U144" s="2" t="b">
        <v>1</v>
      </c>
      <c r="V144" s="2">
        <v>20</v>
      </c>
      <c r="W144" s="2">
        <v>3</v>
      </c>
      <c r="X144" s="2">
        <v>19</v>
      </c>
      <c r="Y144" s="2">
        <v>29.948453608247419</v>
      </c>
    </row>
    <row r="145" spans="1:25" hidden="1">
      <c r="A145" s="2" t="s">
        <v>330</v>
      </c>
      <c r="B145" s="2" t="s">
        <v>157</v>
      </c>
      <c r="C145" s="2" t="s">
        <v>182</v>
      </c>
      <c r="D145" s="3">
        <v>45523.75</v>
      </c>
      <c r="E145" s="3">
        <v>45523.770833333343</v>
      </c>
      <c r="F145" s="2">
        <v>30</v>
      </c>
      <c r="G145" s="2" t="s">
        <v>143</v>
      </c>
      <c r="H145" s="2" t="s">
        <v>152</v>
      </c>
      <c r="I145" s="2">
        <v>3</v>
      </c>
      <c r="J145" s="2">
        <v>4</v>
      </c>
      <c r="K145" s="2" t="s">
        <v>143</v>
      </c>
      <c r="L145" s="2" t="s">
        <v>162</v>
      </c>
      <c r="M145" s="2" t="b">
        <v>1</v>
      </c>
      <c r="N145" s="2" t="b">
        <v>0</v>
      </c>
      <c r="O145" s="2">
        <v>7.5</v>
      </c>
      <c r="P145" s="2">
        <v>0.75</v>
      </c>
      <c r="Q145" s="2" t="s">
        <v>304</v>
      </c>
      <c r="R145" s="2" t="s">
        <v>147</v>
      </c>
      <c r="S145" s="2">
        <v>9.6</v>
      </c>
      <c r="T145" s="2">
        <v>20.399999999999999</v>
      </c>
      <c r="U145" s="2" t="b">
        <v>0</v>
      </c>
      <c r="V145" s="2">
        <v>6</v>
      </c>
      <c r="W145" s="2">
        <v>2</v>
      </c>
      <c r="X145" s="2">
        <v>18</v>
      </c>
      <c r="Y145" s="2">
        <v>28.844221105527641</v>
      </c>
    </row>
    <row r="146" spans="1:25" hidden="1">
      <c r="A146" s="2" t="s">
        <v>331</v>
      </c>
      <c r="B146" s="2" t="s">
        <v>173</v>
      </c>
      <c r="C146" s="2" t="s">
        <v>327</v>
      </c>
      <c r="D146" s="3">
        <v>45524.84375</v>
      </c>
      <c r="E146" s="3">
        <v>45524.875</v>
      </c>
      <c r="F146" s="2">
        <v>45</v>
      </c>
      <c r="G146" s="2" t="s">
        <v>151</v>
      </c>
      <c r="H146" s="2" t="s">
        <v>144</v>
      </c>
      <c r="I146" s="2">
        <v>4</v>
      </c>
      <c r="J146" s="2">
        <v>9</v>
      </c>
      <c r="K146" s="2" t="s">
        <v>153</v>
      </c>
      <c r="L146" s="2" t="s">
        <v>169</v>
      </c>
      <c r="M146" s="2" t="b">
        <v>1</v>
      </c>
      <c r="N146" s="2" t="b">
        <v>0</v>
      </c>
      <c r="O146" s="2">
        <v>5</v>
      </c>
      <c r="P146" s="2">
        <v>0.44444444444444442</v>
      </c>
      <c r="Q146" s="2" t="s">
        <v>304</v>
      </c>
      <c r="R146" s="2" t="s">
        <v>171</v>
      </c>
      <c r="S146" s="2">
        <v>21.6</v>
      </c>
      <c r="T146" s="2">
        <v>23.4</v>
      </c>
      <c r="U146" s="2" t="b">
        <v>1</v>
      </c>
      <c r="V146" s="2">
        <v>12</v>
      </c>
      <c r="W146" s="2">
        <v>3</v>
      </c>
      <c r="X146" s="2">
        <v>20</v>
      </c>
      <c r="Y146" s="2">
        <v>30.286458333333329</v>
      </c>
    </row>
    <row r="147" spans="1:25" hidden="1">
      <c r="A147" s="2" t="s">
        <v>332</v>
      </c>
      <c r="B147" s="2" t="s">
        <v>142</v>
      </c>
      <c r="C147" s="2" t="s">
        <v>333</v>
      </c>
      <c r="D147" s="3">
        <v>45525.75</v>
      </c>
      <c r="E147" s="3">
        <v>45525.763888888891</v>
      </c>
      <c r="F147" s="2">
        <v>20</v>
      </c>
      <c r="G147" s="2" t="s">
        <v>143</v>
      </c>
      <c r="H147" s="2" t="s">
        <v>144</v>
      </c>
      <c r="I147" s="2">
        <v>2</v>
      </c>
      <c r="J147" s="2">
        <v>3</v>
      </c>
      <c r="K147" s="2" t="s">
        <v>161</v>
      </c>
      <c r="L147" s="2" t="s">
        <v>145</v>
      </c>
      <c r="M147" s="2" t="b">
        <v>1</v>
      </c>
      <c r="N147" s="2" t="b">
        <v>0</v>
      </c>
      <c r="O147" s="2">
        <v>6.666666666666667</v>
      </c>
      <c r="P147" s="2">
        <v>0.66666666666666663</v>
      </c>
      <c r="Q147" s="2" t="s">
        <v>304</v>
      </c>
      <c r="R147" s="2" t="s">
        <v>147</v>
      </c>
      <c r="S147" s="2">
        <v>7.1999999999999993</v>
      </c>
      <c r="T147" s="2">
        <v>12.8</v>
      </c>
      <c r="U147" s="2" t="b">
        <v>0</v>
      </c>
      <c r="V147" s="2">
        <v>4</v>
      </c>
      <c r="W147" s="2">
        <v>1</v>
      </c>
      <c r="X147" s="2">
        <v>18</v>
      </c>
      <c r="Y147" s="2">
        <v>30.259433962264151</v>
      </c>
    </row>
    <row r="148" spans="1:25" hidden="1">
      <c r="A148" s="2" t="s">
        <v>334</v>
      </c>
      <c r="B148" s="2" t="s">
        <v>149</v>
      </c>
      <c r="C148" s="2" t="s">
        <v>335</v>
      </c>
      <c r="D148" s="3">
        <v>45526.802083333343</v>
      </c>
      <c r="E148" s="3">
        <v>45526.822916666657</v>
      </c>
      <c r="F148" s="2">
        <v>30</v>
      </c>
      <c r="G148" s="2" t="s">
        <v>151</v>
      </c>
      <c r="H148" s="2" t="s">
        <v>152</v>
      </c>
      <c r="I148" s="2">
        <v>4</v>
      </c>
      <c r="J148" s="2">
        <v>6</v>
      </c>
      <c r="K148" s="2" t="s">
        <v>143</v>
      </c>
      <c r="L148" s="2" t="s">
        <v>154</v>
      </c>
      <c r="M148" s="2" t="b">
        <v>1</v>
      </c>
      <c r="N148" s="2" t="b">
        <v>0</v>
      </c>
      <c r="O148" s="2">
        <v>5</v>
      </c>
      <c r="P148" s="2">
        <v>0.66666666666666663</v>
      </c>
      <c r="Q148" s="2" t="s">
        <v>304</v>
      </c>
      <c r="R148" s="2" t="s">
        <v>147</v>
      </c>
      <c r="S148" s="2">
        <v>14.4</v>
      </c>
      <c r="T148" s="2">
        <v>15.6</v>
      </c>
      <c r="U148" s="2" t="b">
        <v>0</v>
      </c>
      <c r="V148" s="2">
        <v>12</v>
      </c>
      <c r="W148" s="2">
        <v>2</v>
      </c>
      <c r="X148" s="2">
        <v>19</v>
      </c>
      <c r="Y148" s="2">
        <v>28.186274509803919</v>
      </c>
    </row>
    <row r="149" spans="1:25" hidden="1">
      <c r="A149" s="2" t="s">
        <v>336</v>
      </c>
      <c r="B149" s="2" t="s">
        <v>165</v>
      </c>
      <c r="C149" s="2" t="s">
        <v>337</v>
      </c>
      <c r="D149" s="3">
        <v>45527.854166666657</v>
      </c>
      <c r="E149" s="3">
        <v>45527.881944444453</v>
      </c>
      <c r="F149" s="2">
        <v>40</v>
      </c>
      <c r="G149" s="2" t="s">
        <v>167</v>
      </c>
      <c r="H149" s="2" t="s">
        <v>168</v>
      </c>
      <c r="I149" s="2">
        <v>5</v>
      </c>
      <c r="J149" s="2">
        <v>8</v>
      </c>
      <c r="K149" s="2" t="s">
        <v>153</v>
      </c>
      <c r="L149" s="2" t="s">
        <v>162</v>
      </c>
      <c r="M149" s="2" t="b">
        <v>1</v>
      </c>
      <c r="N149" s="2" t="b">
        <v>0</v>
      </c>
      <c r="O149" s="2">
        <v>5</v>
      </c>
      <c r="P149" s="2">
        <v>0.625</v>
      </c>
      <c r="Q149" s="2" t="s">
        <v>304</v>
      </c>
      <c r="R149" s="2" t="s">
        <v>147</v>
      </c>
      <c r="S149" s="2">
        <v>19.2</v>
      </c>
      <c r="T149" s="2">
        <v>20.8</v>
      </c>
      <c r="U149" s="2" t="b">
        <v>1</v>
      </c>
      <c r="V149" s="2">
        <v>20</v>
      </c>
      <c r="W149" s="2">
        <v>3</v>
      </c>
      <c r="X149" s="2">
        <v>20</v>
      </c>
      <c r="Y149" s="2">
        <v>29.948453608247419</v>
      </c>
    </row>
    <row r="150" spans="1:25" hidden="1">
      <c r="A150" s="2" t="s">
        <v>338</v>
      </c>
      <c r="B150" s="2" t="s">
        <v>157</v>
      </c>
      <c r="C150" s="2" t="s">
        <v>339</v>
      </c>
      <c r="D150" s="3">
        <v>45528.78125</v>
      </c>
      <c r="E150" s="3">
        <v>45528.795138888891</v>
      </c>
      <c r="F150" s="2">
        <v>20</v>
      </c>
      <c r="G150" s="2" t="s">
        <v>159</v>
      </c>
      <c r="H150" s="2" t="s">
        <v>160</v>
      </c>
      <c r="I150" s="2">
        <v>1</v>
      </c>
      <c r="J150" s="2">
        <v>2.5</v>
      </c>
      <c r="K150" s="2" t="s">
        <v>161</v>
      </c>
      <c r="L150" s="2" t="s">
        <v>169</v>
      </c>
      <c r="M150" s="2" t="b">
        <v>1</v>
      </c>
      <c r="N150" s="2" t="b">
        <v>1</v>
      </c>
      <c r="O150" s="2">
        <v>8</v>
      </c>
      <c r="P150" s="2">
        <v>0.4</v>
      </c>
      <c r="Q150" s="2" t="s">
        <v>304</v>
      </c>
      <c r="R150" s="2" t="s">
        <v>171</v>
      </c>
      <c r="S150" s="2">
        <v>6</v>
      </c>
      <c r="T150" s="2">
        <v>14</v>
      </c>
      <c r="U150" s="2" t="b">
        <v>0</v>
      </c>
      <c r="V150" s="2">
        <v>1</v>
      </c>
      <c r="W150" s="2">
        <v>1</v>
      </c>
      <c r="X150" s="2">
        <v>18</v>
      </c>
      <c r="Y150" s="2">
        <v>28.844221105527641</v>
      </c>
    </row>
    <row r="151" spans="1:25" hidden="1">
      <c r="A151" s="2" t="s">
        <v>340</v>
      </c>
      <c r="B151" s="2" t="s">
        <v>173</v>
      </c>
      <c r="C151" s="2" t="s">
        <v>194</v>
      </c>
      <c r="D151" s="3">
        <v>45529.791666666657</v>
      </c>
      <c r="E151" s="3">
        <v>45529.826388888891</v>
      </c>
      <c r="F151" s="2">
        <v>50</v>
      </c>
      <c r="G151" s="2" t="s">
        <v>151</v>
      </c>
      <c r="H151" s="2" t="s">
        <v>152</v>
      </c>
      <c r="I151" s="2">
        <v>4</v>
      </c>
      <c r="J151" s="2">
        <v>10</v>
      </c>
      <c r="K151" s="2" t="s">
        <v>153</v>
      </c>
      <c r="L151" s="2" t="s">
        <v>145</v>
      </c>
      <c r="M151" s="2" t="b">
        <v>1</v>
      </c>
      <c r="N151" s="2" t="b">
        <v>1</v>
      </c>
      <c r="O151" s="2">
        <v>5</v>
      </c>
      <c r="P151" s="2">
        <v>0.4</v>
      </c>
      <c r="Q151" s="2" t="s">
        <v>304</v>
      </c>
      <c r="R151" s="2" t="s">
        <v>147</v>
      </c>
      <c r="S151" s="2">
        <v>24</v>
      </c>
      <c r="T151" s="2">
        <v>26</v>
      </c>
      <c r="U151" s="2" t="b">
        <v>1</v>
      </c>
      <c r="V151" s="2">
        <v>12</v>
      </c>
      <c r="W151" s="2">
        <v>3</v>
      </c>
      <c r="X151" s="2">
        <v>19</v>
      </c>
      <c r="Y151" s="2">
        <v>30.286458333333329</v>
      </c>
    </row>
    <row r="152" spans="1:25" hidden="1">
      <c r="A152" s="2" t="s">
        <v>341</v>
      </c>
      <c r="B152" s="2" t="s">
        <v>142</v>
      </c>
      <c r="C152" s="2" t="s">
        <v>40</v>
      </c>
      <c r="D152" s="3">
        <v>45505.75</v>
      </c>
      <c r="E152" s="3">
        <v>45505.770833333343</v>
      </c>
      <c r="F152" s="2">
        <v>30</v>
      </c>
      <c r="G152" s="2" t="s">
        <v>151</v>
      </c>
      <c r="H152" s="2" t="s">
        <v>144</v>
      </c>
      <c r="I152" s="2">
        <v>4</v>
      </c>
      <c r="J152" s="2">
        <v>5.5</v>
      </c>
      <c r="K152" s="2" t="s">
        <v>153</v>
      </c>
      <c r="L152" s="2" t="s">
        <v>342</v>
      </c>
      <c r="M152" s="2" t="b">
        <v>1</v>
      </c>
      <c r="N152" s="2" t="b">
        <v>0</v>
      </c>
      <c r="O152" s="2">
        <v>5.4545454545454541</v>
      </c>
      <c r="P152" s="2">
        <v>0.72727272727272729</v>
      </c>
      <c r="Q152" s="2" t="s">
        <v>304</v>
      </c>
      <c r="R152" s="2" t="s">
        <v>171</v>
      </c>
      <c r="S152" s="2">
        <v>13.2</v>
      </c>
      <c r="T152" s="2">
        <v>16.8</v>
      </c>
      <c r="U152" s="2" t="b">
        <v>0</v>
      </c>
      <c r="V152" s="2">
        <v>12</v>
      </c>
      <c r="W152" s="2">
        <v>3</v>
      </c>
      <c r="X152" s="2">
        <v>18</v>
      </c>
      <c r="Y152" s="2">
        <v>30.259433962264151</v>
      </c>
    </row>
    <row r="153" spans="1:25" hidden="1">
      <c r="A153" s="2" t="s">
        <v>343</v>
      </c>
      <c r="B153" s="2" t="s">
        <v>165</v>
      </c>
      <c r="C153" s="2" t="s">
        <v>150</v>
      </c>
      <c r="D153" s="3">
        <v>45506.802083333343</v>
      </c>
      <c r="E153" s="3">
        <v>45506.822916666657</v>
      </c>
      <c r="F153" s="2">
        <v>30</v>
      </c>
      <c r="G153" s="2" t="s">
        <v>167</v>
      </c>
      <c r="H153" s="2" t="s">
        <v>168</v>
      </c>
      <c r="I153" s="2">
        <v>5</v>
      </c>
      <c r="J153" s="2">
        <v>6</v>
      </c>
      <c r="K153" s="2" t="s">
        <v>143</v>
      </c>
      <c r="L153" s="2" t="s">
        <v>145</v>
      </c>
      <c r="M153" s="2" t="b">
        <v>1</v>
      </c>
      <c r="N153" s="2" t="b">
        <v>0</v>
      </c>
      <c r="O153" s="2">
        <v>5</v>
      </c>
      <c r="P153" s="2">
        <v>0.83333333333333337</v>
      </c>
      <c r="Q153" s="2" t="s">
        <v>304</v>
      </c>
      <c r="R153" s="2" t="s">
        <v>147</v>
      </c>
      <c r="S153" s="2">
        <v>14.4</v>
      </c>
      <c r="T153" s="2">
        <v>15.6</v>
      </c>
      <c r="U153" s="2" t="b">
        <v>0</v>
      </c>
      <c r="V153" s="2">
        <v>20</v>
      </c>
      <c r="W153" s="2">
        <v>2</v>
      </c>
      <c r="X153" s="2">
        <v>19</v>
      </c>
      <c r="Y153" s="2">
        <v>29.948453608247419</v>
      </c>
    </row>
    <row r="154" spans="1:25" hidden="1">
      <c r="A154" s="2" t="s">
        <v>344</v>
      </c>
      <c r="B154" s="2" t="s">
        <v>149</v>
      </c>
      <c r="C154" s="2" t="s">
        <v>158</v>
      </c>
      <c r="D154" s="3">
        <v>45507.833333333343</v>
      </c>
      <c r="E154" s="3">
        <v>45507.857638888891</v>
      </c>
      <c r="F154" s="2">
        <v>35</v>
      </c>
      <c r="G154" s="2" t="s">
        <v>143</v>
      </c>
      <c r="H154" s="2" t="s">
        <v>152</v>
      </c>
      <c r="I154" s="2">
        <v>3</v>
      </c>
      <c r="J154" s="2">
        <v>7.2</v>
      </c>
      <c r="K154" s="2" t="s">
        <v>161</v>
      </c>
      <c r="L154" s="2" t="s">
        <v>162</v>
      </c>
      <c r="M154" s="2" t="b">
        <v>1</v>
      </c>
      <c r="N154" s="2" t="b">
        <v>1</v>
      </c>
      <c r="O154" s="2">
        <v>4.8611111111111107</v>
      </c>
      <c r="P154" s="2">
        <v>0.41666666666666657</v>
      </c>
      <c r="Q154" s="2" t="s">
        <v>304</v>
      </c>
      <c r="R154" s="2" t="s">
        <v>147</v>
      </c>
      <c r="S154" s="2">
        <v>17.28</v>
      </c>
      <c r="T154" s="2">
        <v>17.72</v>
      </c>
      <c r="U154" s="2" t="b">
        <v>1</v>
      </c>
      <c r="V154" s="2">
        <v>6</v>
      </c>
      <c r="W154" s="2">
        <v>1</v>
      </c>
      <c r="X154" s="2">
        <v>20</v>
      </c>
      <c r="Y154" s="2">
        <v>28.186274509803919</v>
      </c>
    </row>
    <row r="155" spans="1:25" hidden="1">
      <c r="A155" s="2" t="s">
        <v>345</v>
      </c>
      <c r="B155" s="2" t="s">
        <v>157</v>
      </c>
      <c r="C155" s="2" t="s">
        <v>184</v>
      </c>
      <c r="D155" s="3">
        <v>45508.739583333343</v>
      </c>
      <c r="E155" s="3">
        <v>45508.753472222219</v>
      </c>
      <c r="F155" s="2">
        <v>20</v>
      </c>
      <c r="G155" s="2" t="s">
        <v>159</v>
      </c>
      <c r="H155" s="2" t="s">
        <v>160</v>
      </c>
      <c r="I155" s="2">
        <v>2</v>
      </c>
      <c r="J155" s="2">
        <v>3</v>
      </c>
      <c r="K155" s="2" t="s">
        <v>161</v>
      </c>
      <c r="L155" s="2" t="s">
        <v>154</v>
      </c>
      <c r="M155" s="2" t="b">
        <v>0</v>
      </c>
      <c r="N155" s="2" t="b">
        <v>1</v>
      </c>
      <c r="O155" s="2">
        <v>6.666666666666667</v>
      </c>
      <c r="P155" s="2">
        <v>0.66666666666666663</v>
      </c>
      <c r="Q155" s="2" t="s">
        <v>304</v>
      </c>
      <c r="R155" s="2" t="s">
        <v>147</v>
      </c>
      <c r="S155" s="2">
        <v>7.1999999999999993</v>
      </c>
      <c r="T155" s="2">
        <v>12.8</v>
      </c>
      <c r="U155" s="2" t="b">
        <v>0</v>
      </c>
      <c r="V155" s="2">
        <v>2</v>
      </c>
      <c r="W155" s="2">
        <v>1</v>
      </c>
      <c r="X155" s="2">
        <v>17</v>
      </c>
      <c r="Y155" s="2">
        <v>28.844221105527641</v>
      </c>
    </row>
    <row r="156" spans="1:25" hidden="1">
      <c r="A156" s="2" t="s">
        <v>346</v>
      </c>
      <c r="B156" s="2" t="s">
        <v>173</v>
      </c>
      <c r="C156" s="2" t="s">
        <v>186</v>
      </c>
      <c r="D156" s="3">
        <v>45509.5625</v>
      </c>
      <c r="E156" s="3">
        <v>45509.583333333343</v>
      </c>
      <c r="F156" s="2">
        <v>30</v>
      </c>
      <c r="G156" s="2" t="s">
        <v>143</v>
      </c>
      <c r="H156" s="2" t="s">
        <v>152</v>
      </c>
      <c r="I156" s="2">
        <v>4</v>
      </c>
      <c r="J156" s="2">
        <v>5</v>
      </c>
      <c r="K156" s="2" t="s">
        <v>153</v>
      </c>
      <c r="L156" s="2" t="s">
        <v>169</v>
      </c>
      <c r="M156" s="2" t="b">
        <v>0</v>
      </c>
      <c r="N156" s="2" t="b">
        <v>0</v>
      </c>
      <c r="O156" s="2">
        <v>6</v>
      </c>
      <c r="P156" s="2">
        <v>0.8</v>
      </c>
      <c r="Q156" s="2" t="s">
        <v>304</v>
      </c>
      <c r="R156" s="2" t="s">
        <v>171</v>
      </c>
      <c r="S156" s="2">
        <v>12</v>
      </c>
      <c r="T156" s="2">
        <v>18</v>
      </c>
      <c r="U156" s="2" t="b">
        <v>0</v>
      </c>
      <c r="V156" s="2">
        <v>8</v>
      </c>
      <c r="W156" s="2">
        <v>3</v>
      </c>
      <c r="X156" s="2">
        <v>13</v>
      </c>
      <c r="Y156" s="2">
        <v>30.286458333333329</v>
      </c>
    </row>
    <row r="157" spans="1:25" hidden="1">
      <c r="A157" s="2" t="s">
        <v>347</v>
      </c>
      <c r="B157" s="2" t="s">
        <v>142</v>
      </c>
      <c r="C157" s="2" t="s">
        <v>166</v>
      </c>
      <c r="D157" s="3">
        <v>45510.763888888891</v>
      </c>
      <c r="E157" s="3">
        <v>45510.784722222219</v>
      </c>
      <c r="F157" s="2">
        <v>30</v>
      </c>
      <c r="G157" s="2" t="s">
        <v>151</v>
      </c>
      <c r="H157" s="2" t="s">
        <v>144</v>
      </c>
      <c r="I157" s="2">
        <v>3</v>
      </c>
      <c r="J157" s="2">
        <v>6.5</v>
      </c>
      <c r="K157" s="2" t="s">
        <v>143</v>
      </c>
      <c r="L157" s="2" t="s">
        <v>342</v>
      </c>
      <c r="M157" s="2" t="b">
        <v>1</v>
      </c>
      <c r="N157" s="2" t="b">
        <v>0</v>
      </c>
      <c r="O157" s="2">
        <v>4.615384615384615</v>
      </c>
      <c r="P157" s="2">
        <v>0.46153846153846162</v>
      </c>
      <c r="Q157" s="2" t="s">
        <v>304</v>
      </c>
      <c r="R157" s="2" t="s">
        <v>171</v>
      </c>
      <c r="S157" s="2">
        <v>15.6</v>
      </c>
      <c r="T157" s="2">
        <v>14.4</v>
      </c>
      <c r="U157" s="2" t="b">
        <v>0</v>
      </c>
      <c r="V157" s="2">
        <v>9</v>
      </c>
      <c r="W157" s="2">
        <v>2</v>
      </c>
      <c r="X157" s="2">
        <v>18</v>
      </c>
      <c r="Y157" s="2">
        <v>30.259433962264151</v>
      </c>
    </row>
    <row r="158" spans="1:25" hidden="1">
      <c r="A158" s="2" t="s">
        <v>348</v>
      </c>
      <c r="B158" s="2" t="s">
        <v>149</v>
      </c>
      <c r="C158" s="2" t="s">
        <v>192</v>
      </c>
      <c r="D158" s="3">
        <v>45511.840277777781</v>
      </c>
      <c r="E158" s="3">
        <v>45511.864583333343</v>
      </c>
      <c r="F158" s="2">
        <v>35</v>
      </c>
      <c r="G158" s="2" t="s">
        <v>159</v>
      </c>
      <c r="H158" s="2" t="s">
        <v>160</v>
      </c>
      <c r="I158" s="2">
        <v>2</v>
      </c>
      <c r="J158" s="2">
        <v>4</v>
      </c>
      <c r="K158" s="2" t="s">
        <v>153</v>
      </c>
      <c r="L158" s="2" t="s">
        <v>145</v>
      </c>
      <c r="M158" s="2" t="b">
        <v>1</v>
      </c>
      <c r="N158" s="2" t="b">
        <v>0</v>
      </c>
      <c r="O158" s="2">
        <v>8.75</v>
      </c>
      <c r="P158" s="2">
        <v>0.5</v>
      </c>
      <c r="Q158" s="2" t="s">
        <v>304</v>
      </c>
      <c r="R158" s="2" t="s">
        <v>147</v>
      </c>
      <c r="S158" s="2">
        <v>9.6</v>
      </c>
      <c r="T158" s="2">
        <v>25.4</v>
      </c>
      <c r="U158" s="2" t="b">
        <v>1</v>
      </c>
      <c r="V158" s="2">
        <v>2</v>
      </c>
      <c r="W158" s="2">
        <v>3</v>
      </c>
      <c r="X158" s="2">
        <v>20</v>
      </c>
      <c r="Y158" s="2">
        <v>28.186274509803919</v>
      </c>
    </row>
    <row r="159" spans="1:25" hidden="1">
      <c r="A159" s="2" t="s">
        <v>349</v>
      </c>
      <c r="B159" s="2" t="s">
        <v>157</v>
      </c>
      <c r="C159" s="2" t="s">
        <v>194</v>
      </c>
      <c r="D159" s="3">
        <v>45512.75</v>
      </c>
      <c r="E159" s="3">
        <v>45512.767361111109</v>
      </c>
      <c r="F159" s="2">
        <v>25</v>
      </c>
      <c r="G159" s="2" t="s">
        <v>143</v>
      </c>
      <c r="H159" s="2" t="s">
        <v>152</v>
      </c>
      <c r="I159" s="2">
        <v>3</v>
      </c>
      <c r="J159" s="2">
        <v>3.5</v>
      </c>
      <c r="K159" s="2" t="s">
        <v>161</v>
      </c>
      <c r="L159" s="2" t="s">
        <v>162</v>
      </c>
      <c r="M159" s="2" t="b">
        <v>1</v>
      </c>
      <c r="N159" s="2" t="b">
        <v>0</v>
      </c>
      <c r="O159" s="2">
        <v>7.1428571428571432</v>
      </c>
      <c r="P159" s="2">
        <v>0.8571428571428571</v>
      </c>
      <c r="Q159" s="2" t="s">
        <v>304</v>
      </c>
      <c r="R159" s="2" t="s">
        <v>147</v>
      </c>
      <c r="S159" s="2">
        <v>8.4</v>
      </c>
      <c r="T159" s="2">
        <v>16.600000000000001</v>
      </c>
      <c r="U159" s="2" t="b">
        <v>0</v>
      </c>
      <c r="V159" s="2">
        <v>6</v>
      </c>
      <c r="W159" s="2">
        <v>1</v>
      </c>
      <c r="X159" s="2">
        <v>18</v>
      </c>
      <c r="Y159" s="2">
        <v>28.844221105527641</v>
      </c>
    </row>
    <row r="160" spans="1:25" hidden="1">
      <c r="A160" s="2" t="s">
        <v>350</v>
      </c>
      <c r="B160" s="2" t="s">
        <v>165</v>
      </c>
      <c r="C160" s="2" t="s">
        <v>174</v>
      </c>
      <c r="D160" s="3">
        <v>45513.8125</v>
      </c>
      <c r="E160" s="3">
        <v>45513.833333333343</v>
      </c>
      <c r="F160" s="2">
        <v>30</v>
      </c>
      <c r="G160" s="2" t="s">
        <v>167</v>
      </c>
      <c r="H160" s="2" t="s">
        <v>168</v>
      </c>
      <c r="I160" s="2">
        <v>5</v>
      </c>
      <c r="J160" s="2">
        <v>6</v>
      </c>
      <c r="K160" s="2" t="s">
        <v>143</v>
      </c>
      <c r="L160" s="2" t="s">
        <v>154</v>
      </c>
      <c r="M160" s="2" t="b">
        <v>1</v>
      </c>
      <c r="N160" s="2" t="b">
        <v>0</v>
      </c>
      <c r="O160" s="2">
        <v>5</v>
      </c>
      <c r="P160" s="2">
        <v>0.83333333333333337</v>
      </c>
      <c r="Q160" s="2" t="s">
        <v>304</v>
      </c>
      <c r="R160" s="2" t="s">
        <v>147</v>
      </c>
      <c r="S160" s="2">
        <v>14.4</v>
      </c>
      <c r="T160" s="2">
        <v>15.6</v>
      </c>
      <c r="U160" s="2" t="b">
        <v>0</v>
      </c>
      <c r="V160" s="2">
        <v>20</v>
      </c>
      <c r="W160" s="2">
        <v>2</v>
      </c>
      <c r="X160" s="2">
        <v>19</v>
      </c>
      <c r="Y160" s="2">
        <v>29.948453608247419</v>
      </c>
    </row>
    <row r="161" spans="1:25" hidden="1">
      <c r="A161" s="2" t="s">
        <v>351</v>
      </c>
      <c r="B161" s="2" t="s">
        <v>173</v>
      </c>
      <c r="C161" s="2" t="s">
        <v>190</v>
      </c>
      <c r="D161" s="3">
        <v>45514.53125</v>
      </c>
      <c r="E161" s="3">
        <v>45514.552083333343</v>
      </c>
      <c r="F161" s="2">
        <v>30</v>
      </c>
      <c r="G161" s="2" t="s">
        <v>143</v>
      </c>
      <c r="H161" s="2" t="s">
        <v>152</v>
      </c>
      <c r="I161" s="2">
        <v>4</v>
      </c>
      <c r="J161" s="2">
        <v>5.5</v>
      </c>
      <c r="K161" s="2" t="s">
        <v>153</v>
      </c>
      <c r="L161" s="2" t="s">
        <v>169</v>
      </c>
      <c r="M161" s="2" t="b">
        <v>0</v>
      </c>
      <c r="N161" s="2" t="b">
        <v>1</v>
      </c>
      <c r="O161" s="2">
        <v>5.4545454545454541</v>
      </c>
      <c r="P161" s="2">
        <v>0.72727272727272729</v>
      </c>
      <c r="Q161" s="2" t="s">
        <v>304</v>
      </c>
      <c r="R161" s="2" t="s">
        <v>171</v>
      </c>
      <c r="S161" s="2">
        <v>13.2</v>
      </c>
      <c r="T161" s="2">
        <v>16.8</v>
      </c>
      <c r="U161" s="2" t="b">
        <v>0</v>
      </c>
      <c r="V161" s="2">
        <v>8</v>
      </c>
      <c r="W161" s="2">
        <v>3</v>
      </c>
      <c r="X161" s="2">
        <v>12</v>
      </c>
      <c r="Y161" s="2">
        <v>30.286458333333329</v>
      </c>
    </row>
    <row r="162" spans="1:25" hidden="1">
      <c r="A162" s="2" t="s">
        <v>352</v>
      </c>
      <c r="B162" s="2" t="s">
        <v>142</v>
      </c>
      <c r="C162" s="2" t="s">
        <v>192</v>
      </c>
      <c r="D162" s="3">
        <v>45515.760416666657</v>
      </c>
      <c r="E162" s="3">
        <v>45515.78125</v>
      </c>
      <c r="F162" s="2">
        <v>30</v>
      </c>
      <c r="G162" s="2" t="s">
        <v>151</v>
      </c>
      <c r="H162" s="2" t="s">
        <v>144</v>
      </c>
      <c r="I162" s="2">
        <v>3</v>
      </c>
      <c r="J162" s="2">
        <v>6</v>
      </c>
      <c r="K162" s="2" t="s">
        <v>143</v>
      </c>
      <c r="L162" s="2" t="s">
        <v>342</v>
      </c>
      <c r="M162" s="2" t="b">
        <v>1</v>
      </c>
      <c r="N162" s="2" t="b">
        <v>1</v>
      </c>
      <c r="O162" s="2">
        <v>5</v>
      </c>
      <c r="P162" s="2">
        <v>0.5</v>
      </c>
      <c r="Q162" s="2" t="s">
        <v>304</v>
      </c>
      <c r="R162" s="2" t="s">
        <v>171</v>
      </c>
      <c r="S162" s="2">
        <v>14.4</v>
      </c>
      <c r="T162" s="2">
        <v>15.6</v>
      </c>
      <c r="U162" s="2" t="b">
        <v>0</v>
      </c>
      <c r="V162" s="2">
        <v>9</v>
      </c>
      <c r="W162" s="2">
        <v>2</v>
      </c>
      <c r="X162" s="2">
        <v>18</v>
      </c>
      <c r="Y162" s="2">
        <v>30.259433962264151</v>
      </c>
    </row>
    <row r="163" spans="1:25" hidden="1">
      <c r="A163" s="2" t="s">
        <v>353</v>
      </c>
      <c r="B163" s="2" t="s">
        <v>149</v>
      </c>
      <c r="C163" s="2" t="s">
        <v>194</v>
      </c>
      <c r="D163" s="3">
        <v>45516.833333333343</v>
      </c>
      <c r="E163" s="3">
        <v>45516.854166666657</v>
      </c>
      <c r="F163" s="2">
        <v>30</v>
      </c>
      <c r="G163" s="2" t="s">
        <v>159</v>
      </c>
      <c r="H163" s="2" t="s">
        <v>160</v>
      </c>
      <c r="I163" s="2">
        <v>2</v>
      </c>
      <c r="J163" s="2">
        <v>4.5</v>
      </c>
      <c r="K163" s="2" t="s">
        <v>161</v>
      </c>
      <c r="L163" s="2" t="s">
        <v>145</v>
      </c>
      <c r="M163" s="2" t="b">
        <v>1</v>
      </c>
      <c r="N163" s="2" t="b">
        <v>0</v>
      </c>
      <c r="O163" s="2">
        <v>6.666666666666667</v>
      </c>
      <c r="P163" s="2">
        <v>0.44444444444444442</v>
      </c>
      <c r="Q163" s="2" t="s">
        <v>304</v>
      </c>
      <c r="R163" s="2" t="s">
        <v>147</v>
      </c>
      <c r="S163" s="2">
        <v>10.8</v>
      </c>
      <c r="T163" s="2">
        <v>19.2</v>
      </c>
      <c r="U163" s="2" t="b">
        <v>0</v>
      </c>
      <c r="V163" s="2">
        <v>2</v>
      </c>
      <c r="W163" s="2">
        <v>1</v>
      </c>
      <c r="X163" s="2">
        <v>20</v>
      </c>
      <c r="Y163" s="2">
        <v>28.186274509803919</v>
      </c>
    </row>
    <row r="164" spans="1:25" hidden="1">
      <c r="A164" s="2" t="s">
        <v>354</v>
      </c>
      <c r="B164" s="2" t="s">
        <v>157</v>
      </c>
      <c r="C164" s="2" t="s">
        <v>174</v>
      </c>
      <c r="D164" s="3">
        <v>45517.756944444453</v>
      </c>
      <c r="E164" s="3">
        <v>45517.774305555547</v>
      </c>
      <c r="F164" s="2">
        <v>25</v>
      </c>
      <c r="G164" s="2" t="s">
        <v>143</v>
      </c>
      <c r="H164" s="2" t="s">
        <v>152</v>
      </c>
      <c r="I164" s="2">
        <v>3</v>
      </c>
      <c r="J164" s="2">
        <v>3</v>
      </c>
      <c r="K164" s="2" t="s">
        <v>153</v>
      </c>
      <c r="L164" s="2" t="s">
        <v>162</v>
      </c>
      <c r="M164" s="2" t="b">
        <v>1</v>
      </c>
      <c r="N164" s="2" t="b">
        <v>0</v>
      </c>
      <c r="O164" s="2">
        <v>8.3333333333333339</v>
      </c>
      <c r="P164" s="2">
        <v>1</v>
      </c>
      <c r="Q164" s="2" t="s">
        <v>304</v>
      </c>
      <c r="R164" s="2" t="s">
        <v>147</v>
      </c>
      <c r="S164" s="2">
        <v>7.1999999999999993</v>
      </c>
      <c r="T164" s="2">
        <v>17.8</v>
      </c>
      <c r="U164" s="2" t="b">
        <v>0</v>
      </c>
      <c r="V164" s="2">
        <v>6</v>
      </c>
      <c r="W164" s="2">
        <v>3</v>
      </c>
      <c r="X164" s="2">
        <v>18</v>
      </c>
      <c r="Y164" s="2">
        <v>28.844221105527641</v>
      </c>
    </row>
    <row r="165" spans="1:25" hidden="1">
      <c r="A165" s="2" t="s">
        <v>355</v>
      </c>
      <c r="B165" s="2" t="s">
        <v>165</v>
      </c>
      <c r="C165" s="2" t="s">
        <v>150</v>
      </c>
      <c r="D165" s="3">
        <v>45518.805555555547</v>
      </c>
      <c r="E165" s="3">
        <v>45518.826388888891</v>
      </c>
      <c r="F165" s="2">
        <v>30</v>
      </c>
      <c r="G165" s="2" t="s">
        <v>167</v>
      </c>
      <c r="H165" s="2" t="s">
        <v>168</v>
      </c>
      <c r="I165" s="2">
        <v>5</v>
      </c>
      <c r="J165" s="2">
        <v>6.5</v>
      </c>
      <c r="K165" s="2" t="s">
        <v>143</v>
      </c>
      <c r="L165" s="2" t="s">
        <v>154</v>
      </c>
      <c r="M165" s="2" t="b">
        <v>1</v>
      </c>
      <c r="N165" s="2" t="b">
        <v>0</v>
      </c>
      <c r="O165" s="2">
        <v>4.615384615384615</v>
      </c>
      <c r="P165" s="2">
        <v>0.76923076923076927</v>
      </c>
      <c r="Q165" s="2" t="s">
        <v>304</v>
      </c>
      <c r="R165" s="2" t="s">
        <v>147</v>
      </c>
      <c r="S165" s="2">
        <v>15.6</v>
      </c>
      <c r="T165" s="2">
        <v>14.4</v>
      </c>
      <c r="U165" s="2" t="b">
        <v>0</v>
      </c>
      <c r="V165" s="2">
        <v>20</v>
      </c>
      <c r="W165" s="2">
        <v>2</v>
      </c>
      <c r="X165" s="2">
        <v>19</v>
      </c>
      <c r="Y165" s="2">
        <v>29.948453608247419</v>
      </c>
    </row>
    <row r="166" spans="1:25" hidden="1">
      <c r="A166" s="2" t="s">
        <v>356</v>
      </c>
      <c r="B166" s="2" t="s">
        <v>173</v>
      </c>
      <c r="C166" s="2" t="s">
        <v>158</v>
      </c>
      <c r="D166" s="3">
        <v>45519.552083333343</v>
      </c>
      <c r="E166" s="3">
        <v>45519.572916666657</v>
      </c>
      <c r="F166" s="2">
        <v>30</v>
      </c>
      <c r="G166" s="2" t="s">
        <v>143</v>
      </c>
      <c r="H166" s="2" t="s">
        <v>152</v>
      </c>
      <c r="I166" s="2">
        <v>4</v>
      </c>
      <c r="J166" s="2">
        <v>5</v>
      </c>
      <c r="K166" s="2" t="s">
        <v>153</v>
      </c>
      <c r="L166" s="2" t="s">
        <v>169</v>
      </c>
      <c r="M166" s="2" t="b">
        <v>0</v>
      </c>
      <c r="N166" s="2" t="b">
        <v>0</v>
      </c>
      <c r="O166" s="2">
        <v>6</v>
      </c>
      <c r="P166" s="2">
        <v>0.8</v>
      </c>
      <c r="Q166" s="2" t="s">
        <v>304</v>
      </c>
      <c r="R166" s="2" t="s">
        <v>171</v>
      </c>
      <c r="S166" s="2">
        <v>12</v>
      </c>
      <c r="T166" s="2">
        <v>18</v>
      </c>
      <c r="U166" s="2" t="b">
        <v>0</v>
      </c>
      <c r="V166" s="2">
        <v>8</v>
      </c>
      <c r="W166" s="2">
        <v>3</v>
      </c>
      <c r="X166" s="2">
        <v>13</v>
      </c>
      <c r="Y166" s="2">
        <v>30.286458333333329</v>
      </c>
    </row>
    <row r="167" spans="1:25" hidden="1">
      <c r="A167" s="2" t="s">
        <v>357</v>
      </c>
      <c r="B167" s="2" t="s">
        <v>142</v>
      </c>
      <c r="C167" s="2" t="s">
        <v>166</v>
      </c>
      <c r="D167" s="3">
        <v>45520.767361111109</v>
      </c>
      <c r="E167" s="3">
        <v>45520.788194444453</v>
      </c>
      <c r="F167" s="2">
        <v>30</v>
      </c>
      <c r="G167" s="2" t="s">
        <v>151</v>
      </c>
      <c r="H167" s="2" t="s">
        <v>144</v>
      </c>
      <c r="I167" s="2">
        <v>3</v>
      </c>
      <c r="J167" s="2">
        <v>6</v>
      </c>
      <c r="K167" s="2" t="s">
        <v>143</v>
      </c>
      <c r="L167" s="2" t="s">
        <v>342</v>
      </c>
      <c r="M167" s="2" t="b">
        <v>1</v>
      </c>
      <c r="N167" s="2" t="b">
        <v>0</v>
      </c>
      <c r="O167" s="2">
        <v>5</v>
      </c>
      <c r="P167" s="2">
        <v>0.5</v>
      </c>
      <c r="Q167" s="2" t="s">
        <v>304</v>
      </c>
      <c r="R167" s="2" t="s">
        <v>171</v>
      </c>
      <c r="S167" s="2">
        <v>14.4</v>
      </c>
      <c r="T167" s="2">
        <v>15.6</v>
      </c>
      <c r="U167" s="2" t="b">
        <v>0</v>
      </c>
      <c r="V167" s="2">
        <v>9</v>
      </c>
      <c r="W167" s="2">
        <v>2</v>
      </c>
      <c r="X167" s="2">
        <v>18</v>
      </c>
      <c r="Y167" s="2">
        <v>30.259433962264151</v>
      </c>
    </row>
    <row r="168" spans="1:25" hidden="1">
      <c r="A168" s="2" t="s">
        <v>358</v>
      </c>
      <c r="B168" s="2" t="s">
        <v>149</v>
      </c>
      <c r="C168" s="2" t="s">
        <v>192</v>
      </c>
      <c r="D168" s="3">
        <v>45521.836805555547</v>
      </c>
      <c r="E168" s="3">
        <v>45521.857638888891</v>
      </c>
      <c r="F168" s="2">
        <v>30</v>
      </c>
      <c r="G168" s="2" t="s">
        <v>159</v>
      </c>
      <c r="H168" s="2" t="s">
        <v>160</v>
      </c>
      <c r="I168" s="2">
        <v>2</v>
      </c>
      <c r="J168" s="2">
        <v>4</v>
      </c>
      <c r="K168" s="2" t="s">
        <v>161</v>
      </c>
      <c r="L168" s="2" t="s">
        <v>145</v>
      </c>
      <c r="M168" s="2" t="b">
        <v>1</v>
      </c>
      <c r="N168" s="2" t="b">
        <v>1</v>
      </c>
      <c r="O168" s="2">
        <v>7.5</v>
      </c>
      <c r="P168" s="2">
        <v>0.5</v>
      </c>
      <c r="Q168" s="2" t="s">
        <v>304</v>
      </c>
      <c r="R168" s="2" t="s">
        <v>147</v>
      </c>
      <c r="S168" s="2">
        <v>9.6</v>
      </c>
      <c r="T168" s="2">
        <v>20.399999999999999</v>
      </c>
      <c r="U168" s="2" t="b">
        <v>0</v>
      </c>
      <c r="V168" s="2">
        <v>2</v>
      </c>
      <c r="W168" s="2">
        <v>1</v>
      </c>
      <c r="X168" s="2">
        <v>20</v>
      </c>
      <c r="Y168" s="2">
        <v>28.186274509803919</v>
      </c>
    </row>
    <row r="169" spans="1:25" hidden="1">
      <c r="A169" s="2" t="s">
        <v>359</v>
      </c>
      <c r="B169" s="2" t="s">
        <v>157</v>
      </c>
      <c r="C169" s="2" t="s">
        <v>194</v>
      </c>
      <c r="D169" s="3">
        <v>45522.75</v>
      </c>
      <c r="E169" s="3">
        <v>45522.767361111109</v>
      </c>
      <c r="F169" s="2">
        <v>25</v>
      </c>
      <c r="G169" s="2" t="s">
        <v>143</v>
      </c>
      <c r="H169" s="2" t="s">
        <v>152</v>
      </c>
      <c r="I169" s="2">
        <v>3</v>
      </c>
      <c r="J169" s="2">
        <v>3.5</v>
      </c>
      <c r="K169" s="2" t="s">
        <v>153</v>
      </c>
      <c r="L169" s="2" t="s">
        <v>162</v>
      </c>
      <c r="M169" s="2" t="b">
        <v>1</v>
      </c>
      <c r="N169" s="2" t="b">
        <v>1</v>
      </c>
      <c r="O169" s="2">
        <v>7.1428571428571432</v>
      </c>
      <c r="P169" s="2">
        <v>0.8571428571428571</v>
      </c>
      <c r="Q169" s="2" t="s">
        <v>304</v>
      </c>
      <c r="R169" s="2" t="s">
        <v>147</v>
      </c>
      <c r="S169" s="2">
        <v>8.4</v>
      </c>
      <c r="T169" s="2">
        <v>16.600000000000001</v>
      </c>
      <c r="U169" s="2" t="b">
        <v>0</v>
      </c>
      <c r="V169" s="2">
        <v>6</v>
      </c>
      <c r="W169" s="2">
        <v>3</v>
      </c>
      <c r="X169" s="2">
        <v>18</v>
      </c>
      <c r="Y169" s="2">
        <v>28.844221105527641</v>
      </c>
    </row>
    <row r="170" spans="1:25" hidden="1">
      <c r="A170" s="2" t="s">
        <v>360</v>
      </c>
      <c r="B170" s="2" t="s">
        <v>165</v>
      </c>
      <c r="C170" s="2" t="s">
        <v>174</v>
      </c>
      <c r="D170" s="3">
        <v>45523.8125</v>
      </c>
      <c r="E170" s="3">
        <v>45523.833333333343</v>
      </c>
      <c r="F170" s="2">
        <v>30</v>
      </c>
      <c r="G170" s="2" t="s">
        <v>167</v>
      </c>
      <c r="H170" s="2" t="s">
        <v>168</v>
      </c>
      <c r="I170" s="2">
        <v>5</v>
      </c>
      <c r="J170" s="2">
        <v>6</v>
      </c>
      <c r="K170" s="2" t="s">
        <v>143</v>
      </c>
      <c r="L170" s="2" t="s">
        <v>154</v>
      </c>
      <c r="M170" s="2" t="b">
        <v>1</v>
      </c>
      <c r="N170" s="2" t="b">
        <v>0</v>
      </c>
      <c r="O170" s="2">
        <v>5</v>
      </c>
      <c r="P170" s="2">
        <v>0.83333333333333337</v>
      </c>
      <c r="Q170" s="2" t="s">
        <v>304</v>
      </c>
      <c r="R170" s="2" t="s">
        <v>147</v>
      </c>
      <c r="S170" s="2">
        <v>14.4</v>
      </c>
      <c r="T170" s="2">
        <v>15.6</v>
      </c>
      <c r="U170" s="2" t="b">
        <v>0</v>
      </c>
      <c r="V170" s="2">
        <v>20</v>
      </c>
      <c r="W170" s="2">
        <v>2</v>
      </c>
      <c r="X170" s="2">
        <v>19</v>
      </c>
      <c r="Y170" s="2">
        <v>29.948453608247419</v>
      </c>
    </row>
    <row r="171" spans="1:25" hidden="1">
      <c r="A171" s="2" t="s">
        <v>361</v>
      </c>
      <c r="B171" s="2" t="s">
        <v>173</v>
      </c>
      <c r="C171" s="2" t="s">
        <v>190</v>
      </c>
      <c r="D171" s="3">
        <v>45524.541666666657</v>
      </c>
      <c r="E171" s="3">
        <v>45524.5625</v>
      </c>
      <c r="F171" s="2">
        <v>30</v>
      </c>
      <c r="G171" s="2" t="s">
        <v>143</v>
      </c>
      <c r="H171" s="2" t="s">
        <v>152</v>
      </c>
      <c r="I171" s="2">
        <v>4</v>
      </c>
      <c r="J171" s="2">
        <v>5.5</v>
      </c>
      <c r="K171" s="2" t="s">
        <v>161</v>
      </c>
      <c r="L171" s="2" t="s">
        <v>169</v>
      </c>
      <c r="M171" s="2" t="b">
        <v>0</v>
      </c>
      <c r="N171" s="2" t="b">
        <v>0</v>
      </c>
      <c r="O171" s="2">
        <v>5.4545454545454541</v>
      </c>
      <c r="P171" s="2">
        <v>0.72727272727272729</v>
      </c>
      <c r="Q171" s="2" t="s">
        <v>304</v>
      </c>
      <c r="R171" s="2" t="s">
        <v>171</v>
      </c>
      <c r="S171" s="2">
        <v>13.2</v>
      </c>
      <c r="T171" s="2">
        <v>16.8</v>
      </c>
      <c r="U171" s="2" t="b">
        <v>0</v>
      </c>
      <c r="V171" s="2">
        <v>8</v>
      </c>
      <c r="W171" s="2">
        <v>1</v>
      </c>
      <c r="X171" s="2">
        <v>13</v>
      </c>
      <c r="Y171" s="2">
        <v>30.286458333333329</v>
      </c>
    </row>
    <row r="172" spans="1:25" hidden="1">
      <c r="A172" s="2" t="s">
        <v>362</v>
      </c>
      <c r="B172" s="2" t="s">
        <v>142</v>
      </c>
      <c r="C172" s="2" t="s">
        <v>192</v>
      </c>
      <c r="D172" s="3">
        <v>45525.760416666657</v>
      </c>
      <c r="E172" s="3">
        <v>45525.78125</v>
      </c>
      <c r="F172" s="2">
        <v>30</v>
      </c>
      <c r="G172" s="2" t="s">
        <v>151</v>
      </c>
      <c r="H172" s="2" t="s">
        <v>144</v>
      </c>
      <c r="I172" s="2">
        <v>3</v>
      </c>
      <c r="J172" s="2">
        <v>6</v>
      </c>
      <c r="K172" s="2" t="s">
        <v>153</v>
      </c>
      <c r="L172" s="2" t="s">
        <v>342</v>
      </c>
      <c r="M172" s="2" t="b">
        <v>1</v>
      </c>
      <c r="N172" s="2" t="b">
        <v>0</v>
      </c>
      <c r="O172" s="2">
        <v>5</v>
      </c>
      <c r="P172" s="2">
        <v>0.5</v>
      </c>
      <c r="Q172" s="2" t="s">
        <v>304</v>
      </c>
      <c r="R172" s="2" t="s">
        <v>171</v>
      </c>
      <c r="S172" s="2">
        <v>14.4</v>
      </c>
      <c r="T172" s="2">
        <v>15.6</v>
      </c>
      <c r="U172" s="2" t="b">
        <v>0</v>
      </c>
      <c r="V172" s="2">
        <v>9</v>
      </c>
      <c r="W172" s="2">
        <v>3</v>
      </c>
      <c r="X172" s="2">
        <v>18</v>
      </c>
      <c r="Y172" s="2">
        <v>30.259433962264151</v>
      </c>
    </row>
    <row r="173" spans="1:25" hidden="1">
      <c r="A173" s="2" t="s">
        <v>363</v>
      </c>
      <c r="B173" s="2" t="s">
        <v>149</v>
      </c>
      <c r="C173" s="2" t="s">
        <v>194</v>
      </c>
      <c r="D173" s="3">
        <v>45526.833333333343</v>
      </c>
      <c r="E173" s="3">
        <v>45526.854166666657</v>
      </c>
      <c r="F173" s="2">
        <v>30</v>
      </c>
      <c r="G173" s="2" t="s">
        <v>159</v>
      </c>
      <c r="H173" s="2" t="s">
        <v>160</v>
      </c>
      <c r="I173" s="2">
        <v>2</v>
      </c>
      <c r="J173" s="2">
        <v>4.5</v>
      </c>
      <c r="K173" s="2" t="s">
        <v>143</v>
      </c>
      <c r="L173" s="2" t="s">
        <v>145</v>
      </c>
      <c r="M173" s="2" t="b">
        <v>1</v>
      </c>
      <c r="N173" s="2" t="b">
        <v>0</v>
      </c>
      <c r="O173" s="2">
        <v>6.666666666666667</v>
      </c>
      <c r="P173" s="2">
        <v>0.44444444444444442</v>
      </c>
      <c r="Q173" s="2" t="s">
        <v>304</v>
      </c>
      <c r="R173" s="2" t="s">
        <v>147</v>
      </c>
      <c r="S173" s="2">
        <v>10.8</v>
      </c>
      <c r="T173" s="2">
        <v>19.2</v>
      </c>
      <c r="U173" s="2" t="b">
        <v>0</v>
      </c>
      <c r="V173" s="2">
        <v>2</v>
      </c>
      <c r="W173" s="2">
        <v>2</v>
      </c>
      <c r="X173" s="2">
        <v>20</v>
      </c>
      <c r="Y173" s="2">
        <v>28.186274509803919</v>
      </c>
    </row>
    <row r="174" spans="1:25" hidden="1">
      <c r="A174" s="2" t="s">
        <v>364</v>
      </c>
      <c r="B174" s="2" t="s">
        <v>157</v>
      </c>
      <c r="C174" s="2" t="s">
        <v>174</v>
      </c>
      <c r="D174" s="3">
        <v>45527.756944444453</v>
      </c>
      <c r="E174" s="3">
        <v>45527.774305555547</v>
      </c>
      <c r="F174" s="2">
        <v>25</v>
      </c>
      <c r="G174" s="2" t="s">
        <v>143</v>
      </c>
      <c r="H174" s="2" t="s">
        <v>152</v>
      </c>
      <c r="I174" s="2">
        <v>3</v>
      </c>
      <c r="J174" s="2">
        <v>3</v>
      </c>
      <c r="K174" s="2" t="s">
        <v>161</v>
      </c>
      <c r="L174" s="2" t="s">
        <v>162</v>
      </c>
      <c r="M174" s="2" t="b">
        <v>1</v>
      </c>
      <c r="N174" s="2" t="b">
        <v>0</v>
      </c>
      <c r="O174" s="2">
        <v>8.3333333333333339</v>
      </c>
      <c r="P174" s="2">
        <v>1</v>
      </c>
      <c r="Q174" s="2" t="s">
        <v>304</v>
      </c>
      <c r="R174" s="2" t="s">
        <v>147</v>
      </c>
      <c r="S174" s="2">
        <v>7.1999999999999993</v>
      </c>
      <c r="T174" s="2">
        <v>17.8</v>
      </c>
      <c r="U174" s="2" t="b">
        <v>0</v>
      </c>
      <c r="V174" s="2">
        <v>6</v>
      </c>
      <c r="W174" s="2">
        <v>1</v>
      </c>
      <c r="X174" s="2">
        <v>18</v>
      </c>
      <c r="Y174" s="2">
        <v>28.844221105527641</v>
      </c>
    </row>
    <row r="175" spans="1:25" hidden="1">
      <c r="A175" s="2" t="s">
        <v>365</v>
      </c>
      <c r="B175" s="2" t="s">
        <v>165</v>
      </c>
      <c r="C175" s="2" t="s">
        <v>150</v>
      </c>
      <c r="D175" s="3">
        <v>45528.805555555547</v>
      </c>
      <c r="E175" s="3">
        <v>45528.826388888891</v>
      </c>
      <c r="F175" s="2">
        <v>30</v>
      </c>
      <c r="G175" s="2" t="s">
        <v>167</v>
      </c>
      <c r="H175" s="2" t="s">
        <v>168</v>
      </c>
      <c r="I175" s="2">
        <v>5</v>
      </c>
      <c r="J175" s="2">
        <v>6.5</v>
      </c>
      <c r="K175" s="2" t="s">
        <v>153</v>
      </c>
      <c r="L175" s="2" t="s">
        <v>154</v>
      </c>
      <c r="M175" s="2" t="b">
        <v>1</v>
      </c>
      <c r="N175" s="2" t="b">
        <v>1</v>
      </c>
      <c r="O175" s="2">
        <v>4.615384615384615</v>
      </c>
      <c r="P175" s="2">
        <v>0.76923076923076927</v>
      </c>
      <c r="Q175" s="2" t="s">
        <v>304</v>
      </c>
      <c r="R175" s="2" t="s">
        <v>147</v>
      </c>
      <c r="S175" s="2">
        <v>15.6</v>
      </c>
      <c r="T175" s="2">
        <v>14.4</v>
      </c>
      <c r="U175" s="2" t="b">
        <v>0</v>
      </c>
      <c r="V175" s="2">
        <v>20</v>
      </c>
      <c r="W175" s="2">
        <v>3</v>
      </c>
      <c r="X175" s="2">
        <v>19</v>
      </c>
      <c r="Y175" s="2">
        <v>29.948453608247419</v>
      </c>
    </row>
    <row r="176" spans="1:25" hidden="1">
      <c r="A176" s="2" t="s">
        <v>366</v>
      </c>
      <c r="B176" s="2" t="s">
        <v>173</v>
      </c>
      <c r="C176" s="2" t="s">
        <v>188</v>
      </c>
      <c r="D176" s="3">
        <v>45463.541666666657</v>
      </c>
      <c r="E176" s="3">
        <v>45463.555555555547</v>
      </c>
      <c r="F176" s="2">
        <v>20</v>
      </c>
      <c r="G176" s="2" t="s">
        <v>143</v>
      </c>
      <c r="H176" s="2" t="s">
        <v>152</v>
      </c>
      <c r="I176" s="2">
        <v>3</v>
      </c>
      <c r="J176" s="2">
        <v>3</v>
      </c>
      <c r="K176" s="2" t="s">
        <v>143</v>
      </c>
      <c r="L176" s="2" t="s">
        <v>145</v>
      </c>
      <c r="M176" s="2" t="b">
        <v>0</v>
      </c>
      <c r="N176" s="2" t="b">
        <v>0</v>
      </c>
      <c r="O176" s="2">
        <v>6.666666666666667</v>
      </c>
      <c r="P176" s="2">
        <v>1</v>
      </c>
      <c r="Q176" s="2" t="s">
        <v>367</v>
      </c>
      <c r="R176" s="2" t="s">
        <v>147</v>
      </c>
      <c r="S176" s="2">
        <v>7.1999999999999993</v>
      </c>
      <c r="T176" s="2">
        <v>12.8</v>
      </c>
      <c r="U176" s="2" t="b">
        <v>0</v>
      </c>
      <c r="V176" s="2">
        <v>6</v>
      </c>
      <c r="W176" s="2">
        <v>2</v>
      </c>
      <c r="X176" s="2">
        <v>13</v>
      </c>
      <c r="Y176" s="2">
        <v>30.286458333333329</v>
      </c>
    </row>
    <row r="177" spans="1:25" hidden="1">
      <c r="A177" s="2" t="s">
        <v>368</v>
      </c>
      <c r="B177" s="2" t="s">
        <v>142</v>
      </c>
      <c r="C177" s="2" t="s">
        <v>192</v>
      </c>
      <c r="D177" s="3">
        <v>45464.770833333343</v>
      </c>
      <c r="E177" s="3">
        <v>45464.784722222219</v>
      </c>
      <c r="F177" s="2">
        <v>20</v>
      </c>
      <c r="G177" s="2" t="s">
        <v>151</v>
      </c>
      <c r="H177" s="2" t="s">
        <v>144</v>
      </c>
      <c r="I177" s="2">
        <v>4</v>
      </c>
      <c r="J177" s="2">
        <v>4.5</v>
      </c>
      <c r="K177" s="2" t="s">
        <v>161</v>
      </c>
      <c r="L177" s="2" t="s">
        <v>162</v>
      </c>
      <c r="M177" s="2" t="b">
        <v>1</v>
      </c>
      <c r="N177" s="2" t="b">
        <v>0</v>
      </c>
      <c r="O177" s="2">
        <v>4.4444444444444446</v>
      </c>
      <c r="P177" s="2">
        <v>0.88888888888888884</v>
      </c>
      <c r="Q177" s="2" t="s">
        <v>367</v>
      </c>
      <c r="R177" s="2" t="s">
        <v>147</v>
      </c>
      <c r="S177" s="2">
        <v>10.8</v>
      </c>
      <c r="T177" s="2">
        <v>9.2000000000000011</v>
      </c>
      <c r="U177" s="2" t="b">
        <v>0</v>
      </c>
      <c r="V177" s="2">
        <v>12</v>
      </c>
      <c r="W177" s="2">
        <v>1</v>
      </c>
      <c r="X177" s="2">
        <v>18</v>
      </c>
      <c r="Y177" s="2">
        <v>30.259433962264151</v>
      </c>
    </row>
    <row r="178" spans="1:25" hidden="1">
      <c r="A178" s="2" t="s">
        <v>369</v>
      </c>
      <c r="B178" s="2" t="s">
        <v>149</v>
      </c>
      <c r="C178" s="2" t="s">
        <v>194</v>
      </c>
      <c r="D178" s="3">
        <v>45465.84375</v>
      </c>
      <c r="E178" s="3">
        <v>45465.861111111109</v>
      </c>
      <c r="F178" s="2">
        <v>25</v>
      </c>
      <c r="G178" s="2" t="s">
        <v>159</v>
      </c>
      <c r="H178" s="2" t="s">
        <v>160</v>
      </c>
      <c r="I178" s="2">
        <v>2</v>
      </c>
      <c r="J178" s="2">
        <v>2</v>
      </c>
      <c r="K178" s="2" t="s">
        <v>153</v>
      </c>
      <c r="L178" s="2" t="s">
        <v>169</v>
      </c>
      <c r="M178" s="2" t="b">
        <v>1</v>
      </c>
      <c r="N178" s="2" t="b">
        <v>1</v>
      </c>
      <c r="O178" s="2">
        <v>12.5</v>
      </c>
      <c r="P178" s="2">
        <v>1</v>
      </c>
      <c r="Q178" s="2" t="s">
        <v>367</v>
      </c>
      <c r="R178" s="2" t="s">
        <v>171</v>
      </c>
      <c r="S178" s="2">
        <v>4.8</v>
      </c>
      <c r="T178" s="2">
        <v>20.2</v>
      </c>
      <c r="U178" s="2" t="b">
        <v>0</v>
      </c>
      <c r="V178" s="2">
        <v>2</v>
      </c>
      <c r="W178" s="2">
        <v>3</v>
      </c>
      <c r="X178" s="2">
        <v>20</v>
      </c>
      <c r="Y178" s="2">
        <v>28.186274509803919</v>
      </c>
    </row>
    <row r="179" spans="1:25" hidden="1">
      <c r="A179" s="2" t="s">
        <v>370</v>
      </c>
      <c r="B179" s="2" t="s">
        <v>157</v>
      </c>
      <c r="C179" s="2" t="s">
        <v>174</v>
      </c>
      <c r="D179" s="3">
        <v>45466.770833333343</v>
      </c>
      <c r="E179" s="3">
        <v>45466.784722222219</v>
      </c>
      <c r="F179" s="2">
        <v>20</v>
      </c>
      <c r="G179" s="2" t="s">
        <v>143</v>
      </c>
      <c r="H179" s="2" t="s">
        <v>152</v>
      </c>
      <c r="I179" s="2">
        <v>3</v>
      </c>
      <c r="J179" s="2">
        <v>3</v>
      </c>
      <c r="K179" s="2" t="s">
        <v>153</v>
      </c>
      <c r="L179" s="2" t="s">
        <v>162</v>
      </c>
      <c r="M179" s="2" t="b">
        <v>1</v>
      </c>
      <c r="N179" s="2" t="b">
        <v>1</v>
      </c>
      <c r="O179" s="2">
        <v>6.666666666666667</v>
      </c>
      <c r="P179" s="2">
        <v>1</v>
      </c>
      <c r="Q179" s="2" t="s">
        <v>367</v>
      </c>
      <c r="R179" s="2" t="s">
        <v>147</v>
      </c>
      <c r="S179" s="2">
        <v>7.1999999999999993</v>
      </c>
      <c r="T179" s="2">
        <v>12.8</v>
      </c>
      <c r="U179" s="2" t="b">
        <v>0</v>
      </c>
      <c r="V179" s="2">
        <v>6</v>
      </c>
      <c r="W179" s="2">
        <v>3</v>
      </c>
      <c r="X179" s="2">
        <v>18</v>
      </c>
      <c r="Y179" s="2">
        <v>28.844221105527641</v>
      </c>
    </row>
    <row r="180" spans="1:25" hidden="1">
      <c r="A180" s="2" t="s">
        <v>371</v>
      </c>
      <c r="B180" s="2" t="s">
        <v>165</v>
      </c>
      <c r="C180" s="2" t="s">
        <v>150</v>
      </c>
      <c r="D180" s="3">
        <v>45467.822916666657</v>
      </c>
      <c r="E180" s="3">
        <v>45467.840277777781</v>
      </c>
      <c r="F180" s="2">
        <v>25</v>
      </c>
      <c r="G180" s="2" t="s">
        <v>167</v>
      </c>
      <c r="H180" s="2" t="s">
        <v>168</v>
      </c>
      <c r="I180" s="2">
        <v>5</v>
      </c>
      <c r="J180" s="2">
        <v>4.5</v>
      </c>
      <c r="K180" s="2" t="s">
        <v>161</v>
      </c>
      <c r="L180" s="2" t="s">
        <v>169</v>
      </c>
      <c r="M180" s="2" t="b">
        <v>1</v>
      </c>
      <c r="N180" s="2" t="b">
        <v>0</v>
      </c>
      <c r="O180" s="2">
        <v>5.5555555555555554</v>
      </c>
      <c r="P180" s="2">
        <v>1.1111111111111109</v>
      </c>
      <c r="Q180" s="2" t="s">
        <v>367</v>
      </c>
      <c r="R180" s="2" t="s">
        <v>171</v>
      </c>
      <c r="S180" s="2">
        <v>10.8</v>
      </c>
      <c r="T180" s="2">
        <v>14.2</v>
      </c>
      <c r="U180" s="2" t="b">
        <v>0</v>
      </c>
      <c r="V180" s="2">
        <v>20</v>
      </c>
      <c r="W180" s="2">
        <v>1</v>
      </c>
      <c r="X180" s="2">
        <v>19</v>
      </c>
      <c r="Y180" s="2">
        <v>29.948453608247419</v>
      </c>
    </row>
    <row r="181" spans="1:25" hidden="1">
      <c r="A181" s="2" t="s">
        <v>372</v>
      </c>
      <c r="B181" s="2" t="s">
        <v>173</v>
      </c>
      <c r="C181" s="2" t="s">
        <v>158</v>
      </c>
      <c r="D181" s="3">
        <v>45468.541666666657</v>
      </c>
      <c r="E181" s="3">
        <v>45468.555555555547</v>
      </c>
      <c r="F181" s="2">
        <v>20</v>
      </c>
      <c r="G181" s="2" t="s">
        <v>143</v>
      </c>
      <c r="H181" s="2" t="s">
        <v>152</v>
      </c>
      <c r="I181" s="2">
        <v>3</v>
      </c>
      <c r="J181" s="2">
        <v>3.5</v>
      </c>
      <c r="K181" s="2" t="s">
        <v>143</v>
      </c>
      <c r="L181" s="2" t="s">
        <v>154</v>
      </c>
      <c r="M181" s="2" t="b">
        <v>0</v>
      </c>
      <c r="N181" s="2" t="b">
        <v>0</v>
      </c>
      <c r="O181" s="2">
        <v>5.7142857142857144</v>
      </c>
      <c r="P181" s="2">
        <v>0.8571428571428571</v>
      </c>
      <c r="Q181" s="2" t="s">
        <v>367</v>
      </c>
      <c r="R181" s="2" t="s">
        <v>147</v>
      </c>
      <c r="S181" s="2">
        <v>8.4</v>
      </c>
      <c r="T181" s="2">
        <v>11.6</v>
      </c>
      <c r="U181" s="2" t="b">
        <v>0</v>
      </c>
      <c r="V181" s="2">
        <v>6</v>
      </c>
      <c r="W181" s="2">
        <v>2</v>
      </c>
      <c r="X181" s="2">
        <v>13</v>
      </c>
      <c r="Y181" s="2">
        <v>30.286458333333329</v>
      </c>
    </row>
    <row r="182" spans="1:25" hidden="1">
      <c r="A182" s="2" t="s">
        <v>373</v>
      </c>
      <c r="B182" s="2" t="s">
        <v>142</v>
      </c>
      <c r="C182" s="2" t="s">
        <v>166</v>
      </c>
      <c r="D182" s="3">
        <v>45469.770833333343</v>
      </c>
      <c r="E182" s="3">
        <v>45469.788194444453</v>
      </c>
      <c r="F182" s="2">
        <v>25</v>
      </c>
      <c r="G182" s="2" t="s">
        <v>151</v>
      </c>
      <c r="H182" s="2" t="s">
        <v>144</v>
      </c>
      <c r="I182" s="2">
        <v>4</v>
      </c>
      <c r="J182" s="2">
        <v>4.5</v>
      </c>
      <c r="K182" s="2" t="s">
        <v>153</v>
      </c>
      <c r="L182" s="2" t="s">
        <v>145</v>
      </c>
      <c r="M182" s="2" t="b">
        <v>1</v>
      </c>
      <c r="N182" s="2" t="b">
        <v>0</v>
      </c>
      <c r="O182" s="2">
        <v>5.5555555555555554</v>
      </c>
      <c r="P182" s="2">
        <v>0.88888888888888884</v>
      </c>
      <c r="Q182" s="2" t="s">
        <v>367</v>
      </c>
      <c r="R182" s="2" t="s">
        <v>147</v>
      </c>
      <c r="S182" s="2">
        <v>10.8</v>
      </c>
      <c r="T182" s="2">
        <v>14.2</v>
      </c>
      <c r="U182" s="2" t="b">
        <v>0</v>
      </c>
      <c r="V182" s="2">
        <v>12</v>
      </c>
      <c r="W182" s="2">
        <v>3</v>
      </c>
      <c r="X182" s="2">
        <v>18</v>
      </c>
      <c r="Y182" s="2">
        <v>30.259433962264151</v>
      </c>
    </row>
    <row r="183" spans="1:25" hidden="1">
      <c r="A183" s="2" t="s">
        <v>374</v>
      </c>
      <c r="B183" s="2" t="s">
        <v>149</v>
      </c>
      <c r="C183" s="2" t="s">
        <v>186</v>
      </c>
      <c r="D183" s="3">
        <v>45470.833333333343</v>
      </c>
      <c r="E183" s="3">
        <v>45470.850694444453</v>
      </c>
      <c r="F183" s="2">
        <v>25</v>
      </c>
      <c r="G183" s="2" t="s">
        <v>143</v>
      </c>
      <c r="H183" s="2" t="s">
        <v>152</v>
      </c>
      <c r="I183" s="2">
        <v>3</v>
      </c>
      <c r="J183" s="2">
        <v>3</v>
      </c>
      <c r="K183" s="2" t="s">
        <v>143</v>
      </c>
      <c r="L183" s="2" t="s">
        <v>162</v>
      </c>
      <c r="M183" s="2" t="b">
        <v>1</v>
      </c>
      <c r="N183" s="2" t="b">
        <v>0</v>
      </c>
      <c r="O183" s="2">
        <v>8.3333333333333339</v>
      </c>
      <c r="P183" s="2">
        <v>1</v>
      </c>
      <c r="Q183" s="2" t="s">
        <v>367</v>
      </c>
      <c r="R183" s="2" t="s">
        <v>147</v>
      </c>
      <c r="S183" s="2">
        <v>7.1999999999999993</v>
      </c>
      <c r="T183" s="2">
        <v>17.8</v>
      </c>
      <c r="U183" s="2" t="b">
        <v>0</v>
      </c>
      <c r="V183" s="2">
        <v>6</v>
      </c>
      <c r="W183" s="2">
        <v>2</v>
      </c>
      <c r="X183" s="2">
        <v>20</v>
      </c>
      <c r="Y183" s="2">
        <v>28.186274509803919</v>
      </c>
    </row>
    <row r="184" spans="1:25" hidden="1">
      <c r="A184" s="2" t="s">
        <v>375</v>
      </c>
      <c r="B184" s="2" t="s">
        <v>157</v>
      </c>
      <c r="C184" s="2" t="s">
        <v>188</v>
      </c>
      <c r="D184" s="3">
        <v>45471.802083333343</v>
      </c>
      <c r="E184" s="3">
        <v>45471.815972222219</v>
      </c>
      <c r="F184" s="2">
        <v>20</v>
      </c>
      <c r="G184" s="2" t="s">
        <v>159</v>
      </c>
      <c r="H184" s="2" t="s">
        <v>160</v>
      </c>
      <c r="I184" s="2">
        <v>2</v>
      </c>
      <c r="J184" s="2">
        <v>2.5</v>
      </c>
      <c r="K184" s="2" t="s">
        <v>161</v>
      </c>
      <c r="L184" s="2" t="s">
        <v>169</v>
      </c>
      <c r="M184" s="2" t="b">
        <v>1</v>
      </c>
      <c r="N184" s="2" t="b">
        <v>0</v>
      </c>
      <c r="O184" s="2">
        <v>8</v>
      </c>
      <c r="P184" s="2">
        <v>0.8</v>
      </c>
      <c r="Q184" s="2" t="s">
        <v>367</v>
      </c>
      <c r="R184" s="2" t="s">
        <v>171</v>
      </c>
      <c r="S184" s="2">
        <v>6</v>
      </c>
      <c r="T184" s="2">
        <v>14</v>
      </c>
      <c r="U184" s="2" t="b">
        <v>0</v>
      </c>
      <c r="V184" s="2">
        <v>2</v>
      </c>
      <c r="W184" s="2">
        <v>1</v>
      </c>
      <c r="X184" s="2">
        <v>19</v>
      </c>
      <c r="Y184" s="2">
        <v>28.844221105527641</v>
      </c>
    </row>
    <row r="185" spans="1:25" hidden="1">
      <c r="A185" s="2" t="s">
        <v>376</v>
      </c>
      <c r="B185" s="2" t="s">
        <v>165</v>
      </c>
      <c r="C185" s="2" t="s">
        <v>158</v>
      </c>
      <c r="D185" s="3">
        <v>45472.822916666657</v>
      </c>
      <c r="E185" s="3">
        <v>45472.840277777781</v>
      </c>
      <c r="F185" s="2">
        <v>25</v>
      </c>
      <c r="G185" s="2" t="s">
        <v>167</v>
      </c>
      <c r="H185" s="2" t="s">
        <v>168</v>
      </c>
      <c r="I185" s="2">
        <v>5</v>
      </c>
      <c r="J185" s="2">
        <v>4</v>
      </c>
      <c r="K185" s="2" t="s">
        <v>153</v>
      </c>
      <c r="L185" s="2" t="s">
        <v>154</v>
      </c>
      <c r="M185" s="2" t="b">
        <v>1</v>
      </c>
      <c r="N185" s="2" t="b">
        <v>1</v>
      </c>
      <c r="O185" s="2">
        <v>6.25</v>
      </c>
      <c r="P185" s="2">
        <v>1.25</v>
      </c>
      <c r="Q185" s="2" t="s">
        <v>367</v>
      </c>
      <c r="R185" s="2" t="s">
        <v>147</v>
      </c>
      <c r="S185" s="2">
        <v>9.6</v>
      </c>
      <c r="T185" s="2">
        <v>15.4</v>
      </c>
      <c r="U185" s="2" t="b">
        <v>0</v>
      </c>
      <c r="V185" s="2">
        <v>20</v>
      </c>
      <c r="W185" s="2">
        <v>3</v>
      </c>
      <c r="X185" s="2">
        <v>19</v>
      </c>
      <c r="Y185" s="2">
        <v>29.948453608247419</v>
      </c>
    </row>
    <row r="186" spans="1:25" hidden="1">
      <c r="A186" s="2" t="s">
        <v>377</v>
      </c>
      <c r="B186" s="2" t="s">
        <v>173</v>
      </c>
      <c r="C186" s="2" t="s">
        <v>166</v>
      </c>
      <c r="D186" s="3">
        <v>45473.541666666657</v>
      </c>
      <c r="E186" s="3">
        <v>45473.555555555547</v>
      </c>
      <c r="F186" s="2">
        <v>20</v>
      </c>
      <c r="G186" s="2" t="s">
        <v>143</v>
      </c>
      <c r="H186" s="2" t="s">
        <v>152</v>
      </c>
      <c r="I186" s="2">
        <v>3</v>
      </c>
      <c r="J186" s="2">
        <v>3.5</v>
      </c>
      <c r="K186" s="2" t="s">
        <v>161</v>
      </c>
      <c r="L186" s="2" t="s">
        <v>145</v>
      </c>
      <c r="M186" s="2" t="b">
        <v>0</v>
      </c>
      <c r="N186" s="2" t="b">
        <v>1</v>
      </c>
      <c r="O186" s="2">
        <v>5.7142857142857144</v>
      </c>
      <c r="P186" s="2">
        <v>0.8571428571428571</v>
      </c>
      <c r="Q186" s="2" t="s">
        <v>367</v>
      </c>
      <c r="R186" s="2" t="s">
        <v>147</v>
      </c>
      <c r="S186" s="2">
        <v>8.4</v>
      </c>
      <c r="T186" s="2">
        <v>11.6</v>
      </c>
      <c r="U186" s="2" t="b">
        <v>0</v>
      </c>
      <c r="V186" s="2">
        <v>6</v>
      </c>
      <c r="W186" s="2">
        <v>1</v>
      </c>
      <c r="X186" s="2">
        <v>13</v>
      </c>
      <c r="Y186" s="2">
        <v>30.286458333333329</v>
      </c>
    </row>
    <row r="187" spans="1:25" hidden="1">
      <c r="A187" s="2" t="s">
        <v>378</v>
      </c>
      <c r="B187" s="2" t="s">
        <v>142</v>
      </c>
      <c r="C187" s="2" t="s">
        <v>150</v>
      </c>
      <c r="D187" s="3">
        <v>45474.770833333343</v>
      </c>
      <c r="E187" s="3">
        <v>45474.784722222219</v>
      </c>
      <c r="F187" s="2">
        <v>20</v>
      </c>
      <c r="G187" s="2" t="s">
        <v>151</v>
      </c>
      <c r="H187" s="2" t="s">
        <v>144</v>
      </c>
      <c r="I187" s="2">
        <v>4</v>
      </c>
      <c r="J187" s="2">
        <v>4.5</v>
      </c>
      <c r="K187" s="2" t="s">
        <v>143</v>
      </c>
      <c r="L187" s="2" t="s">
        <v>162</v>
      </c>
      <c r="M187" s="2" t="b">
        <v>1</v>
      </c>
      <c r="N187" s="2" t="b">
        <v>0</v>
      </c>
      <c r="O187" s="2">
        <v>4.4444444444444446</v>
      </c>
      <c r="P187" s="2">
        <v>0.88888888888888884</v>
      </c>
      <c r="Q187" s="2" t="s">
        <v>379</v>
      </c>
      <c r="R187" s="2" t="s">
        <v>147</v>
      </c>
      <c r="S187" s="2">
        <v>10.8</v>
      </c>
      <c r="T187" s="2">
        <v>9.2000000000000011</v>
      </c>
      <c r="U187" s="2" t="b">
        <v>0</v>
      </c>
      <c r="V187" s="2">
        <v>12</v>
      </c>
      <c r="W187" s="2">
        <v>2</v>
      </c>
      <c r="X187" s="2">
        <v>18</v>
      </c>
      <c r="Y187" s="2">
        <v>30.259433962264151</v>
      </c>
    </row>
    <row r="188" spans="1:25" hidden="1">
      <c r="A188" s="2" t="s">
        <v>380</v>
      </c>
      <c r="B188" s="2" t="s">
        <v>149</v>
      </c>
      <c r="C188" s="2" t="s">
        <v>192</v>
      </c>
      <c r="D188" s="3">
        <v>45475.84375</v>
      </c>
      <c r="E188" s="3">
        <v>45475.861111111109</v>
      </c>
      <c r="F188" s="2">
        <v>25</v>
      </c>
      <c r="G188" s="2" t="s">
        <v>159</v>
      </c>
      <c r="H188" s="2" t="s">
        <v>160</v>
      </c>
      <c r="I188" s="2">
        <v>2</v>
      </c>
      <c r="J188" s="2">
        <v>2</v>
      </c>
      <c r="K188" s="2" t="s">
        <v>153</v>
      </c>
      <c r="L188" s="2" t="s">
        <v>169</v>
      </c>
      <c r="M188" s="2" t="b">
        <v>1</v>
      </c>
      <c r="N188" s="2" t="b">
        <v>0</v>
      </c>
      <c r="O188" s="2">
        <v>12.5</v>
      </c>
      <c r="P188" s="2">
        <v>1</v>
      </c>
      <c r="Q188" s="2" t="s">
        <v>379</v>
      </c>
      <c r="R188" s="2" t="s">
        <v>171</v>
      </c>
      <c r="S188" s="2">
        <v>4.8</v>
      </c>
      <c r="T188" s="2">
        <v>20.2</v>
      </c>
      <c r="U188" s="2" t="b">
        <v>0</v>
      </c>
      <c r="V188" s="2">
        <v>2</v>
      </c>
      <c r="W188" s="2">
        <v>3</v>
      </c>
      <c r="X188" s="2">
        <v>20</v>
      </c>
      <c r="Y188" s="2">
        <v>28.186274509803919</v>
      </c>
    </row>
    <row r="189" spans="1:25" hidden="1">
      <c r="A189" s="2" t="s">
        <v>381</v>
      </c>
      <c r="B189" s="2" t="s">
        <v>157</v>
      </c>
      <c r="C189" s="2" t="s">
        <v>194</v>
      </c>
      <c r="D189" s="3">
        <v>45476.770833333343</v>
      </c>
      <c r="E189" s="3">
        <v>45476.784722222219</v>
      </c>
      <c r="F189" s="2">
        <v>20</v>
      </c>
      <c r="G189" s="2" t="s">
        <v>143</v>
      </c>
      <c r="H189" s="2" t="s">
        <v>152</v>
      </c>
      <c r="I189" s="2">
        <v>3</v>
      </c>
      <c r="J189" s="2">
        <v>3.5</v>
      </c>
      <c r="K189" s="2" t="s">
        <v>161</v>
      </c>
      <c r="L189" s="2" t="s">
        <v>154</v>
      </c>
      <c r="M189" s="2" t="b">
        <v>1</v>
      </c>
      <c r="N189" s="2" t="b">
        <v>0</v>
      </c>
      <c r="O189" s="2">
        <v>5.7142857142857144</v>
      </c>
      <c r="P189" s="2">
        <v>0.8571428571428571</v>
      </c>
      <c r="Q189" s="2" t="s">
        <v>379</v>
      </c>
      <c r="R189" s="2" t="s">
        <v>147</v>
      </c>
      <c r="S189" s="2">
        <v>8.4</v>
      </c>
      <c r="T189" s="2">
        <v>11.6</v>
      </c>
      <c r="U189" s="2" t="b">
        <v>0</v>
      </c>
      <c r="V189" s="2">
        <v>6</v>
      </c>
      <c r="W189" s="2">
        <v>1</v>
      </c>
      <c r="X189" s="2">
        <v>18</v>
      </c>
      <c r="Y189" s="2">
        <v>28.844221105527641</v>
      </c>
    </row>
    <row r="190" spans="1:25" hidden="1">
      <c r="A190" s="2" t="s">
        <v>382</v>
      </c>
      <c r="B190" s="2" t="s">
        <v>165</v>
      </c>
      <c r="C190" s="2" t="s">
        <v>174</v>
      </c>
      <c r="D190" s="3">
        <v>45477.822916666657</v>
      </c>
      <c r="E190" s="3">
        <v>45477.840277777781</v>
      </c>
      <c r="F190" s="2">
        <v>25</v>
      </c>
      <c r="G190" s="2" t="s">
        <v>167</v>
      </c>
      <c r="H190" s="2" t="s">
        <v>168</v>
      </c>
      <c r="I190" s="2">
        <v>5</v>
      </c>
      <c r="J190" s="2">
        <v>4</v>
      </c>
      <c r="K190" s="2" t="s">
        <v>143</v>
      </c>
      <c r="L190" s="2" t="s">
        <v>145</v>
      </c>
      <c r="M190" s="2" t="b">
        <v>1</v>
      </c>
      <c r="N190" s="2" t="b">
        <v>0</v>
      </c>
      <c r="O190" s="2">
        <v>6.25</v>
      </c>
      <c r="P190" s="2">
        <v>1.25</v>
      </c>
      <c r="Q190" s="2" t="s">
        <v>379</v>
      </c>
      <c r="R190" s="2" t="s">
        <v>147</v>
      </c>
      <c r="S190" s="2">
        <v>9.6</v>
      </c>
      <c r="T190" s="2">
        <v>15.4</v>
      </c>
      <c r="U190" s="2" t="b">
        <v>0</v>
      </c>
      <c r="V190" s="2">
        <v>20</v>
      </c>
      <c r="W190" s="2">
        <v>2</v>
      </c>
      <c r="X190" s="2">
        <v>19</v>
      </c>
      <c r="Y190" s="2">
        <v>29.948453608247419</v>
      </c>
    </row>
    <row r="191" spans="1:25" hidden="1">
      <c r="A191" s="2" t="s">
        <v>383</v>
      </c>
      <c r="B191" s="2" t="s">
        <v>173</v>
      </c>
      <c r="C191" s="2" t="s">
        <v>190</v>
      </c>
      <c r="D191" s="3">
        <v>45478.541666666657</v>
      </c>
      <c r="E191" s="3">
        <v>45478.555555555547</v>
      </c>
      <c r="F191" s="2">
        <v>20</v>
      </c>
      <c r="G191" s="2" t="s">
        <v>143</v>
      </c>
      <c r="H191" s="2" t="s">
        <v>152</v>
      </c>
      <c r="I191" s="2">
        <v>3</v>
      </c>
      <c r="J191" s="2">
        <v>3.5</v>
      </c>
      <c r="K191" s="2" t="s">
        <v>153</v>
      </c>
      <c r="L191" s="2" t="s">
        <v>162</v>
      </c>
      <c r="M191" s="2" t="b">
        <v>0</v>
      </c>
      <c r="N191" s="2" t="b">
        <v>0</v>
      </c>
      <c r="O191" s="2">
        <v>5.7142857142857144</v>
      </c>
      <c r="P191" s="2">
        <v>0.8571428571428571</v>
      </c>
      <c r="Q191" s="2" t="s">
        <v>379</v>
      </c>
      <c r="R191" s="2" t="s">
        <v>147</v>
      </c>
      <c r="S191" s="2">
        <v>8.4</v>
      </c>
      <c r="T191" s="2">
        <v>11.6</v>
      </c>
      <c r="U191" s="2" t="b">
        <v>0</v>
      </c>
      <c r="V191" s="2">
        <v>6</v>
      </c>
      <c r="W191" s="2">
        <v>3</v>
      </c>
      <c r="X191" s="2">
        <v>13</v>
      </c>
      <c r="Y191" s="2">
        <v>30.286458333333329</v>
      </c>
    </row>
    <row r="192" spans="1:25" hidden="1">
      <c r="A192" s="2" t="s">
        <v>384</v>
      </c>
      <c r="B192" s="2" t="s">
        <v>142</v>
      </c>
      <c r="C192" s="2" t="s">
        <v>192</v>
      </c>
      <c r="D192" s="3">
        <v>45479.770833333343</v>
      </c>
      <c r="E192" s="3">
        <v>45479.784722222219</v>
      </c>
      <c r="F192" s="2">
        <v>20</v>
      </c>
      <c r="G192" s="2" t="s">
        <v>151</v>
      </c>
      <c r="H192" s="2" t="s">
        <v>144</v>
      </c>
      <c r="I192" s="2">
        <v>4</v>
      </c>
      <c r="J192" s="2">
        <v>4.5</v>
      </c>
      <c r="K192" s="2" t="s">
        <v>161</v>
      </c>
      <c r="L192" s="2" t="s">
        <v>169</v>
      </c>
      <c r="M192" s="2" t="b">
        <v>1</v>
      </c>
      <c r="N192" s="2" t="b">
        <v>1</v>
      </c>
      <c r="O192" s="2">
        <v>4.4444444444444446</v>
      </c>
      <c r="P192" s="2">
        <v>0.88888888888888884</v>
      </c>
      <c r="Q192" s="2" t="s">
        <v>379</v>
      </c>
      <c r="R192" s="2" t="s">
        <v>171</v>
      </c>
      <c r="S192" s="2">
        <v>10.8</v>
      </c>
      <c r="T192" s="2">
        <v>9.2000000000000011</v>
      </c>
      <c r="U192" s="2" t="b">
        <v>0</v>
      </c>
      <c r="V192" s="2">
        <v>12</v>
      </c>
      <c r="W192" s="2">
        <v>1</v>
      </c>
      <c r="X192" s="2">
        <v>18</v>
      </c>
      <c r="Y192" s="2">
        <v>30.259433962264151</v>
      </c>
    </row>
    <row r="193" spans="1:25" hidden="1">
      <c r="A193" s="2" t="s">
        <v>385</v>
      </c>
      <c r="B193" s="2" t="s">
        <v>149</v>
      </c>
      <c r="C193" s="2" t="s">
        <v>194</v>
      </c>
      <c r="D193" s="3">
        <v>45480.84375</v>
      </c>
      <c r="E193" s="3">
        <v>45480.861111111109</v>
      </c>
      <c r="F193" s="2">
        <v>25</v>
      </c>
      <c r="G193" s="2" t="s">
        <v>159</v>
      </c>
      <c r="H193" s="2" t="s">
        <v>160</v>
      </c>
      <c r="I193" s="2">
        <v>2</v>
      </c>
      <c r="J193" s="2">
        <v>2</v>
      </c>
      <c r="K193" s="2" t="s">
        <v>153</v>
      </c>
      <c r="L193" s="2" t="s">
        <v>154</v>
      </c>
      <c r="M193" s="2" t="b">
        <v>1</v>
      </c>
      <c r="N193" s="2" t="b">
        <v>1</v>
      </c>
      <c r="O193" s="2">
        <v>12.5</v>
      </c>
      <c r="P193" s="2">
        <v>1</v>
      </c>
      <c r="Q193" s="2" t="s">
        <v>379</v>
      </c>
      <c r="R193" s="2" t="s">
        <v>147</v>
      </c>
      <c r="S193" s="2">
        <v>4.8</v>
      </c>
      <c r="T193" s="2">
        <v>20.2</v>
      </c>
      <c r="U193" s="2" t="b">
        <v>0</v>
      </c>
      <c r="V193" s="2">
        <v>2</v>
      </c>
      <c r="W193" s="2">
        <v>3</v>
      </c>
      <c r="X193" s="2">
        <v>20</v>
      </c>
      <c r="Y193" s="2">
        <v>28.186274509803919</v>
      </c>
    </row>
    <row r="194" spans="1:25" hidden="1">
      <c r="A194" s="2" t="s">
        <v>386</v>
      </c>
      <c r="B194" s="2" t="s">
        <v>157</v>
      </c>
      <c r="C194" s="2" t="s">
        <v>174</v>
      </c>
      <c r="D194" s="3">
        <v>45481.770833333343</v>
      </c>
      <c r="E194" s="3">
        <v>45481.784722222219</v>
      </c>
      <c r="F194" s="2">
        <v>20</v>
      </c>
      <c r="G194" s="2" t="s">
        <v>143</v>
      </c>
      <c r="H194" s="2" t="s">
        <v>152</v>
      </c>
      <c r="I194" s="2">
        <v>3</v>
      </c>
      <c r="J194" s="2">
        <v>3</v>
      </c>
      <c r="K194" s="2" t="s">
        <v>153</v>
      </c>
      <c r="L194" s="2" t="s">
        <v>162</v>
      </c>
      <c r="M194" s="2" t="b">
        <v>1</v>
      </c>
      <c r="N194" s="2" t="b">
        <v>0</v>
      </c>
      <c r="O194" s="2">
        <v>6.666666666666667</v>
      </c>
      <c r="P194" s="2">
        <v>1</v>
      </c>
      <c r="Q194" s="2" t="s">
        <v>379</v>
      </c>
      <c r="R194" s="2" t="s">
        <v>147</v>
      </c>
      <c r="S194" s="2">
        <v>7.1999999999999993</v>
      </c>
      <c r="T194" s="2">
        <v>12.8</v>
      </c>
      <c r="U194" s="2" t="b">
        <v>0</v>
      </c>
      <c r="V194" s="2">
        <v>6</v>
      </c>
      <c r="W194" s="2">
        <v>3</v>
      </c>
      <c r="X194" s="2">
        <v>18</v>
      </c>
      <c r="Y194" s="2">
        <v>28.844221105527641</v>
      </c>
    </row>
    <row r="195" spans="1:25" hidden="1">
      <c r="A195" s="2" t="s">
        <v>387</v>
      </c>
      <c r="B195" s="2" t="s">
        <v>165</v>
      </c>
      <c r="C195" s="2" t="s">
        <v>150</v>
      </c>
      <c r="D195" s="3">
        <v>45482.822916666657</v>
      </c>
      <c r="E195" s="3">
        <v>45482.840277777781</v>
      </c>
      <c r="F195" s="2">
        <v>25</v>
      </c>
      <c r="G195" s="2" t="s">
        <v>167</v>
      </c>
      <c r="H195" s="2" t="s">
        <v>168</v>
      </c>
      <c r="I195" s="2">
        <v>5</v>
      </c>
      <c r="J195" s="2">
        <v>4.5</v>
      </c>
      <c r="K195" s="2" t="s">
        <v>161</v>
      </c>
      <c r="L195" s="2" t="s">
        <v>169</v>
      </c>
      <c r="M195" s="2" t="b">
        <v>1</v>
      </c>
      <c r="N195" s="2" t="b">
        <v>0</v>
      </c>
      <c r="O195" s="2">
        <v>5.5555555555555554</v>
      </c>
      <c r="P195" s="2">
        <v>1.1111111111111109</v>
      </c>
      <c r="Q195" s="2" t="s">
        <v>379</v>
      </c>
      <c r="R195" s="2" t="s">
        <v>171</v>
      </c>
      <c r="S195" s="2">
        <v>10.8</v>
      </c>
      <c r="T195" s="2">
        <v>14.2</v>
      </c>
      <c r="U195" s="2" t="b">
        <v>0</v>
      </c>
      <c r="V195" s="2">
        <v>20</v>
      </c>
      <c r="W195" s="2">
        <v>1</v>
      </c>
      <c r="X195" s="2">
        <v>19</v>
      </c>
      <c r="Y195" s="2">
        <v>29.948453608247419</v>
      </c>
    </row>
    <row r="196" spans="1:25" hidden="1">
      <c r="A196" s="2" t="s">
        <v>388</v>
      </c>
      <c r="B196" s="2" t="s">
        <v>173</v>
      </c>
      <c r="C196" s="2" t="s">
        <v>158</v>
      </c>
      <c r="D196" s="3">
        <v>45483.541666666657</v>
      </c>
      <c r="E196" s="3">
        <v>45483.555555555547</v>
      </c>
      <c r="F196" s="2">
        <v>20</v>
      </c>
      <c r="G196" s="2" t="s">
        <v>143</v>
      </c>
      <c r="H196" s="2" t="s">
        <v>152</v>
      </c>
      <c r="I196" s="2">
        <v>3</v>
      </c>
      <c r="J196" s="2">
        <v>3.5</v>
      </c>
      <c r="K196" s="2" t="s">
        <v>143</v>
      </c>
      <c r="L196" s="2" t="s">
        <v>154</v>
      </c>
      <c r="M196" s="2" t="b">
        <v>0</v>
      </c>
      <c r="N196" s="2" t="b">
        <v>0</v>
      </c>
      <c r="O196" s="2">
        <v>5.7142857142857144</v>
      </c>
      <c r="P196" s="2">
        <v>0.8571428571428571</v>
      </c>
      <c r="Q196" s="2" t="s">
        <v>379</v>
      </c>
      <c r="R196" s="2" t="s">
        <v>147</v>
      </c>
      <c r="S196" s="2">
        <v>8.4</v>
      </c>
      <c r="T196" s="2">
        <v>11.6</v>
      </c>
      <c r="U196" s="2" t="b">
        <v>0</v>
      </c>
      <c r="V196" s="2">
        <v>6</v>
      </c>
      <c r="W196" s="2">
        <v>2</v>
      </c>
      <c r="X196" s="2">
        <v>13</v>
      </c>
      <c r="Y196" s="2">
        <v>30.286458333333329</v>
      </c>
    </row>
    <row r="197" spans="1:25" hidden="1">
      <c r="A197" s="2" t="s">
        <v>389</v>
      </c>
      <c r="B197" s="2" t="s">
        <v>142</v>
      </c>
      <c r="C197" s="2" t="s">
        <v>166</v>
      </c>
      <c r="D197" s="3">
        <v>45484.770833333343</v>
      </c>
      <c r="E197" s="3">
        <v>45484.784722222219</v>
      </c>
      <c r="F197" s="2">
        <v>20</v>
      </c>
      <c r="G197" s="2" t="s">
        <v>151</v>
      </c>
      <c r="H197" s="2" t="s">
        <v>144</v>
      </c>
      <c r="I197" s="2">
        <v>4</v>
      </c>
      <c r="J197" s="2">
        <v>4</v>
      </c>
      <c r="K197" s="2" t="s">
        <v>153</v>
      </c>
      <c r="L197" s="2" t="s">
        <v>145</v>
      </c>
      <c r="M197" s="2" t="b">
        <v>1</v>
      </c>
      <c r="N197" s="2" t="b">
        <v>0</v>
      </c>
      <c r="O197" s="2">
        <v>5</v>
      </c>
      <c r="P197" s="2">
        <v>1</v>
      </c>
      <c r="Q197" s="2" t="s">
        <v>379</v>
      </c>
      <c r="R197" s="2" t="s">
        <v>147</v>
      </c>
      <c r="S197" s="2">
        <v>9.6</v>
      </c>
      <c r="T197" s="2">
        <v>10.4</v>
      </c>
      <c r="U197" s="2" t="b">
        <v>0</v>
      </c>
      <c r="V197" s="2">
        <v>12</v>
      </c>
      <c r="W197" s="2">
        <v>3</v>
      </c>
      <c r="X197" s="2">
        <v>18</v>
      </c>
      <c r="Y197" s="2">
        <v>30.259433962264151</v>
      </c>
    </row>
    <row r="198" spans="1:25" hidden="1">
      <c r="A198" s="2" t="s">
        <v>390</v>
      </c>
      <c r="B198" s="2" t="s">
        <v>149</v>
      </c>
      <c r="C198" s="2" t="s">
        <v>174</v>
      </c>
      <c r="D198" s="3">
        <v>45485.833333333343</v>
      </c>
      <c r="E198" s="3">
        <v>45485.850694444453</v>
      </c>
      <c r="F198" s="2">
        <v>25</v>
      </c>
      <c r="G198" s="2" t="s">
        <v>143</v>
      </c>
      <c r="H198" s="2" t="s">
        <v>152</v>
      </c>
      <c r="I198" s="2">
        <v>3</v>
      </c>
      <c r="J198" s="2">
        <v>3</v>
      </c>
      <c r="K198" s="2" t="s">
        <v>161</v>
      </c>
      <c r="L198" s="2" t="s">
        <v>162</v>
      </c>
      <c r="M198" s="2" t="b">
        <v>1</v>
      </c>
      <c r="N198" s="2" t="b">
        <v>0</v>
      </c>
      <c r="O198" s="2">
        <v>8.3333333333333339</v>
      </c>
      <c r="P198" s="2">
        <v>1</v>
      </c>
      <c r="Q198" s="2" t="s">
        <v>379</v>
      </c>
      <c r="R198" s="2" t="s">
        <v>147</v>
      </c>
      <c r="S198" s="2">
        <v>7.1999999999999993</v>
      </c>
      <c r="T198" s="2">
        <v>17.8</v>
      </c>
      <c r="U198" s="2" t="b">
        <v>0</v>
      </c>
      <c r="V198" s="2">
        <v>6</v>
      </c>
      <c r="W198" s="2">
        <v>1</v>
      </c>
      <c r="X198" s="2">
        <v>20</v>
      </c>
      <c r="Y198" s="2">
        <v>28.186274509803919</v>
      </c>
    </row>
    <row r="199" spans="1:25" hidden="1">
      <c r="A199" s="2" t="s">
        <v>391</v>
      </c>
      <c r="B199" s="2" t="s">
        <v>157</v>
      </c>
      <c r="C199" s="2" t="s">
        <v>184</v>
      </c>
      <c r="D199" s="3">
        <v>45486.802083333343</v>
      </c>
      <c r="E199" s="3">
        <v>45486.815972222219</v>
      </c>
      <c r="F199" s="2">
        <v>20</v>
      </c>
      <c r="G199" s="2" t="s">
        <v>159</v>
      </c>
      <c r="H199" s="2" t="s">
        <v>160</v>
      </c>
      <c r="I199" s="2">
        <v>2</v>
      </c>
      <c r="J199" s="2">
        <v>2.5</v>
      </c>
      <c r="K199" s="2" t="s">
        <v>161</v>
      </c>
      <c r="L199" s="2" t="s">
        <v>169</v>
      </c>
      <c r="M199" s="2" t="b">
        <v>1</v>
      </c>
      <c r="N199" s="2" t="b">
        <v>1</v>
      </c>
      <c r="O199" s="2">
        <v>8</v>
      </c>
      <c r="P199" s="2">
        <v>0.8</v>
      </c>
      <c r="Q199" s="2" t="s">
        <v>379</v>
      </c>
      <c r="R199" s="2" t="s">
        <v>171</v>
      </c>
      <c r="S199" s="2">
        <v>6</v>
      </c>
      <c r="T199" s="2">
        <v>14</v>
      </c>
      <c r="U199" s="2" t="b">
        <v>0</v>
      </c>
      <c r="V199" s="2">
        <v>2</v>
      </c>
      <c r="W199" s="2">
        <v>1</v>
      </c>
      <c r="X199" s="2">
        <v>19</v>
      </c>
      <c r="Y199" s="2">
        <v>28.844221105527641</v>
      </c>
    </row>
    <row r="200" spans="1:25" hidden="1">
      <c r="A200" s="2" t="s">
        <v>392</v>
      </c>
      <c r="B200" s="2" t="s">
        <v>165</v>
      </c>
      <c r="C200" s="2" t="s">
        <v>186</v>
      </c>
      <c r="D200" s="3">
        <v>45487.822916666657</v>
      </c>
      <c r="E200" s="3">
        <v>45487.840277777781</v>
      </c>
      <c r="F200" s="2">
        <v>25</v>
      </c>
      <c r="G200" s="2" t="s">
        <v>167</v>
      </c>
      <c r="H200" s="2" t="s">
        <v>168</v>
      </c>
      <c r="I200" s="2">
        <v>5</v>
      </c>
      <c r="J200" s="2">
        <v>4.5</v>
      </c>
      <c r="K200" s="2" t="s">
        <v>153</v>
      </c>
      <c r="L200" s="2" t="s">
        <v>154</v>
      </c>
      <c r="M200" s="2" t="b">
        <v>1</v>
      </c>
      <c r="N200" s="2" t="b">
        <v>1</v>
      </c>
      <c r="O200" s="2">
        <v>5.5555555555555554</v>
      </c>
      <c r="P200" s="2">
        <v>1.1111111111111109</v>
      </c>
      <c r="Q200" s="2" t="s">
        <v>379</v>
      </c>
      <c r="R200" s="2" t="s">
        <v>147</v>
      </c>
      <c r="S200" s="2">
        <v>10.8</v>
      </c>
      <c r="T200" s="2">
        <v>14.2</v>
      </c>
      <c r="U200" s="2" t="b">
        <v>0</v>
      </c>
      <c r="V200" s="2">
        <v>20</v>
      </c>
      <c r="W200" s="2">
        <v>3</v>
      </c>
      <c r="X200" s="2">
        <v>19</v>
      </c>
      <c r="Y200" s="2">
        <v>29.948453608247419</v>
      </c>
    </row>
    <row r="201" spans="1:25" hidden="1">
      <c r="A201" s="2" t="s">
        <v>393</v>
      </c>
      <c r="B201" s="2" t="s">
        <v>173</v>
      </c>
      <c r="C201" s="2" t="s">
        <v>188</v>
      </c>
      <c r="D201" s="3">
        <v>45488.541666666657</v>
      </c>
      <c r="E201" s="3">
        <v>45488.555555555547</v>
      </c>
      <c r="F201" s="2">
        <v>20</v>
      </c>
      <c r="G201" s="2" t="s">
        <v>143</v>
      </c>
      <c r="H201" s="2" t="s">
        <v>152</v>
      </c>
      <c r="I201" s="2">
        <v>3</v>
      </c>
      <c r="J201" s="2">
        <v>3</v>
      </c>
      <c r="K201" s="2" t="s">
        <v>143</v>
      </c>
      <c r="L201" s="2" t="s">
        <v>145</v>
      </c>
      <c r="M201" s="2" t="b">
        <v>0</v>
      </c>
      <c r="N201" s="2" t="b">
        <v>0</v>
      </c>
      <c r="O201" s="2">
        <v>6.666666666666667</v>
      </c>
      <c r="P201" s="2">
        <v>1</v>
      </c>
      <c r="Q201" s="2" t="s">
        <v>379</v>
      </c>
      <c r="R201" s="2" t="s">
        <v>147</v>
      </c>
      <c r="S201" s="2">
        <v>7.1999999999999993</v>
      </c>
      <c r="T201" s="2">
        <v>12.8</v>
      </c>
      <c r="U201" s="2" t="b">
        <v>0</v>
      </c>
      <c r="V201" s="2">
        <v>6</v>
      </c>
      <c r="W201" s="2">
        <v>2</v>
      </c>
      <c r="X201" s="2">
        <v>13</v>
      </c>
      <c r="Y201" s="2">
        <v>30.286458333333329</v>
      </c>
    </row>
    <row r="202" spans="1:25" hidden="1">
      <c r="A202" s="2" t="s">
        <v>394</v>
      </c>
      <c r="B202" s="2" t="s">
        <v>142</v>
      </c>
      <c r="C202" s="2" t="s">
        <v>40</v>
      </c>
      <c r="D202" s="3">
        <v>45489.770833333343</v>
      </c>
      <c r="E202" s="3">
        <v>45489.788194444453</v>
      </c>
      <c r="F202" s="2">
        <v>25</v>
      </c>
      <c r="G202" s="2" t="s">
        <v>151</v>
      </c>
      <c r="H202" s="2" t="s">
        <v>144</v>
      </c>
      <c r="I202" s="2">
        <v>3</v>
      </c>
      <c r="J202" s="2">
        <v>5</v>
      </c>
      <c r="K202" s="2" t="s">
        <v>153</v>
      </c>
      <c r="L202" s="2" t="s">
        <v>145</v>
      </c>
      <c r="M202" s="2" t="b">
        <v>1</v>
      </c>
      <c r="N202" s="2" t="b">
        <v>0</v>
      </c>
      <c r="O202" s="2">
        <v>5</v>
      </c>
      <c r="P202" s="2">
        <v>0.6</v>
      </c>
      <c r="Q202" s="2" t="s">
        <v>379</v>
      </c>
      <c r="R202" s="2" t="s">
        <v>147</v>
      </c>
      <c r="S202" s="2">
        <v>12</v>
      </c>
      <c r="T202" s="2">
        <v>13</v>
      </c>
      <c r="U202" s="2" t="b">
        <v>0</v>
      </c>
      <c r="V202" s="2">
        <v>9</v>
      </c>
      <c r="W202" s="2">
        <v>3</v>
      </c>
      <c r="X202" s="2">
        <v>18</v>
      </c>
      <c r="Y202" s="2">
        <v>30.259433962264151</v>
      </c>
    </row>
    <row r="203" spans="1:25" hidden="1">
      <c r="A203" s="2" t="s">
        <v>395</v>
      </c>
      <c r="B203" s="2" t="s">
        <v>149</v>
      </c>
      <c r="C203" s="2" t="s">
        <v>150</v>
      </c>
      <c r="D203" s="3">
        <v>45490.791666666657</v>
      </c>
      <c r="E203" s="3">
        <v>45490.8125</v>
      </c>
      <c r="F203" s="2">
        <v>30</v>
      </c>
      <c r="G203" s="2" t="s">
        <v>143</v>
      </c>
      <c r="H203" s="2" t="s">
        <v>152</v>
      </c>
      <c r="I203" s="2">
        <v>4</v>
      </c>
      <c r="J203" s="2">
        <v>3.5</v>
      </c>
      <c r="K203" s="2" t="s">
        <v>143</v>
      </c>
      <c r="L203" s="2" t="s">
        <v>162</v>
      </c>
      <c r="M203" s="2" t="b">
        <v>1</v>
      </c>
      <c r="N203" s="2" t="b">
        <v>0</v>
      </c>
      <c r="O203" s="2">
        <v>8.5714285714285712</v>
      </c>
      <c r="P203" s="2">
        <v>1.142857142857143</v>
      </c>
      <c r="Q203" s="2" t="s">
        <v>379</v>
      </c>
      <c r="R203" s="2" t="s">
        <v>147</v>
      </c>
      <c r="S203" s="2">
        <v>8.4</v>
      </c>
      <c r="T203" s="2">
        <v>21.6</v>
      </c>
      <c r="U203" s="2" t="b">
        <v>0</v>
      </c>
      <c r="V203" s="2">
        <v>8</v>
      </c>
      <c r="W203" s="2">
        <v>2</v>
      </c>
      <c r="X203" s="2">
        <v>19</v>
      </c>
      <c r="Y203" s="2">
        <v>28.186274509803919</v>
      </c>
    </row>
    <row r="204" spans="1:25" hidden="1">
      <c r="A204" s="2" t="s">
        <v>396</v>
      </c>
      <c r="B204" s="2" t="s">
        <v>157</v>
      </c>
      <c r="C204" s="2" t="s">
        <v>158</v>
      </c>
      <c r="D204" s="3">
        <v>45491.84375</v>
      </c>
      <c r="E204" s="3">
        <v>45491.861111111109</v>
      </c>
      <c r="F204" s="2">
        <v>25</v>
      </c>
      <c r="G204" s="2" t="s">
        <v>159</v>
      </c>
      <c r="H204" s="2" t="s">
        <v>160</v>
      </c>
      <c r="I204" s="2">
        <v>2</v>
      </c>
      <c r="J204" s="2">
        <v>4</v>
      </c>
      <c r="K204" s="2" t="s">
        <v>161</v>
      </c>
      <c r="L204" s="2" t="s">
        <v>169</v>
      </c>
      <c r="M204" s="2" t="b">
        <v>1</v>
      </c>
      <c r="N204" s="2" t="b">
        <v>0</v>
      </c>
      <c r="O204" s="2">
        <v>6.25</v>
      </c>
      <c r="P204" s="2">
        <v>0.5</v>
      </c>
      <c r="Q204" s="2" t="s">
        <v>379</v>
      </c>
      <c r="R204" s="2" t="s">
        <v>171</v>
      </c>
      <c r="S204" s="2">
        <v>9.6</v>
      </c>
      <c r="T204" s="2">
        <v>15.4</v>
      </c>
      <c r="U204" s="2" t="b">
        <v>0</v>
      </c>
      <c r="V204" s="2">
        <v>2</v>
      </c>
      <c r="W204" s="2">
        <v>1</v>
      </c>
      <c r="X204" s="2">
        <v>20</v>
      </c>
      <c r="Y204" s="2">
        <v>28.844221105527641</v>
      </c>
    </row>
    <row r="205" spans="1:25" hidden="1">
      <c r="A205" s="2" t="s">
        <v>397</v>
      </c>
      <c r="B205" s="2" t="s">
        <v>165</v>
      </c>
      <c r="C205" s="2" t="s">
        <v>184</v>
      </c>
      <c r="D205" s="3">
        <v>45492.822916666657</v>
      </c>
      <c r="E205" s="3">
        <v>45492.840277777781</v>
      </c>
      <c r="F205" s="2">
        <v>25</v>
      </c>
      <c r="G205" s="2" t="s">
        <v>167</v>
      </c>
      <c r="H205" s="2" t="s">
        <v>168</v>
      </c>
      <c r="I205" s="2">
        <v>5</v>
      </c>
      <c r="J205" s="2">
        <v>6</v>
      </c>
      <c r="K205" s="2" t="s">
        <v>153</v>
      </c>
      <c r="L205" s="2" t="s">
        <v>154</v>
      </c>
      <c r="M205" s="2" t="b">
        <v>1</v>
      </c>
      <c r="N205" s="2" t="b">
        <v>0</v>
      </c>
      <c r="O205" s="2">
        <v>4.166666666666667</v>
      </c>
      <c r="P205" s="2">
        <v>0.83333333333333337</v>
      </c>
      <c r="Q205" s="2" t="s">
        <v>379</v>
      </c>
      <c r="R205" s="2" t="s">
        <v>147</v>
      </c>
      <c r="S205" s="2">
        <v>14.4</v>
      </c>
      <c r="T205" s="2">
        <v>10.6</v>
      </c>
      <c r="U205" s="2" t="b">
        <v>0</v>
      </c>
      <c r="V205" s="2">
        <v>20</v>
      </c>
      <c r="W205" s="2">
        <v>3</v>
      </c>
      <c r="X205" s="2">
        <v>19</v>
      </c>
      <c r="Y205" s="2">
        <v>29.948453608247419</v>
      </c>
    </row>
    <row r="206" spans="1:25" hidden="1">
      <c r="A206" s="2" t="s">
        <v>398</v>
      </c>
      <c r="B206" s="2" t="s">
        <v>173</v>
      </c>
      <c r="C206" s="2" t="s">
        <v>186</v>
      </c>
      <c r="D206" s="3">
        <v>45493.541666666657</v>
      </c>
      <c r="E206" s="3">
        <v>45493.559027777781</v>
      </c>
      <c r="F206" s="2">
        <v>25</v>
      </c>
      <c r="G206" s="2" t="s">
        <v>143</v>
      </c>
      <c r="H206" s="2" t="s">
        <v>152</v>
      </c>
      <c r="I206" s="2">
        <v>3</v>
      </c>
      <c r="J206" s="2">
        <v>3</v>
      </c>
      <c r="K206" s="2" t="s">
        <v>161</v>
      </c>
      <c r="L206" s="2" t="s">
        <v>145</v>
      </c>
      <c r="M206" s="2" t="b">
        <v>0</v>
      </c>
      <c r="N206" s="2" t="b">
        <v>1</v>
      </c>
      <c r="O206" s="2">
        <v>8.3333333333333339</v>
      </c>
      <c r="P206" s="2">
        <v>1</v>
      </c>
      <c r="Q206" s="2" t="s">
        <v>379</v>
      </c>
      <c r="R206" s="2" t="s">
        <v>147</v>
      </c>
      <c r="S206" s="2">
        <v>7.1999999999999993</v>
      </c>
      <c r="T206" s="2">
        <v>17.8</v>
      </c>
      <c r="U206" s="2" t="b">
        <v>0</v>
      </c>
      <c r="V206" s="2">
        <v>6</v>
      </c>
      <c r="W206" s="2">
        <v>1</v>
      </c>
      <c r="X206" s="2">
        <v>13</v>
      </c>
      <c r="Y206" s="2">
        <v>30.286458333333329</v>
      </c>
    </row>
    <row r="207" spans="1:25" hidden="1">
      <c r="A207" s="2" t="s">
        <v>399</v>
      </c>
      <c r="B207" s="2" t="s">
        <v>142</v>
      </c>
      <c r="C207" s="2" t="s">
        <v>166</v>
      </c>
      <c r="D207" s="3">
        <v>45494.770833333343</v>
      </c>
      <c r="E207" s="3">
        <v>45494.788194444453</v>
      </c>
      <c r="F207" s="2">
        <v>25</v>
      </c>
      <c r="G207" s="2" t="s">
        <v>151</v>
      </c>
      <c r="H207" s="2" t="s">
        <v>144</v>
      </c>
      <c r="I207" s="2">
        <v>4</v>
      </c>
      <c r="J207" s="2">
        <v>5</v>
      </c>
      <c r="K207" s="2" t="s">
        <v>153</v>
      </c>
      <c r="L207" s="2" t="s">
        <v>162</v>
      </c>
      <c r="M207" s="2" t="b">
        <v>1</v>
      </c>
      <c r="N207" s="2" t="b">
        <v>1</v>
      </c>
      <c r="O207" s="2">
        <v>5</v>
      </c>
      <c r="P207" s="2">
        <v>0.8</v>
      </c>
      <c r="Q207" s="2" t="s">
        <v>379</v>
      </c>
      <c r="R207" s="2" t="s">
        <v>147</v>
      </c>
      <c r="S207" s="2">
        <v>12</v>
      </c>
      <c r="T207" s="2">
        <v>13</v>
      </c>
      <c r="U207" s="2" t="b">
        <v>0</v>
      </c>
      <c r="V207" s="2">
        <v>12</v>
      </c>
      <c r="W207" s="2">
        <v>3</v>
      </c>
      <c r="X207" s="2">
        <v>18</v>
      </c>
      <c r="Y207" s="2">
        <v>30.259433962264151</v>
      </c>
    </row>
    <row r="208" spans="1:25" hidden="1">
      <c r="A208" s="2" t="s">
        <v>400</v>
      </c>
      <c r="B208" s="2" t="s">
        <v>149</v>
      </c>
      <c r="C208" s="2" t="s">
        <v>192</v>
      </c>
      <c r="D208" s="3">
        <v>45495.84375</v>
      </c>
      <c r="E208" s="3">
        <v>45495.861111111109</v>
      </c>
      <c r="F208" s="2">
        <v>25</v>
      </c>
      <c r="G208" s="2" t="s">
        <v>159</v>
      </c>
      <c r="H208" s="2" t="s">
        <v>160</v>
      </c>
      <c r="I208" s="2">
        <v>2</v>
      </c>
      <c r="J208" s="2">
        <v>2.5</v>
      </c>
      <c r="K208" s="2" t="s">
        <v>143</v>
      </c>
      <c r="L208" s="2" t="s">
        <v>169</v>
      </c>
      <c r="M208" s="2" t="b">
        <v>1</v>
      </c>
      <c r="N208" s="2" t="b">
        <v>0</v>
      </c>
      <c r="O208" s="2">
        <v>10</v>
      </c>
      <c r="P208" s="2">
        <v>0.8</v>
      </c>
      <c r="Q208" s="2" t="s">
        <v>379</v>
      </c>
      <c r="R208" s="2" t="s">
        <v>171</v>
      </c>
      <c r="S208" s="2">
        <v>6</v>
      </c>
      <c r="T208" s="2">
        <v>19</v>
      </c>
      <c r="U208" s="2" t="b">
        <v>0</v>
      </c>
      <c r="V208" s="2">
        <v>2</v>
      </c>
      <c r="W208" s="2">
        <v>2</v>
      </c>
      <c r="X208" s="2">
        <v>20</v>
      </c>
      <c r="Y208" s="2">
        <v>28.186274509803919</v>
      </c>
    </row>
    <row r="209" spans="1:25" hidden="1">
      <c r="A209" s="2" t="s">
        <v>401</v>
      </c>
      <c r="B209" s="2" t="s">
        <v>157</v>
      </c>
      <c r="C209" s="2" t="s">
        <v>194</v>
      </c>
      <c r="D209" s="3">
        <v>45496.770833333343</v>
      </c>
      <c r="E209" s="3">
        <v>45496.784722222219</v>
      </c>
      <c r="F209" s="2">
        <v>20</v>
      </c>
      <c r="G209" s="2" t="s">
        <v>143</v>
      </c>
      <c r="H209" s="2" t="s">
        <v>152</v>
      </c>
      <c r="I209" s="2">
        <v>3</v>
      </c>
      <c r="J209" s="2">
        <v>3.5</v>
      </c>
      <c r="K209" s="2" t="s">
        <v>161</v>
      </c>
      <c r="L209" s="2" t="s">
        <v>154</v>
      </c>
      <c r="M209" s="2" t="b">
        <v>1</v>
      </c>
      <c r="N209" s="2" t="b">
        <v>0</v>
      </c>
      <c r="O209" s="2">
        <v>5.7142857142857144</v>
      </c>
      <c r="P209" s="2">
        <v>0.8571428571428571</v>
      </c>
      <c r="Q209" s="2" t="s">
        <v>379</v>
      </c>
      <c r="R209" s="2" t="s">
        <v>147</v>
      </c>
      <c r="S209" s="2">
        <v>8.4</v>
      </c>
      <c r="T209" s="2">
        <v>11.6</v>
      </c>
      <c r="U209" s="2" t="b">
        <v>0</v>
      </c>
      <c r="V209" s="2">
        <v>6</v>
      </c>
      <c r="W209" s="2">
        <v>1</v>
      </c>
      <c r="X209" s="2">
        <v>18</v>
      </c>
      <c r="Y209" s="2">
        <v>28.844221105527641</v>
      </c>
    </row>
    <row r="210" spans="1:25" hidden="1">
      <c r="A210" s="2" t="s">
        <v>402</v>
      </c>
      <c r="B210" s="2" t="s">
        <v>165</v>
      </c>
      <c r="C210" s="2" t="s">
        <v>174</v>
      </c>
      <c r="D210" s="3">
        <v>45497.822916666657</v>
      </c>
      <c r="E210" s="3">
        <v>45497.840277777781</v>
      </c>
      <c r="F210" s="2">
        <v>25</v>
      </c>
      <c r="G210" s="2" t="s">
        <v>167</v>
      </c>
      <c r="H210" s="2" t="s">
        <v>168</v>
      </c>
      <c r="I210" s="2">
        <v>5</v>
      </c>
      <c r="J210" s="2">
        <v>4</v>
      </c>
      <c r="K210" s="2" t="s">
        <v>153</v>
      </c>
      <c r="L210" s="2" t="s">
        <v>145</v>
      </c>
      <c r="M210" s="2" t="b">
        <v>1</v>
      </c>
      <c r="N210" s="2" t="b">
        <v>0</v>
      </c>
      <c r="O210" s="2">
        <v>6.25</v>
      </c>
      <c r="P210" s="2">
        <v>1.25</v>
      </c>
      <c r="Q210" s="2" t="s">
        <v>379</v>
      </c>
      <c r="R210" s="2" t="s">
        <v>147</v>
      </c>
      <c r="S210" s="2">
        <v>9.6</v>
      </c>
      <c r="T210" s="2">
        <v>15.4</v>
      </c>
      <c r="U210" s="2" t="b">
        <v>0</v>
      </c>
      <c r="V210" s="2">
        <v>20</v>
      </c>
      <c r="W210" s="2">
        <v>3</v>
      </c>
      <c r="X210" s="2">
        <v>19</v>
      </c>
      <c r="Y210" s="2">
        <v>29.948453608247419</v>
      </c>
    </row>
    <row r="211" spans="1:25" hidden="1">
      <c r="A211" s="2" t="s">
        <v>403</v>
      </c>
      <c r="B211" s="2" t="s">
        <v>173</v>
      </c>
      <c r="C211" s="2" t="s">
        <v>190</v>
      </c>
      <c r="D211" s="3">
        <v>45498.541666666657</v>
      </c>
      <c r="E211" s="3">
        <v>45498.555555555547</v>
      </c>
      <c r="F211" s="2">
        <v>20</v>
      </c>
      <c r="G211" s="2" t="s">
        <v>143</v>
      </c>
      <c r="H211" s="2" t="s">
        <v>152</v>
      </c>
      <c r="I211" s="2">
        <v>3</v>
      </c>
      <c r="J211" s="2">
        <v>3.5</v>
      </c>
      <c r="K211" s="2" t="s">
        <v>161</v>
      </c>
      <c r="L211" s="2" t="s">
        <v>162</v>
      </c>
      <c r="M211" s="2" t="b">
        <v>0</v>
      </c>
      <c r="N211" s="2" t="b">
        <v>0</v>
      </c>
      <c r="O211" s="2">
        <v>5.7142857142857144</v>
      </c>
      <c r="P211" s="2">
        <v>0.8571428571428571</v>
      </c>
      <c r="Q211" s="2" t="s">
        <v>379</v>
      </c>
      <c r="R211" s="2" t="s">
        <v>147</v>
      </c>
      <c r="S211" s="2">
        <v>8.4</v>
      </c>
      <c r="T211" s="2">
        <v>11.6</v>
      </c>
      <c r="U211" s="2" t="b">
        <v>0</v>
      </c>
      <c r="V211" s="2">
        <v>6</v>
      </c>
      <c r="W211" s="2">
        <v>1</v>
      </c>
      <c r="X211" s="2">
        <v>13</v>
      </c>
      <c r="Y211" s="2">
        <v>30.286458333333329</v>
      </c>
    </row>
    <row r="212" spans="1:25" hidden="1">
      <c r="A212" s="2" t="s">
        <v>404</v>
      </c>
      <c r="B212" s="2" t="s">
        <v>142</v>
      </c>
      <c r="C212" s="2" t="s">
        <v>192</v>
      </c>
      <c r="D212" s="3">
        <v>45499.770833333343</v>
      </c>
      <c r="E212" s="3">
        <v>45499.784722222219</v>
      </c>
      <c r="F212" s="2">
        <v>20</v>
      </c>
      <c r="G212" s="2" t="s">
        <v>151</v>
      </c>
      <c r="H212" s="2" t="s">
        <v>144</v>
      </c>
      <c r="I212" s="2">
        <v>4</v>
      </c>
      <c r="J212" s="2">
        <v>4.5</v>
      </c>
      <c r="K212" s="2" t="s">
        <v>143</v>
      </c>
      <c r="L212" s="2" t="s">
        <v>169</v>
      </c>
      <c r="M212" s="2" t="b">
        <v>1</v>
      </c>
      <c r="N212" s="2" t="b">
        <v>0</v>
      </c>
      <c r="O212" s="2">
        <v>4.4444444444444446</v>
      </c>
      <c r="P212" s="2">
        <v>0.88888888888888884</v>
      </c>
      <c r="Q212" s="2" t="s">
        <v>379</v>
      </c>
      <c r="R212" s="2" t="s">
        <v>171</v>
      </c>
      <c r="S212" s="2">
        <v>10.8</v>
      </c>
      <c r="T212" s="2">
        <v>9.2000000000000011</v>
      </c>
      <c r="U212" s="2" t="b">
        <v>0</v>
      </c>
      <c r="V212" s="2">
        <v>12</v>
      </c>
      <c r="W212" s="2">
        <v>2</v>
      </c>
      <c r="X212" s="2">
        <v>18</v>
      </c>
      <c r="Y212" s="2">
        <v>30.259433962264151</v>
      </c>
    </row>
    <row r="213" spans="1:25" hidden="1">
      <c r="A213" s="2" t="s">
        <v>405</v>
      </c>
      <c r="B213" s="2" t="s">
        <v>149</v>
      </c>
      <c r="C213" s="2" t="s">
        <v>194</v>
      </c>
      <c r="D213" s="3">
        <v>45500.84375</v>
      </c>
      <c r="E213" s="3">
        <v>45500.861111111109</v>
      </c>
      <c r="F213" s="2">
        <v>25</v>
      </c>
      <c r="G213" s="2" t="s">
        <v>159</v>
      </c>
      <c r="H213" s="2" t="s">
        <v>160</v>
      </c>
      <c r="I213" s="2">
        <v>2</v>
      </c>
      <c r="J213" s="2">
        <v>2</v>
      </c>
      <c r="K213" s="2" t="s">
        <v>153</v>
      </c>
      <c r="L213" s="2" t="s">
        <v>154</v>
      </c>
      <c r="M213" s="2" t="b">
        <v>1</v>
      </c>
      <c r="N213" s="2" t="b">
        <v>1</v>
      </c>
      <c r="O213" s="2">
        <v>12.5</v>
      </c>
      <c r="P213" s="2">
        <v>1</v>
      </c>
      <c r="Q213" s="2" t="s">
        <v>379</v>
      </c>
      <c r="R213" s="2" t="s">
        <v>147</v>
      </c>
      <c r="S213" s="2">
        <v>4.8</v>
      </c>
      <c r="T213" s="2">
        <v>20.2</v>
      </c>
      <c r="U213" s="2" t="b">
        <v>0</v>
      </c>
      <c r="V213" s="2">
        <v>2</v>
      </c>
      <c r="W213" s="2">
        <v>3</v>
      </c>
      <c r="X213" s="2">
        <v>20</v>
      </c>
      <c r="Y213" s="2">
        <v>28.186274509803919</v>
      </c>
    </row>
    <row r="214" spans="1:25" hidden="1">
      <c r="A214" s="2" t="s">
        <v>406</v>
      </c>
      <c r="B214" s="2" t="s">
        <v>157</v>
      </c>
      <c r="C214" s="2" t="s">
        <v>174</v>
      </c>
      <c r="D214" s="3">
        <v>45501.770833333343</v>
      </c>
      <c r="E214" s="3">
        <v>45501.784722222219</v>
      </c>
      <c r="F214" s="2">
        <v>20</v>
      </c>
      <c r="G214" s="2" t="s">
        <v>143</v>
      </c>
      <c r="H214" s="2" t="s">
        <v>152</v>
      </c>
      <c r="I214" s="2">
        <v>3</v>
      </c>
      <c r="J214" s="2">
        <v>3</v>
      </c>
      <c r="K214" s="2" t="s">
        <v>153</v>
      </c>
      <c r="L214" s="2" t="s">
        <v>162</v>
      </c>
      <c r="M214" s="2" t="b">
        <v>1</v>
      </c>
      <c r="N214" s="2" t="b">
        <v>1</v>
      </c>
      <c r="O214" s="2">
        <v>6.666666666666667</v>
      </c>
      <c r="P214" s="2">
        <v>1</v>
      </c>
      <c r="Q214" s="2" t="s">
        <v>379</v>
      </c>
      <c r="R214" s="2" t="s">
        <v>147</v>
      </c>
      <c r="S214" s="2">
        <v>7.1999999999999993</v>
      </c>
      <c r="T214" s="2">
        <v>12.8</v>
      </c>
      <c r="U214" s="2" t="b">
        <v>0</v>
      </c>
      <c r="V214" s="2">
        <v>6</v>
      </c>
      <c r="W214" s="2">
        <v>3</v>
      </c>
      <c r="X214" s="2">
        <v>18</v>
      </c>
      <c r="Y214" s="2">
        <v>28.844221105527641</v>
      </c>
    </row>
    <row r="215" spans="1:25" hidden="1">
      <c r="A215" s="2" t="s">
        <v>407</v>
      </c>
      <c r="B215" s="2" t="s">
        <v>165</v>
      </c>
      <c r="C215" s="2" t="s">
        <v>150</v>
      </c>
      <c r="D215" s="3">
        <v>45502.822916666657</v>
      </c>
      <c r="E215" s="3">
        <v>45502.840277777781</v>
      </c>
      <c r="F215" s="2">
        <v>25</v>
      </c>
      <c r="G215" s="2" t="s">
        <v>167</v>
      </c>
      <c r="H215" s="2" t="s">
        <v>168</v>
      </c>
      <c r="I215" s="2">
        <v>5</v>
      </c>
      <c r="J215" s="2">
        <v>4.5</v>
      </c>
      <c r="K215" s="2" t="s">
        <v>161</v>
      </c>
      <c r="L215" s="2" t="s">
        <v>169</v>
      </c>
      <c r="M215" s="2" t="b">
        <v>1</v>
      </c>
      <c r="N215" s="2" t="b">
        <v>0</v>
      </c>
      <c r="O215" s="2">
        <v>5.5555555555555554</v>
      </c>
      <c r="P215" s="2">
        <v>1.1111111111111109</v>
      </c>
      <c r="Q215" s="2" t="s">
        <v>379</v>
      </c>
      <c r="R215" s="2" t="s">
        <v>171</v>
      </c>
      <c r="S215" s="2">
        <v>10.8</v>
      </c>
      <c r="T215" s="2">
        <v>14.2</v>
      </c>
      <c r="U215" s="2" t="b">
        <v>0</v>
      </c>
      <c r="V215" s="2">
        <v>20</v>
      </c>
      <c r="W215" s="2">
        <v>1</v>
      </c>
      <c r="X215" s="2">
        <v>19</v>
      </c>
      <c r="Y215" s="2">
        <v>29.948453608247419</v>
      </c>
    </row>
    <row r="216" spans="1:25" hidden="1">
      <c r="A216" s="2" t="s">
        <v>408</v>
      </c>
      <c r="B216" s="2" t="s">
        <v>173</v>
      </c>
      <c r="C216" s="2" t="s">
        <v>158</v>
      </c>
      <c r="D216" s="3">
        <v>45503.541666666657</v>
      </c>
      <c r="E216" s="3">
        <v>45503.555555555547</v>
      </c>
      <c r="F216" s="2">
        <v>20</v>
      </c>
      <c r="G216" s="2" t="s">
        <v>143</v>
      </c>
      <c r="H216" s="2" t="s">
        <v>152</v>
      </c>
      <c r="I216" s="2">
        <v>3</v>
      </c>
      <c r="J216" s="2">
        <v>3.5</v>
      </c>
      <c r="K216" s="2" t="s">
        <v>143</v>
      </c>
      <c r="L216" s="2" t="s">
        <v>154</v>
      </c>
      <c r="M216" s="2" t="b">
        <v>0</v>
      </c>
      <c r="N216" s="2" t="b">
        <v>0</v>
      </c>
      <c r="O216" s="2">
        <v>5.7142857142857144</v>
      </c>
      <c r="P216" s="2">
        <v>0.8571428571428571</v>
      </c>
      <c r="Q216" s="2" t="s">
        <v>379</v>
      </c>
      <c r="R216" s="2" t="s">
        <v>147</v>
      </c>
      <c r="S216" s="2">
        <v>8.4</v>
      </c>
      <c r="T216" s="2">
        <v>11.6</v>
      </c>
      <c r="U216" s="2" t="b">
        <v>0</v>
      </c>
      <c r="V216" s="2">
        <v>6</v>
      </c>
      <c r="W216" s="2">
        <v>2</v>
      </c>
      <c r="X216" s="2">
        <v>13</v>
      </c>
      <c r="Y216" s="2">
        <v>30.286458333333329</v>
      </c>
    </row>
    <row r="217" spans="1:25" hidden="1">
      <c r="A217" s="2" t="s">
        <v>409</v>
      </c>
      <c r="B217" s="2" t="s">
        <v>142</v>
      </c>
      <c r="C217" s="2" t="s">
        <v>166</v>
      </c>
      <c r="D217" s="3">
        <v>45504.770833333343</v>
      </c>
      <c r="E217" s="3">
        <v>45504.784722222219</v>
      </c>
      <c r="F217" s="2">
        <v>20</v>
      </c>
      <c r="G217" s="2" t="s">
        <v>151</v>
      </c>
      <c r="H217" s="2" t="s">
        <v>144</v>
      </c>
      <c r="I217" s="2">
        <v>4</v>
      </c>
      <c r="J217" s="2">
        <v>4</v>
      </c>
      <c r="K217" s="2" t="s">
        <v>153</v>
      </c>
      <c r="L217" s="2" t="s">
        <v>145</v>
      </c>
      <c r="M217" s="2" t="b">
        <v>1</v>
      </c>
      <c r="N217" s="2" t="b">
        <v>0</v>
      </c>
      <c r="O217" s="2">
        <v>5</v>
      </c>
      <c r="P217" s="2">
        <v>1</v>
      </c>
      <c r="Q217" s="2" t="s">
        <v>379</v>
      </c>
      <c r="R217" s="2" t="s">
        <v>147</v>
      </c>
      <c r="S217" s="2">
        <v>9.6</v>
      </c>
      <c r="T217" s="2">
        <v>10.4</v>
      </c>
      <c r="U217" s="2" t="b">
        <v>0</v>
      </c>
      <c r="V217" s="2">
        <v>12</v>
      </c>
      <c r="W217" s="2">
        <v>3</v>
      </c>
      <c r="X217" s="2">
        <v>18</v>
      </c>
      <c r="Y217" s="2">
        <v>30.259433962264151</v>
      </c>
    </row>
    <row r="218" spans="1:25" hidden="1">
      <c r="A218" s="2" t="s">
        <v>410</v>
      </c>
      <c r="B218" s="2" t="s">
        <v>149</v>
      </c>
      <c r="C218" s="2" t="s">
        <v>174</v>
      </c>
      <c r="D218" s="3">
        <v>45505.833333333343</v>
      </c>
      <c r="E218" s="3">
        <v>45505.850694444453</v>
      </c>
      <c r="F218" s="2">
        <v>25</v>
      </c>
      <c r="G218" s="2" t="s">
        <v>143</v>
      </c>
      <c r="H218" s="2" t="s">
        <v>152</v>
      </c>
      <c r="I218" s="2">
        <v>3</v>
      </c>
      <c r="J218" s="2">
        <v>3</v>
      </c>
      <c r="K218" s="2" t="s">
        <v>161</v>
      </c>
      <c r="L218" s="2" t="s">
        <v>162</v>
      </c>
      <c r="M218" s="2" t="b">
        <v>1</v>
      </c>
      <c r="N218" s="2" t="b">
        <v>0</v>
      </c>
      <c r="O218" s="2">
        <v>8.3333333333333339</v>
      </c>
      <c r="P218" s="2">
        <v>1</v>
      </c>
      <c r="Q218" s="2" t="s">
        <v>304</v>
      </c>
      <c r="R218" s="2" t="s">
        <v>147</v>
      </c>
      <c r="S218" s="2">
        <v>7.1999999999999993</v>
      </c>
      <c r="T218" s="2">
        <v>17.8</v>
      </c>
      <c r="U218" s="2" t="b">
        <v>0</v>
      </c>
      <c r="V218" s="2">
        <v>6</v>
      </c>
      <c r="W218" s="2">
        <v>1</v>
      </c>
      <c r="X218" s="2">
        <v>20</v>
      </c>
      <c r="Y218" s="2">
        <v>28.186274509803919</v>
      </c>
    </row>
    <row r="219" spans="1:25" hidden="1">
      <c r="A219" s="2" t="s">
        <v>411</v>
      </c>
      <c r="B219" s="2" t="s">
        <v>157</v>
      </c>
      <c r="C219" s="2" t="s">
        <v>184</v>
      </c>
      <c r="D219" s="3">
        <v>45506.802083333343</v>
      </c>
      <c r="E219" s="3">
        <v>45506.815972222219</v>
      </c>
      <c r="F219" s="2">
        <v>20</v>
      </c>
      <c r="G219" s="2" t="s">
        <v>159</v>
      </c>
      <c r="H219" s="2" t="s">
        <v>160</v>
      </c>
      <c r="I219" s="2">
        <v>2</v>
      </c>
      <c r="J219" s="2">
        <v>2.5</v>
      </c>
      <c r="K219" s="2" t="s">
        <v>161</v>
      </c>
      <c r="L219" s="2" t="s">
        <v>169</v>
      </c>
      <c r="M219" s="2" t="b">
        <v>1</v>
      </c>
      <c r="N219" s="2" t="b">
        <v>0</v>
      </c>
      <c r="O219" s="2">
        <v>8</v>
      </c>
      <c r="P219" s="2">
        <v>0.8</v>
      </c>
      <c r="Q219" s="2" t="s">
        <v>304</v>
      </c>
      <c r="R219" s="2" t="s">
        <v>171</v>
      </c>
      <c r="S219" s="2">
        <v>6</v>
      </c>
      <c r="T219" s="2">
        <v>14</v>
      </c>
      <c r="U219" s="2" t="b">
        <v>0</v>
      </c>
      <c r="V219" s="2">
        <v>2</v>
      </c>
      <c r="W219" s="2">
        <v>1</v>
      </c>
      <c r="X219" s="2">
        <v>19</v>
      </c>
      <c r="Y219" s="2">
        <v>28.844221105527641</v>
      </c>
    </row>
    <row r="220" spans="1:25" hidden="1">
      <c r="A220" s="2" t="s">
        <v>412</v>
      </c>
      <c r="B220" s="2" t="s">
        <v>165</v>
      </c>
      <c r="C220" s="2" t="s">
        <v>186</v>
      </c>
      <c r="D220" s="3">
        <v>45507.822916666657</v>
      </c>
      <c r="E220" s="3">
        <v>45507.840277777781</v>
      </c>
      <c r="F220" s="2">
        <v>25</v>
      </c>
      <c r="G220" s="2" t="s">
        <v>167</v>
      </c>
      <c r="H220" s="2" t="s">
        <v>168</v>
      </c>
      <c r="I220" s="2">
        <v>5</v>
      </c>
      <c r="J220" s="2">
        <v>4.5</v>
      </c>
      <c r="K220" s="2" t="s">
        <v>153</v>
      </c>
      <c r="L220" s="2" t="s">
        <v>154</v>
      </c>
      <c r="M220" s="2" t="b">
        <v>1</v>
      </c>
      <c r="N220" s="2" t="b">
        <v>1</v>
      </c>
      <c r="O220" s="2">
        <v>5.5555555555555554</v>
      </c>
      <c r="P220" s="2">
        <v>1.1111111111111109</v>
      </c>
      <c r="Q220" s="2" t="s">
        <v>304</v>
      </c>
      <c r="R220" s="2" t="s">
        <v>147</v>
      </c>
      <c r="S220" s="2">
        <v>10.8</v>
      </c>
      <c r="T220" s="2">
        <v>14.2</v>
      </c>
      <c r="U220" s="2" t="b">
        <v>0</v>
      </c>
      <c r="V220" s="2">
        <v>20</v>
      </c>
      <c r="W220" s="2">
        <v>3</v>
      </c>
      <c r="X220" s="2">
        <v>19</v>
      </c>
      <c r="Y220" s="2">
        <v>29.948453608247419</v>
      </c>
    </row>
    <row r="221" spans="1:25" hidden="1">
      <c r="A221" s="2" t="s">
        <v>413</v>
      </c>
      <c r="B221" s="2" t="s">
        <v>173</v>
      </c>
      <c r="C221" s="2" t="s">
        <v>188</v>
      </c>
      <c r="D221" s="3">
        <v>45508.541666666657</v>
      </c>
      <c r="E221" s="3">
        <v>45508.555555555547</v>
      </c>
      <c r="F221" s="2">
        <v>20</v>
      </c>
      <c r="G221" s="2" t="s">
        <v>143</v>
      </c>
      <c r="H221" s="2" t="s">
        <v>152</v>
      </c>
      <c r="I221" s="2">
        <v>3</v>
      </c>
      <c r="J221" s="2">
        <v>3</v>
      </c>
      <c r="K221" s="2" t="s">
        <v>143</v>
      </c>
      <c r="L221" s="2" t="s">
        <v>145</v>
      </c>
      <c r="M221" s="2" t="b">
        <v>0</v>
      </c>
      <c r="N221" s="2" t="b">
        <v>1</v>
      </c>
      <c r="O221" s="2">
        <v>6.666666666666667</v>
      </c>
      <c r="P221" s="2">
        <v>1</v>
      </c>
      <c r="Q221" s="2" t="s">
        <v>304</v>
      </c>
      <c r="R221" s="2" t="s">
        <v>147</v>
      </c>
      <c r="S221" s="2">
        <v>7.1999999999999993</v>
      </c>
      <c r="T221" s="2">
        <v>12.8</v>
      </c>
      <c r="U221" s="2" t="b">
        <v>0</v>
      </c>
      <c r="V221" s="2">
        <v>6</v>
      </c>
      <c r="W221" s="2">
        <v>2</v>
      </c>
      <c r="X221" s="2">
        <v>13</v>
      </c>
      <c r="Y221" s="2">
        <v>30.286458333333329</v>
      </c>
    </row>
    <row r="222" spans="1:25" hidden="1">
      <c r="A222" s="2" t="s">
        <v>414</v>
      </c>
      <c r="B222" s="2" t="s">
        <v>142</v>
      </c>
      <c r="C222" s="2" t="s">
        <v>40</v>
      </c>
      <c r="D222" s="3">
        <v>45509.770833333343</v>
      </c>
      <c r="E222" s="3">
        <v>45509.788194444453</v>
      </c>
      <c r="F222" s="2">
        <v>25</v>
      </c>
      <c r="G222" s="2" t="s">
        <v>151</v>
      </c>
      <c r="H222" s="2" t="s">
        <v>144</v>
      </c>
      <c r="I222" s="2">
        <v>3</v>
      </c>
      <c r="J222" s="2">
        <v>5</v>
      </c>
      <c r="K222" s="2" t="s">
        <v>153</v>
      </c>
      <c r="L222" s="2" t="s">
        <v>145</v>
      </c>
      <c r="M222" s="2" t="b">
        <v>1</v>
      </c>
      <c r="N222" s="2" t="b">
        <v>0</v>
      </c>
      <c r="O222" s="2">
        <v>5</v>
      </c>
      <c r="P222" s="2">
        <v>0.6</v>
      </c>
      <c r="Q222" s="2" t="s">
        <v>304</v>
      </c>
      <c r="R222" s="2" t="s">
        <v>147</v>
      </c>
      <c r="S222" s="2">
        <v>12</v>
      </c>
      <c r="T222" s="2">
        <v>13</v>
      </c>
      <c r="U222" s="2" t="b">
        <v>0</v>
      </c>
      <c r="V222" s="2">
        <v>9</v>
      </c>
      <c r="W222" s="2">
        <v>3</v>
      </c>
      <c r="X222" s="2">
        <v>18</v>
      </c>
      <c r="Y222" s="2">
        <v>30.259433962264151</v>
      </c>
    </row>
    <row r="223" spans="1:25" hidden="1">
      <c r="A223" s="2" t="s">
        <v>415</v>
      </c>
      <c r="B223" s="2" t="s">
        <v>149</v>
      </c>
      <c r="C223" s="2" t="s">
        <v>150</v>
      </c>
      <c r="D223" s="3">
        <v>45510.791666666657</v>
      </c>
      <c r="E223" s="3">
        <v>45510.8125</v>
      </c>
      <c r="F223" s="2">
        <v>30</v>
      </c>
      <c r="G223" s="2" t="s">
        <v>143</v>
      </c>
      <c r="H223" s="2" t="s">
        <v>152</v>
      </c>
      <c r="I223" s="2">
        <v>4</v>
      </c>
      <c r="J223" s="2">
        <v>3.5</v>
      </c>
      <c r="K223" s="2" t="s">
        <v>143</v>
      </c>
      <c r="L223" s="2" t="s">
        <v>162</v>
      </c>
      <c r="M223" s="2" t="b">
        <v>1</v>
      </c>
      <c r="N223" s="2" t="b">
        <v>0</v>
      </c>
      <c r="O223" s="2">
        <v>8.5714285714285712</v>
      </c>
      <c r="P223" s="2">
        <v>1.142857142857143</v>
      </c>
      <c r="Q223" s="2" t="s">
        <v>304</v>
      </c>
      <c r="R223" s="2" t="s">
        <v>147</v>
      </c>
      <c r="S223" s="2">
        <v>8.4</v>
      </c>
      <c r="T223" s="2">
        <v>21.6</v>
      </c>
      <c r="U223" s="2" t="b">
        <v>0</v>
      </c>
      <c r="V223" s="2">
        <v>8</v>
      </c>
      <c r="W223" s="2">
        <v>2</v>
      </c>
      <c r="X223" s="2">
        <v>19</v>
      </c>
      <c r="Y223" s="2">
        <v>28.186274509803919</v>
      </c>
    </row>
    <row r="224" spans="1:25" hidden="1">
      <c r="A224" s="2" t="s">
        <v>416</v>
      </c>
      <c r="B224" s="2" t="s">
        <v>157</v>
      </c>
      <c r="C224" s="2" t="s">
        <v>158</v>
      </c>
      <c r="D224" s="3">
        <v>45511.84375</v>
      </c>
      <c r="E224" s="3">
        <v>45511.861111111109</v>
      </c>
      <c r="F224" s="2">
        <v>25</v>
      </c>
      <c r="G224" s="2" t="s">
        <v>159</v>
      </c>
      <c r="H224" s="2" t="s">
        <v>160</v>
      </c>
      <c r="I224" s="2">
        <v>2</v>
      </c>
      <c r="J224" s="2">
        <v>4</v>
      </c>
      <c r="K224" s="2" t="s">
        <v>161</v>
      </c>
      <c r="L224" s="2" t="s">
        <v>169</v>
      </c>
      <c r="M224" s="2" t="b">
        <v>1</v>
      </c>
      <c r="N224" s="2" t="b">
        <v>0</v>
      </c>
      <c r="O224" s="2">
        <v>6.25</v>
      </c>
      <c r="P224" s="2">
        <v>0.5</v>
      </c>
      <c r="Q224" s="2" t="s">
        <v>304</v>
      </c>
      <c r="R224" s="2" t="s">
        <v>171</v>
      </c>
      <c r="S224" s="2">
        <v>9.6</v>
      </c>
      <c r="T224" s="2">
        <v>15.4</v>
      </c>
      <c r="U224" s="2" t="b">
        <v>0</v>
      </c>
      <c r="V224" s="2">
        <v>2</v>
      </c>
      <c r="W224" s="2">
        <v>1</v>
      </c>
      <c r="X224" s="2">
        <v>20</v>
      </c>
      <c r="Y224" s="2">
        <v>28.844221105527641</v>
      </c>
    </row>
    <row r="225" spans="1:25" hidden="1">
      <c r="A225" s="2" t="s">
        <v>417</v>
      </c>
      <c r="B225" s="2" t="s">
        <v>165</v>
      </c>
      <c r="C225" s="2" t="s">
        <v>184</v>
      </c>
      <c r="D225" s="3">
        <v>45512.822916666657</v>
      </c>
      <c r="E225" s="3">
        <v>45512.840277777781</v>
      </c>
      <c r="F225" s="2">
        <v>25</v>
      </c>
      <c r="G225" s="2" t="s">
        <v>167</v>
      </c>
      <c r="H225" s="2" t="s">
        <v>168</v>
      </c>
      <c r="I225" s="2">
        <v>5</v>
      </c>
      <c r="J225" s="2">
        <v>6</v>
      </c>
      <c r="K225" s="2" t="s">
        <v>153</v>
      </c>
      <c r="L225" s="2" t="s">
        <v>154</v>
      </c>
      <c r="M225" s="2" t="b">
        <v>1</v>
      </c>
      <c r="N225" s="2" t="b">
        <v>0</v>
      </c>
      <c r="O225" s="2">
        <v>4.166666666666667</v>
      </c>
      <c r="P225" s="2">
        <v>0.83333333333333337</v>
      </c>
      <c r="Q225" s="2" t="s">
        <v>304</v>
      </c>
      <c r="R225" s="2" t="s">
        <v>147</v>
      </c>
      <c r="S225" s="2">
        <v>14.4</v>
      </c>
      <c r="T225" s="2">
        <v>10.6</v>
      </c>
      <c r="U225" s="2" t="b">
        <v>0</v>
      </c>
      <c r="V225" s="2">
        <v>20</v>
      </c>
      <c r="W225" s="2">
        <v>3</v>
      </c>
      <c r="X225" s="2">
        <v>19</v>
      </c>
      <c r="Y225" s="2">
        <v>29.948453608247419</v>
      </c>
    </row>
    <row r="226" spans="1:25" hidden="1">
      <c r="A226" s="2" t="s">
        <v>418</v>
      </c>
      <c r="B226" s="2" t="s">
        <v>173</v>
      </c>
      <c r="C226" s="2" t="s">
        <v>186</v>
      </c>
      <c r="D226" s="3">
        <v>45513.541666666657</v>
      </c>
      <c r="E226" s="3">
        <v>45513.559027777781</v>
      </c>
      <c r="F226" s="2">
        <v>25</v>
      </c>
      <c r="G226" s="2" t="s">
        <v>143</v>
      </c>
      <c r="H226" s="2" t="s">
        <v>152</v>
      </c>
      <c r="I226" s="2">
        <v>3</v>
      </c>
      <c r="J226" s="2">
        <v>3</v>
      </c>
      <c r="K226" s="2" t="s">
        <v>161</v>
      </c>
      <c r="L226" s="2" t="s">
        <v>145</v>
      </c>
      <c r="M226" s="2" t="b">
        <v>0</v>
      </c>
      <c r="N226" s="2" t="b">
        <v>0</v>
      </c>
      <c r="O226" s="2">
        <v>8.3333333333333339</v>
      </c>
      <c r="P226" s="2">
        <v>1</v>
      </c>
      <c r="Q226" s="2" t="s">
        <v>304</v>
      </c>
      <c r="R226" s="2" t="s">
        <v>147</v>
      </c>
      <c r="S226" s="2">
        <v>7.1999999999999993</v>
      </c>
      <c r="T226" s="2">
        <v>17.8</v>
      </c>
      <c r="U226" s="2" t="b">
        <v>0</v>
      </c>
      <c r="V226" s="2">
        <v>6</v>
      </c>
      <c r="W226" s="2">
        <v>1</v>
      </c>
      <c r="X226" s="2">
        <v>13</v>
      </c>
      <c r="Y226" s="2">
        <v>30.286458333333329</v>
      </c>
    </row>
    <row r="227" spans="1:25" hidden="1">
      <c r="A227" s="2" t="s">
        <v>419</v>
      </c>
      <c r="B227" s="2" t="s">
        <v>142</v>
      </c>
      <c r="C227" s="2" t="s">
        <v>166</v>
      </c>
      <c r="D227" s="3">
        <v>45514.770833333343</v>
      </c>
      <c r="E227" s="3">
        <v>45514.788194444453</v>
      </c>
      <c r="F227" s="2">
        <v>25</v>
      </c>
      <c r="G227" s="2" t="s">
        <v>151</v>
      </c>
      <c r="H227" s="2" t="s">
        <v>144</v>
      </c>
      <c r="I227" s="2">
        <v>4</v>
      </c>
      <c r="J227" s="2">
        <v>5</v>
      </c>
      <c r="K227" s="2" t="s">
        <v>153</v>
      </c>
      <c r="L227" s="2" t="s">
        <v>162</v>
      </c>
      <c r="M227" s="2" t="b">
        <v>1</v>
      </c>
      <c r="N227" s="2" t="b">
        <v>1</v>
      </c>
      <c r="O227" s="2">
        <v>5</v>
      </c>
      <c r="P227" s="2">
        <v>0.8</v>
      </c>
      <c r="Q227" s="2" t="s">
        <v>304</v>
      </c>
      <c r="R227" s="2" t="s">
        <v>147</v>
      </c>
      <c r="S227" s="2">
        <v>12</v>
      </c>
      <c r="T227" s="2">
        <v>13</v>
      </c>
      <c r="U227" s="2" t="b">
        <v>0</v>
      </c>
      <c r="V227" s="2">
        <v>12</v>
      </c>
      <c r="W227" s="2">
        <v>3</v>
      </c>
      <c r="X227" s="2">
        <v>18</v>
      </c>
      <c r="Y227" s="2">
        <v>30.259433962264151</v>
      </c>
    </row>
    <row r="228" spans="1:25" hidden="1">
      <c r="A228" s="2" t="s">
        <v>420</v>
      </c>
      <c r="B228" s="2" t="s">
        <v>149</v>
      </c>
      <c r="C228" s="2" t="s">
        <v>192</v>
      </c>
      <c r="D228" s="3">
        <v>45515.84375</v>
      </c>
      <c r="E228" s="3">
        <v>45515.861111111109</v>
      </c>
      <c r="F228" s="2">
        <v>25</v>
      </c>
      <c r="G228" s="2" t="s">
        <v>159</v>
      </c>
      <c r="H228" s="2" t="s">
        <v>160</v>
      </c>
      <c r="I228" s="2">
        <v>2</v>
      </c>
      <c r="J228" s="2">
        <v>2.5</v>
      </c>
      <c r="K228" s="2" t="s">
        <v>143</v>
      </c>
      <c r="L228" s="2" t="s">
        <v>169</v>
      </c>
      <c r="M228" s="2" t="b">
        <v>1</v>
      </c>
      <c r="N228" s="2" t="b">
        <v>1</v>
      </c>
      <c r="O228" s="2">
        <v>10</v>
      </c>
      <c r="P228" s="2">
        <v>0.8</v>
      </c>
      <c r="Q228" s="2" t="s">
        <v>304</v>
      </c>
      <c r="R228" s="2" t="s">
        <v>171</v>
      </c>
      <c r="S228" s="2">
        <v>6</v>
      </c>
      <c r="T228" s="2">
        <v>19</v>
      </c>
      <c r="U228" s="2" t="b">
        <v>0</v>
      </c>
      <c r="V228" s="2">
        <v>2</v>
      </c>
      <c r="W228" s="2">
        <v>2</v>
      </c>
      <c r="X228" s="2">
        <v>20</v>
      </c>
      <c r="Y228" s="2">
        <v>28.186274509803919</v>
      </c>
    </row>
    <row r="229" spans="1:25" hidden="1">
      <c r="A229" s="2" t="s">
        <v>421</v>
      </c>
      <c r="B229" s="2" t="s">
        <v>157</v>
      </c>
      <c r="C229" s="2" t="s">
        <v>194</v>
      </c>
      <c r="D229" s="3">
        <v>45516.770833333343</v>
      </c>
      <c r="E229" s="3">
        <v>45516.784722222219</v>
      </c>
      <c r="F229" s="2">
        <v>20</v>
      </c>
      <c r="G229" s="2" t="s">
        <v>143</v>
      </c>
      <c r="H229" s="2" t="s">
        <v>152</v>
      </c>
      <c r="I229" s="2">
        <v>3</v>
      </c>
      <c r="J229" s="2">
        <v>3.5</v>
      </c>
      <c r="K229" s="2" t="s">
        <v>161</v>
      </c>
      <c r="L229" s="2" t="s">
        <v>154</v>
      </c>
      <c r="M229" s="2" t="b">
        <v>1</v>
      </c>
      <c r="N229" s="2" t="b">
        <v>0</v>
      </c>
      <c r="O229" s="2">
        <v>5.7142857142857144</v>
      </c>
      <c r="P229" s="2">
        <v>0.8571428571428571</v>
      </c>
      <c r="Q229" s="2" t="s">
        <v>304</v>
      </c>
      <c r="R229" s="2" t="s">
        <v>147</v>
      </c>
      <c r="S229" s="2">
        <v>8.4</v>
      </c>
      <c r="T229" s="2">
        <v>11.6</v>
      </c>
      <c r="U229" s="2" t="b">
        <v>0</v>
      </c>
      <c r="V229" s="2">
        <v>6</v>
      </c>
      <c r="W229" s="2">
        <v>1</v>
      </c>
      <c r="X229" s="2">
        <v>18</v>
      </c>
      <c r="Y229" s="2">
        <v>28.844221105527641</v>
      </c>
    </row>
    <row r="230" spans="1:25" hidden="1">
      <c r="A230" s="2" t="s">
        <v>422</v>
      </c>
      <c r="B230" s="2" t="s">
        <v>165</v>
      </c>
      <c r="C230" s="2" t="s">
        <v>150</v>
      </c>
      <c r="D230" s="3">
        <v>45517.822916666657</v>
      </c>
      <c r="E230" s="3">
        <v>45517.840277777781</v>
      </c>
      <c r="F230" s="2">
        <v>25</v>
      </c>
      <c r="G230" s="2" t="s">
        <v>167</v>
      </c>
      <c r="H230" s="2" t="s">
        <v>168</v>
      </c>
      <c r="I230" s="2">
        <v>5</v>
      </c>
      <c r="J230" s="2">
        <v>4.5</v>
      </c>
      <c r="K230" s="2" t="s">
        <v>161</v>
      </c>
      <c r="L230" s="2" t="s">
        <v>169</v>
      </c>
      <c r="M230" s="2" t="b">
        <v>1</v>
      </c>
      <c r="N230" s="2" t="b">
        <v>0</v>
      </c>
      <c r="O230" s="2">
        <v>5.5555555555555554</v>
      </c>
      <c r="P230" s="2">
        <v>1.1111111111111109</v>
      </c>
      <c r="Q230" s="2" t="s">
        <v>304</v>
      </c>
      <c r="R230" s="2" t="s">
        <v>171</v>
      </c>
      <c r="S230" s="2">
        <v>10.8</v>
      </c>
      <c r="T230" s="2">
        <v>14.2</v>
      </c>
      <c r="U230" s="2" t="b">
        <v>0</v>
      </c>
      <c r="V230" s="2">
        <v>20</v>
      </c>
      <c r="W230" s="2">
        <v>1</v>
      </c>
      <c r="X230" s="2">
        <v>19</v>
      </c>
      <c r="Y230" s="2">
        <v>29.948453608247419</v>
      </c>
    </row>
    <row r="231" spans="1:25" hidden="1">
      <c r="A231" s="2" t="s">
        <v>423</v>
      </c>
      <c r="B231" s="2" t="s">
        <v>142</v>
      </c>
      <c r="C231" s="2" t="s">
        <v>40</v>
      </c>
      <c r="D231" s="3">
        <v>45518.770833333343</v>
      </c>
      <c r="E231" s="3">
        <v>45518.795138888891</v>
      </c>
      <c r="F231" s="2">
        <v>35</v>
      </c>
      <c r="G231" s="2" t="s">
        <v>151</v>
      </c>
      <c r="H231" s="2" t="s">
        <v>144</v>
      </c>
      <c r="I231" s="2">
        <v>3</v>
      </c>
      <c r="J231" s="2">
        <v>5</v>
      </c>
      <c r="K231" s="2" t="s">
        <v>153</v>
      </c>
      <c r="L231" s="2" t="s">
        <v>162</v>
      </c>
      <c r="M231" s="2" t="b">
        <v>1</v>
      </c>
      <c r="N231" s="2" t="b">
        <v>0</v>
      </c>
      <c r="O231" s="2">
        <v>7</v>
      </c>
      <c r="P231" s="2">
        <v>0.6</v>
      </c>
      <c r="Q231" s="2" t="s">
        <v>304</v>
      </c>
      <c r="R231" s="2" t="s">
        <v>147</v>
      </c>
      <c r="S231" s="2">
        <v>12</v>
      </c>
      <c r="T231" s="2">
        <v>23</v>
      </c>
      <c r="U231" s="2" t="b">
        <v>1</v>
      </c>
      <c r="V231" s="2">
        <v>9</v>
      </c>
      <c r="W231" s="2">
        <v>3</v>
      </c>
      <c r="X231" s="2">
        <v>18</v>
      </c>
      <c r="Y231" s="2">
        <v>30.259433962264151</v>
      </c>
    </row>
    <row r="232" spans="1:25" hidden="1">
      <c r="A232" s="2" t="s">
        <v>424</v>
      </c>
      <c r="B232" s="2" t="s">
        <v>149</v>
      </c>
      <c r="C232" s="2" t="s">
        <v>158</v>
      </c>
      <c r="D232" s="3">
        <v>45519.84375</v>
      </c>
      <c r="E232" s="3">
        <v>45519.861111111109</v>
      </c>
      <c r="F232" s="2">
        <v>25</v>
      </c>
      <c r="G232" s="2" t="s">
        <v>143</v>
      </c>
      <c r="H232" s="2" t="s">
        <v>152</v>
      </c>
      <c r="I232" s="2">
        <v>4</v>
      </c>
      <c r="J232" s="2">
        <v>3.5</v>
      </c>
      <c r="K232" s="2" t="s">
        <v>143</v>
      </c>
      <c r="L232" s="2" t="s">
        <v>145</v>
      </c>
      <c r="M232" s="2" t="b">
        <v>1</v>
      </c>
      <c r="N232" s="2" t="b">
        <v>0</v>
      </c>
      <c r="O232" s="2">
        <v>7.1428571428571432</v>
      </c>
      <c r="P232" s="2">
        <v>1.142857142857143</v>
      </c>
      <c r="Q232" s="2" t="s">
        <v>304</v>
      </c>
      <c r="R232" s="2" t="s">
        <v>147</v>
      </c>
      <c r="S232" s="2">
        <v>8.4</v>
      </c>
      <c r="T232" s="2">
        <v>16.600000000000001</v>
      </c>
      <c r="U232" s="2" t="b">
        <v>0</v>
      </c>
      <c r="V232" s="2">
        <v>8</v>
      </c>
      <c r="W232" s="2">
        <v>2</v>
      </c>
      <c r="X232" s="2">
        <v>20</v>
      </c>
      <c r="Y232" s="2">
        <v>28.186274509803919</v>
      </c>
    </row>
    <row r="233" spans="1:25" hidden="1">
      <c r="A233" s="2" t="s">
        <v>425</v>
      </c>
      <c r="B233" s="2" t="s">
        <v>157</v>
      </c>
      <c r="C233" s="2" t="s">
        <v>184</v>
      </c>
      <c r="D233" s="3">
        <v>45520.791666666657</v>
      </c>
      <c r="E233" s="3">
        <v>45520.805555555547</v>
      </c>
      <c r="F233" s="2">
        <v>20</v>
      </c>
      <c r="G233" s="2" t="s">
        <v>159</v>
      </c>
      <c r="H233" s="2" t="s">
        <v>160</v>
      </c>
      <c r="I233" s="2">
        <v>2</v>
      </c>
      <c r="J233" s="2">
        <v>2</v>
      </c>
      <c r="K233" s="2" t="s">
        <v>161</v>
      </c>
      <c r="L233" s="2" t="s">
        <v>154</v>
      </c>
      <c r="M233" s="2" t="b">
        <v>1</v>
      </c>
      <c r="N233" s="2" t="b">
        <v>0</v>
      </c>
      <c r="O233" s="2">
        <v>10</v>
      </c>
      <c r="P233" s="2">
        <v>1</v>
      </c>
      <c r="Q233" s="2" t="s">
        <v>304</v>
      </c>
      <c r="R233" s="2" t="s">
        <v>147</v>
      </c>
      <c r="S233" s="2">
        <v>4.8</v>
      </c>
      <c r="T233" s="2">
        <v>15.2</v>
      </c>
      <c r="U233" s="2" t="b">
        <v>0</v>
      </c>
      <c r="V233" s="2">
        <v>2</v>
      </c>
      <c r="W233" s="2">
        <v>1</v>
      </c>
      <c r="X233" s="2">
        <v>19</v>
      </c>
      <c r="Y233" s="2">
        <v>28.844221105527641</v>
      </c>
    </row>
    <row r="234" spans="1:25" hidden="1">
      <c r="A234" s="2" t="s">
        <v>426</v>
      </c>
      <c r="B234" s="2" t="s">
        <v>173</v>
      </c>
      <c r="C234" s="2" t="s">
        <v>186</v>
      </c>
      <c r="D234" s="3">
        <v>45521.541666666657</v>
      </c>
      <c r="E234" s="3">
        <v>45521.5625</v>
      </c>
      <c r="F234" s="2">
        <v>30</v>
      </c>
      <c r="G234" s="2" t="s">
        <v>143</v>
      </c>
      <c r="H234" s="2" t="s">
        <v>152</v>
      </c>
      <c r="I234" s="2">
        <v>3</v>
      </c>
      <c r="J234" s="2">
        <v>3</v>
      </c>
      <c r="K234" s="2" t="s">
        <v>153</v>
      </c>
      <c r="L234" s="2" t="s">
        <v>162</v>
      </c>
      <c r="M234" s="2" t="b">
        <v>0</v>
      </c>
      <c r="N234" s="2" t="b">
        <v>1</v>
      </c>
      <c r="O234" s="2">
        <v>10</v>
      </c>
      <c r="P234" s="2">
        <v>1</v>
      </c>
      <c r="Q234" s="2" t="s">
        <v>304</v>
      </c>
      <c r="R234" s="2" t="s">
        <v>147</v>
      </c>
      <c r="S234" s="2">
        <v>7.1999999999999993</v>
      </c>
      <c r="T234" s="2">
        <v>22.8</v>
      </c>
      <c r="U234" s="2" t="b">
        <v>0</v>
      </c>
      <c r="V234" s="2">
        <v>6</v>
      </c>
      <c r="W234" s="2">
        <v>3</v>
      </c>
      <c r="X234" s="2">
        <v>13</v>
      </c>
      <c r="Y234" s="2">
        <v>30.286458333333329</v>
      </c>
    </row>
    <row r="235" spans="1:25" hidden="1">
      <c r="A235" s="2" t="s">
        <v>427</v>
      </c>
      <c r="B235" s="2" t="s">
        <v>142</v>
      </c>
      <c r="C235" s="2" t="s">
        <v>166</v>
      </c>
      <c r="D235" s="3">
        <v>45522.770833333343</v>
      </c>
      <c r="E235" s="3">
        <v>45522.798611111109</v>
      </c>
      <c r="F235" s="2">
        <v>40</v>
      </c>
      <c r="G235" s="2" t="s">
        <v>151</v>
      </c>
      <c r="H235" s="2" t="s">
        <v>144</v>
      </c>
      <c r="I235" s="2">
        <v>4</v>
      </c>
      <c r="J235" s="2">
        <v>5</v>
      </c>
      <c r="K235" s="2" t="s">
        <v>153</v>
      </c>
      <c r="L235" s="2" t="s">
        <v>145</v>
      </c>
      <c r="M235" s="2" t="b">
        <v>1</v>
      </c>
      <c r="N235" s="2" t="b">
        <v>1</v>
      </c>
      <c r="O235" s="2">
        <v>8</v>
      </c>
      <c r="P235" s="2">
        <v>0.8</v>
      </c>
      <c r="Q235" s="2" t="s">
        <v>304</v>
      </c>
      <c r="R235" s="2" t="s">
        <v>147</v>
      </c>
      <c r="S235" s="2">
        <v>12</v>
      </c>
      <c r="T235" s="2">
        <v>28</v>
      </c>
      <c r="U235" s="2" t="b">
        <v>1</v>
      </c>
      <c r="V235" s="2">
        <v>12</v>
      </c>
      <c r="W235" s="2">
        <v>3</v>
      </c>
      <c r="X235" s="2">
        <v>18</v>
      </c>
      <c r="Y235" s="2">
        <v>30.259433962264151</v>
      </c>
    </row>
    <row r="236" spans="1:25" hidden="1">
      <c r="A236" s="2" t="s">
        <v>428</v>
      </c>
      <c r="B236" s="2" t="s">
        <v>149</v>
      </c>
      <c r="C236" s="2" t="s">
        <v>192</v>
      </c>
      <c r="D236" s="3">
        <v>45523.84375</v>
      </c>
      <c r="E236" s="3">
        <v>45523.857638888891</v>
      </c>
      <c r="F236" s="2">
        <v>20</v>
      </c>
      <c r="G236" s="2" t="s">
        <v>159</v>
      </c>
      <c r="H236" s="2" t="s">
        <v>160</v>
      </c>
      <c r="I236" s="2">
        <v>2</v>
      </c>
      <c r="J236" s="2">
        <v>2.5</v>
      </c>
      <c r="K236" s="2" t="s">
        <v>143</v>
      </c>
      <c r="L236" s="2" t="s">
        <v>169</v>
      </c>
      <c r="M236" s="2" t="b">
        <v>1</v>
      </c>
      <c r="N236" s="2" t="b">
        <v>0</v>
      </c>
      <c r="O236" s="2">
        <v>8</v>
      </c>
      <c r="P236" s="2">
        <v>0.8</v>
      </c>
      <c r="Q236" s="2" t="s">
        <v>304</v>
      </c>
      <c r="R236" s="2" t="s">
        <v>171</v>
      </c>
      <c r="S236" s="2">
        <v>6</v>
      </c>
      <c r="T236" s="2">
        <v>14</v>
      </c>
      <c r="U236" s="2" t="b">
        <v>0</v>
      </c>
      <c r="V236" s="2">
        <v>2</v>
      </c>
      <c r="W236" s="2">
        <v>2</v>
      </c>
      <c r="X236" s="2">
        <v>20</v>
      </c>
      <c r="Y236" s="2">
        <v>28.186274509803919</v>
      </c>
    </row>
    <row r="237" spans="1:25" hidden="1">
      <c r="A237" s="2" t="s">
        <v>429</v>
      </c>
      <c r="B237" s="2" t="s">
        <v>157</v>
      </c>
      <c r="C237" s="2" t="s">
        <v>194</v>
      </c>
      <c r="D237" s="3">
        <v>45524.770833333343</v>
      </c>
      <c r="E237" s="3">
        <v>45524.784722222219</v>
      </c>
      <c r="F237" s="2">
        <v>20</v>
      </c>
      <c r="G237" s="2" t="s">
        <v>143</v>
      </c>
      <c r="H237" s="2" t="s">
        <v>152</v>
      </c>
      <c r="I237" s="2">
        <v>3</v>
      </c>
      <c r="J237" s="2">
        <v>3.5</v>
      </c>
      <c r="K237" s="2" t="s">
        <v>161</v>
      </c>
      <c r="L237" s="2" t="s">
        <v>154</v>
      </c>
      <c r="M237" s="2" t="b">
        <v>1</v>
      </c>
      <c r="N237" s="2" t="b">
        <v>0</v>
      </c>
      <c r="O237" s="2">
        <v>5.7142857142857144</v>
      </c>
      <c r="P237" s="2">
        <v>0.8571428571428571</v>
      </c>
      <c r="Q237" s="2" t="s">
        <v>304</v>
      </c>
      <c r="R237" s="2" t="s">
        <v>147</v>
      </c>
      <c r="S237" s="2">
        <v>8.4</v>
      </c>
      <c r="T237" s="2">
        <v>11.6</v>
      </c>
      <c r="U237" s="2" t="b">
        <v>0</v>
      </c>
      <c r="V237" s="2">
        <v>6</v>
      </c>
      <c r="W237" s="2">
        <v>1</v>
      </c>
      <c r="X237" s="2">
        <v>18</v>
      </c>
      <c r="Y237" s="2">
        <v>28.844221105527641</v>
      </c>
    </row>
    <row r="238" spans="1:25" hidden="1">
      <c r="A238" s="2" t="s">
        <v>430</v>
      </c>
      <c r="B238" s="2" t="s">
        <v>165</v>
      </c>
      <c r="C238" s="2" t="s">
        <v>174</v>
      </c>
      <c r="D238" s="3">
        <v>45525.822916666657</v>
      </c>
      <c r="E238" s="3">
        <v>45525.84375</v>
      </c>
      <c r="F238" s="2">
        <v>30</v>
      </c>
      <c r="G238" s="2" t="s">
        <v>167</v>
      </c>
      <c r="H238" s="2" t="s">
        <v>168</v>
      </c>
      <c r="I238" s="2">
        <v>5</v>
      </c>
      <c r="J238" s="2">
        <v>4</v>
      </c>
      <c r="K238" s="2" t="s">
        <v>153</v>
      </c>
      <c r="L238" s="2" t="s">
        <v>145</v>
      </c>
      <c r="M238" s="2" t="b">
        <v>1</v>
      </c>
      <c r="N238" s="2" t="b">
        <v>0</v>
      </c>
      <c r="O238" s="2">
        <v>7.5</v>
      </c>
      <c r="P238" s="2">
        <v>1.25</v>
      </c>
      <c r="Q238" s="2" t="s">
        <v>304</v>
      </c>
      <c r="R238" s="2" t="s">
        <v>147</v>
      </c>
      <c r="S238" s="2">
        <v>9.6</v>
      </c>
      <c r="T238" s="2">
        <v>20.399999999999999</v>
      </c>
      <c r="U238" s="2" t="b">
        <v>0</v>
      </c>
      <c r="V238" s="2">
        <v>20</v>
      </c>
      <c r="W238" s="2">
        <v>3</v>
      </c>
      <c r="X238" s="2">
        <v>19</v>
      </c>
      <c r="Y238" s="2">
        <v>29.948453608247419</v>
      </c>
    </row>
    <row r="239" spans="1:25" hidden="1">
      <c r="A239" s="2" t="s">
        <v>431</v>
      </c>
      <c r="B239" s="2" t="s">
        <v>173</v>
      </c>
      <c r="C239" s="2" t="s">
        <v>190</v>
      </c>
      <c r="D239" s="3">
        <v>45526.541666666657</v>
      </c>
      <c r="E239" s="3">
        <v>45526.559027777781</v>
      </c>
      <c r="F239" s="2">
        <v>25</v>
      </c>
      <c r="G239" s="2" t="s">
        <v>143</v>
      </c>
      <c r="H239" s="2" t="s">
        <v>152</v>
      </c>
      <c r="I239" s="2">
        <v>3</v>
      </c>
      <c r="J239" s="2">
        <v>3.5</v>
      </c>
      <c r="K239" s="2" t="s">
        <v>161</v>
      </c>
      <c r="L239" s="2" t="s">
        <v>162</v>
      </c>
      <c r="M239" s="2" t="b">
        <v>0</v>
      </c>
      <c r="N239" s="2" t="b">
        <v>0</v>
      </c>
      <c r="O239" s="2">
        <v>7.1428571428571432</v>
      </c>
      <c r="P239" s="2">
        <v>0.8571428571428571</v>
      </c>
      <c r="Q239" s="2" t="s">
        <v>304</v>
      </c>
      <c r="R239" s="2" t="s">
        <v>147</v>
      </c>
      <c r="S239" s="2">
        <v>8.4</v>
      </c>
      <c r="T239" s="2">
        <v>16.600000000000001</v>
      </c>
      <c r="U239" s="2" t="b">
        <v>0</v>
      </c>
      <c r="V239" s="2">
        <v>6</v>
      </c>
      <c r="W239" s="2">
        <v>1</v>
      </c>
      <c r="X239" s="2">
        <v>13</v>
      </c>
      <c r="Y239" s="2">
        <v>30.286458333333329</v>
      </c>
    </row>
    <row r="240" spans="1:25" hidden="1">
      <c r="A240" s="2" t="s">
        <v>432</v>
      </c>
      <c r="B240" s="2" t="s">
        <v>142</v>
      </c>
      <c r="C240" s="2" t="s">
        <v>192</v>
      </c>
      <c r="D240" s="3">
        <v>45527.770833333343</v>
      </c>
      <c r="E240" s="3">
        <v>45527.784722222219</v>
      </c>
      <c r="F240" s="2">
        <v>20</v>
      </c>
      <c r="G240" s="2" t="s">
        <v>151</v>
      </c>
      <c r="H240" s="2" t="s">
        <v>144</v>
      </c>
      <c r="I240" s="2">
        <v>4</v>
      </c>
      <c r="J240" s="2">
        <v>4.5</v>
      </c>
      <c r="K240" s="2" t="s">
        <v>143</v>
      </c>
      <c r="L240" s="2" t="s">
        <v>169</v>
      </c>
      <c r="M240" s="2" t="b">
        <v>1</v>
      </c>
      <c r="N240" s="2" t="b">
        <v>0</v>
      </c>
      <c r="O240" s="2">
        <v>4.4444444444444446</v>
      </c>
      <c r="P240" s="2">
        <v>0.88888888888888884</v>
      </c>
      <c r="Q240" s="2" t="s">
        <v>304</v>
      </c>
      <c r="R240" s="2" t="s">
        <v>171</v>
      </c>
      <c r="S240" s="2">
        <v>10.8</v>
      </c>
      <c r="T240" s="2">
        <v>9.2000000000000011</v>
      </c>
      <c r="U240" s="2" t="b">
        <v>0</v>
      </c>
      <c r="V240" s="2">
        <v>12</v>
      </c>
      <c r="W240" s="2">
        <v>2</v>
      </c>
      <c r="X240" s="2">
        <v>18</v>
      </c>
      <c r="Y240" s="2">
        <v>30.259433962264151</v>
      </c>
    </row>
    <row r="241" spans="1:25" hidden="1">
      <c r="A241" s="2" t="s">
        <v>433</v>
      </c>
      <c r="B241" s="2" t="s">
        <v>149</v>
      </c>
      <c r="C241" s="2" t="s">
        <v>194</v>
      </c>
      <c r="D241" s="3">
        <v>45528.84375</v>
      </c>
      <c r="E241" s="3">
        <v>45528.861111111109</v>
      </c>
      <c r="F241" s="2">
        <v>25</v>
      </c>
      <c r="G241" s="2" t="s">
        <v>159</v>
      </c>
      <c r="H241" s="2" t="s">
        <v>160</v>
      </c>
      <c r="I241" s="2">
        <v>2</v>
      </c>
      <c r="J241" s="2">
        <v>2</v>
      </c>
      <c r="K241" s="2" t="s">
        <v>153</v>
      </c>
      <c r="L241" s="2" t="s">
        <v>154</v>
      </c>
      <c r="M241" s="2" t="b">
        <v>1</v>
      </c>
      <c r="N241" s="2" t="b">
        <v>1</v>
      </c>
      <c r="O241" s="2">
        <v>12.5</v>
      </c>
      <c r="P241" s="2">
        <v>1</v>
      </c>
      <c r="Q241" s="2" t="s">
        <v>304</v>
      </c>
      <c r="R241" s="2" t="s">
        <v>147</v>
      </c>
      <c r="S241" s="2">
        <v>4.8</v>
      </c>
      <c r="T241" s="2">
        <v>20.2</v>
      </c>
      <c r="U241" s="2" t="b">
        <v>0</v>
      </c>
      <c r="V241" s="2">
        <v>2</v>
      </c>
      <c r="W241" s="2">
        <v>3</v>
      </c>
      <c r="X241" s="2">
        <v>20</v>
      </c>
      <c r="Y241" s="2">
        <v>28.186274509803919</v>
      </c>
    </row>
    <row r="242" spans="1:25" hidden="1">
      <c r="A242" s="2" t="s">
        <v>434</v>
      </c>
      <c r="B242" s="2" t="s">
        <v>157</v>
      </c>
      <c r="C242" s="2" t="s">
        <v>174</v>
      </c>
      <c r="D242" s="3">
        <v>45529.770833333343</v>
      </c>
      <c r="E242" s="3">
        <v>45529.784722222219</v>
      </c>
      <c r="F242" s="2">
        <v>20</v>
      </c>
      <c r="G242" s="2" t="s">
        <v>143</v>
      </c>
      <c r="H242" s="2" t="s">
        <v>152</v>
      </c>
      <c r="I242" s="2">
        <v>3</v>
      </c>
      <c r="J242" s="2">
        <v>3</v>
      </c>
      <c r="K242" s="2" t="s">
        <v>153</v>
      </c>
      <c r="L242" s="2" t="s">
        <v>162</v>
      </c>
      <c r="M242" s="2" t="b">
        <v>1</v>
      </c>
      <c r="N242" s="2" t="b">
        <v>1</v>
      </c>
      <c r="O242" s="2">
        <v>6.666666666666667</v>
      </c>
      <c r="P242" s="2">
        <v>1</v>
      </c>
      <c r="Q242" s="2" t="s">
        <v>304</v>
      </c>
      <c r="R242" s="2" t="s">
        <v>147</v>
      </c>
      <c r="S242" s="2">
        <v>7.1999999999999993</v>
      </c>
      <c r="T242" s="2">
        <v>12.8</v>
      </c>
      <c r="U242" s="2" t="b">
        <v>0</v>
      </c>
      <c r="V242" s="2">
        <v>6</v>
      </c>
      <c r="W242" s="2">
        <v>3</v>
      </c>
      <c r="X242" s="2">
        <v>18</v>
      </c>
      <c r="Y242" s="2">
        <v>28.844221105527641</v>
      </c>
    </row>
    <row r="243" spans="1:25" hidden="1">
      <c r="A243" s="2" t="s">
        <v>435</v>
      </c>
      <c r="B243" s="2" t="s">
        <v>165</v>
      </c>
      <c r="C243" s="2" t="s">
        <v>150</v>
      </c>
      <c r="D243" s="3">
        <v>45530.822916666657</v>
      </c>
      <c r="E243" s="3">
        <v>45530.840277777781</v>
      </c>
      <c r="F243" s="2">
        <v>25</v>
      </c>
      <c r="G243" s="2" t="s">
        <v>167</v>
      </c>
      <c r="H243" s="2" t="s">
        <v>168</v>
      </c>
      <c r="I243" s="2">
        <v>5</v>
      </c>
      <c r="J243" s="2">
        <v>4.5</v>
      </c>
      <c r="K243" s="2" t="s">
        <v>161</v>
      </c>
      <c r="L243" s="2" t="s">
        <v>169</v>
      </c>
      <c r="M243" s="2" t="b">
        <v>1</v>
      </c>
      <c r="N243" s="2" t="b">
        <v>0</v>
      </c>
      <c r="O243" s="2">
        <v>5.5555555555555554</v>
      </c>
      <c r="P243" s="2">
        <v>1.1111111111111109</v>
      </c>
      <c r="Q243" s="2" t="s">
        <v>304</v>
      </c>
      <c r="R243" s="2" t="s">
        <v>171</v>
      </c>
      <c r="S243" s="2">
        <v>10.8</v>
      </c>
      <c r="T243" s="2">
        <v>14.2</v>
      </c>
      <c r="U243" s="2" t="b">
        <v>0</v>
      </c>
      <c r="V243" s="2">
        <v>20</v>
      </c>
      <c r="W243" s="2">
        <v>1</v>
      </c>
      <c r="X243" s="2">
        <v>19</v>
      </c>
      <c r="Y243" s="2">
        <v>29.948453608247419</v>
      </c>
    </row>
    <row r="244" spans="1:25" hidden="1">
      <c r="A244" s="2" t="s">
        <v>436</v>
      </c>
      <c r="B244" s="2" t="s">
        <v>173</v>
      </c>
      <c r="C244" s="2" t="s">
        <v>158</v>
      </c>
      <c r="D244" s="3">
        <v>45531.541666666657</v>
      </c>
      <c r="E244" s="3">
        <v>45531.555555555547</v>
      </c>
      <c r="F244" s="2">
        <v>20</v>
      </c>
      <c r="G244" s="2" t="s">
        <v>143</v>
      </c>
      <c r="H244" s="2" t="s">
        <v>152</v>
      </c>
      <c r="I244" s="2">
        <v>3</v>
      </c>
      <c r="J244" s="2">
        <v>3.5</v>
      </c>
      <c r="K244" s="2" t="s">
        <v>143</v>
      </c>
      <c r="L244" s="2" t="s">
        <v>154</v>
      </c>
      <c r="M244" s="2" t="b">
        <v>0</v>
      </c>
      <c r="N244" s="2" t="b">
        <v>0</v>
      </c>
      <c r="O244" s="2">
        <v>5.7142857142857144</v>
      </c>
      <c r="P244" s="2">
        <v>0.8571428571428571</v>
      </c>
      <c r="Q244" s="2" t="s">
        <v>304</v>
      </c>
      <c r="R244" s="2" t="s">
        <v>147</v>
      </c>
      <c r="S244" s="2">
        <v>8.4</v>
      </c>
      <c r="T244" s="2">
        <v>11.6</v>
      </c>
      <c r="U244" s="2" t="b">
        <v>0</v>
      </c>
      <c r="V244" s="2">
        <v>6</v>
      </c>
      <c r="W244" s="2">
        <v>2</v>
      </c>
      <c r="X244" s="2">
        <v>13</v>
      </c>
      <c r="Y244" s="2">
        <v>30.286458333333329</v>
      </c>
    </row>
    <row r="245" spans="1:25" hidden="1">
      <c r="A245" s="2" t="s">
        <v>437</v>
      </c>
      <c r="B245" s="2" t="s">
        <v>142</v>
      </c>
      <c r="C245" s="2" t="s">
        <v>166</v>
      </c>
      <c r="D245" s="3">
        <v>45532.770833333343</v>
      </c>
      <c r="E245" s="3">
        <v>45532.788194444453</v>
      </c>
      <c r="F245" s="2">
        <v>25</v>
      </c>
      <c r="G245" s="2" t="s">
        <v>151</v>
      </c>
      <c r="H245" s="2" t="s">
        <v>144</v>
      </c>
      <c r="I245" s="2">
        <v>4</v>
      </c>
      <c r="J245" s="2">
        <v>5</v>
      </c>
      <c r="K245" s="2" t="s">
        <v>153</v>
      </c>
      <c r="L245" s="2" t="s">
        <v>145</v>
      </c>
      <c r="M245" s="2" t="b">
        <v>1</v>
      </c>
      <c r="N245" s="2" t="b">
        <v>0</v>
      </c>
      <c r="O245" s="2">
        <v>5</v>
      </c>
      <c r="P245" s="2">
        <v>0.8</v>
      </c>
      <c r="Q245" s="2" t="s">
        <v>304</v>
      </c>
      <c r="R245" s="2" t="s">
        <v>147</v>
      </c>
      <c r="S245" s="2">
        <v>12</v>
      </c>
      <c r="T245" s="2">
        <v>13</v>
      </c>
      <c r="U245" s="2" t="b">
        <v>0</v>
      </c>
      <c r="V245" s="2">
        <v>12</v>
      </c>
      <c r="W245" s="2">
        <v>3</v>
      </c>
      <c r="X245" s="2">
        <v>18</v>
      </c>
      <c r="Y245" s="2">
        <v>30.259433962264151</v>
      </c>
    </row>
    <row r="246" spans="1:25" hidden="1">
      <c r="A246" s="2" t="s">
        <v>438</v>
      </c>
      <c r="B246" s="2" t="s">
        <v>149</v>
      </c>
      <c r="C246" s="2" t="s">
        <v>192</v>
      </c>
      <c r="D246" s="3">
        <v>45533.84375</v>
      </c>
      <c r="E246" s="3">
        <v>45533.861111111109</v>
      </c>
      <c r="F246" s="2">
        <v>25</v>
      </c>
      <c r="G246" s="2" t="s">
        <v>159</v>
      </c>
      <c r="H246" s="2" t="s">
        <v>160</v>
      </c>
      <c r="I246" s="2">
        <v>2</v>
      </c>
      <c r="J246" s="2">
        <v>2.5</v>
      </c>
      <c r="K246" s="2" t="s">
        <v>143</v>
      </c>
      <c r="L246" s="2" t="s">
        <v>169</v>
      </c>
      <c r="M246" s="2" t="b">
        <v>1</v>
      </c>
      <c r="N246" s="2" t="b">
        <v>0</v>
      </c>
      <c r="O246" s="2">
        <v>10</v>
      </c>
      <c r="P246" s="2">
        <v>0.8</v>
      </c>
      <c r="Q246" s="2" t="s">
        <v>304</v>
      </c>
      <c r="R246" s="2" t="s">
        <v>171</v>
      </c>
      <c r="S246" s="2">
        <v>6</v>
      </c>
      <c r="T246" s="2">
        <v>19</v>
      </c>
      <c r="U246" s="2" t="b">
        <v>0</v>
      </c>
      <c r="V246" s="2">
        <v>2</v>
      </c>
      <c r="W246" s="2">
        <v>2</v>
      </c>
      <c r="X246" s="2">
        <v>20</v>
      </c>
      <c r="Y246" s="2">
        <v>28.186274509803919</v>
      </c>
    </row>
    <row r="247" spans="1:25" hidden="1">
      <c r="A247" s="2" t="s">
        <v>439</v>
      </c>
      <c r="B247" s="2" t="s">
        <v>157</v>
      </c>
      <c r="C247" s="2" t="s">
        <v>194</v>
      </c>
      <c r="D247" s="3">
        <v>45534.770833333343</v>
      </c>
      <c r="E247" s="3">
        <v>45534.784722222219</v>
      </c>
      <c r="F247" s="2">
        <v>20</v>
      </c>
      <c r="G247" s="2" t="s">
        <v>143</v>
      </c>
      <c r="H247" s="2" t="s">
        <v>152</v>
      </c>
      <c r="I247" s="2">
        <v>3</v>
      </c>
      <c r="J247" s="2">
        <v>3.5</v>
      </c>
      <c r="K247" s="2" t="s">
        <v>161</v>
      </c>
      <c r="L247" s="2" t="s">
        <v>154</v>
      </c>
      <c r="M247" s="2" t="b">
        <v>1</v>
      </c>
      <c r="N247" s="2" t="b">
        <v>0</v>
      </c>
      <c r="O247" s="2">
        <v>5.7142857142857144</v>
      </c>
      <c r="P247" s="2">
        <v>0.8571428571428571</v>
      </c>
      <c r="Q247" s="2" t="s">
        <v>304</v>
      </c>
      <c r="R247" s="2" t="s">
        <v>147</v>
      </c>
      <c r="S247" s="2">
        <v>8.4</v>
      </c>
      <c r="T247" s="2">
        <v>11.6</v>
      </c>
      <c r="U247" s="2" t="b">
        <v>0</v>
      </c>
      <c r="V247" s="2">
        <v>6</v>
      </c>
      <c r="W247" s="2">
        <v>1</v>
      </c>
      <c r="X247" s="2">
        <v>18</v>
      </c>
      <c r="Y247" s="2">
        <v>28.844221105527641</v>
      </c>
    </row>
    <row r="248" spans="1:25" hidden="1">
      <c r="A248" s="2" t="s">
        <v>440</v>
      </c>
      <c r="B248" s="2" t="s">
        <v>165</v>
      </c>
      <c r="C248" s="2" t="s">
        <v>174</v>
      </c>
      <c r="D248" s="3">
        <v>45535.822916666657</v>
      </c>
      <c r="E248" s="3">
        <v>45535.840277777781</v>
      </c>
      <c r="F248" s="2">
        <v>25</v>
      </c>
      <c r="G248" s="2" t="s">
        <v>167</v>
      </c>
      <c r="H248" s="2" t="s">
        <v>168</v>
      </c>
      <c r="I248" s="2">
        <v>5</v>
      </c>
      <c r="J248" s="2">
        <v>4</v>
      </c>
      <c r="K248" s="2" t="s">
        <v>153</v>
      </c>
      <c r="L248" s="2" t="s">
        <v>145</v>
      </c>
      <c r="M248" s="2" t="b">
        <v>1</v>
      </c>
      <c r="N248" s="2" t="b">
        <v>1</v>
      </c>
      <c r="O248" s="2">
        <v>6.25</v>
      </c>
      <c r="P248" s="2">
        <v>1.25</v>
      </c>
      <c r="Q248" s="2" t="s">
        <v>304</v>
      </c>
      <c r="R248" s="2" t="s">
        <v>147</v>
      </c>
      <c r="S248" s="2">
        <v>9.6</v>
      </c>
      <c r="T248" s="2">
        <v>15.4</v>
      </c>
      <c r="U248" s="2" t="b">
        <v>0</v>
      </c>
      <c r="V248" s="2">
        <v>20</v>
      </c>
      <c r="W248" s="2">
        <v>3</v>
      </c>
      <c r="X248" s="2">
        <v>19</v>
      </c>
      <c r="Y248" s="2">
        <v>29.948453608247419</v>
      </c>
    </row>
    <row r="249" spans="1:25" hidden="1">
      <c r="A249" s="2" t="s">
        <v>441</v>
      </c>
      <c r="B249" s="2" t="s">
        <v>173</v>
      </c>
      <c r="C249" s="2" t="s">
        <v>190</v>
      </c>
      <c r="D249" s="3">
        <v>45536.541666666657</v>
      </c>
      <c r="E249" s="3">
        <v>45536.555555555547</v>
      </c>
      <c r="F249" s="2">
        <v>20</v>
      </c>
      <c r="G249" s="2" t="s">
        <v>143</v>
      </c>
      <c r="H249" s="2" t="s">
        <v>152</v>
      </c>
      <c r="I249" s="2">
        <v>3</v>
      </c>
      <c r="J249" s="2">
        <v>3.5</v>
      </c>
      <c r="K249" s="2" t="s">
        <v>161</v>
      </c>
      <c r="L249" s="2" t="s">
        <v>162</v>
      </c>
      <c r="M249" s="2" t="b">
        <v>0</v>
      </c>
      <c r="N249" s="2" t="b">
        <v>1</v>
      </c>
      <c r="O249" s="2">
        <v>5.7142857142857144</v>
      </c>
      <c r="P249" s="2">
        <v>0.8571428571428571</v>
      </c>
      <c r="Q249" s="2" t="s">
        <v>442</v>
      </c>
      <c r="R249" s="2" t="s">
        <v>147</v>
      </c>
      <c r="S249" s="2">
        <v>8.4</v>
      </c>
      <c r="T249" s="2">
        <v>11.6</v>
      </c>
      <c r="U249" s="2" t="b">
        <v>0</v>
      </c>
      <c r="V249" s="2">
        <v>6</v>
      </c>
      <c r="W249" s="2">
        <v>1</v>
      </c>
      <c r="X249" s="2">
        <v>13</v>
      </c>
      <c r="Y249" s="2">
        <v>30.286458333333329</v>
      </c>
    </row>
    <row r="250" spans="1:25" hidden="1">
      <c r="A250" s="2" t="s">
        <v>443</v>
      </c>
      <c r="B250" s="2" t="s">
        <v>142</v>
      </c>
      <c r="C250" s="2" t="s">
        <v>192</v>
      </c>
      <c r="D250" s="3">
        <v>45537.770833333343</v>
      </c>
      <c r="E250" s="3">
        <v>45537.784722222219</v>
      </c>
      <c r="F250" s="2">
        <v>20</v>
      </c>
      <c r="G250" s="2" t="s">
        <v>151</v>
      </c>
      <c r="H250" s="2" t="s">
        <v>144</v>
      </c>
      <c r="I250" s="2">
        <v>4</v>
      </c>
      <c r="J250" s="2">
        <v>4.5</v>
      </c>
      <c r="K250" s="2" t="s">
        <v>143</v>
      </c>
      <c r="L250" s="2" t="s">
        <v>169</v>
      </c>
      <c r="M250" s="2" t="b">
        <v>1</v>
      </c>
      <c r="N250" s="2" t="b">
        <v>0</v>
      </c>
      <c r="O250" s="2">
        <v>4.4444444444444446</v>
      </c>
      <c r="P250" s="2">
        <v>0.88888888888888884</v>
      </c>
      <c r="Q250" s="2" t="s">
        <v>442</v>
      </c>
      <c r="R250" s="2" t="s">
        <v>171</v>
      </c>
      <c r="S250" s="2">
        <v>10.8</v>
      </c>
      <c r="T250" s="2">
        <v>9.2000000000000011</v>
      </c>
      <c r="U250" s="2" t="b">
        <v>0</v>
      </c>
      <c r="V250" s="2">
        <v>12</v>
      </c>
      <c r="W250" s="2">
        <v>2</v>
      </c>
      <c r="X250" s="2">
        <v>18</v>
      </c>
      <c r="Y250" s="2">
        <v>30.259433962264151</v>
      </c>
    </row>
    <row r="251" spans="1:25" hidden="1">
      <c r="A251" s="2" t="s">
        <v>444</v>
      </c>
      <c r="B251" s="2" t="s">
        <v>149</v>
      </c>
      <c r="C251" s="2" t="s">
        <v>194</v>
      </c>
      <c r="D251" s="3">
        <v>45538.84375</v>
      </c>
      <c r="E251" s="3">
        <v>45538.861111111109</v>
      </c>
      <c r="F251" s="2">
        <v>25</v>
      </c>
      <c r="G251" s="2" t="s">
        <v>159</v>
      </c>
      <c r="H251" s="2" t="s">
        <v>160</v>
      </c>
      <c r="I251" s="2">
        <v>2</v>
      </c>
      <c r="J251" s="2">
        <v>2</v>
      </c>
      <c r="K251" s="2" t="s">
        <v>153</v>
      </c>
      <c r="L251" s="2" t="s">
        <v>154</v>
      </c>
      <c r="M251" s="2" t="b">
        <v>1</v>
      </c>
      <c r="N251" s="2" t="b">
        <v>0</v>
      </c>
      <c r="O251" s="2">
        <v>12.5</v>
      </c>
      <c r="P251" s="2">
        <v>1</v>
      </c>
      <c r="Q251" s="2" t="s">
        <v>442</v>
      </c>
      <c r="R251" s="2" t="s">
        <v>147</v>
      </c>
      <c r="S251" s="2">
        <v>4.8</v>
      </c>
      <c r="T251" s="2">
        <v>20.2</v>
      </c>
      <c r="U251" s="2" t="b">
        <v>0</v>
      </c>
      <c r="V251" s="2">
        <v>2</v>
      </c>
      <c r="W251" s="2">
        <v>3</v>
      </c>
      <c r="X251" s="2">
        <v>20</v>
      </c>
      <c r="Y251" s="2">
        <v>28.186274509803919</v>
      </c>
    </row>
    <row r="252" spans="1:25" hidden="1">
      <c r="A252" s="2" t="s">
        <v>445</v>
      </c>
      <c r="B252" s="2" t="s">
        <v>157</v>
      </c>
      <c r="C252" s="2" t="s">
        <v>174</v>
      </c>
      <c r="D252" s="3">
        <v>45539.770833333343</v>
      </c>
      <c r="E252" s="3">
        <v>45539.784722222219</v>
      </c>
      <c r="F252" s="2">
        <v>20</v>
      </c>
      <c r="G252" s="2" t="s">
        <v>143</v>
      </c>
      <c r="H252" s="2" t="s">
        <v>152</v>
      </c>
      <c r="I252" s="2">
        <v>3</v>
      </c>
      <c r="J252" s="2">
        <v>3</v>
      </c>
      <c r="K252" s="2" t="s">
        <v>153</v>
      </c>
      <c r="L252" s="2" t="s">
        <v>162</v>
      </c>
      <c r="M252" s="2" t="b">
        <v>1</v>
      </c>
      <c r="N252" s="2" t="b">
        <v>0</v>
      </c>
      <c r="O252" s="2">
        <v>6.666666666666667</v>
      </c>
      <c r="P252" s="2">
        <v>1</v>
      </c>
      <c r="Q252" s="2" t="s">
        <v>442</v>
      </c>
      <c r="R252" s="2" t="s">
        <v>147</v>
      </c>
      <c r="S252" s="2">
        <v>7.1999999999999993</v>
      </c>
      <c r="T252" s="2">
        <v>12.8</v>
      </c>
      <c r="U252" s="2" t="b">
        <v>0</v>
      </c>
      <c r="V252" s="2">
        <v>6</v>
      </c>
      <c r="W252" s="2">
        <v>3</v>
      </c>
      <c r="X252" s="2">
        <v>18</v>
      </c>
      <c r="Y252" s="2">
        <v>28.844221105527641</v>
      </c>
    </row>
    <row r="253" spans="1:25" hidden="1">
      <c r="A253" s="2" t="s">
        <v>446</v>
      </c>
      <c r="B253" s="2" t="s">
        <v>165</v>
      </c>
      <c r="C253" s="2" t="s">
        <v>150</v>
      </c>
      <c r="D253" s="3">
        <v>45540.822916666657</v>
      </c>
      <c r="E253" s="3">
        <v>45540.840277777781</v>
      </c>
      <c r="F253" s="2">
        <v>25</v>
      </c>
      <c r="G253" s="2" t="s">
        <v>167</v>
      </c>
      <c r="H253" s="2" t="s">
        <v>168</v>
      </c>
      <c r="I253" s="2">
        <v>5</v>
      </c>
      <c r="J253" s="2">
        <v>4.5</v>
      </c>
      <c r="K253" s="2" t="s">
        <v>161</v>
      </c>
      <c r="L253" s="2" t="s">
        <v>169</v>
      </c>
      <c r="M253" s="2" t="b">
        <v>1</v>
      </c>
      <c r="N253" s="2" t="b">
        <v>0</v>
      </c>
      <c r="O253" s="2">
        <v>5.5555555555555554</v>
      </c>
      <c r="P253" s="2">
        <v>1.1111111111111109</v>
      </c>
      <c r="Q253" s="2" t="s">
        <v>442</v>
      </c>
      <c r="R253" s="2" t="s">
        <v>171</v>
      </c>
      <c r="S253" s="2">
        <v>10.8</v>
      </c>
      <c r="T253" s="2">
        <v>14.2</v>
      </c>
      <c r="U253" s="2" t="b">
        <v>0</v>
      </c>
      <c r="V253" s="2">
        <v>20</v>
      </c>
      <c r="W253" s="2">
        <v>1</v>
      </c>
      <c r="X253" s="2">
        <v>19</v>
      </c>
      <c r="Y253" s="2">
        <v>29.948453608247419</v>
      </c>
    </row>
    <row r="254" spans="1:25" hidden="1">
      <c r="A254" s="2" t="s">
        <v>447</v>
      </c>
      <c r="B254" s="2" t="s">
        <v>173</v>
      </c>
      <c r="C254" s="2" t="s">
        <v>158</v>
      </c>
      <c r="D254" s="3">
        <v>45541.541666666657</v>
      </c>
      <c r="E254" s="3">
        <v>45541.555555555547</v>
      </c>
      <c r="F254" s="2">
        <v>20</v>
      </c>
      <c r="G254" s="2" t="s">
        <v>143</v>
      </c>
      <c r="H254" s="2" t="s">
        <v>152</v>
      </c>
      <c r="I254" s="2">
        <v>3</v>
      </c>
      <c r="J254" s="2">
        <v>3.5</v>
      </c>
      <c r="K254" s="2" t="s">
        <v>143</v>
      </c>
      <c r="L254" s="2" t="s">
        <v>154</v>
      </c>
      <c r="M254" s="2" t="b">
        <v>0</v>
      </c>
      <c r="N254" s="2" t="b">
        <v>0</v>
      </c>
      <c r="O254" s="2">
        <v>5.7142857142857144</v>
      </c>
      <c r="P254" s="2">
        <v>0.8571428571428571</v>
      </c>
      <c r="Q254" s="2" t="s">
        <v>442</v>
      </c>
      <c r="R254" s="2" t="s">
        <v>147</v>
      </c>
      <c r="S254" s="2">
        <v>8.4</v>
      </c>
      <c r="T254" s="2">
        <v>11.6</v>
      </c>
      <c r="U254" s="2" t="b">
        <v>0</v>
      </c>
      <c r="V254" s="2">
        <v>6</v>
      </c>
      <c r="W254" s="2">
        <v>2</v>
      </c>
      <c r="X254" s="2">
        <v>13</v>
      </c>
      <c r="Y254" s="2">
        <v>30.286458333333329</v>
      </c>
    </row>
    <row r="255" spans="1:25" hidden="1">
      <c r="A255" s="2" t="s">
        <v>448</v>
      </c>
      <c r="B255" s="2" t="s">
        <v>142</v>
      </c>
      <c r="C255" s="2" t="s">
        <v>166</v>
      </c>
      <c r="D255" s="3">
        <v>45542.770833333343</v>
      </c>
      <c r="E255" s="3">
        <v>45542.788194444453</v>
      </c>
      <c r="F255" s="2">
        <v>25</v>
      </c>
      <c r="G255" s="2" t="s">
        <v>151</v>
      </c>
      <c r="H255" s="2" t="s">
        <v>144</v>
      </c>
      <c r="I255" s="2">
        <v>4</v>
      </c>
      <c r="J255" s="2">
        <v>5</v>
      </c>
      <c r="K255" s="2" t="s">
        <v>153</v>
      </c>
      <c r="L255" s="2" t="s">
        <v>145</v>
      </c>
      <c r="M255" s="2" t="b">
        <v>1</v>
      </c>
      <c r="N255" s="2" t="b">
        <v>1</v>
      </c>
      <c r="O255" s="2">
        <v>5</v>
      </c>
      <c r="P255" s="2">
        <v>0.8</v>
      </c>
      <c r="Q255" s="2" t="s">
        <v>442</v>
      </c>
      <c r="R255" s="2" t="s">
        <v>147</v>
      </c>
      <c r="S255" s="2">
        <v>12</v>
      </c>
      <c r="T255" s="2">
        <v>13</v>
      </c>
      <c r="U255" s="2" t="b">
        <v>0</v>
      </c>
      <c r="V255" s="2">
        <v>12</v>
      </c>
      <c r="W255" s="2">
        <v>3</v>
      </c>
      <c r="X255" s="2">
        <v>18</v>
      </c>
      <c r="Y255" s="2">
        <v>30.259433962264151</v>
      </c>
    </row>
    <row r="256" spans="1:25" hidden="1">
      <c r="A256" s="2" t="s">
        <v>449</v>
      </c>
      <c r="B256" s="2" t="s">
        <v>149</v>
      </c>
      <c r="C256" s="2" t="s">
        <v>192</v>
      </c>
      <c r="D256" s="3">
        <v>45543.84375</v>
      </c>
      <c r="E256" s="3">
        <v>45543.861111111109</v>
      </c>
      <c r="F256" s="2">
        <v>25</v>
      </c>
      <c r="G256" s="2" t="s">
        <v>159</v>
      </c>
      <c r="H256" s="2" t="s">
        <v>160</v>
      </c>
      <c r="I256" s="2">
        <v>2</v>
      </c>
      <c r="J256" s="2">
        <v>2.5</v>
      </c>
      <c r="K256" s="2" t="s">
        <v>143</v>
      </c>
      <c r="L256" s="2" t="s">
        <v>169</v>
      </c>
      <c r="M256" s="2" t="b">
        <v>1</v>
      </c>
      <c r="N256" s="2" t="b">
        <v>1</v>
      </c>
      <c r="O256" s="2">
        <v>10</v>
      </c>
      <c r="P256" s="2">
        <v>0.8</v>
      </c>
      <c r="Q256" s="2" t="s">
        <v>442</v>
      </c>
      <c r="R256" s="2" t="s">
        <v>171</v>
      </c>
      <c r="S256" s="2">
        <v>6</v>
      </c>
      <c r="T256" s="2">
        <v>19</v>
      </c>
      <c r="U256" s="2" t="b">
        <v>0</v>
      </c>
      <c r="V256" s="2">
        <v>2</v>
      </c>
      <c r="W256" s="2">
        <v>2</v>
      </c>
      <c r="X256" s="2">
        <v>20</v>
      </c>
      <c r="Y256" s="2">
        <v>28.186274509803919</v>
      </c>
    </row>
    <row r="257" spans="1:25" hidden="1">
      <c r="A257" s="2" t="s">
        <v>450</v>
      </c>
      <c r="B257" s="2" t="s">
        <v>157</v>
      </c>
      <c r="C257" s="2" t="s">
        <v>194</v>
      </c>
      <c r="D257" s="3">
        <v>45544.770833333343</v>
      </c>
      <c r="E257" s="3">
        <v>45544.784722222219</v>
      </c>
      <c r="F257" s="2">
        <v>20</v>
      </c>
      <c r="G257" s="2" t="s">
        <v>143</v>
      </c>
      <c r="H257" s="2" t="s">
        <v>152</v>
      </c>
      <c r="I257" s="2">
        <v>3</v>
      </c>
      <c r="J257" s="2">
        <v>3.5</v>
      </c>
      <c r="K257" s="2" t="s">
        <v>161</v>
      </c>
      <c r="L257" s="2" t="s">
        <v>154</v>
      </c>
      <c r="M257" s="2" t="b">
        <v>1</v>
      </c>
      <c r="N257" s="2" t="b">
        <v>0</v>
      </c>
      <c r="O257" s="2">
        <v>5.7142857142857144</v>
      </c>
      <c r="P257" s="2">
        <v>0.8571428571428571</v>
      </c>
      <c r="Q257" s="2" t="s">
        <v>442</v>
      </c>
      <c r="R257" s="2" t="s">
        <v>147</v>
      </c>
      <c r="S257" s="2">
        <v>8.4</v>
      </c>
      <c r="T257" s="2">
        <v>11.6</v>
      </c>
      <c r="U257" s="2" t="b">
        <v>0</v>
      </c>
      <c r="V257" s="2">
        <v>6</v>
      </c>
      <c r="W257" s="2">
        <v>1</v>
      </c>
      <c r="X257" s="2">
        <v>18</v>
      </c>
      <c r="Y257" s="2">
        <v>28.844221105527641</v>
      </c>
    </row>
    <row r="258" spans="1:25" hidden="1">
      <c r="A258" s="2" t="s">
        <v>451</v>
      </c>
      <c r="B258" s="2" t="s">
        <v>142</v>
      </c>
      <c r="C258" s="2" t="s">
        <v>182</v>
      </c>
      <c r="D258" s="3">
        <v>45545.75</v>
      </c>
      <c r="E258" s="3">
        <v>45545.767361111109</v>
      </c>
      <c r="F258" s="2">
        <v>25</v>
      </c>
      <c r="G258" s="2" t="s">
        <v>151</v>
      </c>
      <c r="H258" s="2" t="s">
        <v>144</v>
      </c>
      <c r="I258" s="2">
        <v>3</v>
      </c>
      <c r="J258" s="2">
        <v>5</v>
      </c>
      <c r="K258" s="2" t="s">
        <v>153</v>
      </c>
      <c r="L258" s="2" t="s">
        <v>169</v>
      </c>
      <c r="M258" s="2" t="b">
        <v>1</v>
      </c>
      <c r="N258" s="2" t="b">
        <v>0</v>
      </c>
      <c r="O258" s="2">
        <v>5</v>
      </c>
      <c r="P258" s="2">
        <v>0.6</v>
      </c>
      <c r="Q258" s="2" t="s">
        <v>442</v>
      </c>
      <c r="R258" s="2" t="s">
        <v>171</v>
      </c>
      <c r="S258" s="2">
        <v>12</v>
      </c>
      <c r="T258" s="2">
        <v>13</v>
      </c>
      <c r="U258" s="2" t="b">
        <v>0</v>
      </c>
      <c r="V258" s="2">
        <v>9</v>
      </c>
      <c r="W258" s="2">
        <v>3</v>
      </c>
      <c r="X258" s="2">
        <v>18</v>
      </c>
      <c r="Y258" s="2">
        <v>30.259433962264151</v>
      </c>
    </row>
    <row r="259" spans="1:25" hidden="1">
      <c r="A259" s="2" t="s">
        <v>452</v>
      </c>
      <c r="B259" s="2" t="s">
        <v>142</v>
      </c>
      <c r="C259" s="2" t="s">
        <v>317</v>
      </c>
      <c r="D259" s="3">
        <v>45546.802083333343</v>
      </c>
      <c r="E259" s="3">
        <v>45546.815972222219</v>
      </c>
      <c r="F259" s="2">
        <v>20</v>
      </c>
      <c r="G259" s="2" t="s">
        <v>143</v>
      </c>
      <c r="H259" s="2" t="s">
        <v>152</v>
      </c>
      <c r="I259" s="2">
        <v>2</v>
      </c>
      <c r="J259" s="2">
        <v>3.5</v>
      </c>
      <c r="K259" s="2" t="s">
        <v>143</v>
      </c>
      <c r="L259" s="2" t="s">
        <v>145</v>
      </c>
      <c r="M259" s="2" t="b">
        <v>1</v>
      </c>
      <c r="N259" s="2" t="b">
        <v>0</v>
      </c>
      <c r="O259" s="2">
        <v>5.7142857142857144</v>
      </c>
      <c r="P259" s="2">
        <v>0.5714285714285714</v>
      </c>
      <c r="Q259" s="2" t="s">
        <v>442</v>
      </c>
      <c r="R259" s="2" t="s">
        <v>147</v>
      </c>
      <c r="S259" s="2">
        <v>8.4</v>
      </c>
      <c r="T259" s="2">
        <v>11.6</v>
      </c>
      <c r="U259" s="2" t="b">
        <v>0</v>
      </c>
      <c r="V259" s="2">
        <v>4</v>
      </c>
      <c r="W259" s="2">
        <v>2</v>
      </c>
      <c r="X259" s="2">
        <v>19</v>
      </c>
      <c r="Y259" s="2">
        <v>30.259433962264151</v>
      </c>
    </row>
    <row r="260" spans="1:25" hidden="1">
      <c r="A260" s="2" t="s">
        <v>453</v>
      </c>
      <c r="B260" s="2" t="s">
        <v>142</v>
      </c>
      <c r="C260" s="2" t="s">
        <v>190</v>
      </c>
      <c r="D260" s="3">
        <v>45547.854166666657</v>
      </c>
      <c r="E260" s="3">
        <v>45547.868055555547</v>
      </c>
      <c r="F260" s="2">
        <v>20</v>
      </c>
      <c r="G260" s="2" t="s">
        <v>159</v>
      </c>
      <c r="H260" s="2" t="s">
        <v>160</v>
      </c>
      <c r="I260" s="2">
        <v>1</v>
      </c>
      <c r="J260" s="2">
        <v>2.5</v>
      </c>
      <c r="K260" s="2" t="s">
        <v>161</v>
      </c>
      <c r="L260" s="2" t="s">
        <v>154</v>
      </c>
      <c r="M260" s="2" t="b">
        <v>1</v>
      </c>
      <c r="N260" s="2" t="b">
        <v>0</v>
      </c>
      <c r="O260" s="2">
        <v>8</v>
      </c>
      <c r="P260" s="2">
        <v>0.4</v>
      </c>
      <c r="Q260" s="2" t="s">
        <v>442</v>
      </c>
      <c r="R260" s="2" t="s">
        <v>147</v>
      </c>
      <c r="S260" s="2">
        <v>6</v>
      </c>
      <c r="T260" s="2">
        <v>14</v>
      </c>
      <c r="U260" s="2" t="b">
        <v>0</v>
      </c>
      <c r="V260" s="2">
        <v>1</v>
      </c>
      <c r="W260" s="2">
        <v>1</v>
      </c>
      <c r="X260" s="2">
        <v>20</v>
      </c>
      <c r="Y260" s="2">
        <v>30.259433962264151</v>
      </c>
    </row>
    <row r="261" spans="1:25" hidden="1">
      <c r="A261" s="2" t="s">
        <v>454</v>
      </c>
      <c r="B261" s="2" t="s">
        <v>142</v>
      </c>
      <c r="C261" s="2" t="s">
        <v>158</v>
      </c>
      <c r="D261" s="3">
        <v>45548.78125</v>
      </c>
      <c r="E261" s="3">
        <v>45548.798611111109</v>
      </c>
      <c r="F261" s="2">
        <v>25</v>
      </c>
      <c r="G261" s="2" t="s">
        <v>167</v>
      </c>
      <c r="H261" s="2" t="s">
        <v>168</v>
      </c>
      <c r="I261" s="2">
        <v>5</v>
      </c>
      <c r="J261" s="2">
        <v>4.5</v>
      </c>
      <c r="K261" s="2" t="s">
        <v>153</v>
      </c>
      <c r="L261" s="2" t="s">
        <v>162</v>
      </c>
      <c r="M261" s="2" t="b">
        <v>1</v>
      </c>
      <c r="N261" s="2" t="b">
        <v>0</v>
      </c>
      <c r="O261" s="2">
        <v>5.5555555555555554</v>
      </c>
      <c r="P261" s="2">
        <v>1.1111111111111109</v>
      </c>
      <c r="Q261" s="2" t="s">
        <v>442</v>
      </c>
      <c r="R261" s="2" t="s">
        <v>147</v>
      </c>
      <c r="S261" s="2">
        <v>10.8</v>
      </c>
      <c r="T261" s="2">
        <v>14.2</v>
      </c>
      <c r="U261" s="2" t="b">
        <v>0</v>
      </c>
      <c r="V261" s="2">
        <v>20</v>
      </c>
      <c r="W261" s="2">
        <v>3</v>
      </c>
      <c r="X261" s="2">
        <v>18</v>
      </c>
      <c r="Y261" s="2">
        <v>30.259433962264151</v>
      </c>
    </row>
    <row r="262" spans="1:25" hidden="1">
      <c r="A262" s="2" t="s">
        <v>455</v>
      </c>
      <c r="B262" s="2" t="s">
        <v>142</v>
      </c>
      <c r="C262" s="2" t="s">
        <v>166</v>
      </c>
      <c r="D262" s="3">
        <v>45549.791666666657</v>
      </c>
      <c r="E262" s="3">
        <v>45549.805555555547</v>
      </c>
      <c r="F262" s="2">
        <v>20</v>
      </c>
      <c r="G262" s="2" t="s">
        <v>143</v>
      </c>
      <c r="H262" s="2" t="s">
        <v>152</v>
      </c>
      <c r="I262" s="2">
        <v>3</v>
      </c>
      <c r="J262" s="2">
        <v>3</v>
      </c>
      <c r="K262" s="2" t="s">
        <v>143</v>
      </c>
      <c r="L262" s="2" t="s">
        <v>169</v>
      </c>
      <c r="M262" s="2" t="b">
        <v>1</v>
      </c>
      <c r="N262" s="2" t="b">
        <v>1</v>
      </c>
      <c r="O262" s="2">
        <v>6.666666666666667</v>
      </c>
      <c r="P262" s="2">
        <v>1</v>
      </c>
      <c r="Q262" s="2" t="s">
        <v>442</v>
      </c>
      <c r="R262" s="2" t="s">
        <v>171</v>
      </c>
      <c r="S262" s="2">
        <v>7.1999999999999993</v>
      </c>
      <c r="T262" s="2">
        <v>12.8</v>
      </c>
      <c r="U262" s="2" t="b">
        <v>0</v>
      </c>
      <c r="V262" s="2">
        <v>6</v>
      </c>
      <c r="W262" s="2">
        <v>2</v>
      </c>
      <c r="X262" s="2">
        <v>19</v>
      </c>
      <c r="Y262" s="2">
        <v>30.259433962264151</v>
      </c>
    </row>
    <row r="263" spans="1:25" hidden="1">
      <c r="A263" s="2" t="s">
        <v>456</v>
      </c>
      <c r="B263" s="2" t="s">
        <v>142</v>
      </c>
      <c r="C263" s="2" t="s">
        <v>192</v>
      </c>
      <c r="D263" s="3">
        <v>45550.833333333343</v>
      </c>
      <c r="E263" s="3">
        <v>45550.850694444453</v>
      </c>
      <c r="F263" s="2">
        <v>25</v>
      </c>
      <c r="G263" s="2" t="s">
        <v>151</v>
      </c>
      <c r="H263" s="2" t="s">
        <v>144</v>
      </c>
      <c r="I263" s="2">
        <v>4</v>
      </c>
      <c r="J263" s="2">
        <v>5</v>
      </c>
      <c r="K263" s="2" t="s">
        <v>153</v>
      </c>
      <c r="L263" s="2" t="s">
        <v>145</v>
      </c>
      <c r="M263" s="2" t="b">
        <v>1</v>
      </c>
      <c r="N263" s="2" t="b">
        <v>1</v>
      </c>
      <c r="O263" s="2">
        <v>5</v>
      </c>
      <c r="P263" s="2">
        <v>0.8</v>
      </c>
      <c r="Q263" s="2" t="s">
        <v>442</v>
      </c>
      <c r="R263" s="2" t="s">
        <v>147</v>
      </c>
      <c r="S263" s="2">
        <v>12</v>
      </c>
      <c r="T263" s="2">
        <v>13</v>
      </c>
      <c r="U263" s="2" t="b">
        <v>0</v>
      </c>
      <c r="V263" s="2">
        <v>12</v>
      </c>
      <c r="W263" s="2">
        <v>3</v>
      </c>
      <c r="X263" s="2">
        <v>20</v>
      </c>
      <c r="Y263" s="2">
        <v>30.259433962264151</v>
      </c>
    </row>
    <row r="264" spans="1:25" hidden="1">
      <c r="A264" s="2" t="s">
        <v>457</v>
      </c>
      <c r="B264" s="2" t="s">
        <v>142</v>
      </c>
      <c r="C264" s="2" t="s">
        <v>194</v>
      </c>
      <c r="D264" s="3">
        <v>45551.770833333343</v>
      </c>
      <c r="E264" s="3">
        <v>45551.784722222219</v>
      </c>
      <c r="F264" s="2">
        <v>20</v>
      </c>
      <c r="G264" s="2" t="s">
        <v>159</v>
      </c>
      <c r="H264" s="2" t="s">
        <v>160</v>
      </c>
      <c r="I264" s="2">
        <v>2</v>
      </c>
      <c r="J264" s="2">
        <v>2</v>
      </c>
      <c r="K264" s="2" t="s">
        <v>161</v>
      </c>
      <c r="L264" s="2" t="s">
        <v>154</v>
      </c>
      <c r="M264" s="2" t="b">
        <v>1</v>
      </c>
      <c r="N264" s="2" t="b">
        <v>0</v>
      </c>
      <c r="O264" s="2">
        <v>10</v>
      </c>
      <c r="P264" s="2">
        <v>1</v>
      </c>
      <c r="Q264" s="2" t="s">
        <v>442</v>
      </c>
      <c r="R264" s="2" t="s">
        <v>147</v>
      </c>
      <c r="S264" s="2">
        <v>4.8</v>
      </c>
      <c r="T264" s="2">
        <v>15.2</v>
      </c>
      <c r="U264" s="2" t="b">
        <v>0</v>
      </c>
      <c r="V264" s="2">
        <v>2</v>
      </c>
      <c r="W264" s="2">
        <v>1</v>
      </c>
      <c r="X264" s="2">
        <v>18</v>
      </c>
      <c r="Y264" s="2">
        <v>30.259433962264151</v>
      </c>
    </row>
    <row r="265" spans="1:25" hidden="1">
      <c r="A265" s="2" t="s">
        <v>458</v>
      </c>
      <c r="B265" s="2" t="s">
        <v>142</v>
      </c>
      <c r="C265" s="2" t="s">
        <v>174</v>
      </c>
      <c r="D265" s="3">
        <v>45552.822916666657</v>
      </c>
      <c r="E265" s="3">
        <v>45552.840277777781</v>
      </c>
      <c r="F265" s="2">
        <v>25</v>
      </c>
      <c r="G265" s="2" t="s">
        <v>167</v>
      </c>
      <c r="H265" s="2" t="s">
        <v>168</v>
      </c>
      <c r="I265" s="2">
        <v>5</v>
      </c>
      <c r="J265" s="2">
        <v>4.5</v>
      </c>
      <c r="K265" s="2" t="s">
        <v>143</v>
      </c>
      <c r="L265" s="2" t="s">
        <v>162</v>
      </c>
      <c r="M265" s="2" t="b">
        <v>1</v>
      </c>
      <c r="N265" s="2" t="b">
        <v>0</v>
      </c>
      <c r="O265" s="2">
        <v>5.5555555555555554</v>
      </c>
      <c r="P265" s="2">
        <v>1.1111111111111109</v>
      </c>
      <c r="Q265" s="2" t="s">
        <v>442</v>
      </c>
      <c r="R265" s="2" t="s">
        <v>147</v>
      </c>
      <c r="S265" s="2">
        <v>10.8</v>
      </c>
      <c r="T265" s="2">
        <v>14.2</v>
      </c>
      <c r="U265" s="2" t="b">
        <v>0</v>
      </c>
      <c r="V265" s="2">
        <v>20</v>
      </c>
      <c r="W265" s="2">
        <v>2</v>
      </c>
      <c r="X265" s="2">
        <v>19</v>
      </c>
      <c r="Y265" s="2">
        <v>30.259433962264151</v>
      </c>
    </row>
    <row r="266" spans="1:25" hidden="1">
      <c r="A266" s="2" t="s">
        <v>459</v>
      </c>
      <c r="B266" s="2" t="s">
        <v>142</v>
      </c>
      <c r="C266" s="2" t="s">
        <v>150</v>
      </c>
      <c r="D266" s="3">
        <v>45553.75</v>
      </c>
      <c r="E266" s="3">
        <v>45553.763888888891</v>
      </c>
      <c r="F266" s="2">
        <v>20</v>
      </c>
      <c r="G266" s="2" t="s">
        <v>143</v>
      </c>
      <c r="H266" s="2" t="s">
        <v>152</v>
      </c>
      <c r="I266" s="2">
        <v>3</v>
      </c>
      <c r="J266" s="2">
        <v>3.5</v>
      </c>
      <c r="K266" s="2" t="s">
        <v>153</v>
      </c>
      <c r="L266" s="2" t="s">
        <v>169</v>
      </c>
      <c r="M266" s="2" t="b">
        <v>1</v>
      </c>
      <c r="N266" s="2" t="b">
        <v>0</v>
      </c>
      <c r="O266" s="2">
        <v>5.7142857142857144</v>
      </c>
      <c r="P266" s="2">
        <v>0.8571428571428571</v>
      </c>
      <c r="Q266" s="2" t="s">
        <v>442</v>
      </c>
      <c r="R266" s="2" t="s">
        <v>171</v>
      </c>
      <c r="S266" s="2">
        <v>8.4</v>
      </c>
      <c r="T266" s="2">
        <v>11.6</v>
      </c>
      <c r="U266" s="2" t="b">
        <v>0</v>
      </c>
      <c r="V266" s="2">
        <v>6</v>
      </c>
      <c r="W266" s="2">
        <v>3</v>
      </c>
      <c r="X266" s="2">
        <v>18</v>
      </c>
      <c r="Y266" s="2">
        <v>30.259433962264151</v>
      </c>
    </row>
    <row r="267" spans="1:25" hidden="1">
      <c r="A267" s="2" t="s">
        <v>460</v>
      </c>
      <c r="B267" s="2" t="s">
        <v>142</v>
      </c>
      <c r="C267" s="2" t="s">
        <v>40</v>
      </c>
      <c r="D267" s="3">
        <v>45554.84375</v>
      </c>
      <c r="E267" s="3">
        <v>45554.861111111109</v>
      </c>
      <c r="F267" s="2">
        <v>25</v>
      </c>
      <c r="G267" s="2" t="s">
        <v>151</v>
      </c>
      <c r="H267" s="2" t="s">
        <v>144</v>
      </c>
      <c r="I267" s="2">
        <v>4</v>
      </c>
      <c r="J267" s="2">
        <v>5</v>
      </c>
      <c r="K267" s="2" t="s">
        <v>153</v>
      </c>
      <c r="L267" s="2" t="s">
        <v>145</v>
      </c>
      <c r="M267" s="2" t="b">
        <v>1</v>
      </c>
      <c r="N267" s="2" t="b">
        <v>0</v>
      </c>
      <c r="O267" s="2">
        <v>5</v>
      </c>
      <c r="P267" s="2">
        <v>0.8</v>
      </c>
      <c r="Q267" s="2" t="s">
        <v>442</v>
      </c>
      <c r="R267" s="2" t="s">
        <v>147</v>
      </c>
      <c r="S267" s="2">
        <v>12</v>
      </c>
      <c r="T267" s="2">
        <v>13</v>
      </c>
      <c r="U267" s="2" t="b">
        <v>0</v>
      </c>
      <c r="V267" s="2">
        <v>12</v>
      </c>
      <c r="W267" s="2">
        <v>3</v>
      </c>
      <c r="X267" s="2">
        <v>20</v>
      </c>
      <c r="Y267" s="2">
        <v>30.259433962264151</v>
      </c>
    </row>
    <row r="268" spans="1:25" hidden="1">
      <c r="A268" s="2" t="s">
        <v>461</v>
      </c>
      <c r="B268" s="2" t="s">
        <v>142</v>
      </c>
      <c r="C268" s="2" t="s">
        <v>315</v>
      </c>
      <c r="D268" s="3">
        <v>45545.75</v>
      </c>
      <c r="E268" s="3">
        <v>45545.763888888891</v>
      </c>
      <c r="F268" s="2">
        <v>20</v>
      </c>
      <c r="G268" s="2" t="s">
        <v>143</v>
      </c>
      <c r="H268" s="2" t="s">
        <v>144</v>
      </c>
      <c r="I268" s="2">
        <v>2</v>
      </c>
      <c r="J268" s="2">
        <v>3</v>
      </c>
      <c r="K268" s="2" t="s">
        <v>161</v>
      </c>
      <c r="L268" s="2" t="s">
        <v>169</v>
      </c>
      <c r="M268" s="2" t="b">
        <v>1</v>
      </c>
      <c r="N268" s="2" t="b">
        <v>0</v>
      </c>
      <c r="O268" s="2">
        <v>6.666666666666667</v>
      </c>
      <c r="P268" s="2">
        <v>0.66666666666666663</v>
      </c>
      <c r="Q268" s="2" t="s">
        <v>442</v>
      </c>
      <c r="R268" s="2" t="s">
        <v>171</v>
      </c>
      <c r="S268" s="2">
        <v>7.1999999999999993</v>
      </c>
      <c r="T268" s="2">
        <v>12.8</v>
      </c>
      <c r="U268" s="2" t="b">
        <v>0</v>
      </c>
      <c r="V268" s="2">
        <v>4</v>
      </c>
      <c r="W268" s="2">
        <v>1</v>
      </c>
      <c r="X268" s="2">
        <v>18</v>
      </c>
      <c r="Y268" s="2">
        <v>30.259433962264151</v>
      </c>
    </row>
    <row r="269" spans="1:25" hidden="1">
      <c r="A269" s="2" t="s">
        <v>462</v>
      </c>
      <c r="B269" s="2" t="s">
        <v>149</v>
      </c>
      <c r="C269" s="2" t="s">
        <v>317</v>
      </c>
      <c r="D269" s="3">
        <v>45546.802083333343</v>
      </c>
      <c r="E269" s="3">
        <v>45546.822916666657</v>
      </c>
      <c r="F269" s="2">
        <v>30</v>
      </c>
      <c r="G269" s="2" t="s">
        <v>151</v>
      </c>
      <c r="H269" s="2" t="s">
        <v>152</v>
      </c>
      <c r="I269" s="2">
        <v>4</v>
      </c>
      <c r="J269" s="2">
        <v>6</v>
      </c>
      <c r="K269" s="2" t="s">
        <v>143</v>
      </c>
      <c r="L269" s="2" t="s">
        <v>145</v>
      </c>
      <c r="M269" s="2" t="b">
        <v>1</v>
      </c>
      <c r="N269" s="2" t="b">
        <v>0</v>
      </c>
      <c r="O269" s="2">
        <v>5</v>
      </c>
      <c r="P269" s="2">
        <v>0.66666666666666663</v>
      </c>
      <c r="Q269" s="2" t="s">
        <v>442</v>
      </c>
      <c r="R269" s="2" t="s">
        <v>147</v>
      </c>
      <c r="S269" s="2">
        <v>14.4</v>
      </c>
      <c r="T269" s="2">
        <v>15.6</v>
      </c>
      <c r="U269" s="2" t="b">
        <v>0</v>
      </c>
      <c r="V269" s="2">
        <v>12</v>
      </c>
      <c r="W269" s="2">
        <v>2</v>
      </c>
      <c r="X269" s="2">
        <v>19</v>
      </c>
      <c r="Y269" s="2">
        <v>28.186274509803919</v>
      </c>
    </row>
    <row r="270" spans="1:25" hidden="1">
      <c r="A270" s="2" t="s">
        <v>463</v>
      </c>
      <c r="B270" s="2" t="s">
        <v>165</v>
      </c>
      <c r="C270" s="2" t="s">
        <v>190</v>
      </c>
      <c r="D270" s="3">
        <v>45547.854166666657</v>
      </c>
      <c r="E270" s="3">
        <v>45547.881944444453</v>
      </c>
      <c r="F270" s="2">
        <v>40</v>
      </c>
      <c r="G270" s="2" t="s">
        <v>167</v>
      </c>
      <c r="H270" s="2" t="s">
        <v>168</v>
      </c>
      <c r="I270" s="2">
        <v>5</v>
      </c>
      <c r="J270" s="2">
        <v>8</v>
      </c>
      <c r="K270" s="2" t="s">
        <v>153</v>
      </c>
      <c r="L270" s="2" t="s">
        <v>154</v>
      </c>
      <c r="M270" s="2" t="b">
        <v>1</v>
      </c>
      <c r="N270" s="2" t="b">
        <v>0</v>
      </c>
      <c r="O270" s="2">
        <v>5</v>
      </c>
      <c r="P270" s="2">
        <v>0.625</v>
      </c>
      <c r="Q270" s="2" t="s">
        <v>442</v>
      </c>
      <c r="R270" s="2" t="s">
        <v>147</v>
      </c>
      <c r="S270" s="2">
        <v>19.2</v>
      </c>
      <c r="T270" s="2">
        <v>20.8</v>
      </c>
      <c r="U270" s="2" t="b">
        <v>1</v>
      </c>
      <c r="V270" s="2">
        <v>20</v>
      </c>
      <c r="W270" s="2">
        <v>3</v>
      </c>
      <c r="X270" s="2">
        <v>20</v>
      </c>
      <c r="Y270" s="2">
        <v>29.948453608247419</v>
      </c>
    </row>
    <row r="271" spans="1:25" hidden="1">
      <c r="A271" s="2" t="s">
        <v>464</v>
      </c>
      <c r="B271" s="2" t="s">
        <v>157</v>
      </c>
      <c r="C271" s="2" t="s">
        <v>158</v>
      </c>
      <c r="D271" s="3">
        <v>45548.78125</v>
      </c>
      <c r="E271" s="3">
        <v>45548.795138888891</v>
      </c>
      <c r="F271" s="2">
        <v>20</v>
      </c>
      <c r="G271" s="2" t="s">
        <v>159</v>
      </c>
      <c r="H271" s="2" t="s">
        <v>160</v>
      </c>
      <c r="I271" s="2">
        <v>1</v>
      </c>
      <c r="J271" s="2">
        <v>2.5</v>
      </c>
      <c r="K271" s="2" t="s">
        <v>161</v>
      </c>
      <c r="L271" s="2" t="s">
        <v>162</v>
      </c>
      <c r="M271" s="2" t="b">
        <v>1</v>
      </c>
      <c r="N271" s="2" t="b">
        <v>0</v>
      </c>
      <c r="O271" s="2">
        <v>8</v>
      </c>
      <c r="P271" s="2">
        <v>0.4</v>
      </c>
      <c r="Q271" s="2" t="s">
        <v>442</v>
      </c>
      <c r="R271" s="2" t="s">
        <v>147</v>
      </c>
      <c r="S271" s="2">
        <v>6</v>
      </c>
      <c r="T271" s="2">
        <v>14</v>
      </c>
      <c r="U271" s="2" t="b">
        <v>0</v>
      </c>
      <c r="V271" s="2">
        <v>1</v>
      </c>
      <c r="W271" s="2">
        <v>1</v>
      </c>
      <c r="X271" s="2">
        <v>18</v>
      </c>
      <c r="Y271" s="2">
        <v>28.844221105527641</v>
      </c>
    </row>
    <row r="272" spans="1:25" hidden="1">
      <c r="A272" s="2" t="s">
        <v>465</v>
      </c>
      <c r="B272" s="2" t="s">
        <v>173</v>
      </c>
      <c r="C272" s="2" t="s">
        <v>166</v>
      </c>
      <c r="D272" s="3">
        <v>45549.791666666657</v>
      </c>
      <c r="E272" s="3">
        <v>45549.826388888891</v>
      </c>
      <c r="F272" s="2">
        <v>50</v>
      </c>
      <c r="G272" s="2" t="s">
        <v>151</v>
      </c>
      <c r="H272" s="2" t="s">
        <v>152</v>
      </c>
      <c r="I272" s="2">
        <v>4</v>
      </c>
      <c r="J272" s="2">
        <v>10</v>
      </c>
      <c r="K272" s="2" t="s">
        <v>153</v>
      </c>
      <c r="L272" s="2" t="s">
        <v>169</v>
      </c>
      <c r="M272" s="2" t="b">
        <v>1</v>
      </c>
      <c r="N272" s="2" t="b">
        <v>1</v>
      </c>
      <c r="O272" s="2">
        <v>5</v>
      </c>
      <c r="P272" s="2">
        <v>0.4</v>
      </c>
      <c r="Q272" s="2" t="s">
        <v>442</v>
      </c>
      <c r="R272" s="2" t="s">
        <v>171</v>
      </c>
      <c r="S272" s="2">
        <v>24</v>
      </c>
      <c r="T272" s="2">
        <v>26</v>
      </c>
      <c r="U272" s="2" t="b">
        <v>1</v>
      </c>
      <c r="V272" s="2">
        <v>12</v>
      </c>
      <c r="W272" s="2">
        <v>3</v>
      </c>
      <c r="X272" s="2">
        <v>19</v>
      </c>
      <c r="Y272" s="2">
        <v>30.286458333333329</v>
      </c>
    </row>
    <row r="273" spans="1:25" hidden="1">
      <c r="A273" s="2" t="s">
        <v>466</v>
      </c>
      <c r="B273" s="2" t="s">
        <v>142</v>
      </c>
      <c r="C273" s="2" t="s">
        <v>192</v>
      </c>
      <c r="D273" s="3">
        <v>45550.833333333343</v>
      </c>
      <c r="E273" s="3">
        <v>45550.857638888891</v>
      </c>
      <c r="F273" s="2">
        <v>35</v>
      </c>
      <c r="G273" s="2" t="s">
        <v>143</v>
      </c>
      <c r="H273" s="2" t="s">
        <v>144</v>
      </c>
      <c r="I273" s="2">
        <v>3</v>
      </c>
      <c r="J273" s="2">
        <v>5.5</v>
      </c>
      <c r="K273" s="2" t="s">
        <v>143</v>
      </c>
      <c r="L273" s="2" t="s">
        <v>145</v>
      </c>
      <c r="M273" s="2" t="b">
        <v>1</v>
      </c>
      <c r="N273" s="2" t="b">
        <v>1</v>
      </c>
      <c r="O273" s="2">
        <v>6.3636363636363633</v>
      </c>
      <c r="P273" s="2">
        <v>0.54545454545454541</v>
      </c>
      <c r="Q273" s="2" t="s">
        <v>442</v>
      </c>
      <c r="R273" s="2" t="s">
        <v>147</v>
      </c>
      <c r="S273" s="2">
        <v>13.2</v>
      </c>
      <c r="T273" s="2">
        <v>21.8</v>
      </c>
      <c r="U273" s="2" t="b">
        <v>1</v>
      </c>
      <c r="V273" s="2">
        <v>6</v>
      </c>
      <c r="W273" s="2">
        <v>2</v>
      </c>
      <c r="X273" s="2">
        <v>20</v>
      </c>
      <c r="Y273" s="2">
        <v>30.259433962264151</v>
      </c>
    </row>
    <row r="274" spans="1:25" hidden="1">
      <c r="A274" s="2" t="s">
        <v>467</v>
      </c>
      <c r="B274" s="2" t="s">
        <v>149</v>
      </c>
      <c r="C274" s="2" t="s">
        <v>194</v>
      </c>
      <c r="D274" s="3">
        <v>45551.770833333343</v>
      </c>
      <c r="E274" s="3">
        <v>45551.784722222219</v>
      </c>
      <c r="F274" s="2">
        <v>20</v>
      </c>
      <c r="G274" s="2" t="s">
        <v>159</v>
      </c>
      <c r="H274" s="2" t="s">
        <v>160</v>
      </c>
      <c r="I274" s="2">
        <v>2</v>
      </c>
      <c r="J274" s="2">
        <v>2</v>
      </c>
      <c r="K274" s="2" t="s">
        <v>161</v>
      </c>
      <c r="L274" s="2" t="s">
        <v>154</v>
      </c>
      <c r="M274" s="2" t="b">
        <v>1</v>
      </c>
      <c r="N274" s="2" t="b">
        <v>0</v>
      </c>
      <c r="O274" s="2">
        <v>10</v>
      </c>
      <c r="P274" s="2">
        <v>1</v>
      </c>
      <c r="Q274" s="2" t="s">
        <v>442</v>
      </c>
      <c r="R274" s="2" t="s">
        <v>147</v>
      </c>
      <c r="S274" s="2">
        <v>4.8</v>
      </c>
      <c r="T274" s="2">
        <v>15.2</v>
      </c>
      <c r="U274" s="2" t="b">
        <v>0</v>
      </c>
      <c r="V274" s="2">
        <v>2</v>
      </c>
      <c r="W274" s="2">
        <v>1</v>
      </c>
      <c r="X274" s="2">
        <v>18</v>
      </c>
      <c r="Y274" s="2">
        <v>28.186274509803919</v>
      </c>
    </row>
    <row r="275" spans="1:25" hidden="1">
      <c r="A275" s="2" t="s">
        <v>468</v>
      </c>
      <c r="B275" s="2" t="s">
        <v>165</v>
      </c>
      <c r="C275" s="2" t="s">
        <v>174</v>
      </c>
      <c r="D275" s="3">
        <v>45552.822916666657</v>
      </c>
      <c r="E275" s="3">
        <v>45552.850694444453</v>
      </c>
      <c r="F275" s="2">
        <v>40</v>
      </c>
      <c r="G275" s="2" t="s">
        <v>167</v>
      </c>
      <c r="H275" s="2" t="s">
        <v>168</v>
      </c>
      <c r="I275" s="2">
        <v>5</v>
      </c>
      <c r="J275" s="2">
        <v>7.5</v>
      </c>
      <c r="K275" s="2" t="s">
        <v>153</v>
      </c>
      <c r="L275" s="2" t="s">
        <v>162</v>
      </c>
      <c r="M275" s="2" t="b">
        <v>1</v>
      </c>
      <c r="N275" s="2" t="b">
        <v>0</v>
      </c>
      <c r="O275" s="2">
        <v>5.333333333333333</v>
      </c>
      <c r="P275" s="2">
        <v>0.66666666666666663</v>
      </c>
      <c r="Q275" s="2" t="s">
        <v>442</v>
      </c>
      <c r="R275" s="2" t="s">
        <v>147</v>
      </c>
      <c r="S275" s="2">
        <v>18</v>
      </c>
      <c r="T275" s="2">
        <v>22</v>
      </c>
      <c r="U275" s="2" t="b">
        <v>1</v>
      </c>
      <c r="V275" s="2">
        <v>20</v>
      </c>
      <c r="W275" s="2">
        <v>3</v>
      </c>
      <c r="X275" s="2">
        <v>19</v>
      </c>
      <c r="Y275" s="2">
        <v>29.948453608247419</v>
      </c>
    </row>
    <row r="276" spans="1:25" hidden="1">
      <c r="A276" s="2" t="s">
        <v>469</v>
      </c>
      <c r="B276" s="2" t="s">
        <v>157</v>
      </c>
      <c r="C276" s="2" t="s">
        <v>150</v>
      </c>
      <c r="D276" s="3">
        <v>45553.75</v>
      </c>
      <c r="E276" s="3">
        <v>45553.770833333343</v>
      </c>
      <c r="F276" s="2">
        <v>30</v>
      </c>
      <c r="G276" s="2" t="s">
        <v>143</v>
      </c>
      <c r="H276" s="2" t="s">
        <v>152</v>
      </c>
      <c r="I276" s="2">
        <v>3</v>
      </c>
      <c r="J276" s="2">
        <v>4</v>
      </c>
      <c r="K276" s="2" t="s">
        <v>143</v>
      </c>
      <c r="L276" s="2" t="s">
        <v>169</v>
      </c>
      <c r="M276" s="2" t="b">
        <v>1</v>
      </c>
      <c r="N276" s="2" t="b">
        <v>0</v>
      </c>
      <c r="O276" s="2">
        <v>7.5</v>
      </c>
      <c r="P276" s="2">
        <v>0.75</v>
      </c>
      <c r="Q276" s="2" t="s">
        <v>442</v>
      </c>
      <c r="R276" s="2" t="s">
        <v>171</v>
      </c>
      <c r="S276" s="2">
        <v>9.6</v>
      </c>
      <c r="T276" s="2">
        <v>20.399999999999999</v>
      </c>
      <c r="U276" s="2" t="b">
        <v>0</v>
      </c>
      <c r="V276" s="2">
        <v>6</v>
      </c>
      <c r="W276" s="2">
        <v>2</v>
      </c>
      <c r="X276" s="2">
        <v>18</v>
      </c>
      <c r="Y276" s="2">
        <v>28.844221105527641</v>
      </c>
    </row>
    <row r="277" spans="1:25" hidden="1">
      <c r="A277" s="2" t="s">
        <v>470</v>
      </c>
      <c r="B277" s="2" t="s">
        <v>173</v>
      </c>
      <c r="C277" s="2" t="s">
        <v>40</v>
      </c>
      <c r="D277" s="3">
        <v>45554.84375</v>
      </c>
      <c r="E277" s="3">
        <v>45554.875</v>
      </c>
      <c r="F277" s="2">
        <v>45</v>
      </c>
      <c r="G277" s="2" t="s">
        <v>151</v>
      </c>
      <c r="H277" s="2" t="s">
        <v>144</v>
      </c>
      <c r="I277" s="2">
        <v>4</v>
      </c>
      <c r="J277" s="2">
        <v>9</v>
      </c>
      <c r="K277" s="2" t="s">
        <v>153</v>
      </c>
      <c r="L277" s="2" t="s">
        <v>145</v>
      </c>
      <c r="M277" s="2" t="b">
        <v>1</v>
      </c>
      <c r="N277" s="2" t="b">
        <v>0</v>
      </c>
      <c r="O277" s="2">
        <v>5</v>
      </c>
      <c r="P277" s="2">
        <v>0.44444444444444442</v>
      </c>
      <c r="Q277" s="2" t="s">
        <v>442</v>
      </c>
      <c r="R277" s="2" t="s">
        <v>147</v>
      </c>
      <c r="S277" s="2">
        <v>21.6</v>
      </c>
      <c r="T277" s="2">
        <v>23.4</v>
      </c>
      <c r="U277" s="2" t="b">
        <v>1</v>
      </c>
      <c r="V277" s="2">
        <v>12</v>
      </c>
      <c r="W277" s="2">
        <v>3</v>
      </c>
      <c r="X277" s="2">
        <v>20</v>
      </c>
      <c r="Y277" s="2">
        <v>30.286458333333329</v>
      </c>
    </row>
    <row r="278" spans="1:25" hidden="1">
      <c r="A278" s="2" t="s">
        <v>471</v>
      </c>
      <c r="B278" s="2" t="s">
        <v>142</v>
      </c>
      <c r="C278" s="2" t="s">
        <v>40</v>
      </c>
      <c r="D278" s="3">
        <v>45550.78125</v>
      </c>
      <c r="E278" s="3">
        <v>45550.798611111109</v>
      </c>
      <c r="F278" s="2">
        <v>25</v>
      </c>
      <c r="G278" s="2" t="s">
        <v>151</v>
      </c>
      <c r="H278" s="2" t="s">
        <v>144</v>
      </c>
      <c r="I278" s="2">
        <v>3</v>
      </c>
      <c r="J278" s="2">
        <v>5</v>
      </c>
      <c r="K278" s="2" t="s">
        <v>153</v>
      </c>
      <c r="L278" s="2" t="s">
        <v>342</v>
      </c>
      <c r="M278" s="2" t="b">
        <v>1</v>
      </c>
      <c r="N278" s="2" t="b">
        <v>1</v>
      </c>
      <c r="O278" s="2">
        <v>5</v>
      </c>
      <c r="P278" s="2">
        <v>0.6</v>
      </c>
      <c r="Q278" s="2" t="s">
        <v>442</v>
      </c>
      <c r="R278" s="2" t="s">
        <v>171</v>
      </c>
      <c r="S278" s="2">
        <v>12</v>
      </c>
      <c r="T278" s="2">
        <v>13</v>
      </c>
      <c r="U278" s="2" t="b">
        <v>0</v>
      </c>
      <c r="V278" s="2">
        <v>9</v>
      </c>
      <c r="W278" s="2">
        <v>3</v>
      </c>
      <c r="X278" s="2">
        <v>18</v>
      </c>
      <c r="Y278" s="2">
        <v>30.259433962264151</v>
      </c>
    </row>
    <row r="279" spans="1:25" hidden="1">
      <c r="A279" s="2" t="s">
        <v>472</v>
      </c>
      <c r="B279" s="2" t="s">
        <v>165</v>
      </c>
      <c r="C279" s="2" t="s">
        <v>150</v>
      </c>
      <c r="D279" s="3">
        <v>45551.833333333343</v>
      </c>
      <c r="E279" s="3">
        <v>45551.854166666657</v>
      </c>
      <c r="F279" s="2">
        <v>30</v>
      </c>
      <c r="G279" s="2" t="s">
        <v>167</v>
      </c>
      <c r="H279" s="2" t="s">
        <v>168</v>
      </c>
      <c r="I279" s="2">
        <v>5</v>
      </c>
      <c r="J279" s="2">
        <v>6.5</v>
      </c>
      <c r="K279" s="2" t="s">
        <v>143</v>
      </c>
      <c r="L279" s="2" t="s">
        <v>145</v>
      </c>
      <c r="M279" s="2" t="b">
        <v>1</v>
      </c>
      <c r="N279" s="2" t="b">
        <v>0</v>
      </c>
      <c r="O279" s="2">
        <v>4.615384615384615</v>
      </c>
      <c r="P279" s="2">
        <v>0.76923076923076927</v>
      </c>
      <c r="Q279" s="2" t="s">
        <v>442</v>
      </c>
      <c r="R279" s="2" t="s">
        <v>147</v>
      </c>
      <c r="S279" s="2">
        <v>15.6</v>
      </c>
      <c r="T279" s="2">
        <v>14.4</v>
      </c>
      <c r="U279" s="2" t="b">
        <v>0</v>
      </c>
      <c r="V279" s="2">
        <v>20</v>
      </c>
      <c r="W279" s="2">
        <v>2</v>
      </c>
      <c r="X279" s="2">
        <v>20</v>
      </c>
      <c r="Y279" s="2">
        <v>29.948453608247419</v>
      </c>
    </row>
    <row r="280" spans="1:25" hidden="1">
      <c r="A280" s="2" t="s">
        <v>473</v>
      </c>
      <c r="B280" s="2" t="s">
        <v>149</v>
      </c>
      <c r="C280" s="2" t="s">
        <v>158</v>
      </c>
      <c r="D280" s="3">
        <v>45552.802083333343</v>
      </c>
      <c r="E280" s="3">
        <v>45552.815972222219</v>
      </c>
      <c r="F280" s="2">
        <v>20</v>
      </c>
      <c r="G280" s="2" t="s">
        <v>143</v>
      </c>
      <c r="H280" s="2" t="s">
        <v>152</v>
      </c>
      <c r="I280" s="2">
        <v>4</v>
      </c>
      <c r="J280" s="2">
        <v>4</v>
      </c>
      <c r="K280" s="2" t="s">
        <v>161</v>
      </c>
      <c r="L280" s="2" t="s">
        <v>162</v>
      </c>
      <c r="M280" s="2" t="b">
        <v>1</v>
      </c>
      <c r="N280" s="2" t="b">
        <v>0</v>
      </c>
      <c r="O280" s="2">
        <v>5</v>
      </c>
      <c r="P280" s="2">
        <v>1</v>
      </c>
      <c r="Q280" s="2" t="s">
        <v>442</v>
      </c>
      <c r="R280" s="2" t="s">
        <v>147</v>
      </c>
      <c r="S280" s="2">
        <v>9.6</v>
      </c>
      <c r="T280" s="2">
        <v>10.4</v>
      </c>
      <c r="U280" s="2" t="b">
        <v>0</v>
      </c>
      <c r="V280" s="2">
        <v>8</v>
      </c>
      <c r="W280" s="2">
        <v>1</v>
      </c>
      <c r="X280" s="2">
        <v>19</v>
      </c>
      <c r="Y280" s="2">
        <v>28.186274509803919</v>
      </c>
    </row>
    <row r="281" spans="1:25" hidden="1">
      <c r="A281" s="2" t="s">
        <v>474</v>
      </c>
      <c r="B281" s="2" t="s">
        <v>157</v>
      </c>
      <c r="C281" s="2" t="s">
        <v>184</v>
      </c>
      <c r="D281" s="3">
        <v>45553.770833333343</v>
      </c>
      <c r="E281" s="3">
        <v>45553.795138888891</v>
      </c>
      <c r="F281" s="2">
        <v>35</v>
      </c>
      <c r="G281" s="2" t="s">
        <v>159</v>
      </c>
      <c r="H281" s="2" t="s">
        <v>160</v>
      </c>
      <c r="I281" s="2">
        <v>2</v>
      </c>
      <c r="J281" s="2">
        <v>7.5</v>
      </c>
      <c r="K281" s="2" t="s">
        <v>153</v>
      </c>
      <c r="L281" s="2" t="s">
        <v>154</v>
      </c>
      <c r="M281" s="2" t="b">
        <v>1</v>
      </c>
      <c r="N281" s="2" t="b">
        <v>0</v>
      </c>
      <c r="O281" s="2">
        <v>4.666666666666667</v>
      </c>
      <c r="P281" s="2">
        <v>0.26666666666666672</v>
      </c>
      <c r="Q281" s="2" t="s">
        <v>442</v>
      </c>
      <c r="R281" s="2" t="s">
        <v>147</v>
      </c>
      <c r="S281" s="2">
        <v>18</v>
      </c>
      <c r="T281" s="2">
        <v>17</v>
      </c>
      <c r="U281" s="2" t="b">
        <v>1</v>
      </c>
      <c r="V281" s="2">
        <v>2</v>
      </c>
      <c r="W281" s="2">
        <v>3</v>
      </c>
      <c r="X281" s="2">
        <v>18</v>
      </c>
      <c r="Y281" s="2">
        <v>28.844221105527641</v>
      </c>
    </row>
    <row r="282" spans="1:25" hidden="1">
      <c r="A282" s="2" t="s">
        <v>475</v>
      </c>
      <c r="B282" s="2" t="s">
        <v>173</v>
      </c>
      <c r="C282" s="2" t="s">
        <v>186</v>
      </c>
      <c r="D282" s="3">
        <v>45554.541666666657</v>
      </c>
      <c r="E282" s="3">
        <v>45554.555555555547</v>
      </c>
      <c r="F282" s="2">
        <v>20</v>
      </c>
      <c r="G282" s="2" t="s">
        <v>143</v>
      </c>
      <c r="H282" s="2" t="s">
        <v>152</v>
      </c>
      <c r="I282" s="2">
        <v>3</v>
      </c>
      <c r="J282" s="2">
        <v>3.5</v>
      </c>
      <c r="K282" s="2" t="s">
        <v>161</v>
      </c>
      <c r="L282" s="2" t="s">
        <v>145</v>
      </c>
      <c r="M282" s="2" t="b">
        <v>0</v>
      </c>
      <c r="N282" s="2" t="b">
        <v>0</v>
      </c>
      <c r="O282" s="2">
        <v>5.7142857142857144</v>
      </c>
      <c r="P282" s="2">
        <v>0.8571428571428571</v>
      </c>
      <c r="Q282" s="2" t="s">
        <v>442</v>
      </c>
      <c r="R282" s="2" t="s">
        <v>147</v>
      </c>
      <c r="S282" s="2">
        <v>8.4</v>
      </c>
      <c r="T282" s="2">
        <v>11.6</v>
      </c>
      <c r="U282" s="2" t="b">
        <v>0</v>
      </c>
      <c r="V282" s="2">
        <v>6</v>
      </c>
      <c r="W282" s="2">
        <v>1</v>
      </c>
      <c r="X282" s="2">
        <v>13</v>
      </c>
      <c r="Y282" s="2">
        <v>30.286458333333329</v>
      </c>
    </row>
    <row r="283" spans="1:25" hidden="1">
      <c r="A283" s="2" t="s">
        <v>476</v>
      </c>
      <c r="B283" s="2" t="s">
        <v>142</v>
      </c>
      <c r="C283" s="2" t="s">
        <v>166</v>
      </c>
      <c r="D283" s="3">
        <v>45555.78125</v>
      </c>
      <c r="E283" s="3">
        <v>45555.802083333343</v>
      </c>
      <c r="F283" s="2">
        <v>30</v>
      </c>
      <c r="G283" s="2" t="s">
        <v>151</v>
      </c>
      <c r="H283" s="2" t="s">
        <v>144</v>
      </c>
      <c r="I283" s="2">
        <v>4</v>
      </c>
      <c r="J283" s="2">
        <v>6</v>
      </c>
      <c r="K283" s="2" t="s">
        <v>143</v>
      </c>
      <c r="L283" s="2" t="s">
        <v>342</v>
      </c>
      <c r="M283" s="2" t="b">
        <v>1</v>
      </c>
      <c r="N283" s="2" t="b">
        <v>0</v>
      </c>
      <c r="O283" s="2">
        <v>5</v>
      </c>
      <c r="P283" s="2">
        <v>0.66666666666666663</v>
      </c>
      <c r="Q283" s="2" t="s">
        <v>442</v>
      </c>
      <c r="R283" s="2" t="s">
        <v>171</v>
      </c>
      <c r="S283" s="2">
        <v>14.4</v>
      </c>
      <c r="T283" s="2">
        <v>15.6</v>
      </c>
      <c r="U283" s="2" t="b">
        <v>0</v>
      </c>
      <c r="V283" s="2">
        <v>12</v>
      </c>
      <c r="W283" s="2">
        <v>2</v>
      </c>
      <c r="X283" s="2">
        <v>18</v>
      </c>
      <c r="Y283" s="2">
        <v>30.259433962264151</v>
      </c>
    </row>
    <row r="284" spans="1:25" hidden="1">
      <c r="A284" s="2" t="s">
        <v>477</v>
      </c>
      <c r="B284" s="2" t="s">
        <v>165</v>
      </c>
      <c r="C284" s="2" t="s">
        <v>192</v>
      </c>
      <c r="D284" s="3">
        <v>45556.84375</v>
      </c>
      <c r="E284" s="3">
        <v>45556.861111111109</v>
      </c>
      <c r="F284" s="2">
        <v>25</v>
      </c>
      <c r="G284" s="2" t="s">
        <v>167</v>
      </c>
      <c r="H284" s="2" t="s">
        <v>168</v>
      </c>
      <c r="I284" s="2">
        <v>5</v>
      </c>
      <c r="J284" s="2">
        <v>5</v>
      </c>
      <c r="K284" s="2" t="s">
        <v>161</v>
      </c>
      <c r="L284" s="2" t="s">
        <v>162</v>
      </c>
      <c r="M284" s="2" t="b">
        <v>1</v>
      </c>
      <c r="N284" s="2" t="b">
        <v>1</v>
      </c>
      <c r="O284" s="2">
        <v>5</v>
      </c>
      <c r="P284" s="2">
        <v>1</v>
      </c>
      <c r="Q284" s="2" t="s">
        <v>442</v>
      </c>
      <c r="R284" s="2" t="s">
        <v>147</v>
      </c>
      <c r="S284" s="2">
        <v>12</v>
      </c>
      <c r="T284" s="2">
        <v>13</v>
      </c>
      <c r="U284" s="2" t="b">
        <v>0</v>
      </c>
      <c r="V284" s="2">
        <v>20</v>
      </c>
      <c r="W284" s="2">
        <v>1</v>
      </c>
      <c r="X284" s="2">
        <v>20</v>
      </c>
      <c r="Y284" s="2">
        <v>29.948453608247419</v>
      </c>
    </row>
    <row r="285" spans="1:25" hidden="1">
      <c r="A285" s="2" t="s">
        <v>478</v>
      </c>
      <c r="B285" s="2" t="s">
        <v>149</v>
      </c>
      <c r="C285" s="2" t="s">
        <v>194</v>
      </c>
      <c r="D285" s="3">
        <v>45557.8125</v>
      </c>
      <c r="E285" s="3">
        <v>45557.829861111109</v>
      </c>
      <c r="F285" s="2">
        <v>25</v>
      </c>
      <c r="G285" s="2" t="s">
        <v>159</v>
      </c>
      <c r="H285" s="2" t="s">
        <v>160</v>
      </c>
      <c r="I285" s="2">
        <v>2</v>
      </c>
      <c r="J285" s="2">
        <v>4</v>
      </c>
      <c r="K285" s="2" t="s">
        <v>153</v>
      </c>
      <c r="L285" s="2" t="s">
        <v>154</v>
      </c>
      <c r="M285" s="2" t="b">
        <v>1</v>
      </c>
      <c r="N285" s="2" t="b">
        <v>1</v>
      </c>
      <c r="O285" s="2">
        <v>6.25</v>
      </c>
      <c r="P285" s="2">
        <v>0.5</v>
      </c>
      <c r="Q285" s="2" t="s">
        <v>442</v>
      </c>
      <c r="R285" s="2" t="s">
        <v>147</v>
      </c>
      <c r="S285" s="2">
        <v>9.6</v>
      </c>
      <c r="T285" s="2">
        <v>15.4</v>
      </c>
      <c r="U285" s="2" t="b">
        <v>0</v>
      </c>
      <c r="V285" s="2">
        <v>2</v>
      </c>
      <c r="W285" s="2">
        <v>3</v>
      </c>
      <c r="X285" s="2">
        <v>19</v>
      </c>
      <c r="Y285" s="2">
        <v>28.186274509803919</v>
      </c>
    </row>
    <row r="286" spans="1:25" hidden="1">
      <c r="A286" s="2" t="s">
        <v>479</v>
      </c>
      <c r="B286" s="2" t="s">
        <v>157</v>
      </c>
      <c r="C286" s="2" t="s">
        <v>174</v>
      </c>
      <c r="D286" s="3">
        <v>45558.75</v>
      </c>
      <c r="E286" s="3">
        <v>45558.763888888891</v>
      </c>
      <c r="F286" s="2">
        <v>20</v>
      </c>
      <c r="G286" s="2" t="s">
        <v>143</v>
      </c>
      <c r="H286" s="2" t="s">
        <v>152</v>
      </c>
      <c r="I286" s="2">
        <v>3</v>
      </c>
      <c r="J286" s="2">
        <v>3</v>
      </c>
      <c r="K286" s="2" t="s">
        <v>143</v>
      </c>
      <c r="L286" s="2" t="s">
        <v>145</v>
      </c>
      <c r="M286" s="2" t="b">
        <v>1</v>
      </c>
      <c r="N286" s="2" t="b">
        <v>0</v>
      </c>
      <c r="O286" s="2">
        <v>6.666666666666667</v>
      </c>
      <c r="P286" s="2">
        <v>1</v>
      </c>
      <c r="Q286" s="2" t="s">
        <v>442</v>
      </c>
      <c r="R286" s="2" t="s">
        <v>147</v>
      </c>
      <c r="S286" s="2">
        <v>7.1999999999999993</v>
      </c>
      <c r="T286" s="2">
        <v>12.8</v>
      </c>
      <c r="U286" s="2" t="b">
        <v>0</v>
      </c>
      <c r="V286" s="2">
        <v>6</v>
      </c>
      <c r="W286" s="2">
        <v>2</v>
      </c>
      <c r="X286" s="2">
        <v>18</v>
      </c>
      <c r="Y286" s="2">
        <v>28.844221105527641</v>
      </c>
    </row>
    <row r="287" spans="1:25" hidden="1">
      <c r="A287" s="2" t="s">
        <v>480</v>
      </c>
      <c r="B287" s="2" t="s">
        <v>173</v>
      </c>
      <c r="C287" s="2" t="s">
        <v>190</v>
      </c>
      <c r="D287" s="3">
        <v>45559.552083333343</v>
      </c>
      <c r="E287" s="3">
        <v>45559.572916666657</v>
      </c>
      <c r="F287" s="2">
        <v>30</v>
      </c>
      <c r="G287" s="2" t="s">
        <v>143</v>
      </c>
      <c r="H287" s="2" t="s">
        <v>152</v>
      </c>
      <c r="I287" s="2">
        <v>3</v>
      </c>
      <c r="J287" s="2">
        <v>6</v>
      </c>
      <c r="K287" s="2" t="s">
        <v>153</v>
      </c>
      <c r="L287" s="2" t="s">
        <v>162</v>
      </c>
      <c r="M287" s="2" t="b">
        <v>0</v>
      </c>
      <c r="N287" s="2" t="b">
        <v>0</v>
      </c>
      <c r="O287" s="2">
        <v>5</v>
      </c>
      <c r="P287" s="2">
        <v>0.5</v>
      </c>
      <c r="Q287" s="2" t="s">
        <v>442</v>
      </c>
      <c r="R287" s="2" t="s">
        <v>147</v>
      </c>
      <c r="S287" s="2">
        <v>14.4</v>
      </c>
      <c r="T287" s="2">
        <v>15.6</v>
      </c>
      <c r="U287" s="2" t="b">
        <v>0</v>
      </c>
      <c r="V287" s="2">
        <v>6</v>
      </c>
      <c r="W287" s="2">
        <v>3</v>
      </c>
      <c r="X287" s="2">
        <v>13</v>
      </c>
      <c r="Y287" s="2">
        <v>30.286458333333329</v>
      </c>
    </row>
    <row r="288" spans="1:25" hidden="1">
      <c r="A288" s="2" t="s">
        <v>481</v>
      </c>
      <c r="B288" s="2" t="s">
        <v>142</v>
      </c>
      <c r="C288" s="2" t="s">
        <v>40</v>
      </c>
      <c r="D288" s="3">
        <v>45560.770833333343</v>
      </c>
      <c r="E288" s="3">
        <v>45560.791666666657</v>
      </c>
      <c r="F288" s="2">
        <v>30</v>
      </c>
      <c r="G288" s="2" t="s">
        <v>151</v>
      </c>
      <c r="H288" s="2" t="s">
        <v>144</v>
      </c>
      <c r="I288" s="2">
        <v>4</v>
      </c>
      <c r="J288" s="2">
        <v>5.5</v>
      </c>
      <c r="K288" s="2" t="s">
        <v>153</v>
      </c>
      <c r="L288" s="2" t="s">
        <v>342</v>
      </c>
      <c r="M288" s="2" t="b">
        <v>1</v>
      </c>
      <c r="N288" s="2" t="b">
        <v>0</v>
      </c>
      <c r="O288" s="2">
        <v>5.4545454545454541</v>
      </c>
      <c r="P288" s="2">
        <v>0.72727272727272729</v>
      </c>
      <c r="Q288" s="2" t="s">
        <v>442</v>
      </c>
      <c r="R288" s="2" t="s">
        <v>171</v>
      </c>
      <c r="S288" s="2">
        <v>13.2</v>
      </c>
      <c r="T288" s="2">
        <v>16.8</v>
      </c>
      <c r="U288" s="2" t="b">
        <v>0</v>
      </c>
      <c r="V288" s="2">
        <v>12</v>
      </c>
      <c r="W288" s="2">
        <v>3</v>
      </c>
      <c r="X288" s="2">
        <v>18</v>
      </c>
      <c r="Y288" s="2">
        <v>30.259433962264151</v>
      </c>
    </row>
    <row r="289" spans="1:25" hidden="1">
      <c r="A289" s="2" t="s">
        <v>482</v>
      </c>
      <c r="B289" s="2" t="s">
        <v>165</v>
      </c>
      <c r="C289" s="2" t="s">
        <v>150</v>
      </c>
      <c r="D289" s="3">
        <v>45561.822916666657</v>
      </c>
      <c r="E289" s="3">
        <v>45561.840277777781</v>
      </c>
      <c r="F289" s="2">
        <v>25</v>
      </c>
      <c r="G289" s="2" t="s">
        <v>167</v>
      </c>
      <c r="H289" s="2" t="s">
        <v>168</v>
      </c>
      <c r="I289" s="2">
        <v>5</v>
      </c>
      <c r="J289" s="2">
        <v>4.5</v>
      </c>
      <c r="K289" s="2" t="s">
        <v>161</v>
      </c>
      <c r="L289" s="2" t="s">
        <v>169</v>
      </c>
      <c r="M289" s="2" t="b">
        <v>1</v>
      </c>
      <c r="N289" s="2" t="b">
        <v>0</v>
      </c>
      <c r="O289" s="2">
        <v>5.5555555555555554</v>
      </c>
      <c r="P289" s="2">
        <v>1.1111111111111109</v>
      </c>
      <c r="Q289" s="2" t="s">
        <v>442</v>
      </c>
      <c r="R289" s="2" t="s">
        <v>171</v>
      </c>
      <c r="S289" s="2">
        <v>10.8</v>
      </c>
      <c r="T289" s="2">
        <v>14.2</v>
      </c>
      <c r="U289" s="2" t="b">
        <v>0</v>
      </c>
      <c r="V289" s="2">
        <v>20</v>
      </c>
      <c r="W289" s="2">
        <v>1</v>
      </c>
      <c r="X289" s="2">
        <v>19</v>
      </c>
      <c r="Y289" s="2">
        <v>29.948453608247419</v>
      </c>
    </row>
    <row r="290" spans="1:25" hidden="1">
      <c r="A290" s="2" t="s">
        <v>483</v>
      </c>
      <c r="B290" s="2" t="s">
        <v>149</v>
      </c>
      <c r="C290" s="2" t="s">
        <v>158</v>
      </c>
      <c r="D290" s="3">
        <v>45562.84375</v>
      </c>
      <c r="E290" s="3">
        <v>45562.861111111109</v>
      </c>
      <c r="F290" s="2">
        <v>25</v>
      </c>
      <c r="G290" s="2" t="s">
        <v>143</v>
      </c>
      <c r="H290" s="2" t="s">
        <v>152</v>
      </c>
      <c r="I290" s="2">
        <v>4</v>
      </c>
      <c r="J290" s="2">
        <v>3.5</v>
      </c>
      <c r="K290" s="2" t="s">
        <v>143</v>
      </c>
      <c r="L290" s="2" t="s">
        <v>145</v>
      </c>
      <c r="M290" s="2" t="b">
        <v>1</v>
      </c>
      <c r="N290" s="2" t="b">
        <v>0</v>
      </c>
      <c r="O290" s="2">
        <v>7.1428571428571432</v>
      </c>
      <c r="P290" s="2">
        <v>1.142857142857143</v>
      </c>
      <c r="Q290" s="2" t="s">
        <v>442</v>
      </c>
      <c r="R290" s="2" t="s">
        <v>147</v>
      </c>
      <c r="S290" s="2">
        <v>8.4</v>
      </c>
      <c r="T290" s="2">
        <v>16.600000000000001</v>
      </c>
      <c r="U290" s="2" t="b">
        <v>0</v>
      </c>
      <c r="V290" s="2">
        <v>8</v>
      </c>
      <c r="W290" s="2">
        <v>2</v>
      </c>
      <c r="X290" s="2">
        <v>20</v>
      </c>
      <c r="Y290" s="2">
        <v>28.186274509803919</v>
      </c>
    </row>
    <row r="291" spans="1:25" hidden="1">
      <c r="A291" s="2" t="s">
        <v>484</v>
      </c>
      <c r="B291" s="2" t="s">
        <v>157</v>
      </c>
      <c r="C291" s="2" t="s">
        <v>184</v>
      </c>
      <c r="D291" s="3">
        <v>45563.770833333343</v>
      </c>
      <c r="E291" s="3">
        <v>45563.784722222219</v>
      </c>
      <c r="F291" s="2">
        <v>20</v>
      </c>
      <c r="G291" s="2" t="s">
        <v>159</v>
      </c>
      <c r="H291" s="2" t="s">
        <v>160</v>
      </c>
      <c r="I291" s="2">
        <v>2</v>
      </c>
      <c r="J291" s="2">
        <v>2</v>
      </c>
      <c r="K291" s="2" t="s">
        <v>161</v>
      </c>
      <c r="L291" s="2" t="s">
        <v>154</v>
      </c>
      <c r="M291" s="2" t="b">
        <v>1</v>
      </c>
      <c r="N291" s="2" t="b">
        <v>1</v>
      </c>
      <c r="O291" s="2">
        <v>10</v>
      </c>
      <c r="P291" s="2">
        <v>1</v>
      </c>
      <c r="Q291" s="2" t="s">
        <v>442</v>
      </c>
      <c r="R291" s="2" t="s">
        <v>147</v>
      </c>
      <c r="S291" s="2">
        <v>4.8</v>
      </c>
      <c r="T291" s="2">
        <v>15.2</v>
      </c>
      <c r="U291" s="2" t="b">
        <v>0</v>
      </c>
      <c r="V291" s="2">
        <v>2</v>
      </c>
      <c r="W291" s="2">
        <v>1</v>
      </c>
      <c r="X291" s="2">
        <v>18</v>
      </c>
      <c r="Y291" s="2">
        <v>28.844221105527641</v>
      </c>
    </row>
    <row r="292" spans="1:25" hidden="1">
      <c r="A292" s="2" t="s">
        <v>485</v>
      </c>
      <c r="B292" s="2" t="s">
        <v>173</v>
      </c>
      <c r="C292" s="2" t="s">
        <v>186</v>
      </c>
      <c r="D292" s="3">
        <v>45564.541666666657</v>
      </c>
      <c r="E292" s="3">
        <v>45564.555555555547</v>
      </c>
      <c r="F292" s="2">
        <v>20</v>
      </c>
      <c r="G292" s="2" t="s">
        <v>143</v>
      </c>
      <c r="H292" s="2" t="s">
        <v>152</v>
      </c>
      <c r="I292" s="2">
        <v>3</v>
      </c>
      <c r="J292" s="2">
        <v>3</v>
      </c>
      <c r="K292" s="2" t="s">
        <v>161</v>
      </c>
      <c r="L292" s="2" t="s">
        <v>162</v>
      </c>
      <c r="M292" s="2" t="b">
        <v>0</v>
      </c>
      <c r="N292" s="2" t="b">
        <v>1</v>
      </c>
      <c r="O292" s="2">
        <v>6.666666666666667</v>
      </c>
      <c r="P292" s="2">
        <v>1</v>
      </c>
      <c r="Q292" s="2" t="s">
        <v>442</v>
      </c>
      <c r="R292" s="2" t="s">
        <v>147</v>
      </c>
      <c r="S292" s="2">
        <v>7.1999999999999993</v>
      </c>
      <c r="T292" s="2">
        <v>12.8</v>
      </c>
      <c r="U292" s="2" t="b">
        <v>0</v>
      </c>
      <c r="V292" s="2">
        <v>6</v>
      </c>
      <c r="W292" s="2">
        <v>1</v>
      </c>
      <c r="X292" s="2">
        <v>13</v>
      </c>
      <c r="Y292" s="2">
        <v>30.286458333333329</v>
      </c>
    </row>
    <row r="293" spans="1:25" hidden="1">
      <c r="A293" s="2" t="s">
        <v>486</v>
      </c>
      <c r="B293" s="2" t="s">
        <v>142</v>
      </c>
      <c r="C293" s="2" t="s">
        <v>166</v>
      </c>
      <c r="D293" s="3">
        <v>45565.770833333343</v>
      </c>
      <c r="E293" s="3">
        <v>45565.788194444453</v>
      </c>
      <c r="F293" s="2">
        <v>25</v>
      </c>
      <c r="G293" s="2" t="s">
        <v>151</v>
      </c>
      <c r="H293" s="2" t="s">
        <v>144</v>
      </c>
      <c r="I293" s="2">
        <v>4</v>
      </c>
      <c r="J293" s="2">
        <v>5</v>
      </c>
      <c r="K293" s="2" t="s">
        <v>153</v>
      </c>
      <c r="L293" s="2" t="s">
        <v>342</v>
      </c>
      <c r="M293" s="2" t="b">
        <v>1</v>
      </c>
      <c r="N293" s="2" t="b">
        <v>0</v>
      </c>
      <c r="O293" s="2">
        <v>5</v>
      </c>
      <c r="P293" s="2">
        <v>0.8</v>
      </c>
      <c r="Q293" s="2" t="s">
        <v>442</v>
      </c>
      <c r="R293" s="2" t="s">
        <v>171</v>
      </c>
      <c r="S293" s="2">
        <v>12</v>
      </c>
      <c r="T293" s="2">
        <v>13</v>
      </c>
      <c r="U293" s="2" t="b">
        <v>0</v>
      </c>
      <c r="V293" s="2">
        <v>12</v>
      </c>
      <c r="W293" s="2">
        <v>3</v>
      </c>
      <c r="X293" s="2">
        <v>18</v>
      </c>
      <c r="Y293" s="2">
        <v>30.259433962264151</v>
      </c>
    </row>
    <row r="294" spans="1:25" hidden="1">
      <c r="A294" s="2" t="s">
        <v>487</v>
      </c>
      <c r="B294" s="2" t="s">
        <v>165</v>
      </c>
      <c r="C294" s="2" t="s">
        <v>192</v>
      </c>
      <c r="D294" s="3">
        <v>45566.822916666657</v>
      </c>
      <c r="E294" s="3">
        <v>45566.840277777781</v>
      </c>
      <c r="F294" s="2">
        <v>25</v>
      </c>
      <c r="G294" s="2" t="s">
        <v>167</v>
      </c>
      <c r="H294" s="2" t="s">
        <v>168</v>
      </c>
      <c r="I294" s="2">
        <v>5</v>
      </c>
      <c r="J294" s="2">
        <v>4</v>
      </c>
      <c r="K294" s="2" t="s">
        <v>153</v>
      </c>
      <c r="L294" s="2" t="s">
        <v>145</v>
      </c>
      <c r="M294" s="2" t="b">
        <v>1</v>
      </c>
      <c r="N294" s="2" t="b">
        <v>0</v>
      </c>
      <c r="O294" s="2">
        <v>6.25</v>
      </c>
      <c r="P294" s="2">
        <v>1.25</v>
      </c>
      <c r="Q294" s="2" t="s">
        <v>488</v>
      </c>
      <c r="R294" s="2" t="s">
        <v>147</v>
      </c>
      <c r="S294" s="2">
        <v>9.6</v>
      </c>
      <c r="T294" s="2">
        <v>15.4</v>
      </c>
      <c r="U294" s="2" t="b">
        <v>0</v>
      </c>
      <c r="V294" s="2">
        <v>20</v>
      </c>
      <c r="W294" s="2">
        <v>3</v>
      </c>
      <c r="X294" s="2">
        <v>19</v>
      </c>
      <c r="Y294" s="2">
        <v>29.948453608247419</v>
      </c>
    </row>
    <row r="295" spans="1:25" hidden="1">
      <c r="A295" s="2" t="s">
        <v>489</v>
      </c>
      <c r="B295" s="2" t="s">
        <v>149</v>
      </c>
      <c r="C295" s="2" t="s">
        <v>194</v>
      </c>
      <c r="D295" s="3">
        <v>45567.84375</v>
      </c>
      <c r="E295" s="3">
        <v>45567.861111111109</v>
      </c>
      <c r="F295" s="2">
        <v>25</v>
      </c>
      <c r="G295" s="2" t="s">
        <v>159</v>
      </c>
      <c r="H295" s="2" t="s">
        <v>160</v>
      </c>
      <c r="I295" s="2">
        <v>2</v>
      </c>
      <c r="J295" s="2">
        <v>2.5</v>
      </c>
      <c r="K295" s="2" t="s">
        <v>143</v>
      </c>
      <c r="L295" s="2" t="s">
        <v>154</v>
      </c>
      <c r="M295" s="2" t="b">
        <v>1</v>
      </c>
      <c r="N295" s="2" t="b">
        <v>0</v>
      </c>
      <c r="O295" s="2">
        <v>10</v>
      </c>
      <c r="P295" s="2">
        <v>0.8</v>
      </c>
      <c r="Q295" s="2" t="s">
        <v>488</v>
      </c>
      <c r="R295" s="2" t="s">
        <v>147</v>
      </c>
      <c r="S295" s="2">
        <v>6</v>
      </c>
      <c r="T295" s="2">
        <v>19</v>
      </c>
      <c r="U295" s="2" t="b">
        <v>0</v>
      </c>
      <c r="V295" s="2">
        <v>2</v>
      </c>
      <c r="W295" s="2">
        <v>2</v>
      </c>
      <c r="X295" s="2">
        <v>20</v>
      </c>
      <c r="Y295" s="2">
        <v>28.186274509803919</v>
      </c>
    </row>
    <row r="296" spans="1:25" hidden="1">
      <c r="A296" s="2" t="s">
        <v>490</v>
      </c>
      <c r="B296" s="2" t="s">
        <v>157</v>
      </c>
      <c r="C296" s="2" t="s">
        <v>174</v>
      </c>
      <c r="D296" s="3">
        <v>45568.770833333343</v>
      </c>
      <c r="E296" s="3">
        <v>45568.784722222219</v>
      </c>
      <c r="F296" s="2">
        <v>20</v>
      </c>
      <c r="G296" s="2" t="s">
        <v>143</v>
      </c>
      <c r="H296" s="2" t="s">
        <v>152</v>
      </c>
      <c r="I296" s="2">
        <v>3</v>
      </c>
      <c r="J296" s="2">
        <v>3.5</v>
      </c>
      <c r="K296" s="2" t="s">
        <v>161</v>
      </c>
      <c r="L296" s="2" t="s">
        <v>162</v>
      </c>
      <c r="M296" s="2" t="b">
        <v>1</v>
      </c>
      <c r="N296" s="2" t="b">
        <v>0</v>
      </c>
      <c r="O296" s="2">
        <v>5.7142857142857144</v>
      </c>
      <c r="P296" s="2">
        <v>0.8571428571428571</v>
      </c>
      <c r="Q296" s="2" t="s">
        <v>488</v>
      </c>
      <c r="R296" s="2" t="s">
        <v>147</v>
      </c>
      <c r="S296" s="2">
        <v>8.4</v>
      </c>
      <c r="T296" s="2">
        <v>11.6</v>
      </c>
      <c r="U296" s="2" t="b">
        <v>0</v>
      </c>
      <c r="V296" s="2">
        <v>6</v>
      </c>
      <c r="W296" s="2">
        <v>1</v>
      </c>
      <c r="X296" s="2">
        <v>18</v>
      </c>
      <c r="Y296" s="2">
        <v>28.844221105527641</v>
      </c>
    </row>
    <row r="297" spans="1:25" hidden="1">
      <c r="A297" s="2" t="s">
        <v>491</v>
      </c>
      <c r="B297" s="2" t="s">
        <v>173</v>
      </c>
      <c r="C297" s="2" t="s">
        <v>190</v>
      </c>
      <c r="D297" s="3">
        <v>45569.541666666657</v>
      </c>
      <c r="E297" s="3">
        <v>45569.555555555547</v>
      </c>
      <c r="F297" s="2">
        <v>20</v>
      </c>
      <c r="G297" s="2" t="s">
        <v>143</v>
      </c>
      <c r="H297" s="2" t="s">
        <v>152</v>
      </c>
      <c r="I297" s="2">
        <v>3</v>
      </c>
      <c r="J297" s="2">
        <v>3.5</v>
      </c>
      <c r="K297" s="2" t="s">
        <v>161</v>
      </c>
      <c r="L297" s="2" t="s">
        <v>145</v>
      </c>
      <c r="M297" s="2" t="b">
        <v>0</v>
      </c>
      <c r="N297" s="2" t="b">
        <v>0</v>
      </c>
      <c r="O297" s="2">
        <v>5.7142857142857144</v>
      </c>
      <c r="P297" s="2">
        <v>0.8571428571428571</v>
      </c>
      <c r="Q297" s="2" t="s">
        <v>488</v>
      </c>
      <c r="R297" s="2" t="s">
        <v>147</v>
      </c>
      <c r="S297" s="2">
        <v>8.4</v>
      </c>
      <c r="T297" s="2">
        <v>11.6</v>
      </c>
      <c r="U297" s="2" t="b">
        <v>0</v>
      </c>
      <c r="V297" s="2">
        <v>6</v>
      </c>
      <c r="W297" s="2">
        <v>1</v>
      </c>
      <c r="X297" s="2">
        <v>13</v>
      </c>
      <c r="Y297" s="2">
        <v>30.286458333333329</v>
      </c>
    </row>
    <row r="298" spans="1:25" hidden="1">
      <c r="A298" s="2" t="s">
        <v>492</v>
      </c>
      <c r="B298" s="2" t="s">
        <v>142</v>
      </c>
      <c r="C298" s="2" t="s">
        <v>40</v>
      </c>
      <c r="D298" s="3">
        <v>45570.770833333343</v>
      </c>
      <c r="E298" s="3">
        <v>45570.788194444453</v>
      </c>
      <c r="F298" s="2">
        <v>25</v>
      </c>
      <c r="G298" s="2" t="s">
        <v>151</v>
      </c>
      <c r="H298" s="2" t="s">
        <v>144</v>
      </c>
      <c r="I298" s="2">
        <v>4</v>
      </c>
      <c r="J298" s="2">
        <v>5</v>
      </c>
      <c r="K298" s="2" t="s">
        <v>153</v>
      </c>
      <c r="L298" s="2" t="s">
        <v>342</v>
      </c>
      <c r="M298" s="2" t="b">
        <v>1</v>
      </c>
      <c r="N298" s="2" t="b">
        <v>1</v>
      </c>
      <c r="O298" s="2">
        <v>5</v>
      </c>
      <c r="P298" s="2">
        <v>0.8</v>
      </c>
      <c r="Q298" s="2" t="s">
        <v>488</v>
      </c>
      <c r="R298" s="2" t="s">
        <v>171</v>
      </c>
      <c r="S298" s="2">
        <v>12</v>
      </c>
      <c r="T298" s="2">
        <v>13</v>
      </c>
      <c r="U298" s="2" t="b">
        <v>0</v>
      </c>
      <c r="V298" s="2">
        <v>12</v>
      </c>
      <c r="W298" s="2">
        <v>3</v>
      </c>
      <c r="X298" s="2">
        <v>18</v>
      </c>
      <c r="Y298" s="2">
        <v>30.259433962264151</v>
      </c>
    </row>
    <row r="299" spans="1:25" hidden="1">
      <c r="A299" s="2" t="s">
        <v>493</v>
      </c>
      <c r="B299" s="2" t="s">
        <v>165</v>
      </c>
      <c r="C299" s="2" t="s">
        <v>150</v>
      </c>
      <c r="D299" s="3">
        <v>45571.822916666657</v>
      </c>
      <c r="E299" s="3">
        <v>45571.840277777781</v>
      </c>
      <c r="F299" s="2">
        <v>25</v>
      </c>
      <c r="G299" s="2" t="s">
        <v>167</v>
      </c>
      <c r="H299" s="2" t="s">
        <v>168</v>
      </c>
      <c r="I299" s="2">
        <v>5</v>
      </c>
      <c r="J299" s="2">
        <v>4.5</v>
      </c>
      <c r="K299" s="2" t="s">
        <v>161</v>
      </c>
      <c r="L299" s="2" t="s">
        <v>169</v>
      </c>
      <c r="M299" s="2" t="b">
        <v>1</v>
      </c>
      <c r="N299" s="2" t="b">
        <v>1</v>
      </c>
      <c r="O299" s="2">
        <v>5.5555555555555554</v>
      </c>
      <c r="P299" s="2">
        <v>1.1111111111111109</v>
      </c>
      <c r="Q299" s="2" t="s">
        <v>488</v>
      </c>
      <c r="R299" s="2" t="s">
        <v>171</v>
      </c>
      <c r="S299" s="2">
        <v>10.8</v>
      </c>
      <c r="T299" s="2">
        <v>14.2</v>
      </c>
      <c r="U299" s="2" t="b">
        <v>0</v>
      </c>
      <c r="V299" s="2">
        <v>20</v>
      </c>
      <c r="W299" s="2">
        <v>1</v>
      </c>
      <c r="X299" s="2">
        <v>19</v>
      </c>
      <c r="Y299" s="2">
        <v>29.948453608247419</v>
      </c>
    </row>
    <row r="300" spans="1:25" hidden="1">
      <c r="A300" s="2" t="s">
        <v>494</v>
      </c>
      <c r="B300" s="2" t="s">
        <v>149</v>
      </c>
      <c r="C300" s="2" t="s">
        <v>158</v>
      </c>
      <c r="D300" s="3">
        <v>45572.84375</v>
      </c>
      <c r="E300" s="3">
        <v>45572.861111111109</v>
      </c>
      <c r="F300" s="2">
        <v>25</v>
      </c>
      <c r="G300" s="2" t="s">
        <v>143</v>
      </c>
      <c r="H300" s="2" t="s">
        <v>152</v>
      </c>
      <c r="I300" s="2">
        <v>4</v>
      </c>
      <c r="J300" s="2">
        <v>3.5</v>
      </c>
      <c r="K300" s="2" t="s">
        <v>143</v>
      </c>
      <c r="L300" s="2" t="s">
        <v>145</v>
      </c>
      <c r="M300" s="2" t="b">
        <v>1</v>
      </c>
      <c r="N300" s="2" t="b">
        <v>0</v>
      </c>
      <c r="O300" s="2">
        <v>7.1428571428571432</v>
      </c>
      <c r="P300" s="2">
        <v>1.142857142857143</v>
      </c>
      <c r="Q300" s="2" t="s">
        <v>488</v>
      </c>
      <c r="R300" s="2" t="s">
        <v>147</v>
      </c>
      <c r="S300" s="2">
        <v>8.4</v>
      </c>
      <c r="T300" s="2">
        <v>16.600000000000001</v>
      </c>
      <c r="U300" s="2" t="b">
        <v>0</v>
      </c>
      <c r="V300" s="2">
        <v>8</v>
      </c>
      <c r="W300" s="2">
        <v>2</v>
      </c>
      <c r="X300" s="2">
        <v>20</v>
      </c>
      <c r="Y300" s="2">
        <v>28.186274509803919</v>
      </c>
    </row>
    <row r="301" spans="1:25" hidden="1">
      <c r="A301" s="2" t="s">
        <v>495</v>
      </c>
      <c r="B301" s="2" t="s">
        <v>157</v>
      </c>
      <c r="C301" s="2" t="s">
        <v>184</v>
      </c>
      <c r="D301" s="3">
        <v>45573.770833333343</v>
      </c>
      <c r="E301" s="3">
        <v>45573.784722222219</v>
      </c>
      <c r="F301" s="2">
        <v>20</v>
      </c>
      <c r="G301" s="2" t="s">
        <v>159</v>
      </c>
      <c r="H301" s="2" t="s">
        <v>160</v>
      </c>
      <c r="I301" s="2">
        <v>2</v>
      </c>
      <c r="J301" s="2">
        <v>2</v>
      </c>
      <c r="K301" s="2" t="s">
        <v>161</v>
      </c>
      <c r="L301" s="2" t="s">
        <v>154</v>
      </c>
      <c r="M301" s="2" t="b">
        <v>1</v>
      </c>
      <c r="N301" s="2" t="b">
        <v>0</v>
      </c>
      <c r="O301" s="2">
        <v>10</v>
      </c>
      <c r="P301" s="2">
        <v>1</v>
      </c>
      <c r="Q301" s="2" t="s">
        <v>488</v>
      </c>
      <c r="R301" s="2" t="s">
        <v>147</v>
      </c>
      <c r="S301" s="2">
        <v>4.8</v>
      </c>
      <c r="T301" s="2">
        <v>15.2</v>
      </c>
      <c r="U301" s="2" t="b">
        <v>0</v>
      </c>
      <c r="V301" s="2">
        <v>2</v>
      </c>
      <c r="W301" s="2">
        <v>1</v>
      </c>
      <c r="X301" s="2">
        <v>18</v>
      </c>
      <c r="Y301" s="2">
        <v>28.844221105527641</v>
      </c>
    </row>
    <row r="302" spans="1:25" hidden="1">
      <c r="A302" s="2" t="s">
        <v>496</v>
      </c>
      <c r="B302" s="2" t="s">
        <v>173</v>
      </c>
      <c r="C302" s="2" t="s">
        <v>186</v>
      </c>
      <c r="D302" s="3">
        <v>45574.541666666657</v>
      </c>
      <c r="E302" s="3">
        <v>45574.555555555547</v>
      </c>
      <c r="F302" s="2">
        <v>20</v>
      </c>
      <c r="G302" s="2" t="s">
        <v>143</v>
      </c>
      <c r="H302" s="2" t="s">
        <v>152</v>
      </c>
      <c r="I302" s="2">
        <v>3</v>
      </c>
      <c r="J302" s="2">
        <v>3</v>
      </c>
      <c r="K302" s="2" t="s">
        <v>161</v>
      </c>
      <c r="L302" s="2" t="s">
        <v>162</v>
      </c>
      <c r="M302" s="2" t="b">
        <v>0</v>
      </c>
      <c r="N302" s="2" t="b">
        <v>0</v>
      </c>
      <c r="O302" s="2">
        <v>6.666666666666667</v>
      </c>
      <c r="P302" s="2">
        <v>1</v>
      </c>
      <c r="Q302" s="2" t="s">
        <v>488</v>
      </c>
      <c r="R302" s="2" t="s">
        <v>147</v>
      </c>
      <c r="S302" s="2">
        <v>7.1999999999999993</v>
      </c>
      <c r="T302" s="2">
        <v>12.8</v>
      </c>
      <c r="U302" s="2" t="b">
        <v>0</v>
      </c>
      <c r="V302" s="2">
        <v>6</v>
      </c>
      <c r="W302" s="2">
        <v>1</v>
      </c>
      <c r="X302" s="2">
        <v>13</v>
      </c>
      <c r="Y302" s="2">
        <v>30.286458333333329</v>
      </c>
    </row>
    <row r="303" spans="1:25" hidden="1">
      <c r="A303" s="2" t="s">
        <v>497</v>
      </c>
      <c r="B303" s="2" t="s">
        <v>142</v>
      </c>
      <c r="C303" s="2" t="s">
        <v>166</v>
      </c>
      <c r="D303" s="3">
        <v>45575.770833333343</v>
      </c>
      <c r="E303" s="3">
        <v>45575.788194444453</v>
      </c>
      <c r="F303" s="2">
        <v>25</v>
      </c>
      <c r="G303" s="2" t="s">
        <v>151</v>
      </c>
      <c r="H303" s="2" t="s">
        <v>144</v>
      </c>
      <c r="I303" s="2">
        <v>4</v>
      </c>
      <c r="J303" s="2">
        <v>5</v>
      </c>
      <c r="K303" s="2" t="s">
        <v>153</v>
      </c>
      <c r="L303" s="2" t="s">
        <v>342</v>
      </c>
      <c r="M303" s="2" t="b">
        <v>1</v>
      </c>
      <c r="N303" s="2" t="b">
        <v>0</v>
      </c>
      <c r="O303" s="2">
        <v>5</v>
      </c>
      <c r="P303" s="2">
        <v>0.8</v>
      </c>
      <c r="Q303" s="2" t="s">
        <v>488</v>
      </c>
      <c r="R303" s="2" t="s">
        <v>171</v>
      </c>
      <c r="S303" s="2">
        <v>12</v>
      </c>
      <c r="T303" s="2">
        <v>13</v>
      </c>
      <c r="U303" s="2" t="b">
        <v>0</v>
      </c>
      <c r="V303" s="2">
        <v>12</v>
      </c>
      <c r="W303" s="2">
        <v>3</v>
      </c>
      <c r="X303" s="2">
        <v>18</v>
      </c>
      <c r="Y303" s="2">
        <v>30.259433962264151</v>
      </c>
    </row>
    <row r="304" spans="1:25" hidden="1">
      <c r="A304" s="2" t="s">
        <v>498</v>
      </c>
      <c r="B304" s="2" t="s">
        <v>165</v>
      </c>
      <c r="C304" s="2" t="s">
        <v>192</v>
      </c>
      <c r="D304" s="3">
        <v>45576.822916666657</v>
      </c>
      <c r="E304" s="3">
        <v>45576.840277777781</v>
      </c>
      <c r="F304" s="2">
        <v>25</v>
      </c>
      <c r="G304" s="2" t="s">
        <v>167</v>
      </c>
      <c r="H304" s="2" t="s">
        <v>168</v>
      </c>
      <c r="I304" s="2">
        <v>5</v>
      </c>
      <c r="J304" s="2">
        <v>4.5</v>
      </c>
      <c r="K304" s="2" t="s">
        <v>161</v>
      </c>
      <c r="L304" s="2" t="s">
        <v>145</v>
      </c>
      <c r="M304" s="2" t="b">
        <v>1</v>
      </c>
      <c r="N304" s="2" t="b">
        <v>0</v>
      </c>
      <c r="O304" s="2">
        <v>5.5555555555555554</v>
      </c>
      <c r="P304" s="2">
        <v>1.1111111111111109</v>
      </c>
      <c r="Q304" s="2" t="s">
        <v>488</v>
      </c>
      <c r="R304" s="2" t="s">
        <v>147</v>
      </c>
      <c r="S304" s="2">
        <v>10.8</v>
      </c>
      <c r="T304" s="2">
        <v>14.2</v>
      </c>
      <c r="U304" s="2" t="b">
        <v>0</v>
      </c>
      <c r="V304" s="2">
        <v>20</v>
      </c>
      <c r="W304" s="2">
        <v>1</v>
      </c>
      <c r="X304" s="2">
        <v>19</v>
      </c>
      <c r="Y304" s="2">
        <v>29.948453608247419</v>
      </c>
    </row>
    <row r="305" spans="1:25" hidden="1">
      <c r="A305" s="2" t="s">
        <v>499</v>
      </c>
      <c r="B305" s="2" t="s">
        <v>149</v>
      </c>
      <c r="C305" s="2" t="s">
        <v>194</v>
      </c>
      <c r="D305" s="3">
        <v>45577.84375</v>
      </c>
      <c r="E305" s="3">
        <v>45577.861111111109</v>
      </c>
      <c r="F305" s="2">
        <v>25</v>
      </c>
      <c r="G305" s="2" t="s">
        <v>159</v>
      </c>
      <c r="H305" s="2" t="s">
        <v>160</v>
      </c>
      <c r="I305" s="2">
        <v>2</v>
      </c>
      <c r="J305" s="2">
        <v>2.5</v>
      </c>
      <c r="K305" s="2" t="s">
        <v>143</v>
      </c>
      <c r="L305" s="2" t="s">
        <v>154</v>
      </c>
      <c r="M305" s="2" t="b">
        <v>1</v>
      </c>
      <c r="N305" s="2" t="b">
        <v>1</v>
      </c>
      <c r="O305" s="2">
        <v>10</v>
      </c>
      <c r="P305" s="2">
        <v>0.8</v>
      </c>
      <c r="Q305" s="2" t="s">
        <v>488</v>
      </c>
      <c r="R305" s="2" t="s">
        <v>147</v>
      </c>
      <c r="S305" s="2">
        <v>6</v>
      </c>
      <c r="T305" s="2">
        <v>19</v>
      </c>
      <c r="U305" s="2" t="b">
        <v>0</v>
      </c>
      <c r="V305" s="2">
        <v>2</v>
      </c>
      <c r="W305" s="2">
        <v>2</v>
      </c>
      <c r="X305" s="2">
        <v>20</v>
      </c>
      <c r="Y305" s="2">
        <v>28.186274509803919</v>
      </c>
    </row>
    <row r="306" spans="1:25" hidden="1">
      <c r="A306" s="2" t="s">
        <v>500</v>
      </c>
      <c r="B306" s="2" t="s">
        <v>157</v>
      </c>
      <c r="C306" s="2" t="s">
        <v>174</v>
      </c>
      <c r="D306" s="3">
        <v>45578.770833333343</v>
      </c>
      <c r="E306" s="3">
        <v>45578.784722222219</v>
      </c>
      <c r="F306" s="2">
        <v>20</v>
      </c>
      <c r="G306" s="2" t="s">
        <v>143</v>
      </c>
      <c r="H306" s="2" t="s">
        <v>152</v>
      </c>
      <c r="I306" s="2">
        <v>3</v>
      </c>
      <c r="J306" s="2">
        <v>3.5</v>
      </c>
      <c r="K306" s="2" t="s">
        <v>161</v>
      </c>
      <c r="L306" s="2" t="s">
        <v>162</v>
      </c>
      <c r="M306" s="2" t="b">
        <v>1</v>
      </c>
      <c r="N306" s="2" t="b">
        <v>1</v>
      </c>
      <c r="O306" s="2">
        <v>5.7142857142857144</v>
      </c>
      <c r="P306" s="2">
        <v>0.8571428571428571</v>
      </c>
      <c r="Q306" s="2" t="s">
        <v>488</v>
      </c>
      <c r="R306" s="2" t="s">
        <v>147</v>
      </c>
      <c r="S306" s="2">
        <v>8.4</v>
      </c>
      <c r="T306" s="2">
        <v>11.6</v>
      </c>
      <c r="U306" s="2" t="b">
        <v>0</v>
      </c>
      <c r="V306" s="2">
        <v>6</v>
      </c>
      <c r="W306" s="2">
        <v>1</v>
      </c>
      <c r="X306" s="2">
        <v>18</v>
      </c>
      <c r="Y306" s="2">
        <v>28.844221105527641</v>
      </c>
    </row>
    <row r="307" spans="1:25" hidden="1">
      <c r="A307" s="2" t="s">
        <v>501</v>
      </c>
      <c r="B307" s="2" t="s">
        <v>142</v>
      </c>
      <c r="C307" s="2" t="s">
        <v>40</v>
      </c>
      <c r="D307" s="3">
        <v>45530.75</v>
      </c>
      <c r="E307" s="3">
        <v>45530.763888888891</v>
      </c>
      <c r="F307" s="2">
        <v>20</v>
      </c>
      <c r="G307" s="2" t="s">
        <v>143</v>
      </c>
      <c r="H307" s="2" t="s">
        <v>144</v>
      </c>
      <c r="I307" s="2">
        <v>2</v>
      </c>
      <c r="J307" s="2">
        <v>3</v>
      </c>
      <c r="K307" s="2" t="s">
        <v>161</v>
      </c>
      <c r="L307" s="2" t="s">
        <v>145</v>
      </c>
      <c r="M307" s="2" t="b">
        <v>1</v>
      </c>
      <c r="N307" s="2" t="b">
        <v>0</v>
      </c>
      <c r="O307" s="2">
        <v>6.666666666666667</v>
      </c>
      <c r="P307" s="2">
        <v>0.66666666666666663</v>
      </c>
      <c r="Q307" s="2" t="s">
        <v>304</v>
      </c>
      <c r="R307" s="2" t="s">
        <v>147</v>
      </c>
      <c r="S307" s="2">
        <v>7.1999999999999993</v>
      </c>
      <c r="T307" s="2">
        <v>12.8</v>
      </c>
      <c r="U307" s="2" t="b">
        <v>0</v>
      </c>
      <c r="V307" s="2">
        <v>4</v>
      </c>
      <c r="W307" s="2">
        <v>1</v>
      </c>
      <c r="X307" s="2">
        <v>18</v>
      </c>
      <c r="Y307" s="2">
        <v>30.259433962264151</v>
      </c>
    </row>
    <row r="308" spans="1:25" hidden="1">
      <c r="A308" s="2" t="s">
        <v>502</v>
      </c>
      <c r="B308" s="2" t="s">
        <v>149</v>
      </c>
      <c r="C308" s="2" t="s">
        <v>158</v>
      </c>
      <c r="D308" s="3">
        <v>45531.802083333343</v>
      </c>
      <c r="E308" s="3">
        <v>45531.822916666657</v>
      </c>
      <c r="F308" s="2">
        <v>30</v>
      </c>
      <c r="G308" s="2" t="s">
        <v>151</v>
      </c>
      <c r="H308" s="2" t="s">
        <v>152</v>
      </c>
      <c r="I308" s="2">
        <v>4</v>
      </c>
      <c r="J308" s="2">
        <v>6</v>
      </c>
      <c r="K308" s="2" t="s">
        <v>143</v>
      </c>
      <c r="L308" s="2" t="s">
        <v>162</v>
      </c>
      <c r="M308" s="2" t="b">
        <v>1</v>
      </c>
      <c r="N308" s="2" t="b">
        <v>0</v>
      </c>
      <c r="O308" s="2">
        <v>5</v>
      </c>
      <c r="P308" s="2">
        <v>0.66666666666666663</v>
      </c>
      <c r="Q308" s="2" t="s">
        <v>304</v>
      </c>
      <c r="R308" s="2" t="s">
        <v>147</v>
      </c>
      <c r="S308" s="2">
        <v>14.4</v>
      </c>
      <c r="T308" s="2">
        <v>15.6</v>
      </c>
      <c r="U308" s="2" t="b">
        <v>0</v>
      </c>
      <c r="V308" s="2">
        <v>12</v>
      </c>
      <c r="W308" s="2">
        <v>2</v>
      </c>
      <c r="X308" s="2">
        <v>19</v>
      </c>
      <c r="Y308" s="2">
        <v>28.186274509803919</v>
      </c>
    </row>
    <row r="309" spans="1:25" hidden="1">
      <c r="A309" s="2" t="s">
        <v>503</v>
      </c>
      <c r="B309" s="2" t="s">
        <v>165</v>
      </c>
      <c r="C309" s="2" t="s">
        <v>150</v>
      </c>
      <c r="D309" s="3">
        <v>45532.854166666657</v>
      </c>
      <c r="E309" s="3">
        <v>45532.881944444453</v>
      </c>
      <c r="F309" s="2">
        <v>40</v>
      </c>
      <c r="G309" s="2" t="s">
        <v>167</v>
      </c>
      <c r="H309" s="2" t="s">
        <v>168</v>
      </c>
      <c r="I309" s="2">
        <v>5</v>
      </c>
      <c r="J309" s="2">
        <v>8</v>
      </c>
      <c r="K309" s="2" t="s">
        <v>153</v>
      </c>
      <c r="L309" s="2" t="s">
        <v>504</v>
      </c>
      <c r="M309" s="2" t="b">
        <v>1</v>
      </c>
      <c r="N309" s="2" t="b">
        <v>0</v>
      </c>
      <c r="O309" s="2">
        <v>5</v>
      </c>
      <c r="P309" s="2">
        <v>0.625</v>
      </c>
      <c r="Q309" s="2" t="s">
        <v>304</v>
      </c>
      <c r="R309" s="2" t="s">
        <v>171</v>
      </c>
      <c r="S309" s="2">
        <v>19.2</v>
      </c>
      <c r="T309" s="2">
        <v>20.8</v>
      </c>
      <c r="U309" s="2" t="b">
        <v>1</v>
      </c>
      <c r="V309" s="2">
        <v>20</v>
      </c>
      <c r="W309" s="2">
        <v>3</v>
      </c>
      <c r="X309" s="2">
        <v>20</v>
      </c>
      <c r="Y309" s="2">
        <v>29.948453608247419</v>
      </c>
    </row>
    <row r="310" spans="1:25" hidden="1">
      <c r="A310" s="2" t="s">
        <v>505</v>
      </c>
      <c r="B310" s="2" t="s">
        <v>157</v>
      </c>
      <c r="C310" s="2" t="s">
        <v>184</v>
      </c>
      <c r="D310" s="3">
        <v>45533.78125</v>
      </c>
      <c r="E310" s="3">
        <v>45533.795138888891</v>
      </c>
      <c r="F310" s="2">
        <v>20</v>
      </c>
      <c r="G310" s="2" t="s">
        <v>159</v>
      </c>
      <c r="H310" s="2" t="s">
        <v>160</v>
      </c>
      <c r="I310" s="2">
        <v>1</v>
      </c>
      <c r="J310" s="2">
        <v>2.5</v>
      </c>
      <c r="K310" s="2" t="s">
        <v>161</v>
      </c>
      <c r="L310" s="2" t="s">
        <v>169</v>
      </c>
      <c r="M310" s="2" t="b">
        <v>1</v>
      </c>
      <c r="N310" s="2" t="b">
        <v>0</v>
      </c>
      <c r="O310" s="2">
        <v>8</v>
      </c>
      <c r="P310" s="2">
        <v>0.4</v>
      </c>
      <c r="Q310" s="2" t="s">
        <v>304</v>
      </c>
      <c r="R310" s="2" t="s">
        <v>171</v>
      </c>
      <c r="S310" s="2">
        <v>6</v>
      </c>
      <c r="T310" s="2">
        <v>14</v>
      </c>
      <c r="U310" s="2" t="b">
        <v>0</v>
      </c>
      <c r="V310" s="2">
        <v>1</v>
      </c>
      <c r="W310" s="2">
        <v>1</v>
      </c>
      <c r="X310" s="2">
        <v>18</v>
      </c>
      <c r="Y310" s="2">
        <v>28.844221105527641</v>
      </c>
    </row>
    <row r="311" spans="1:25" hidden="1">
      <c r="A311" s="2" t="s">
        <v>506</v>
      </c>
      <c r="B311" s="2" t="s">
        <v>173</v>
      </c>
      <c r="C311" s="2" t="s">
        <v>186</v>
      </c>
      <c r="D311" s="3">
        <v>45534.791666666657</v>
      </c>
      <c r="E311" s="3">
        <v>45534.826388888891</v>
      </c>
      <c r="F311" s="2">
        <v>50</v>
      </c>
      <c r="G311" s="2" t="s">
        <v>151</v>
      </c>
      <c r="H311" s="2" t="s">
        <v>152</v>
      </c>
      <c r="I311" s="2">
        <v>4</v>
      </c>
      <c r="J311" s="2">
        <v>10</v>
      </c>
      <c r="K311" s="2" t="s">
        <v>153</v>
      </c>
      <c r="L311" s="2" t="s">
        <v>145</v>
      </c>
      <c r="M311" s="2" t="b">
        <v>1</v>
      </c>
      <c r="N311" s="2" t="b">
        <v>0</v>
      </c>
      <c r="O311" s="2">
        <v>5</v>
      </c>
      <c r="P311" s="2">
        <v>0.4</v>
      </c>
      <c r="Q311" s="2" t="s">
        <v>304</v>
      </c>
      <c r="R311" s="2" t="s">
        <v>147</v>
      </c>
      <c r="S311" s="2">
        <v>24</v>
      </c>
      <c r="T311" s="2">
        <v>26</v>
      </c>
      <c r="U311" s="2" t="b">
        <v>1</v>
      </c>
      <c r="V311" s="2">
        <v>12</v>
      </c>
      <c r="W311" s="2">
        <v>3</v>
      </c>
      <c r="X311" s="2">
        <v>19</v>
      </c>
      <c r="Y311" s="2">
        <v>30.286458333333329</v>
      </c>
    </row>
    <row r="312" spans="1:25" hidden="1">
      <c r="A312" s="2" t="s">
        <v>507</v>
      </c>
      <c r="B312" s="2" t="s">
        <v>142</v>
      </c>
      <c r="C312" s="2" t="s">
        <v>166</v>
      </c>
      <c r="D312" s="3">
        <v>45535.833333333343</v>
      </c>
      <c r="E312" s="3">
        <v>45535.857638888891</v>
      </c>
      <c r="F312" s="2">
        <v>35</v>
      </c>
      <c r="G312" s="2" t="s">
        <v>143</v>
      </c>
      <c r="H312" s="2" t="s">
        <v>144</v>
      </c>
      <c r="I312" s="2">
        <v>3</v>
      </c>
      <c r="J312" s="2">
        <v>5.5</v>
      </c>
      <c r="K312" s="2" t="s">
        <v>143</v>
      </c>
      <c r="L312" s="2" t="s">
        <v>154</v>
      </c>
      <c r="M312" s="2" t="b">
        <v>1</v>
      </c>
      <c r="N312" s="2" t="b">
        <v>1</v>
      </c>
      <c r="O312" s="2">
        <v>6.3636363636363633</v>
      </c>
      <c r="P312" s="2">
        <v>0.54545454545454541</v>
      </c>
      <c r="Q312" s="2" t="s">
        <v>304</v>
      </c>
      <c r="R312" s="2" t="s">
        <v>147</v>
      </c>
      <c r="S312" s="2">
        <v>13.2</v>
      </c>
      <c r="T312" s="2">
        <v>21.8</v>
      </c>
      <c r="U312" s="2" t="b">
        <v>1</v>
      </c>
      <c r="V312" s="2">
        <v>6</v>
      </c>
      <c r="W312" s="2">
        <v>2</v>
      </c>
      <c r="X312" s="2">
        <v>20</v>
      </c>
      <c r="Y312" s="2">
        <v>30.259433962264151</v>
      </c>
    </row>
    <row r="313" spans="1:25" hidden="1">
      <c r="A313" s="2" t="s">
        <v>508</v>
      </c>
      <c r="B313" s="2" t="s">
        <v>149</v>
      </c>
      <c r="C313" s="2" t="s">
        <v>192</v>
      </c>
      <c r="D313" s="3">
        <v>45536.770833333343</v>
      </c>
      <c r="E313" s="3">
        <v>45536.784722222219</v>
      </c>
      <c r="F313" s="2">
        <v>20</v>
      </c>
      <c r="G313" s="2" t="s">
        <v>159</v>
      </c>
      <c r="H313" s="2" t="s">
        <v>160</v>
      </c>
      <c r="I313" s="2">
        <v>2</v>
      </c>
      <c r="J313" s="2">
        <v>2</v>
      </c>
      <c r="K313" s="2" t="s">
        <v>161</v>
      </c>
      <c r="L313" s="2" t="s">
        <v>162</v>
      </c>
      <c r="M313" s="2" t="b">
        <v>1</v>
      </c>
      <c r="N313" s="2" t="b">
        <v>1</v>
      </c>
      <c r="O313" s="2">
        <v>10</v>
      </c>
      <c r="P313" s="2">
        <v>1</v>
      </c>
      <c r="Q313" s="2" t="s">
        <v>442</v>
      </c>
      <c r="R313" s="2" t="s">
        <v>147</v>
      </c>
      <c r="S313" s="2">
        <v>4.8</v>
      </c>
      <c r="T313" s="2">
        <v>15.2</v>
      </c>
      <c r="U313" s="2" t="b">
        <v>0</v>
      </c>
      <c r="V313" s="2">
        <v>2</v>
      </c>
      <c r="W313" s="2">
        <v>1</v>
      </c>
      <c r="X313" s="2">
        <v>18</v>
      </c>
      <c r="Y313" s="2">
        <v>28.186274509803919</v>
      </c>
    </row>
    <row r="314" spans="1:25" hidden="1">
      <c r="A314" s="2" t="s">
        <v>509</v>
      </c>
      <c r="B314" s="2" t="s">
        <v>165</v>
      </c>
      <c r="C314" s="2" t="s">
        <v>194</v>
      </c>
      <c r="D314" s="3">
        <v>45537.822916666657</v>
      </c>
      <c r="E314" s="3">
        <v>45537.850694444453</v>
      </c>
      <c r="F314" s="2">
        <v>40</v>
      </c>
      <c r="G314" s="2" t="s">
        <v>167</v>
      </c>
      <c r="H314" s="2" t="s">
        <v>168</v>
      </c>
      <c r="I314" s="2">
        <v>5</v>
      </c>
      <c r="J314" s="2">
        <v>7.5</v>
      </c>
      <c r="K314" s="2" t="s">
        <v>153</v>
      </c>
      <c r="L314" s="2" t="s">
        <v>504</v>
      </c>
      <c r="M314" s="2" t="b">
        <v>1</v>
      </c>
      <c r="N314" s="2" t="b">
        <v>0</v>
      </c>
      <c r="O314" s="2">
        <v>5.333333333333333</v>
      </c>
      <c r="P314" s="2">
        <v>0.66666666666666663</v>
      </c>
      <c r="Q314" s="2" t="s">
        <v>442</v>
      </c>
      <c r="R314" s="2" t="s">
        <v>171</v>
      </c>
      <c r="S314" s="2">
        <v>18</v>
      </c>
      <c r="T314" s="2">
        <v>22</v>
      </c>
      <c r="U314" s="2" t="b">
        <v>1</v>
      </c>
      <c r="V314" s="2">
        <v>20</v>
      </c>
      <c r="W314" s="2">
        <v>3</v>
      </c>
      <c r="X314" s="2">
        <v>19</v>
      </c>
      <c r="Y314" s="2">
        <v>29.948453608247419</v>
      </c>
    </row>
    <row r="315" spans="1:25" hidden="1">
      <c r="A315" s="2" t="s">
        <v>510</v>
      </c>
      <c r="B315" s="2" t="s">
        <v>157</v>
      </c>
      <c r="C315" s="2" t="s">
        <v>174</v>
      </c>
      <c r="D315" s="3">
        <v>45538.75</v>
      </c>
      <c r="E315" s="3">
        <v>45538.770833333343</v>
      </c>
      <c r="F315" s="2">
        <v>30</v>
      </c>
      <c r="G315" s="2" t="s">
        <v>143</v>
      </c>
      <c r="H315" s="2" t="s">
        <v>152</v>
      </c>
      <c r="I315" s="2">
        <v>3</v>
      </c>
      <c r="J315" s="2">
        <v>4</v>
      </c>
      <c r="K315" s="2" t="s">
        <v>143</v>
      </c>
      <c r="L315" s="2" t="s">
        <v>169</v>
      </c>
      <c r="M315" s="2" t="b">
        <v>1</v>
      </c>
      <c r="N315" s="2" t="b">
        <v>0</v>
      </c>
      <c r="O315" s="2">
        <v>7.5</v>
      </c>
      <c r="P315" s="2">
        <v>0.75</v>
      </c>
      <c r="Q315" s="2" t="s">
        <v>442</v>
      </c>
      <c r="R315" s="2" t="s">
        <v>171</v>
      </c>
      <c r="S315" s="2">
        <v>9.6</v>
      </c>
      <c r="T315" s="2">
        <v>20.399999999999999</v>
      </c>
      <c r="U315" s="2" t="b">
        <v>0</v>
      </c>
      <c r="V315" s="2">
        <v>6</v>
      </c>
      <c r="W315" s="2">
        <v>2</v>
      </c>
      <c r="X315" s="2">
        <v>18</v>
      </c>
      <c r="Y315" s="2">
        <v>28.844221105527641</v>
      </c>
    </row>
    <row r="316" spans="1:25" hidden="1">
      <c r="A316" s="2" t="s">
        <v>511</v>
      </c>
      <c r="B316" s="2" t="s">
        <v>173</v>
      </c>
      <c r="C316" s="2" t="s">
        <v>190</v>
      </c>
      <c r="D316" s="3">
        <v>45539.84375</v>
      </c>
      <c r="E316" s="3">
        <v>45539.875</v>
      </c>
      <c r="F316" s="2">
        <v>45</v>
      </c>
      <c r="G316" s="2" t="s">
        <v>151</v>
      </c>
      <c r="H316" s="2" t="s">
        <v>144</v>
      </c>
      <c r="I316" s="2">
        <v>4</v>
      </c>
      <c r="J316" s="2">
        <v>9</v>
      </c>
      <c r="K316" s="2" t="s">
        <v>153</v>
      </c>
      <c r="L316" s="2" t="s">
        <v>154</v>
      </c>
      <c r="M316" s="2" t="b">
        <v>1</v>
      </c>
      <c r="N316" s="2" t="b">
        <v>0</v>
      </c>
      <c r="O316" s="2">
        <v>5</v>
      </c>
      <c r="P316" s="2">
        <v>0.44444444444444442</v>
      </c>
      <c r="Q316" s="2" t="s">
        <v>442</v>
      </c>
      <c r="R316" s="2" t="s">
        <v>147</v>
      </c>
      <c r="S316" s="2">
        <v>21.6</v>
      </c>
      <c r="T316" s="2">
        <v>23.4</v>
      </c>
      <c r="U316" s="2" t="b">
        <v>1</v>
      </c>
      <c r="V316" s="2">
        <v>12</v>
      </c>
      <c r="W316" s="2">
        <v>3</v>
      </c>
      <c r="X316" s="2">
        <v>20</v>
      </c>
      <c r="Y316" s="2">
        <v>30.286458333333329</v>
      </c>
    </row>
    <row r="317" spans="1:25" hidden="1">
      <c r="A317" s="2" t="s">
        <v>512</v>
      </c>
      <c r="B317" s="2" t="s">
        <v>142</v>
      </c>
      <c r="C317" s="2" t="s">
        <v>315</v>
      </c>
      <c r="D317" s="3">
        <v>45540.75</v>
      </c>
      <c r="E317" s="3">
        <v>45540.763888888891</v>
      </c>
      <c r="F317" s="2">
        <v>20</v>
      </c>
      <c r="G317" s="2" t="s">
        <v>143</v>
      </c>
      <c r="H317" s="2" t="s">
        <v>144</v>
      </c>
      <c r="I317" s="2">
        <v>2</v>
      </c>
      <c r="J317" s="2">
        <v>3</v>
      </c>
      <c r="K317" s="2" t="s">
        <v>161</v>
      </c>
      <c r="L317" s="2" t="s">
        <v>145</v>
      </c>
      <c r="M317" s="2" t="b">
        <v>1</v>
      </c>
      <c r="N317" s="2" t="b">
        <v>0</v>
      </c>
      <c r="O317" s="2">
        <v>6.666666666666667</v>
      </c>
      <c r="P317" s="2">
        <v>0.66666666666666663</v>
      </c>
      <c r="Q317" s="2" t="s">
        <v>442</v>
      </c>
      <c r="R317" s="2" t="s">
        <v>147</v>
      </c>
      <c r="S317" s="2">
        <v>7.1999999999999993</v>
      </c>
      <c r="T317" s="2">
        <v>12.8</v>
      </c>
      <c r="U317" s="2" t="b">
        <v>0</v>
      </c>
      <c r="V317" s="2">
        <v>4</v>
      </c>
      <c r="W317" s="2">
        <v>1</v>
      </c>
      <c r="X317" s="2">
        <v>18</v>
      </c>
      <c r="Y317" s="2">
        <v>30.259433962264151</v>
      </c>
    </row>
    <row r="318" spans="1:25" hidden="1">
      <c r="A318" s="2" t="s">
        <v>513</v>
      </c>
      <c r="B318" s="2" t="s">
        <v>149</v>
      </c>
      <c r="C318" s="2" t="s">
        <v>317</v>
      </c>
      <c r="D318" s="3">
        <v>45541.802083333343</v>
      </c>
      <c r="E318" s="3">
        <v>45541.822916666657</v>
      </c>
      <c r="F318" s="2">
        <v>30</v>
      </c>
      <c r="G318" s="2" t="s">
        <v>151</v>
      </c>
      <c r="H318" s="2" t="s">
        <v>152</v>
      </c>
      <c r="I318" s="2">
        <v>4</v>
      </c>
      <c r="J318" s="2">
        <v>6</v>
      </c>
      <c r="K318" s="2" t="s">
        <v>143</v>
      </c>
      <c r="L318" s="2" t="s">
        <v>169</v>
      </c>
      <c r="M318" s="2" t="b">
        <v>1</v>
      </c>
      <c r="N318" s="2" t="b">
        <v>0</v>
      </c>
      <c r="O318" s="2">
        <v>5</v>
      </c>
      <c r="P318" s="2">
        <v>0.66666666666666663</v>
      </c>
      <c r="Q318" s="2" t="s">
        <v>442</v>
      </c>
      <c r="R318" s="2" t="s">
        <v>171</v>
      </c>
      <c r="S318" s="2">
        <v>14.4</v>
      </c>
      <c r="T318" s="2">
        <v>15.6</v>
      </c>
      <c r="U318" s="2" t="b">
        <v>0</v>
      </c>
      <c r="V318" s="2">
        <v>12</v>
      </c>
      <c r="W318" s="2">
        <v>2</v>
      </c>
      <c r="X318" s="2">
        <v>19</v>
      </c>
      <c r="Y318" s="2">
        <v>28.186274509803919</v>
      </c>
    </row>
    <row r="319" spans="1:25" hidden="1">
      <c r="A319" s="2" t="s">
        <v>514</v>
      </c>
      <c r="B319" s="2" t="s">
        <v>165</v>
      </c>
      <c r="C319" s="2" t="s">
        <v>319</v>
      </c>
      <c r="D319" s="3">
        <v>45542.854166666657</v>
      </c>
      <c r="E319" s="3">
        <v>45542.881944444453</v>
      </c>
      <c r="F319" s="2">
        <v>40</v>
      </c>
      <c r="G319" s="2" t="s">
        <v>167</v>
      </c>
      <c r="H319" s="2" t="s">
        <v>168</v>
      </c>
      <c r="I319" s="2">
        <v>5</v>
      </c>
      <c r="J319" s="2">
        <v>8</v>
      </c>
      <c r="K319" s="2" t="s">
        <v>153</v>
      </c>
      <c r="L319" s="2" t="s">
        <v>504</v>
      </c>
      <c r="M319" s="2" t="b">
        <v>1</v>
      </c>
      <c r="N319" s="2" t="b">
        <v>1</v>
      </c>
      <c r="O319" s="2">
        <v>5</v>
      </c>
      <c r="P319" s="2">
        <v>0.625</v>
      </c>
      <c r="Q319" s="2" t="s">
        <v>442</v>
      </c>
      <c r="R319" s="2" t="s">
        <v>171</v>
      </c>
      <c r="S319" s="2">
        <v>19.2</v>
      </c>
      <c r="T319" s="2">
        <v>20.8</v>
      </c>
      <c r="U319" s="2" t="b">
        <v>1</v>
      </c>
      <c r="V319" s="2">
        <v>20</v>
      </c>
      <c r="W319" s="2">
        <v>3</v>
      </c>
      <c r="X319" s="2">
        <v>20</v>
      </c>
      <c r="Y319" s="2">
        <v>29.948453608247419</v>
      </c>
    </row>
    <row r="320" spans="1:25" hidden="1">
      <c r="A320" s="2" t="s">
        <v>515</v>
      </c>
      <c r="B320" s="2" t="s">
        <v>157</v>
      </c>
      <c r="C320" s="2" t="s">
        <v>321</v>
      </c>
      <c r="D320" s="3">
        <v>45543.78125</v>
      </c>
      <c r="E320" s="3">
        <v>45543.795138888891</v>
      </c>
      <c r="F320" s="2">
        <v>20</v>
      </c>
      <c r="G320" s="2" t="s">
        <v>159</v>
      </c>
      <c r="H320" s="2" t="s">
        <v>160</v>
      </c>
      <c r="I320" s="2">
        <v>1</v>
      </c>
      <c r="J320" s="2">
        <v>2.5</v>
      </c>
      <c r="K320" s="2" t="s">
        <v>161</v>
      </c>
      <c r="L320" s="2" t="s">
        <v>154</v>
      </c>
      <c r="M320" s="2" t="b">
        <v>1</v>
      </c>
      <c r="N320" s="2" t="b">
        <v>1</v>
      </c>
      <c r="O320" s="2">
        <v>8</v>
      </c>
      <c r="P320" s="2">
        <v>0.4</v>
      </c>
      <c r="Q320" s="2" t="s">
        <v>442</v>
      </c>
      <c r="R320" s="2" t="s">
        <v>147</v>
      </c>
      <c r="S320" s="2">
        <v>6</v>
      </c>
      <c r="T320" s="2">
        <v>14</v>
      </c>
      <c r="U320" s="2" t="b">
        <v>0</v>
      </c>
      <c r="V320" s="2">
        <v>1</v>
      </c>
      <c r="W320" s="2">
        <v>1</v>
      </c>
      <c r="X320" s="2">
        <v>18</v>
      </c>
      <c r="Y320" s="2">
        <v>28.844221105527641</v>
      </c>
    </row>
    <row r="321" spans="1:25" hidden="1">
      <c r="A321" s="2" t="s">
        <v>516</v>
      </c>
      <c r="B321" s="2" t="s">
        <v>173</v>
      </c>
      <c r="C321" s="2" t="s">
        <v>323</v>
      </c>
      <c r="D321" s="3">
        <v>45544.791666666657</v>
      </c>
      <c r="E321" s="3">
        <v>45544.826388888891</v>
      </c>
      <c r="F321" s="2">
        <v>50</v>
      </c>
      <c r="G321" s="2" t="s">
        <v>151</v>
      </c>
      <c r="H321" s="2" t="s">
        <v>152</v>
      </c>
      <c r="I321" s="2">
        <v>4</v>
      </c>
      <c r="J321" s="2">
        <v>10</v>
      </c>
      <c r="K321" s="2" t="s">
        <v>153</v>
      </c>
      <c r="L321" s="2" t="s">
        <v>145</v>
      </c>
      <c r="M321" s="2" t="b">
        <v>1</v>
      </c>
      <c r="N321" s="2" t="b">
        <v>0</v>
      </c>
      <c r="O321" s="2">
        <v>5</v>
      </c>
      <c r="P321" s="2">
        <v>0.4</v>
      </c>
      <c r="Q321" s="2" t="s">
        <v>442</v>
      </c>
      <c r="R321" s="2" t="s">
        <v>147</v>
      </c>
      <c r="S321" s="2">
        <v>24</v>
      </c>
      <c r="T321" s="2">
        <v>26</v>
      </c>
      <c r="U321" s="2" t="b">
        <v>1</v>
      </c>
      <c r="V321" s="2">
        <v>12</v>
      </c>
      <c r="W321" s="2">
        <v>3</v>
      </c>
      <c r="X321" s="2">
        <v>19</v>
      </c>
      <c r="Y321" s="2">
        <v>30.286458333333329</v>
      </c>
    </row>
    <row r="322" spans="1:25" hidden="1">
      <c r="A322" s="2" t="s">
        <v>517</v>
      </c>
      <c r="B322" s="2" t="s">
        <v>142</v>
      </c>
      <c r="C322" s="2" t="s">
        <v>325</v>
      </c>
      <c r="D322" s="3">
        <v>45545.833333333343</v>
      </c>
      <c r="E322" s="3">
        <v>45545.857638888891</v>
      </c>
      <c r="F322" s="2">
        <v>35</v>
      </c>
      <c r="G322" s="2" t="s">
        <v>143</v>
      </c>
      <c r="H322" s="2" t="s">
        <v>144</v>
      </c>
      <c r="I322" s="2">
        <v>3</v>
      </c>
      <c r="J322" s="2">
        <v>5.5</v>
      </c>
      <c r="K322" s="2" t="s">
        <v>143</v>
      </c>
      <c r="L322" s="2" t="s">
        <v>154</v>
      </c>
      <c r="M322" s="2" t="b">
        <v>1</v>
      </c>
      <c r="N322" s="2" t="b">
        <v>0</v>
      </c>
      <c r="O322" s="2">
        <v>6.3636363636363633</v>
      </c>
      <c r="P322" s="2">
        <v>0.54545454545454541</v>
      </c>
      <c r="Q322" s="2" t="s">
        <v>442</v>
      </c>
      <c r="R322" s="2" t="s">
        <v>147</v>
      </c>
      <c r="S322" s="2">
        <v>13.2</v>
      </c>
      <c r="T322" s="2">
        <v>21.8</v>
      </c>
      <c r="U322" s="2" t="b">
        <v>1</v>
      </c>
      <c r="V322" s="2">
        <v>6</v>
      </c>
      <c r="W322" s="2">
        <v>2</v>
      </c>
      <c r="X322" s="2">
        <v>20</v>
      </c>
      <c r="Y322" s="2">
        <v>30.259433962264151</v>
      </c>
    </row>
    <row r="323" spans="1:25" hidden="1">
      <c r="A323" s="2" t="s">
        <v>518</v>
      </c>
      <c r="B323" s="2" t="s">
        <v>149</v>
      </c>
      <c r="C323" s="2" t="s">
        <v>327</v>
      </c>
      <c r="D323" s="3">
        <v>45546.770833333343</v>
      </c>
      <c r="E323" s="3">
        <v>45546.784722222219</v>
      </c>
      <c r="F323" s="2">
        <v>20</v>
      </c>
      <c r="G323" s="2" t="s">
        <v>159</v>
      </c>
      <c r="H323" s="2" t="s">
        <v>160</v>
      </c>
      <c r="I323" s="2">
        <v>2</v>
      </c>
      <c r="J323" s="2">
        <v>2</v>
      </c>
      <c r="K323" s="2" t="s">
        <v>161</v>
      </c>
      <c r="L323" s="2" t="s">
        <v>162</v>
      </c>
      <c r="M323" s="2" t="b">
        <v>1</v>
      </c>
      <c r="N323" s="2" t="b">
        <v>0</v>
      </c>
      <c r="O323" s="2">
        <v>10</v>
      </c>
      <c r="P323" s="2">
        <v>1</v>
      </c>
      <c r="Q323" s="2" t="s">
        <v>442</v>
      </c>
      <c r="R323" s="2" t="s">
        <v>147</v>
      </c>
      <c r="S323" s="2">
        <v>4.8</v>
      </c>
      <c r="T323" s="2">
        <v>15.2</v>
      </c>
      <c r="U323" s="2" t="b">
        <v>0</v>
      </c>
      <c r="V323" s="2">
        <v>2</v>
      </c>
      <c r="W323" s="2">
        <v>1</v>
      </c>
      <c r="X323" s="2">
        <v>18</v>
      </c>
      <c r="Y323" s="2">
        <v>28.186274509803919</v>
      </c>
    </row>
    <row r="324" spans="1:25" hidden="1">
      <c r="A324" s="2" t="s">
        <v>519</v>
      </c>
      <c r="B324" s="2" t="s">
        <v>165</v>
      </c>
      <c r="C324" s="2" t="s">
        <v>329</v>
      </c>
      <c r="D324" s="3">
        <v>45547.822916666657</v>
      </c>
      <c r="E324" s="3">
        <v>45547.850694444453</v>
      </c>
      <c r="F324" s="2">
        <v>40</v>
      </c>
      <c r="G324" s="2" t="s">
        <v>167</v>
      </c>
      <c r="H324" s="2" t="s">
        <v>168</v>
      </c>
      <c r="I324" s="2">
        <v>5</v>
      </c>
      <c r="J324" s="2">
        <v>7.5</v>
      </c>
      <c r="K324" s="2" t="s">
        <v>153</v>
      </c>
      <c r="L324" s="2" t="s">
        <v>504</v>
      </c>
      <c r="M324" s="2" t="b">
        <v>1</v>
      </c>
      <c r="N324" s="2" t="b">
        <v>0</v>
      </c>
      <c r="O324" s="2">
        <v>5.333333333333333</v>
      </c>
      <c r="P324" s="2">
        <v>0.66666666666666663</v>
      </c>
      <c r="Q324" s="2" t="s">
        <v>442</v>
      </c>
      <c r="R324" s="2" t="s">
        <v>171</v>
      </c>
      <c r="S324" s="2">
        <v>18</v>
      </c>
      <c r="T324" s="2">
        <v>22</v>
      </c>
      <c r="U324" s="2" t="b">
        <v>1</v>
      </c>
      <c r="V324" s="2">
        <v>20</v>
      </c>
      <c r="W324" s="2">
        <v>3</v>
      </c>
      <c r="X324" s="2">
        <v>19</v>
      </c>
      <c r="Y324" s="2">
        <v>29.948453608247419</v>
      </c>
    </row>
    <row r="325" spans="1:25" hidden="1">
      <c r="A325" s="2" t="s">
        <v>520</v>
      </c>
      <c r="B325" s="2" t="s">
        <v>157</v>
      </c>
      <c r="C325" s="2" t="s">
        <v>182</v>
      </c>
      <c r="D325" s="3">
        <v>45548.75</v>
      </c>
      <c r="E325" s="3">
        <v>45548.770833333343</v>
      </c>
      <c r="F325" s="2">
        <v>30</v>
      </c>
      <c r="G325" s="2" t="s">
        <v>143</v>
      </c>
      <c r="H325" s="2" t="s">
        <v>152</v>
      </c>
      <c r="I325" s="2">
        <v>3</v>
      </c>
      <c r="J325" s="2">
        <v>4</v>
      </c>
      <c r="K325" s="2" t="s">
        <v>143</v>
      </c>
      <c r="L325" s="2" t="s">
        <v>169</v>
      </c>
      <c r="M325" s="2" t="b">
        <v>1</v>
      </c>
      <c r="N325" s="2" t="b">
        <v>0</v>
      </c>
      <c r="O325" s="2">
        <v>7.5</v>
      </c>
      <c r="P325" s="2">
        <v>0.75</v>
      </c>
      <c r="Q325" s="2" t="s">
        <v>442</v>
      </c>
      <c r="R325" s="2" t="s">
        <v>171</v>
      </c>
      <c r="S325" s="2">
        <v>9.6</v>
      </c>
      <c r="T325" s="2">
        <v>20.399999999999999</v>
      </c>
      <c r="U325" s="2" t="b">
        <v>0</v>
      </c>
      <c r="V325" s="2">
        <v>6</v>
      </c>
      <c r="W325" s="2">
        <v>2</v>
      </c>
      <c r="X325" s="2">
        <v>18</v>
      </c>
      <c r="Y325" s="2">
        <v>28.844221105527641</v>
      </c>
    </row>
    <row r="326" spans="1:25" hidden="1">
      <c r="A326" s="2" t="s">
        <v>521</v>
      </c>
      <c r="B326" s="2" t="s">
        <v>173</v>
      </c>
      <c r="C326" s="2" t="s">
        <v>327</v>
      </c>
      <c r="D326" s="3">
        <v>45549.84375</v>
      </c>
      <c r="E326" s="3">
        <v>45549.875</v>
      </c>
      <c r="F326" s="2">
        <v>45</v>
      </c>
      <c r="G326" s="2" t="s">
        <v>151</v>
      </c>
      <c r="H326" s="2" t="s">
        <v>144</v>
      </c>
      <c r="I326" s="2">
        <v>4</v>
      </c>
      <c r="J326" s="2">
        <v>9</v>
      </c>
      <c r="K326" s="2" t="s">
        <v>153</v>
      </c>
      <c r="L326" s="2" t="s">
        <v>154</v>
      </c>
      <c r="M326" s="2" t="b">
        <v>1</v>
      </c>
      <c r="N326" s="2" t="b">
        <v>1</v>
      </c>
      <c r="O326" s="2">
        <v>5</v>
      </c>
      <c r="P326" s="2">
        <v>0.44444444444444442</v>
      </c>
      <c r="Q326" s="2" t="s">
        <v>442</v>
      </c>
      <c r="R326" s="2" t="s">
        <v>147</v>
      </c>
      <c r="S326" s="2">
        <v>21.6</v>
      </c>
      <c r="T326" s="2">
        <v>23.4</v>
      </c>
      <c r="U326" s="2" t="b">
        <v>1</v>
      </c>
      <c r="V326" s="2">
        <v>12</v>
      </c>
      <c r="W326" s="2">
        <v>3</v>
      </c>
      <c r="X326" s="2">
        <v>20</v>
      </c>
      <c r="Y326" s="2">
        <v>30.286458333333329</v>
      </c>
    </row>
    <row r="327" spans="1:25" hidden="1">
      <c r="A327" s="2" t="s">
        <v>522</v>
      </c>
      <c r="B327" s="2" t="s">
        <v>142</v>
      </c>
      <c r="C327" s="2" t="s">
        <v>333</v>
      </c>
      <c r="D327" s="3">
        <v>45550.75</v>
      </c>
      <c r="E327" s="3">
        <v>45550.763888888891</v>
      </c>
      <c r="F327" s="2">
        <v>20</v>
      </c>
      <c r="G327" s="2" t="s">
        <v>143</v>
      </c>
      <c r="H327" s="2" t="s">
        <v>144</v>
      </c>
      <c r="I327" s="2">
        <v>2</v>
      </c>
      <c r="J327" s="2">
        <v>3</v>
      </c>
      <c r="K327" s="2" t="s">
        <v>161</v>
      </c>
      <c r="L327" s="2" t="s">
        <v>145</v>
      </c>
      <c r="M327" s="2" t="b">
        <v>1</v>
      </c>
      <c r="N327" s="2" t="b">
        <v>1</v>
      </c>
      <c r="O327" s="2">
        <v>6.666666666666667</v>
      </c>
      <c r="P327" s="2">
        <v>0.66666666666666663</v>
      </c>
      <c r="Q327" s="2" t="s">
        <v>442</v>
      </c>
      <c r="R327" s="2" t="s">
        <v>147</v>
      </c>
      <c r="S327" s="2">
        <v>7.1999999999999993</v>
      </c>
      <c r="T327" s="2">
        <v>12.8</v>
      </c>
      <c r="U327" s="2" t="b">
        <v>0</v>
      </c>
      <c r="V327" s="2">
        <v>4</v>
      </c>
      <c r="W327" s="2">
        <v>1</v>
      </c>
      <c r="X327" s="2">
        <v>18</v>
      </c>
      <c r="Y327" s="2">
        <v>30.259433962264151</v>
      </c>
    </row>
    <row r="328" spans="1:25" hidden="1">
      <c r="A328" s="2" t="s">
        <v>523</v>
      </c>
      <c r="B328" s="2" t="s">
        <v>149</v>
      </c>
      <c r="C328" s="2" t="s">
        <v>335</v>
      </c>
      <c r="D328" s="3">
        <v>45551.802083333343</v>
      </c>
      <c r="E328" s="3">
        <v>45551.822916666657</v>
      </c>
      <c r="F328" s="2">
        <v>30</v>
      </c>
      <c r="G328" s="2" t="s">
        <v>151</v>
      </c>
      <c r="H328" s="2" t="s">
        <v>152</v>
      </c>
      <c r="I328" s="2">
        <v>4</v>
      </c>
      <c r="J328" s="2">
        <v>6</v>
      </c>
      <c r="K328" s="2" t="s">
        <v>143</v>
      </c>
      <c r="L328" s="2" t="s">
        <v>169</v>
      </c>
      <c r="M328" s="2" t="b">
        <v>1</v>
      </c>
      <c r="N328" s="2" t="b">
        <v>0</v>
      </c>
      <c r="O328" s="2">
        <v>5</v>
      </c>
      <c r="P328" s="2">
        <v>0.66666666666666663</v>
      </c>
      <c r="Q328" s="2" t="s">
        <v>442</v>
      </c>
      <c r="R328" s="2" t="s">
        <v>171</v>
      </c>
      <c r="S328" s="2">
        <v>14.4</v>
      </c>
      <c r="T328" s="2">
        <v>15.6</v>
      </c>
      <c r="U328" s="2" t="b">
        <v>0</v>
      </c>
      <c r="V328" s="2">
        <v>12</v>
      </c>
      <c r="W328" s="2">
        <v>2</v>
      </c>
      <c r="X328" s="2">
        <v>19</v>
      </c>
      <c r="Y328" s="2">
        <v>28.186274509803919</v>
      </c>
    </row>
    <row r="329" spans="1:25" hidden="1">
      <c r="A329" s="2" t="s">
        <v>524</v>
      </c>
      <c r="B329" s="2" t="s">
        <v>165</v>
      </c>
      <c r="C329" s="2" t="s">
        <v>337</v>
      </c>
      <c r="D329" s="3">
        <v>45552.854166666657</v>
      </c>
      <c r="E329" s="3">
        <v>45552.881944444453</v>
      </c>
      <c r="F329" s="2">
        <v>40</v>
      </c>
      <c r="G329" s="2" t="s">
        <v>167</v>
      </c>
      <c r="H329" s="2" t="s">
        <v>168</v>
      </c>
      <c r="I329" s="2">
        <v>5</v>
      </c>
      <c r="J329" s="2">
        <v>8</v>
      </c>
      <c r="K329" s="2" t="s">
        <v>153</v>
      </c>
      <c r="L329" s="2" t="s">
        <v>504</v>
      </c>
      <c r="M329" s="2" t="b">
        <v>1</v>
      </c>
      <c r="N329" s="2" t="b">
        <v>0</v>
      </c>
      <c r="O329" s="2">
        <v>5</v>
      </c>
      <c r="P329" s="2">
        <v>0.625</v>
      </c>
      <c r="Q329" s="2" t="s">
        <v>442</v>
      </c>
      <c r="R329" s="2" t="s">
        <v>171</v>
      </c>
      <c r="S329" s="2">
        <v>19.2</v>
      </c>
      <c r="T329" s="2">
        <v>20.8</v>
      </c>
      <c r="U329" s="2" t="b">
        <v>1</v>
      </c>
      <c r="V329" s="2">
        <v>20</v>
      </c>
      <c r="W329" s="2">
        <v>3</v>
      </c>
      <c r="X329" s="2">
        <v>20</v>
      </c>
      <c r="Y329" s="2">
        <v>29.948453608247419</v>
      </c>
    </row>
    <row r="330" spans="1:25" hidden="1">
      <c r="A330" s="2" t="s">
        <v>525</v>
      </c>
      <c r="B330" s="2" t="s">
        <v>157</v>
      </c>
      <c r="C330" s="2" t="s">
        <v>339</v>
      </c>
      <c r="D330" s="3">
        <v>45553.78125</v>
      </c>
      <c r="E330" s="3">
        <v>45553.795138888891</v>
      </c>
      <c r="F330" s="2">
        <v>20</v>
      </c>
      <c r="G330" s="2" t="s">
        <v>159</v>
      </c>
      <c r="H330" s="2" t="s">
        <v>160</v>
      </c>
      <c r="I330" s="2">
        <v>1</v>
      </c>
      <c r="J330" s="2">
        <v>2.5</v>
      </c>
      <c r="K330" s="2" t="s">
        <v>161</v>
      </c>
      <c r="L330" s="2" t="s">
        <v>154</v>
      </c>
      <c r="M330" s="2" t="b">
        <v>1</v>
      </c>
      <c r="N330" s="2" t="b">
        <v>0</v>
      </c>
      <c r="O330" s="2">
        <v>8</v>
      </c>
      <c r="P330" s="2">
        <v>0.4</v>
      </c>
      <c r="Q330" s="2" t="s">
        <v>442</v>
      </c>
      <c r="R330" s="2" t="s">
        <v>147</v>
      </c>
      <c r="S330" s="2">
        <v>6</v>
      </c>
      <c r="T330" s="2">
        <v>14</v>
      </c>
      <c r="U330" s="2" t="b">
        <v>0</v>
      </c>
      <c r="V330" s="2">
        <v>1</v>
      </c>
      <c r="W330" s="2">
        <v>1</v>
      </c>
      <c r="X330" s="2">
        <v>18</v>
      </c>
      <c r="Y330" s="2">
        <v>28.844221105527641</v>
      </c>
    </row>
    <row r="331" spans="1:25" hidden="1">
      <c r="A331" s="2" t="s">
        <v>526</v>
      </c>
      <c r="B331" s="2" t="s">
        <v>173</v>
      </c>
      <c r="C331" s="2" t="s">
        <v>194</v>
      </c>
      <c r="D331" s="3">
        <v>45554.791666666657</v>
      </c>
      <c r="E331" s="3">
        <v>45554.826388888891</v>
      </c>
      <c r="F331" s="2">
        <v>50</v>
      </c>
      <c r="G331" s="2" t="s">
        <v>151</v>
      </c>
      <c r="H331" s="2" t="s">
        <v>152</v>
      </c>
      <c r="I331" s="2">
        <v>4</v>
      </c>
      <c r="J331" s="2">
        <v>10</v>
      </c>
      <c r="K331" s="2" t="s">
        <v>153</v>
      </c>
      <c r="L331" s="2" t="s">
        <v>145</v>
      </c>
      <c r="M331" s="2" t="b">
        <v>1</v>
      </c>
      <c r="N331" s="2" t="b">
        <v>0</v>
      </c>
      <c r="O331" s="2">
        <v>5</v>
      </c>
      <c r="P331" s="2">
        <v>0.4</v>
      </c>
      <c r="Q331" s="2" t="s">
        <v>442</v>
      </c>
      <c r="R331" s="2" t="s">
        <v>147</v>
      </c>
      <c r="S331" s="2">
        <v>24</v>
      </c>
      <c r="T331" s="2">
        <v>26</v>
      </c>
      <c r="U331" s="2" t="b">
        <v>1</v>
      </c>
      <c r="V331" s="2">
        <v>12</v>
      </c>
      <c r="W331" s="2">
        <v>3</v>
      </c>
      <c r="X331" s="2">
        <v>19</v>
      </c>
      <c r="Y331" s="2">
        <v>30.286458333333329</v>
      </c>
    </row>
    <row r="332" spans="1:25" hidden="1">
      <c r="A332" s="2" t="s">
        <v>527</v>
      </c>
      <c r="B332" s="2" t="s">
        <v>142</v>
      </c>
      <c r="C332" s="2" t="s">
        <v>40</v>
      </c>
      <c r="D332" s="3">
        <v>45555.75</v>
      </c>
      <c r="E332" s="3">
        <v>45555.763888888891</v>
      </c>
      <c r="F332" s="2">
        <v>20</v>
      </c>
      <c r="G332" s="2" t="s">
        <v>143</v>
      </c>
      <c r="H332" s="2" t="s">
        <v>144</v>
      </c>
      <c r="I332" s="2">
        <v>2</v>
      </c>
      <c r="J332" s="2">
        <v>3</v>
      </c>
      <c r="K332" s="2" t="s">
        <v>161</v>
      </c>
      <c r="L332" s="2" t="s">
        <v>342</v>
      </c>
      <c r="M332" s="2" t="b">
        <v>1</v>
      </c>
      <c r="N332" s="2" t="b">
        <v>0</v>
      </c>
      <c r="O332" s="2">
        <v>6.666666666666667</v>
      </c>
      <c r="P332" s="2">
        <v>0.66666666666666663</v>
      </c>
      <c r="Q332" s="2" t="s">
        <v>442</v>
      </c>
      <c r="R332" s="2" t="s">
        <v>171</v>
      </c>
      <c r="S332" s="2">
        <v>7.1999999999999993</v>
      </c>
      <c r="T332" s="2">
        <v>12.8</v>
      </c>
      <c r="U332" s="2" t="b">
        <v>0</v>
      </c>
      <c r="V332" s="2">
        <v>4</v>
      </c>
      <c r="W332" s="2">
        <v>1</v>
      </c>
      <c r="X332" s="2">
        <v>18</v>
      </c>
      <c r="Y332" s="2">
        <v>30.259433962264151</v>
      </c>
    </row>
    <row r="333" spans="1:25" hidden="1">
      <c r="A333" s="2" t="s">
        <v>528</v>
      </c>
      <c r="B333" s="2" t="s">
        <v>149</v>
      </c>
      <c r="C333" s="2" t="s">
        <v>158</v>
      </c>
      <c r="D333" s="3">
        <v>45556.802083333343</v>
      </c>
      <c r="E333" s="3">
        <v>45556.822916666657</v>
      </c>
      <c r="F333" s="2">
        <v>30</v>
      </c>
      <c r="G333" s="2" t="s">
        <v>151</v>
      </c>
      <c r="H333" s="2" t="s">
        <v>152</v>
      </c>
      <c r="I333" s="2">
        <v>4</v>
      </c>
      <c r="J333" s="2">
        <v>6</v>
      </c>
      <c r="K333" s="2" t="s">
        <v>143</v>
      </c>
      <c r="L333" s="2" t="s">
        <v>162</v>
      </c>
      <c r="M333" s="2" t="b">
        <v>1</v>
      </c>
      <c r="N333" s="2" t="b">
        <v>1</v>
      </c>
      <c r="O333" s="2">
        <v>5</v>
      </c>
      <c r="P333" s="2">
        <v>0.66666666666666663</v>
      </c>
      <c r="Q333" s="2" t="s">
        <v>442</v>
      </c>
      <c r="R333" s="2" t="s">
        <v>147</v>
      </c>
      <c r="S333" s="2">
        <v>14.4</v>
      </c>
      <c r="T333" s="2">
        <v>15.6</v>
      </c>
      <c r="U333" s="2" t="b">
        <v>0</v>
      </c>
      <c r="V333" s="2">
        <v>12</v>
      </c>
      <c r="W333" s="2">
        <v>2</v>
      </c>
      <c r="X333" s="2">
        <v>19</v>
      </c>
      <c r="Y333" s="2">
        <v>28.186274509803919</v>
      </c>
    </row>
    <row r="334" spans="1:25" hidden="1">
      <c r="A334" s="2" t="s">
        <v>529</v>
      </c>
      <c r="B334" s="2" t="s">
        <v>165</v>
      </c>
      <c r="C334" s="2" t="s">
        <v>150</v>
      </c>
      <c r="D334" s="3">
        <v>45557.854166666657</v>
      </c>
      <c r="E334" s="3">
        <v>45557.881944444453</v>
      </c>
      <c r="F334" s="2">
        <v>40</v>
      </c>
      <c r="G334" s="2" t="s">
        <v>167</v>
      </c>
      <c r="H334" s="2" t="s">
        <v>168</v>
      </c>
      <c r="I334" s="2">
        <v>5</v>
      </c>
      <c r="J334" s="2">
        <v>8</v>
      </c>
      <c r="K334" s="2" t="s">
        <v>153</v>
      </c>
      <c r="L334" s="2" t="s">
        <v>504</v>
      </c>
      <c r="M334" s="2" t="b">
        <v>1</v>
      </c>
      <c r="N334" s="2" t="b">
        <v>1</v>
      </c>
      <c r="O334" s="2">
        <v>5</v>
      </c>
      <c r="P334" s="2">
        <v>0.625</v>
      </c>
      <c r="Q334" s="2" t="s">
        <v>442</v>
      </c>
      <c r="R334" s="2" t="s">
        <v>171</v>
      </c>
      <c r="S334" s="2">
        <v>19.2</v>
      </c>
      <c r="T334" s="2">
        <v>20.8</v>
      </c>
      <c r="U334" s="2" t="b">
        <v>1</v>
      </c>
      <c r="V334" s="2">
        <v>20</v>
      </c>
      <c r="W334" s="2">
        <v>3</v>
      </c>
      <c r="X334" s="2">
        <v>20</v>
      </c>
      <c r="Y334" s="2">
        <v>29.948453608247419</v>
      </c>
    </row>
    <row r="335" spans="1:25" hidden="1">
      <c r="A335" s="2" t="s">
        <v>530</v>
      </c>
      <c r="B335" s="2" t="s">
        <v>157</v>
      </c>
      <c r="C335" s="2" t="s">
        <v>184</v>
      </c>
      <c r="D335" s="3">
        <v>45558.78125</v>
      </c>
      <c r="E335" s="3">
        <v>45558.795138888891</v>
      </c>
      <c r="F335" s="2">
        <v>20</v>
      </c>
      <c r="G335" s="2" t="s">
        <v>159</v>
      </c>
      <c r="H335" s="2" t="s">
        <v>160</v>
      </c>
      <c r="I335" s="2">
        <v>1</v>
      </c>
      <c r="J335" s="2">
        <v>2.5</v>
      </c>
      <c r="K335" s="2" t="s">
        <v>161</v>
      </c>
      <c r="L335" s="2" t="s">
        <v>169</v>
      </c>
      <c r="M335" s="2" t="b">
        <v>1</v>
      </c>
      <c r="N335" s="2" t="b">
        <v>0</v>
      </c>
      <c r="O335" s="2">
        <v>8</v>
      </c>
      <c r="P335" s="2">
        <v>0.4</v>
      </c>
      <c r="Q335" s="2" t="s">
        <v>442</v>
      </c>
      <c r="R335" s="2" t="s">
        <v>171</v>
      </c>
      <c r="S335" s="2">
        <v>6</v>
      </c>
      <c r="T335" s="2">
        <v>14</v>
      </c>
      <c r="U335" s="2" t="b">
        <v>0</v>
      </c>
      <c r="V335" s="2">
        <v>1</v>
      </c>
      <c r="W335" s="2">
        <v>1</v>
      </c>
      <c r="X335" s="2">
        <v>18</v>
      </c>
      <c r="Y335" s="2">
        <v>28.844221105527641</v>
      </c>
    </row>
    <row r="336" spans="1:25" hidden="1">
      <c r="A336" s="2" t="s">
        <v>531</v>
      </c>
      <c r="B336" s="2" t="s">
        <v>173</v>
      </c>
      <c r="C336" s="2" t="s">
        <v>186</v>
      </c>
      <c r="D336" s="3">
        <v>45559.791666666657</v>
      </c>
      <c r="E336" s="3">
        <v>45559.826388888891</v>
      </c>
      <c r="F336" s="2">
        <v>50</v>
      </c>
      <c r="G336" s="2" t="s">
        <v>151</v>
      </c>
      <c r="H336" s="2" t="s">
        <v>152</v>
      </c>
      <c r="I336" s="2">
        <v>4</v>
      </c>
      <c r="J336" s="2">
        <v>10</v>
      </c>
      <c r="K336" s="2" t="s">
        <v>153</v>
      </c>
      <c r="L336" s="2" t="s">
        <v>145</v>
      </c>
      <c r="M336" s="2" t="b">
        <v>1</v>
      </c>
      <c r="N336" s="2" t="b">
        <v>0</v>
      </c>
      <c r="O336" s="2">
        <v>5</v>
      </c>
      <c r="P336" s="2">
        <v>0.4</v>
      </c>
      <c r="Q336" s="2" t="s">
        <v>442</v>
      </c>
      <c r="R336" s="2" t="s">
        <v>147</v>
      </c>
      <c r="S336" s="2">
        <v>24</v>
      </c>
      <c r="T336" s="2">
        <v>26</v>
      </c>
      <c r="U336" s="2" t="b">
        <v>1</v>
      </c>
      <c r="V336" s="2">
        <v>12</v>
      </c>
      <c r="W336" s="2">
        <v>3</v>
      </c>
      <c r="X336" s="2">
        <v>19</v>
      </c>
      <c r="Y336" s="2">
        <v>30.286458333333329</v>
      </c>
    </row>
    <row r="337" spans="1:25" hidden="1">
      <c r="A337" s="2" t="s">
        <v>532</v>
      </c>
      <c r="B337" s="2" t="s">
        <v>142</v>
      </c>
      <c r="C337" s="2" t="s">
        <v>166</v>
      </c>
      <c r="D337" s="3">
        <v>45560.833333333343</v>
      </c>
      <c r="E337" s="3">
        <v>45560.847222222219</v>
      </c>
      <c r="F337" s="2">
        <v>20</v>
      </c>
      <c r="G337" s="2" t="s">
        <v>143</v>
      </c>
      <c r="H337" s="2" t="s">
        <v>144</v>
      </c>
      <c r="I337" s="2">
        <v>2</v>
      </c>
      <c r="J337" s="2">
        <v>3</v>
      </c>
      <c r="K337" s="2" t="s">
        <v>161</v>
      </c>
      <c r="L337" s="2" t="s">
        <v>145</v>
      </c>
      <c r="M337" s="2" t="b">
        <v>1</v>
      </c>
      <c r="N337" s="2" t="b">
        <v>0</v>
      </c>
      <c r="O337" s="2">
        <v>6.666666666666667</v>
      </c>
      <c r="P337" s="2">
        <v>0.66666666666666663</v>
      </c>
      <c r="Q337" s="2" t="s">
        <v>442</v>
      </c>
      <c r="R337" s="2" t="s">
        <v>147</v>
      </c>
      <c r="S337" s="2">
        <v>7.1999999999999993</v>
      </c>
      <c r="T337" s="2">
        <v>12.8</v>
      </c>
      <c r="U337" s="2" t="b">
        <v>0</v>
      </c>
      <c r="V337" s="2">
        <v>4</v>
      </c>
      <c r="W337" s="2">
        <v>1</v>
      </c>
      <c r="X337" s="2">
        <v>20</v>
      </c>
      <c r="Y337" s="2">
        <v>30.259433962264151</v>
      </c>
    </row>
    <row r="338" spans="1:25" hidden="1">
      <c r="A338" s="2" t="s">
        <v>533</v>
      </c>
      <c r="B338" s="2" t="s">
        <v>149</v>
      </c>
      <c r="C338" s="2" t="s">
        <v>158</v>
      </c>
      <c r="D338" s="3">
        <v>45561.802083333343</v>
      </c>
      <c r="E338" s="3">
        <v>45561.822916666657</v>
      </c>
      <c r="F338" s="2">
        <v>30</v>
      </c>
      <c r="G338" s="2" t="s">
        <v>151</v>
      </c>
      <c r="H338" s="2" t="s">
        <v>152</v>
      </c>
      <c r="I338" s="2">
        <v>4</v>
      </c>
      <c r="J338" s="2">
        <v>6</v>
      </c>
      <c r="K338" s="2" t="s">
        <v>143</v>
      </c>
      <c r="L338" s="2" t="s">
        <v>162</v>
      </c>
      <c r="M338" s="2" t="b">
        <v>1</v>
      </c>
      <c r="N338" s="2" t="b">
        <v>0</v>
      </c>
      <c r="O338" s="2">
        <v>5</v>
      </c>
      <c r="P338" s="2">
        <v>0.66666666666666663</v>
      </c>
      <c r="Q338" s="2" t="s">
        <v>442</v>
      </c>
      <c r="R338" s="2" t="s">
        <v>147</v>
      </c>
      <c r="S338" s="2">
        <v>14.4</v>
      </c>
      <c r="T338" s="2">
        <v>15.6</v>
      </c>
      <c r="U338" s="2" t="b">
        <v>0</v>
      </c>
      <c r="V338" s="2">
        <v>12</v>
      </c>
      <c r="W338" s="2">
        <v>2</v>
      </c>
      <c r="X338" s="2">
        <v>19</v>
      </c>
      <c r="Y338" s="2">
        <v>28.186274509803919</v>
      </c>
    </row>
    <row r="339" spans="1:25" hidden="1">
      <c r="A339" s="2" t="s">
        <v>534</v>
      </c>
      <c r="B339" s="2" t="s">
        <v>165</v>
      </c>
      <c r="C339" s="2" t="s">
        <v>150</v>
      </c>
      <c r="D339" s="3">
        <v>45562.854166666657</v>
      </c>
      <c r="E339" s="3">
        <v>45562.881944444453</v>
      </c>
      <c r="F339" s="2">
        <v>40</v>
      </c>
      <c r="G339" s="2" t="s">
        <v>167</v>
      </c>
      <c r="H339" s="2" t="s">
        <v>168</v>
      </c>
      <c r="I339" s="2">
        <v>5</v>
      </c>
      <c r="J339" s="2">
        <v>8</v>
      </c>
      <c r="K339" s="2" t="s">
        <v>153</v>
      </c>
      <c r="L339" s="2" t="s">
        <v>504</v>
      </c>
      <c r="M339" s="2" t="b">
        <v>1</v>
      </c>
      <c r="N339" s="2" t="b">
        <v>0</v>
      </c>
      <c r="O339" s="2">
        <v>5</v>
      </c>
      <c r="P339" s="2">
        <v>0.625</v>
      </c>
      <c r="Q339" s="2" t="s">
        <v>442</v>
      </c>
      <c r="R339" s="2" t="s">
        <v>171</v>
      </c>
      <c r="S339" s="2">
        <v>19.2</v>
      </c>
      <c r="T339" s="2">
        <v>20.8</v>
      </c>
      <c r="U339" s="2" t="b">
        <v>1</v>
      </c>
      <c r="V339" s="2">
        <v>20</v>
      </c>
      <c r="W339" s="2">
        <v>3</v>
      </c>
      <c r="X339" s="2">
        <v>20</v>
      </c>
      <c r="Y339" s="2">
        <v>29.948453608247419</v>
      </c>
    </row>
    <row r="340" spans="1:25" hidden="1">
      <c r="A340" s="2" t="s">
        <v>535</v>
      </c>
      <c r="B340" s="2" t="s">
        <v>157</v>
      </c>
      <c r="C340" s="2" t="s">
        <v>184</v>
      </c>
      <c r="D340" s="3">
        <v>45563.78125</v>
      </c>
      <c r="E340" s="3">
        <v>45563.795138888891</v>
      </c>
      <c r="F340" s="2">
        <v>20</v>
      </c>
      <c r="G340" s="2" t="s">
        <v>159</v>
      </c>
      <c r="H340" s="2" t="s">
        <v>160</v>
      </c>
      <c r="I340" s="2">
        <v>1</v>
      </c>
      <c r="J340" s="2">
        <v>2.5</v>
      </c>
      <c r="K340" s="2" t="s">
        <v>161</v>
      </c>
      <c r="L340" s="2" t="s">
        <v>169</v>
      </c>
      <c r="M340" s="2" t="b">
        <v>1</v>
      </c>
      <c r="N340" s="2" t="b">
        <v>1</v>
      </c>
      <c r="O340" s="2">
        <v>8</v>
      </c>
      <c r="P340" s="2">
        <v>0.4</v>
      </c>
      <c r="Q340" s="2" t="s">
        <v>442</v>
      </c>
      <c r="R340" s="2" t="s">
        <v>171</v>
      </c>
      <c r="S340" s="2">
        <v>6</v>
      </c>
      <c r="T340" s="2">
        <v>14</v>
      </c>
      <c r="U340" s="2" t="b">
        <v>0</v>
      </c>
      <c r="V340" s="2">
        <v>1</v>
      </c>
      <c r="W340" s="2">
        <v>1</v>
      </c>
      <c r="X340" s="2">
        <v>18</v>
      </c>
      <c r="Y340" s="2">
        <v>28.844221105527641</v>
      </c>
    </row>
    <row r="341" spans="1:25" hidden="1">
      <c r="A341" s="2" t="s">
        <v>536</v>
      </c>
      <c r="B341" s="2" t="s">
        <v>173</v>
      </c>
      <c r="C341" s="2" t="s">
        <v>186</v>
      </c>
      <c r="D341" s="3">
        <v>45564.791666666657</v>
      </c>
      <c r="E341" s="3">
        <v>45564.826388888891</v>
      </c>
      <c r="F341" s="2">
        <v>50</v>
      </c>
      <c r="G341" s="2" t="s">
        <v>151</v>
      </c>
      <c r="H341" s="2" t="s">
        <v>152</v>
      </c>
      <c r="I341" s="2">
        <v>4</v>
      </c>
      <c r="J341" s="2">
        <v>10</v>
      </c>
      <c r="K341" s="2" t="s">
        <v>153</v>
      </c>
      <c r="L341" s="2" t="s">
        <v>145</v>
      </c>
      <c r="M341" s="2" t="b">
        <v>1</v>
      </c>
      <c r="N341" s="2" t="b">
        <v>1</v>
      </c>
      <c r="O341" s="2">
        <v>5</v>
      </c>
      <c r="P341" s="2">
        <v>0.4</v>
      </c>
      <c r="Q341" s="2" t="s">
        <v>442</v>
      </c>
      <c r="R341" s="2" t="s">
        <v>147</v>
      </c>
      <c r="S341" s="2">
        <v>24</v>
      </c>
      <c r="T341" s="2">
        <v>26</v>
      </c>
      <c r="U341" s="2" t="b">
        <v>1</v>
      </c>
      <c r="V341" s="2">
        <v>12</v>
      </c>
      <c r="W341" s="2">
        <v>3</v>
      </c>
      <c r="X341" s="2">
        <v>19</v>
      </c>
      <c r="Y341" s="2">
        <v>30.286458333333329</v>
      </c>
    </row>
    <row r="342" spans="1:25" hidden="1">
      <c r="A342" s="2" t="s">
        <v>537</v>
      </c>
      <c r="B342" s="2" t="s">
        <v>142</v>
      </c>
      <c r="C342" s="2" t="s">
        <v>166</v>
      </c>
      <c r="D342" s="3">
        <v>45565.833333333343</v>
      </c>
      <c r="E342" s="3">
        <v>45565.857638888891</v>
      </c>
      <c r="F342" s="2">
        <v>35</v>
      </c>
      <c r="G342" s="2" t="s">
        <v>143</v>
      </c>
      <c r="H342" s="2" t="s">
        <v>144</v>
      </c>
      <c r="I342" s="2">
        <v>3</v>
      </c>
      <c r="J342" s="2">
        <v>5.5</v>
      </c>
      <c r="K342" s="2" t="s">
        <v>143</v>
      </c>
      <c r="L342" s="2" t="s">
        <v>154</v>
      </c>
      <c r="M342" s="2" t="b">
        <v>1</v>
      </c>
      <c r="N342" s="2" t="b">
        <v>0</v>
      </c>
      <c r="O342" s="2">
        <v>6.3636363636363633</v>
      </c>
      <c r="P342" s="2">
        <v>0.54545454545454541</v>
      </c>
      <c r="Q342" s="2" t="s">
        <v>442</v>
      </c>
      <c r="R342" s="2" t="s">
        <v>147</v>
      </c>
      <c r="S342" s="2">
        <v>13.2</v>
      </c>
      <c r="T342" s="2">
        <v>21.8</v>
      </c>
      <c r="U342" s="2" t="b">
        <v>1</v>
      </c>
      <c r="V342" s="2">
        <v>6</v>
      </c>
      <c r="W342" s="2">
        <v>2</v>
      </c>
      <c r="X342" s="2">
        <v>20</v>
      </c>
      <c r="Y342" s="2">
        <v>30.259433962264151</v>
      </c>
    </row>
    <row r="343" spans="1:25" hidden="1">
      <c r="A343" s="2" t="s">
        <v>538</v>
      </c>
      <c r="B343" s="2" t="s">
        <v>149</v>
      </c>
      <c r="C343" s="2" t="s">
        <v>192</v>
      </c>
      <c r="D343" s="3">
        <v>45566.770833333343</v>
      </c>
      <c r="E343" s="3">
        <v>45566.784722222219</v>
      </c>
      <c r="F343" s="2">
        <v>20</v>
      </c>
      <c r="G343" s="2" t="s">
        <v>159</v>
      </c>
      <c r="H343" s="2" t="s">
        <v>160</v>
      </c>
      <c r="I343" s="2">
        <v>2</v>
      </c>
      <c r="J343" s="2">
        <v>2</v>
      </c>
      <c r="K343" s="2" t="s">
        <v>161</v>
      </c>
      <c r="L343" s="2" t="s">
        <v>162</v>
      </c>
      <c r="M343" s="2" t="b">
        <v>1</v>
      </c>
      <c r="N343" s="2" t="b">
        <v>0</v>
      </c>
      <c r="O343" s="2">
        <v>10</v>
      </c>
      <c r="P343" s="2">
        <v>1</v>
      </c>
      <c r="Q343" s="2" t="s">
        <v>488</v>
      </c>
      <c r="R343" s="2" t="s">
        <v>147</v>
      </c>
      <c r="S343" s="2">
        <v>4.8</v>
      </c>
      <c r="T343" s="2">
        <v>15.2</v>
      </c>
      <c r="U343" s="2" t="b">
        <v>0</v>
      </c>
      <c r="V343" s="2">
        <v>2</v>
      </c>
      <c r="W343" s="2">
        <v>1</v>
      </c>
      <c r="X343" s="2">
        <v>18</v>
      </c>
      <c r="Y343" s="2">
        <v>28.186274509803919</v>
      </c>
    </row>
    <row r="344" spans="1:25" hidden="1">
      <c r="A344" s="2" t="s">
        <v>539</v>
      </c>
      <c r="B344" s="2" t="s">
        <v>165</v>
      </c>
      <c r="C344" s="2" t="s">
        <v>194</v>
      </c>
      <c r="D344" s="3">
        <v>45567.822916666657</v>
      </c>
      <c r="E344" s="3">
        <v>45567.850694444453</v>
      </c>
      <c r="F344" s="2">
        <v>40</v>
      </c>
      <c r="G344" s="2" t="s">
        <v>167</v>
      </c>
      <c r="H344" s="2" t="s">
        <v>168</v>
      </c>
      <c r="I344" s="2">
        <v>5</v>
      </c>
      <c r="J344" s="2">
        <v>7.5</v>
      </c>
      <c r="K344" s="2" t="s">
        <v>153</v>
      </c>
      <c r="L344" s="2" t="s">
        <v>504</v>
      </c>
      <c r="M344" s="2" t="b">
        <v>1</v>
      </c>
      <c r="N344" s="2" t="b">
        <v>0</v>
      </c>
      <c r="O344" s="2">
        <v>5.333333333333333</v>
      </c>
      <c r="P344" s="2">
        <v>0.66666666666666663</v>
      </c>
      <c r="Q344" s="2" t="s">
        <v>488</v>
      </c>
      <c r="R344" s="2" t="s">
        <v>171</v>
      </c>
      <c r="S344" s="2">
        <v>18</v>
      </c>
      <c r="T344" s="2">
        <v>22</v>
      </c>
      <c r="U344" s="2" t="b">
        <v>1</v>
      </c>
      <c r="V344" s="2">
        <v>20</v>
      </c>
      <c r="W344" s="2">
        <v>3</v>
      </c>
      <c r="X344" s="2">
        <v>19</v>
      </c>
      <c r="Y344" s="2">
        <v>29.948453608247419</v>
      </c>
    </row>
    <row r="345" spans="1:25" hidden="1">
      <c r="A345" s="2" t="s">
        <v>540</v>
      </c>
      <c r="B345" s="2" t="s">
        <v>157</v>
      </c>
      <c r="C345" s="2" t="s">
        <v>174</v>
      </c>
      <c r="D345" s="3">
        <v>45568.75</v>
      </c>
      <c r="E345" s="3">
        <v>45568.770833333343</v>
      </c>
      <c r="F345" s="2">
        <v>30</v>
      </c>
      <c r="G345" s="2" t="s">
        <v>143</v>
      </c>
      <c r="H345" s="2" t="s">
        <v>152</v>
      </c>
      <c r="I345" s="2">
        <v>3</v>
      </c>
      <c r="J345" s="2">
        <v>4</v>
      </c>
      <c r="K345" s="2" t="s">
        <v>143</v>
      </c>
      <c r="L345" s="2" t="s">
        <v>169</v>
      </c>
      <c r="M345" s="2" t="b">
        <v>1</v>
      </c>
      <c r="N345" s="2" t="b">
        <v>0</v>
      </c>
      <c r="O345" s="2">
        <v>7.5</v>
      </c>
      <c r="P345" s="2">
        <v>0.75</v>
      </c>
      <c r="Q345" s="2" t="s">
        <v>488</v>
      </c>
      <c r="R345" s="2" t="s">
        <v>171</v>
      </c>
      <c r="S345" s="2">
        <v>9.6</v>
      </c>
      <c r="T345" s="2">
        <v>20.399999999999999</v>
      </c>
      <c r="U345" s="2" t="b">
        <v>0</v>
      </c>
      <c r="V345" s="2">
        <v>6</v>
      </c>
      <c r="W345" s="2">
        <v>2</v>
      </c>
      <c r="X345" s="2">
        <v>18</v>
      </c>
      <c r="Y345" s="2">
        <v>28.844221105527641</v>
      </c>
    </row>
    <row r="346" spans="1:25" hidden="1">
      <c r="A346" s="2" t="s">
        <v>541</v>
      </c>
      <c r="B346" s="2" t="s">
        <v>173</v>
      </c>
      <c r="C346" s="2" t="s">
        <v>190</v>
      </c>
      <c r="D346" s="3">
        <v>45569.84375</v>
      </c>
      <c r="E346" s="3">
        <v>45569.875</v>
      </c>
      <c r="F346" s="2">
        <v>45</v>
      </c>
      <c r="G346" s="2" t="s">
        <v>151</v>
      </c>
      <c r="H346" s="2" t="s">
        <v>144</v>
      </c>
      <c r="I346" s="2">
        <v>4</v>
      </c>
      <c r="J346" s="2">
        <v>9</v>
      </c>
      <c r="K346" s="2" t="s">
        <v>153</v>
      </c>
      <c r="L346" s="2" t="s">
        <v>154</v>
      </c>
      <c r="M346" s="2" t="b">
        <v>1</v>
      </c>
      <c r="N346" s="2" t="b">
        <v>0</v>
      </c>
      <c r="O346" s="2">
        <v>5</v>
      </c>
      <c r="P346" s="2">
        <v>0.44444444444444442</v>
      </c>
      <c r="Q346" s="2" t="s">
        <v>488</v>
      </c>
      <c r="R346" s="2" t="s">
        <v>147</v>
      </c>
      <c r="S346" s="2">
        <v>21.6</v>
      </c>
      <c r="T346" s="2">
        <v>23.4</v>
      </c>
      <c r="U346" s="2" t="b">
        <v>1</v>
      </c>
      <c r="V346" s="2">
        <v>12</v>
      </c>
      <c r="W346" s="2">
        <v>3</v>
      </c>
      <c r="X346" s="2">
        <v>20</v>
      </c>
      <c r="Y346" s="2">
        <v>30.286458333333329</v>
      </c>
    </row>
    <row r="347" spans="1:25" hidden="1">
      <c r="A347" s="2" t="s">
        <v>542</v>
      </c>
      <c r="B347" s="2" t="s">
        <v>142</v>
      </c>
      <c r="C347" s="2" t="s">
        <v>315</v>
      </c>
      <c r="D347" s="3">
        <v>45570.75</v>
      </c>
      <c r="E347" s="3">
        <v>45570.763888888891</v>
      </c>
      <c r="F347" s="2">
        <v>20</v>
      </c>
      <c r="G347" s="2" t="s">
        <v>143</v>
      </c>
      <c r="H347" s="2" t="s">
        <v>144</v>
      </c>
      <c r="I347" s="2">
        <v>2</v>
      </c>
      <c r="J347" s="2">
        <v>3</v>
      </c>
      <c r="K347" s="2" t="s">
        <v>161</v>
      </c>
      <c r="L347" s="2" t="s">
        <v>145</v>
      </c>
      <c r="M347" s="2" t="b">
        <v>1</v>
      </c>
      <c r="N347" s="2" t="b">
        <v>1</v>
      </c>
      <c r="O347" s="2">
        <v>6.666666666666667</v>
      </c>
      <c r="P347" s="2">
        <v>0.66666666666666663</v>
      </c>
      <c r="Q347" s="2" t="s">
        <v>488</v>
      </c>
      <c r="R347" s="2" t="s">
        <v>147</v>
      </c>
      <c r="S347" s="2">
        <v>7.1999999999999993</v>
      </c>
      <c r="T347" s="2">
        <v>12.8</v>
      </c>
      <c r="U347" s="2" t="b">
        <v>0</v>
      </c>
      <c r="V347" s="2">
        <v>4</v>
      </c>
      <c r="W347" s="2">
        <v>1</v>
      </c>
      <c r="X347" s="2">
        <v>18</v>
      </c>
      <c r="Y347" s="2">
        <v>30.259433962264151</v>
      </c>
    </row>
    <row r="348" spans="1:25" hidden="1">
      <c r="A348" s="2" t="s">
        <v>543</v>
      </c>
      <c r="B348" s="2" t="s">
        <v>149</v>
      </c>
      <c r="C348" s="2" t="s">
        <v>317</v>
      </c>
      <c r="D348" s="3">
        <v>45571.802083333343</v>
      </c>
      <c r="E348" s="3">
        <v>45571.822916666657</v>
      </c>
      <c r="F348" s="2">
        <v>30</v>
      </c>
      <c r="G348" s="2" t="s">
        <v>151</v>
      </c>
      <c r="H348" s="2" t="s">
        <v>152</v>
      </c>
      <c r="I348" s="2">
        <v>4</v>
      </c>
      <c r="J348" s="2">
        <v>6</v>
      </c>
      <c r="K348" s="2" t="s">
        <v>143</v>
      </c>
      <c r="L348" s="2" t="s">
        <v>169</v>
      </c>
      <c r="M348" s="2" t="b">
        <v>1</v>
      </c>
      <c r="N348" s="2" t="b">
        <v>1</v>
      </c>
      <c r="O348" s="2">
        <v>5</v>
      </c>
      <c r="P348" s="2">
        <v>0.66666666666666663</v>
      </c>
      <c r="Q348" s="2" t="s">
        <v>488</v>
      </c>
      <c r="R348" s="2" t="s">
        <v>171</v>
      </c>
      <c r="S348" s="2">
        <v>14.4</v>
      </c>
      <c r="T348" s="2">
        <v>15.6</v>
      </c>
      <c r="U348" s="2" t="b">
        <v>0</v>
      </c>
      <c r="V348" s="2">
        <v>12</v>
      </c>
      <c r="W348" s="2">
        <v>2</v>
      </c>
      <c r="X348" s="2">
        <v>19</v>
      </c>
      <c r="Y348" s="2">
        <v>28.186274509803919</v>
      </c>
    </row>
    <row r="349" spans="1:25" hidden="1">
      <c r="A349" s="2" t="s">
        <v>544</v>
      </c>
      <c r="B349" s="2" t="s">
        <v>165</v>
      </c>
      <c r="C349" s="2" t="s">
        <v>319</v>
      </c>
      <c r="D349" s="3">
        <v>45572.854166666657</v>
      </c>
      <c r="E349" s="3">
        <v>45572.881944444453</v>
      </c>
      <c r="F349" s="2">
        <v>40</v>
      </c>
      <c r="G349" s="2" t="s">
        <v>167</v>
      </c>
      <c r="H349" s="2" t="s">
        <v>168</v>
      </c>
      <c r="I349" s="2">
        <v>5</v>
      </c>
      <c r="J349" s="2">
        <v>8</v>
      </c>
      <c r="K349" s="2" t="s">
        <v>153</v>
      </c>
      <c r="L349" s="2" t="s">
        <v>504</v>
      </c>
      <c r="M349" s="2" t="b">
        <v>1</v>
      </c>
      <c r="N349" s="2" t="b">
        <v>0</v>
      </c>
      <c r="O349" s="2">
        <v>5</v>
      </c>
      <c r="P349" s="2">
        <v>0.625</v>
      </c>
      <c r="Q349" s="2" t="s">
        <v>488</v>
      </c>
      <c r="R349" s="2" t="s">
        <v>171</v>
      </c>
      <c r="S349" s="2">
        <v>19.2</v>
      </c>
      <c r="T349" s="2">
        <v>20.8</v>
      </c>
      <c r="U349" s="2" t="b">
        <v>1</v>
      </c>
      <c r="V349" s="2">
        <v>20</v>
      </c>
      <c r="W349" s="2">
        <v>3</v>
      </c>
      <c r="X349" s="2">
        <v>20</v>
      </c>
      <c r="Y349" s="2">
        <v>29.948453608247419</v>
      </c>
    </row>
    <row r="350" spans="1:25" hidden="1">
      <c r="A350" s="2" t="s">
        <v>545</v>
      </c>
      <c r="B350" s="2" t="s">
        <v>157</v>
      </c>
      <c r="C350" s="2" t="s">
        <v>321</v>
      </c>
      <c r="D350" s="3">
        <v>45573.78125</v>
      </c>
      <c r="E350" s="3">
        <v>45573.795138888891</v>
      </c>
      <c r="F350" s="2">
        <v>20</v>
      </c>
      <c r="G350" s="2" t="s">
        <v>159</v>
      </c>
      <c r="H350" s="2" t="s">
        <v>160</v>
      </c>
      <c r="I350" s="2">
        <v>1</v>
      </c>
      <c r="J350" s="2">
        <v>2.5</v>
      </c>
      <c r="K350" s="2" t="s">
        <v>161</v>
      </c>
      <c r="L350" s="2" t="s">
        <v>154</v>
      </c>
      <c r="M350" s="2" t="b">
        <v>1</v>
      </c>
      <c r="N350" s="2" t="b">
        <v>0</v>
      </c>
      <c r="O350" s="2">
        <v>8</v>
      </c>
      <c r="P350" s="2">
        <v>0.4</v>
      </c>
      <c r="Q350" s="2" t="s">
        <v>488</v>
      </c>
      <c r="R350" s="2" t="s">
        <v>147</v>
      </c>
      <c r="S350" s="2">
        <v>6</v>
      </c>
      <c r="T350" s="2">
        <v>14</v>
      </c>
      <c r="U350" s="2" t="b">
        <v>0</v>
      </c>
      <c r="V350" s="2">
        <v>1</v>
      </c>
      <c r="W350" s="2">
        <v>1</v>
      </c>
      <c r="X350" s="2">
        <v>18</v>
      </c>
      <c r="Y350" s="2">
        <v>28.844221105527641</v>
      </c>
    </row>
    <row r="351" spans="1:25" hidden="1">
      <c r="A351" s="2" t="s">
        <v>546</v>
      </c>
      <c r="B351" s="2" t="s">
        <v>173</v>
      </c>
      <c r="C351" s="2" t="s">
        <v>323</v>
      </c>
      <c r="D351" s="3">
        <v>45574.791666666657</v>
      </c>
      <c r="E351" s="3">
        <v>45574.826388888891</v>
      </c>
      <c r="F351" s="2">
        <v>50</v>
      </c>
      <c r="G351" s="2" t="s">
        <v>151</v>
      </c>
      <c r="H351" s="2" t="s">
        <v>152</v>
      </c>
      <c r="I351" s="2">
        <v>4</v>
      </c>
      <c r="J351" s="2">
        <v>10</v>
      </c>
      <c r="K351" s="2" t="s">
        <v>153</v>
      </c>
      <c r="L351" s="2" t="s">
        <v>145</v>
      </c>
      <c r="M351" s="2" t="b">
        <v>1</v>
      </c>
      <c r="N351" s="2" t="b">
        <v>0</v>
      </c>
      <c r="O351" s="2">
        <v>5</v>
      </c>
      <c r="P351" s="2">
        <v>0.4</v>
      </c>
      <c r="Q351" s="2" t="s">
        <v>488</v>
      </c>
      <c r="R351" s="2" t="s">
        <v>147</v>
      </c>
      <c r="S351" s="2">
        <v>24</v>
      </c>
      <c r="T351" s="2">
        <v>26</v>
      </c>
      <c r="U351" s="2" t="b">
        <v>1</v>
      </c>
      <c r="V351" s="2">
        <v>12</v>
      </c>
      <c r="W351" s="2">
        <v>3</v>
      </c>
      <c r="X351" s="2">
        <v>19</v>
      </c>
      <c r="Y351" s="2">
        <v>30.286458333333329</v>
      </c>
    </row>
    <row r="352" spans="1:25" hidden="1">
      <c r="A352" s="2" t="s">
        <v>547</v>
      </c>
      <c r="B352" s="2" t="s">
        <v>142</v>
      </c>
      <c r="C352" s="2" t="s">
        <v>325</v>
      </c>
      <c r="D352" s="3">
        <v>45575.833333333343</v>
      </c>
      <c r="E352" s="3">
        <v>45575.857638888891</v>
      </c>
      <c r="F352" s="2">
        <v>35</v>
      </c>
      <c r="G352" s="2" t="s">
        <v>143</v>
      </c>
      <c r="H352" s="2" t="s">
        <v>144</v>
      </c>
      <c r="I352" s="2">
        <v>3</v>
      </c>
      <c r="J352" s="2">
        <v>5.5</v>
      </c>
      <c r="K352" s="2" t="s">
        <v>143</v>
      </c>
      <c r="L352" s="2" t="s">
        <v>154</v>
      </c>
      <c r="M352" s="2" t="b">
        <v>1</v>
      </c>
      <c r="N352" s="2" t="b">
        <v>0</v>
      </c>
      <c r="O352" s="2">
        <v>6.3636363636363633</v>
      </c>
      <c r="P352" s="2">
        <v>0.54545454545454541</v>
      </c>
      <c r="Q352" s="2" t="s">
        <v>488</v>
      </c>
      <c r="R352" s="2" t="s">
        <v>147</v>
      </c>
      <c r="S352" s="2">
        <v>13.2</v>
      </c>
      <c r="T352" s="2">
        <v>21.8</v>
      </c>
      <c r="U352" s="2" t="b">
        <v>1</v>
      </c>
      <c r="V352" s="2">
        <v>6</v>
      </c>
      <c r="W352" s="2">
        <v>2</v>
      </c>
      <c r="X352" s="2">
        <v>20</v>
      </c>
      <c r="Y352" s="2">
        <v>30.259433962264151</v>
      </c>
    </row>
    <row r="353" spans="1:25" hidden="1">
      <c r="A353" s="2" t="s">
        <v>548</v>
      </c>
      <c r="B353" s="2" t="s">
        <v>149</v>
      </c>
      <c r="C353" s="2" t="s">
        <v>327</v>
      </c>
      <c r="D353" s="3">
        <v>45576.770833333343</v>
      </c>
      <c r="E353" s="3">
        <v>45576.784722222219</v>
      </c>
      <c r="F353" s="2">
        <v>20</v>
      </c>
      <c r="G353" s="2" t="s">
        <v>159</v>
      </c>
      <c r="H353" s="2" t="s">
        <v>160</v>
      </c>
      <c r="I353" s="2">
        <v>2</v>
      </c>
      <c r="J353" s="2">
        <v>2</v>
      </c>
      <c r="K353" s="2" t="s">
        <v>161</v>
      </c>
      <c r="L353" s="2" t="s">
        <v>162</v>
      </c>
      <c r="M353" s="2" t="b">
        <v>1</v>
      </c>
      <c r="N353" s="2" t="b">
        <v>0</v>
      </c>
      <c r="O353" s="2">
        <v>10</v>
      </c>
      <c r="P353" s="2">
        <v>1</v>
      </c>
      <c r="Q353" s="2" t="s">
        <v>488</v>
      </c>
      <c r="R353" s="2" t="s">
        <v>147</v>
      </c>
      <c r="S353" s="2">
        <v>4.8</v>
      </c>
      <c r="T353" s="2">
        <v>15.2</v>
      </c>
      <c r="U353" s="2" t="b">
        <v>0</v>
      </c>
      <c r="V353" s="2">
        <v>2</v>
      </c>
      <c r="W353" s="2">
        <v>1</v>
      </c>
      <c r="X353" s="2">
        <v>18</v>
      </c>
      <c r="Y353" s="2">
        <v>28.186274509803919</v>
      </c>
    </row>
    <row r="354" spans="1:25" hidden="1">
      <c r="A354" s="2" t="s">
        <v>549</v>
      </c>
      <c r="B354" s="2" t="s">
        <v>165</v>
      </c>
      <c r="C354" s="2" t="s">
        <v>329</v>
      </c>
      <c r="D354" s="3">
        <v>45577.822916666657</v>
      </c>
      <c r="E354" s="3">
        <v>45577.850694444453</v>
      </c>
      <c r="F354" s="2">
        <v>40</v>
      </c>
      <c r="G354" s="2" t="s">
        <v>167</v>
      </c>
      <c r="H354" s="2" t="s">
        <v>168</v>
      </c>
      <c r="I354" s="2">
        <v>5</v>
      </c>
      <c r="J354" s="2">
        <v>7.5</v>
      </c>
      <c r="K354" s="2" t="s">
        <v>153</v>
      </c>
      <c r="L354" s="2" t="s">
        <v>504</v>
      </c>
      <c r="M354" s="2" t="b">
        <v>1</v>
      </c>
      <c r="N354" s="2" t="b">
        <v>1</v>
      </c>
      <c r="O354" s="2">
        <v>5.333333333333333</v>
      </c>
      <c r="P354" s="2">
        <v>0.66666666666666663</v>
      </c>
      <c r="Q354" s="2" t="s">
        <v>488</v>
      </c>
      <c r="R354" s="2" t="s">
        <v>171</v>
      </c>
      <c r="S354" s="2">
        <v>18</v>
      </c>
      <c r="T354" s="2">
        <v>22</v>
      </c>
      <c r="U354" s="2" t="b">
        <v>1</v>
      </c>
      <c r="V354" s="2">
        <v>20</v>
      </c>
      <c r="W354" s="2">
        <v>3</v>
      </c>
      <c r="X354" s="2">
        <v>19</v>
      </c>
      <c r="Y354" s="2">
        <v>29.948453608247419</v>
      </c>
    </row>
    <row r="355" spans="1:25" hidden="1">
      <c r="A355" s="2" t="s">
        <v>550</v>
      </c>
      <c r="B355" s="2" t="s">
        <v>157</v>
      </c>
      <c r="C355" s="2" t="s">
        <v>182</v>
      </c>
      <c r="D355" s="3">
        <v>45578.75</v>
      </c>
      <c r="E355" s="3">
        <v>45578.770833333343</v>
      </c>
      <c r="F355" s="2">
        <v>30</v>
      </c>
      <c r="G355" s="2" t="s">
        <v>143</v>
      </c>
      <c r="H355" s="2" t="s">
        <v>152</v>
      </c>
      <c r="I355" s="2">
        <v>3</v>
      </c>
      <c r="J355" s="2">
        <v>4</v>
      </c>
      <c r="K355" s="2" t="s">
        <v>143</v>
      </c>
      <c r="L355" s="2" t="s">
        <v>169</v>
      </c>
      <c r="M355" s="2" t="b">
        <v>1</v>
      </c>
      <c r="N355" s="2" t="b">
        <v>1</v>
      </c>
      <c r="O355" s="2">
        <v>7.5</v>
      </c>
      <c r="P355" s="2">
        <v>0.75</v>
      </c>
      <c r="Q355" s="2" t="s">
        <v>488</v>
      </c>
      <c r="R355" s="2" t="s">
        <v>171</v>
      </c>
      <c r="S355" s="2">
        <v>9.6</v>
      </c>
      <c r="T355" s="2">
        <v>20.399999999999999</v>
      </c>
      <c r="U355" s="2" t="b">
        <v>0</v>
      </c>
      <c r="V355" s="2">
        <v>6</v>
      </c>
      <c r="W355" s="2">
        <v>2</v>
      </c>
      <c r="X355" s="2">
        <v>18</v>
      </c>
      <c r="Y355" s="2">
        <v>28.844221105527641</v>
      </c>
    </row>
    <row r="356" spans="1:25" hidden="1">
      <c r="A356" s="2" t="s">
        <v>551</v>
      </c>
      <c r="B356" s="2" t="s">
        <v>173</v>
      </c>
      <c r="C356" s="2" t="s">
        <v>327</v>
      </c>
      <c r="D356" s="3">
        <v>45579.84375</v>
      </c>
      <c r="E356" s="3">
        <v>45579.875</v>
      </c>
      <c r="F356" s="2">
        <v>45</v>
      </c>
      <c r="G356" s="2" t="s">
        <v>151</v>
      </c>
      <c r="H356" s="2" t="s">
        <v>144</v>
      </c>
      <c r="I356" s="2">
        <v>4</v>
      </c>
      <c r="J356" s="2">
        <v>9</v>
      </c>
      <c r="K356" s="2" t="s">
        <v>153</v>
      </c>
      <c r="L356" s="2" t="s">
        <v>154</v>
      </c>
      <c r="M356" s="2" t="b">
        <v>1</v>
      </c>
      <c r="N356" s="2" t="b">
        <v>0</v>
      </c>
      <c r="O356" s="2">
        <v>5</v>
      </c>
      <c r="P356" s="2">
        <v>0.44444444444444442</v>
      </c>
      <c r="Q356" s="2" t="s">
        <v>488</v>
      </c>
      <c r="R356" s="2" t="s">
        <v>147</v>
      </c>
      <c r="S356" s="2">
        <v>21.6</v>
      </c>
      <c r="T356" s="2">
        <v>23.4</v>
      </c>
      <c r="U356" s="2" t="b">
        <v>1</v>
      </c>
      <c r="V356" s="2">
        <v>12</v>
      </c>
      <c r="W356" s="2">
        <v>3</v>
      </c>
      <c r="X356" s="2">
        <v>20</v>
      </c>
      <c r="Y356" s="2">
        <v>30.286458333333329</v>
      </c>
    </row>
    <row r="357" spans="1:25" hidden="1">
      <c r="A357" s="2" t="s">
        <v>552</v>
      </c>
      <c r="B357" s="2" t="s">
        <v>142</v>
      </c>
      <c r="C357" s="2" t="s">
        <v>333</v>
      </c>
      <c r="D357" s="3">
        <v>45580.75</v>
      </c>
      <c r="E357" s="3">
        <v>45580.763888888891</v>
      </c>
      <c r="F357" s="2">
        <v>20</v>
      </c>
      <c r="G357" s="2" t="s">
        <v>143</v>
      </c>
      <c r="H357" s="2" t="s">
        <v>144</v>
      </c>
      <c r="I357" s="2">
        <v>2</v>
      </c>
      <c r="J357" s="2">
        <v>3</v>
      </c>
      <c r="K357" s="2" t="s">
        <v>161</v>
      </c>
      <c r="L357" s="2" t="s">
        <v>145</v>
      </c>
      <c r="M357" s="2" t="b">
        <v>1</v>
      </c>
      <c r="N357" s="2" t="b">
        <v>0</v>
      </c>
      <c r="O357" s="2">
        <v>6.666666666666667</v>
      </c>
      <c r="P357" s="2">
        <v>0.66666666666666663</v>
      </c>
      <c r="Q357" s="2" t="s">
        <v>488</v>
      </c>
      <c r="R357" s="2" t="s">
        <v>147</v>
      </c>
      <c r="S357" s="2">
        <v>7.1999999999999993</v>
      </c>
      <c r="T357" s="2">
        <v>12.8</v>
      </c>
      <c r="U357" s="2" t="b">
        <v>0</v>
      </c>
      <c r="V357" s="2">
        <v>4</v>
      </c>
      <c r="W357" s="2">
        <v>1</v>
      </c>
      <c r="X357" s="2">
        <v>18</v>
      </c>
      <c r="Y357" s="2">
        <v>30.259433962264151</v>
      </c>
    </row>
    <row r="358" spans="1:25" hidden="1">
      <c r="A358" s="2" t="s">
        <v>553</v>
      </c>
      <c r="B358" s="2" t="s">
        <v>149</v>
      </c>
      <c r="C358" s="2" t="s">
        <v>335</v>
      </c>
      <c r="D358" s="3">
        <v>45581.802083333343</v>
      </c>
      <c r="E358" s="3">
        <v>45581.822916666657</v>
      </c>
      <c r="F358" s="2">
        <v>30</v>
      </c>
      <c r="G358" s="2" t="s">
        <v>151</v>
      </c>
      <c r="H358" s="2" t="s">
        <v>152</v>
      </c>
      <c r="I358" s="2">
        <v>4</v>
      </c>
      <c r="J358" s="2">
        <v>6</v>
      </c>
      <c r="K358" s="2" t="s">
        <v>143</v>
      </c>
      <c r="L358" s="2" t="s">
        <v>154</v>
      </c>
      <c r="M358" s="2" t="b">
        <v>1</v>
      </c>
      <c r="N358" s="2" t="b">
        <v>0</v>
      </c>
      <c r="O358" s="2">
        <v>5</v>
      </c>
      <c r="P358" s="2">
        <v>0.66666666666666663</v>
      </c>
      <c r="Q358" s="2" t="s">
        <v>488</v>
      </c>
      <c r="R358" s="2" t="s">
        <v>147</v>
      </c>
      <c r="S358" s="2">
        <v>14.4</v>
      </c>
      <c r="T358" s="2">
        <v>15.6</v>
      </c>
      <c r="U358" s="2" t="b">
        <v>0</v>
      </c>
      <c r="V358" s="2">
        <v>12</v>
      </c>
      <c r="W358" s="2">
        <v>2</v>
      </c>
      <c r="X358" s="2">
        <v>19</v>
      </c>
      <c r="Y358" s="2">
        <v>28.186274509803919</v>
      </c>
    </row>
    <row r="359" spans="1:25" hidden="1">
      <c r="A359" s="2" t="s">
        <v>554</v>
      </c>
      <c r="B359" s="2" t="s">
        <v>165</v>
      </c>
      <c r="C359" s="2" t="s">
        <v>337</v>
      </c>
      <c r="D359" s="3">
        <v>45582.854166666657</v>
      </c>
      <c r="E359" s="3">
        <v>45582.881944444453</v>
      </c>
      <c r="F359" s="2">
        <v>40</v>
      </c>
      <c r="G359" s="2" t="s">
        <v>167</v>
      </c>
      <c r="H359" s="2" t="s">
        <v>168</v>
      </c>
      <c r="I359" s="2">
        <v>5</v>
      </c>
      <c r="J359" s="2">
        <v>8</v>
      </c>
      <c r="K359" s="2" t="s">
        <v>153</v>
      </c>
      <c r="L359" s="2" t="s">
        <v>504</v>
      </c>
      <c r="M359" s="2" t="b">
        <v>1</v>
      </c>
      <c r="N359" s="2" t="b">
        <v>0</v>
      </c>
      <c r="O359" s="2">
        <v>5</v>
      </c>
      <c r="P359" s="2">
        <v>0.625</v>
      </c>
      <c r="Q359" s="2" t="s">
        <v>488</v>
      </c>
      <c r="R359" s="2" t="s">
        <v>171</v>
      </c>
      <c r="S359" s="2">
        <v>19.2</v>
      </c>
      <c r="T359" s="2">
        <v>20.8</v>
      </c>
      <c r="U359" s="2" t="b">
        <v>1</v>
      </c>
      <c r="V359" s="2">
        <v>20</v>
      </c>
      <c r="W359" s="2">
        <v>3</v>
      </c>
      <c r="X359" s="2">
        <v>20</v>
      </c>
      <c r="Y359" s="2">
        <v>29.948453608247419</v>
      </c>
    </row>
    <row r="360" spans="1:25" hidden="1">
      <c r="A360" s="2" t="s">
        <v>555</v>
      </c>
      <c r="B360" s="2" t="s">
        <v>157</v>
      </c>
      <c r="C360" s="2" t="s">
        <v>339</v>
      </c>
      <c r="D360" s="3">
        <v>45583.78125</v>
      </c>
      <c r="E360" s="3">
        <v>45583.795138888891</v>
      </c>
      <c r="F360" s="2">
        <v>20</v>
      </c>
      <c r="G360" s="2" t="s">
        <v>159</v>
      </c>
      <c r="H360" s="2" t="s">
        <v>160</v>
      </c>
      <c r="I360" s="2">
        <v>1</v>
      </c>
      <c r="J360" s="2">
        <v>2.5</v>
      </c>
      <c r="K360" s="2" t="s">
        <v>161</v>
      </c>
      <c r="L360" s="2" t="s">
        <v>169</v>
      </c>
      <c r="M360" s="2" t="b">
        <v>1</v>
      </c>
      <c r="N360" s="2" t="b">
        <v>0</v>
      </c>
      <c r="O360" s="2">
        <v>8</v>
      </c>
      <c r="P360" s="2">
        <v>0.4</v>
      </c>
      <c r="Q360" s="2" t="s">
        <v>488</v>
      </c>
      <c r="R360" s="2" t="s">
        <v>171</v>
      </c>
      <c r="S360" s="2">
        <v>6</v>
      </c>
      <c r="T360" s="2">
        <v>14</v>
      </c>
      <c r="U360" s="2" t="b">
        <v>0</v>
      </c>
      <c r="V360" s="2">
        <v>1</v>
      </c>
      <c r="W360" s="2">
        <v>1</v>
      </c>
      <c r="X360" s="2">
        <v>18</v>
      </c>
      <c r="Y360" s="2">
        <v>28.844221105527641</v>
      </c>
    </row>
    <row r="361" spans="1:25" hidden="1">
      <c r="A361" s="2" t="s">
        <v>556</v>
      </c>
      <c r="B361" s="2" t="s">
        <v>173</v>
      </c>
      <c r="C361" s="2" t="s">
        <v>194</v>
      </c>
      <c r="D361" s="3">
        <v>45584.791666666657</v>
      </c>
      <c r="E361" s="3">
        <v>45584.826388888891</v>
      </c>
      <c r="F361" s="2">
        <v>50</v>
      </c>
      <c r="G361" s="2" t="s">
        <v>151</v>
      </c>
      <c r="H361" s="2" t="s">
        <v>152</v>
      </c>
      <c r="I361" s="2">
        <v>4</v>
      </c>
      <c r="J361" s="2">
        <v>10</v>
      </c>
      <c r="K361" s="2" t="s">
        <v>153</v>
      </c>
      <c r="L361" s="2" t="s">
        <v>145</v>
      </c>
      <c r="M361" s="2" t="b">
        <v>1</v>
      </c>
      <c r="N361" s="2" t="b">
        <v>1</v>
      </c>
      <c r="O361" s="2">
        <v>5</v>
      </c>
      <c r="P361" s="2">
        <v>0.4</v>
      </c>
      <c r="Q361" s="2" t="s">
        <v>488</v>
      </c>
      <c r="R361" s="2" t="s">
        <v>147</v>
      </c>
      <c r="S361" s="2">
        <v>24</v>
      </c>
      <c r="T361" s="2">
        <v>26</v>
      </c>
      <c r="U361" s="2" t="b">
        <v>1</v>
      </c>
      <c r="V361" s="2">
        <v>12</v>
      </c>
      <c r="W361" s="2">
        <v>3</v>
      </c>
      <c r="X361" s="2">
        <v>19</v>
      </c>
      <c r="Y361" s="2">
        <v>30.286458333333329</v>
      </c>
    </row>
    <row r="362" spans="1:25" hidden="1">
      <c r="A362" s="2" t="s">
        <v>557</v>
      </c>
      <c r="B362" s="2" t="s">
        <v>142</v>
      </c>
      <c r="C362" s="2" t="s">
        <v>40</v>
      </c>
      <c r="D362" s="3">
        <v>45585.75</v>
      </c>
      <c r="E362" s="3">
        <v>45585.763888888891</v>
      </c>
      <c r="F362" s="2">
        <v>20</v>
      </c>
      <c r="G362" s="2" t="s">
        <v>143</v>
      </c>
      <c r="H362" s="2" t="s">
        <v>144</v>
      </c>
      <c r="I362" s="2">
        <v>2</v>
      </c>
      <c r="J362" s="2">
        <v>3</v>
      </c>
      <c r="K362" s="2" t="s">
        <v>161</v>
      </c>
      <c r="L362" s="2" t="s">
        <v>342</v>
      </c>
      <c r="M362" s="2" t="b">
        <v>1</v>
      </c>
      <c r="N362" s="2" t="b">
        <v>1</v>
      </c>
      <c r="O362" s="2">
        <v>6.666666666666667</v>
      </c>
      <c r="P362" s="2">
        <v>0.66666666666666663</v>
      </c>
      <c r="Q362" s="2" t="s">
        <v>488</v>
      </c>
      <c r="R362" s="2" t="s">
        <v>171</v>
      </c>
      <c r="S362" s="2">
        <v>7.1999999999999993</v>
      </c>
      <c r="T362" s="2">
        <v>12.8</v>
      </c>
      <c r="U362" s="2" t="b">
        <v>0</v>
      </c>
      <c r="V362" s="2">
        <v>4</v>
      </c>
      <c r="W362" s="2">
        <v>1</v>
      </c>
      <c r="X362" s="2">
        <v>18</v>
      </c>
      <c r="Y362" s="2">
        <v>30.259433962264151</v>
      </c>
    </row>
    <row r="363" spans="1:25" hidden="1">
      <c r="A363" s="2" t="s">
        <v>558</v>
      </c>
      <c r="B363" s="2" t="s">
        <v>142</v>
      </c>
      <c r="C363" s="2" t="s">
        <v>166</v>
      </c>
      <c r="D363" s="3">
        <v>45586.833333333343</v>
      </c>
      <c r="E363" s="3">
        <v>45586.847222222219</v>
      </c>
      <c r="F363" s="2">
        <v>20</v>
      </c>
      <c r="G363" s="2" t="s">
        <v>143</v>
      </c>
      <c r="H363" s="2" t="s">
        <v>144</v>
      </c>
      <c r="I363" s="2">
        <v>2</v>
      </c>
      <c r="J363" s="2">
        <v>3</v>
      </c>
      <c r="K363" s="2" t="s">
        <v>161</v>
      </c>
      <c r="L363" s="2" t="s">
        <v>145</v>
      </c>
      <c r="M363" s="2" t="b">
        <v>1</v>
      </c>
      <c r="N363" s="2" t="b">
        <v>0</v>
      </c>
      <c r="O363" s="2">
        <v>6.666666666666667</v>
      </c>
      <c r="P363" s="2">
        <v>0.66666666666666663</v>
      </c>
      <c r="Q363" s="2" t="s">
        <v>488</v>
      </c>
      <c r="R363" s="2" t="s">
        <v>147</v>
      </c>
      <c r="S363" s="2">
        <v>7.1999999999999993</v>
      </c>
      <c r="T363" s="2">
        <v>12.8</v>
      </c>
      <c r="U363" s="2" t="b">
        <v>0</v>
      </c>
      <c r="V363" s="2">
        <v>4</v>
      </c>
      <c r="W363" s="2">
        <v>1</v>
      </c>
      <c r="X363" s="2">
        <v>20</v>
      </c>
      <c r="Y363" s="2">
        <v>30.259433962264151</v>
      </c>
    </row>
    <row r="364" spans="1:25" hidden="1">
      <c r="A364" s="2" t="s">
        <v>559</v>
      </c>
      <c r="B364" s="2" t="s">
        <v>149</v>
      </c>
      <c r="C364" s="2" t="s">
        <v>158</v>
      </c>
      <c r="D364" s="3">
        <v>45587.802083333343</v>
      </c>
      <c r="E364" s="3">
        <v>45587.822916666657</v>
      </c>
      <c r="F364" s="2">
        <v>30</v>
      </c>
      <c r="G364" s="2" t="s">
        <v>151</v>
      </c>
      <c r="H364" s="2" t="s">
        <v>152</v>
      </c>
      <c r="I364" s="2">
        <v>4</v>
      </c>
      <c r="J364" s="2">
        <v>6</v>
      </c>
      <c r="K364" s="2" t="s">
        <v>143</v>
      </c>
      <c r="L364" s="2" t="s">
        <v>162</v>
      </c>
      <c r="M364" s="2" t="b">
        <v>1</v>
      </c>
      <c r="N364" s="2" t="b">
        <v>0</v>
      </c>
      <c r="O364" s="2">
        <v>5</v>
      </c>
      <c r="P364" s="2">
        <v>0.66666666666666663</v>
      </c>
      <c r="Q364" s="2" t="s">
        <v>488</v>
      </c>
      <c r="R364" s="2" t="s">
        <v>147</v>
      </c>
      <c r="S364" s="2">
        <v>14.4</v>
      </c>
      <c r="T364" s="2">
        <v>15.6</v>
      </c>
      <c r="U364" s="2" t="b">
        <v>0</v>
      </c>
      <c r="V364" s="2">
        <v>12</v>
      </c>
      <c r="W364" s="2">
        <v>2</v>
      </c>
      <c r="X364" s="2">
        <v>19</v>
      </c>
      <c r="Y364" s="2">
        <v>28.186274509803919</v>
      </c>
    </row>
    <row r="365" spans="1:25" hidden="1">
      <c r="A365" s="2" t="s">
        <v>560</v>
      </c>
      <c r="B365" s="2" t="s">
        <v>165</v>
      </c>
      <c r="C365" s="2" t="s">
        <v>150</v>
      </c>
      <c r="D365" s="3">
        <v>45588.854166666657</v>
      </c>
      <c r="E365" s="3">
        <v>45588.881944444453</v>
      </c>
      <c r="F365" s="2">
        <v>40</v>
      </c>
      <c r="G365" s="2" t="s">
        <v>167</v>
      </c>
      <c r="H365" s="2" t="s">
        <v>168</v>
      </c>
      <c r="I365" s="2">
        <v>5</v>
      </c>
      <c r="J365" s="2">
        <v>8</v>
      </c>
      <c r="K365" s="2" t="s">
        <v>153</v>
      </c>
      <c r="L365" s="2" t="s">
        <v>504</v>
      </c>
      <c r="M365" s="2" t="b">
        <v>1</v>
      </c>
      <c r="N365" s="2" t="b">
        <v>0</v>
      </c>
      <c r="O365" s="2">
        <v>5</v>
      </c>
      <c r="P365" s="2">
        <v>0.625</v>
      </c>
      <c r="Q365" s="2" t="s">
        <v>488</v>
      </c>
      <c r="R365" s="2" t="s">
        <v>171</v>
      </c>
      <c r="S365" s="2">
        <v>19.2</v>
      </c>
      <c r="T365" s="2">
        <v>20.8</v>
      </c>
      <c r="U365" s="2" t="b">
        <v>1</v>
      </c>
      <c r="V365" s="2">
        <v>20</v>
      </c>
      <c r="W365" s="2">
        <v>3</v>
      </c>
      <c r="X365" s="2">
        <v>20</v>
      </c>
      <c r="Y365" s="2">
        <v>29.948453608247419</v>
      </c>
    </row>
    <row r="366" spans="1:25" hidden="1">
      <c r="A366" s="2" t="s">
        <v>561</v>
      </c>
      <c r="B366" s="2" t="s">
        <v>157</v>
      </c>
      <c r="C366" s="2" t="s">
        <v>184</v>
      </c>
      <c r="D366" s="3">
        <v>45589.78125</v>
      </c>
      <c r="E366" s="3">
        <v>45589.795138888891</v>
      </c>
      <c r="F366" s="2">
        <v>20</v>
      </c>
      <c r="G366" s="2" t="s">
        <v>159</v>
      </c>
      <c r="H366" s="2" t="s">
        <v>160</v>
      </c>
      <c r="I366" s="2">
        <v>1</v>
      </c>
      <c r="J366" s="2">
        <v>2.5</v>
      </c>
      <c r="K366" s="2" t="s">
        <v>161</v>
      </c>
      <c r="L366" s="2" t="s">
        <v>169</v>
      </c>
      <c r="M366" s="2" t="b">
        <v>1</v>
      </c>
      <c r="N366" s="2" t="b">
        <v>0</v>
      </c>
      <c r="O366" s="2">
        <v>8</v>
      </c>
      <c r="P366" s="2">
        <v>0.4</v>
      </c>
      <c r="Q366" s="2" t="s">
        <v>488</v>
      </c>
      <c r="R366" s="2" t="s">
        <v>171</v>
      </c>
      <c r="S366" s="2">
        <v>6</v>
      </c>
      <c r="T366" s="2">
        <v>14</v>
      </c>
      <c r="U366" s="2" t="b">
        <v>0</v>
      </c>
      <c r="V366" s="2">
        <v>1</v>
      </c>
      <c r="W366" s="2">
        <v>1</v>
      </c>
      <c r="X366" s="2">
        <v>18</v>
      </c>
      <c r="Y366" s="2">
        <v>28.844221105527641</v>
      </c>
    </row>
    <row r="367" spans="1:25" hidden="1">
      <c r="A367" s="2" t="s">
        <v>562</v>
      </c>
      <c r="B367" s="2" t="s">
        <v>173</v>
      </c>
      <c r="C367" s="2" t="s">
        <v>186</v>
      </c>
      <c r="D367" s="3">
        <v>45590.791666666657</v>
      </c>
      <c r="E367" s="3">
        <v>45590.826388888891</v>
      </c>
      <c r="F367" s="2">
        <v>50</v>
      </c>
      <c r="G367" s="2" t="s">
        <v>151</v>
      </c>
      <c r="H367" s="2" t="s">
        <v>152</v>
      </c>
      <c r="I367" s="2">
        <v>4</v>
      </c>
      <c r="J367" s="2">
        <v>10</v>
      </c>
      <c r="K367" s="2" t="s">
        <v>153</v>
      </c>
      <c r="L367" s="2" t="s">
        <v>145</v>
      </c>
      <c r="M367" s="2" t="b">
        <v>1</v>
      </c>
      <c r="N367" s="2" t="b">
        <v>0</v>
      </c>
      <c r="O367" s="2">
        <v>5</v>
      </c>
      <c r="P367" s="2">
        <v>0.4</v>
      </c>
      <c r="Q367" s="2" t="s">
        <v>488</v>
      </c>
      <c r="R367" s="2" t="s">
        <v>147</v>
      </c>
      <c r="S367" s="2">
        <v>24</v>
      </c>
      <c r="T367" s="2">
        <v>26</v>
      </c>
      <c r="U367" s="2" t="b">
        <v>1</v>
      </c>
      <c r="V367" s="2">
        <v>12</v>
      </c>
      <c r="W367" s="2">
        <v>3</v>
      </c>
      <c r="X367" s="2">
        <v>19</v>
      </c>
      <c r="Y367" s="2">
        <v>30.286458333333329</v>
      </c>
    </row>
    <row r="368" spans="1:25" hidden="1">
      <c r="A368" s="2" t="s">
        <v>563</v>
      </c>
      <c r="B368" s="2" t="s">
        <v>142</v>
      </c>
      <c r="C368" s="2" t="s">
        <v>166</v>
      </c>
      <c r="D368" s="3">
        <v>45591.833333333343</v>
      </c>
      <c r="E368" s="3">
        <v>45591.857638888891</v>
      </c>
      <c r="F368" s="2">
        <v>35</v>
      </c>
      <c r="G368" s="2" t="s">
        <v>143</v>
      </c>
      <c r="H368" s="2" t="s">
        <v>144</v>
      </c>
      <c r="I368" s="2">
        <v>3</v>
      </c>
      <c r="J368" s="2">
        <v>5.5</v>
      </c>
      <c r="K368" s="2" t="s">
        <v>143</v>
      </c>
      <c r="L368" s="2" t="s">
        <v>154</v>
      </c>
      <c r="M368" s="2" t="b">
        <v>1</v>
      </c>
      <c r="N368" s="2" t="b">
        <v>1</v>
      </c>
      <c r="O368" s="2">
        <v>6.3636363636363633</v>
      </c>
      <c r="P368" s="2">
        <v>0.54545454545454541</v>
      </c>
      <c r="Q368" s="2" t="s">
        <v>488</v>
      </c>
      <c r="R368" s="2" t="s">
        <v>147</v>
      </c>
      <c r="S368" s="2">
        <v>13.2</v>
      </c>
      <c r="T368" s="2">
        <v>21.8</v>
      </c>
      <c r="U368" s="2" t="b">
        <v>1</v>
      </c>
      <c r="V368" s="2">
        <v>6</v>
      </c>
      <c r="W368" s="2">
        <v>2</v>
      </c>
      <c r="X368" s="2">
        <v>20</v>
      </c>
      <c r="Y368" s="2">
        <v>30.259433962264151</v>
      </c>
    </row>
    <row r="369" spans="1:25" hidden="1">
      <c r="A369" s="2" t="s">
        <v>564</v>
      </c>
      <c r="B369" s="2" t="s">
        <v>149</v>
      </c>
      <c r="C369" s="2" t="s">
        <v>192</v>
      </c>
      <c r="D369" s="3">
        <v>45592.770833333343</v>
      </c>
      <c r="E369" s="3">
        <v>45592.784722222219</v>
      </c>
      <c r="F369" s="2">
        <v>20</v>
      </c>
      <c r="G369" s="2" t="s">
        <v>159</v>
      </c>
      <c r="H369" s="2" t="s">
        <v>160</v>
      </c>
      <c r="I369" s="2">
        <v>2</v>
      </c>
      <c r="J369" s="2">
        <v>2</v>
      </c>
      <c r="K369" s="2" t="s">
        <v>161</v>
      </c>
      <c r="L369" s="2" t="s">
        <v>162</v>
      </c>
      <c r="M369" s="2" t="b">
        <v>1</v>
      </c>
      <c r="N369" s="2" t="b">
        <v>1</v>
      </c>
      <c r="O369" s="2">
        <v>10</v>
      </c>
      <c r="P369" s="2">
        <v>1</v>
      </c>
      <c r="Q369" s="2" t="s">
        <v>488</v>
      </c>
      <c r="R369" s="2" t="s">
        <v>147</v>
      </c>
      <c r="S369" s="2">
        <v>4.8</v>
      </c>
      <c r="T369" s="2">
        <v>15.2</v>
      </c>
      <c r="U369" s="2" t="b">
        <v>0</v>
      </c>
      <c r="V369" s="2">
        <v>2</v>
      </c>
      <c r="W369" s="2">
        <v>1</v>
      </c>
      <c r="X369" s="2">
        <v>18</v>
      </c>
      <c r="Y369" s="2">
        <v>28.186274509803919</v>
      </c>
    </row>
    <row r="370" spans="1:25" hidden="1">
      <c r="A370" s="2" t="s">
        <v>565</v>
      </c>
      <c r="B370" s="2" t="s">
        <v>165</v>
      </c>
      <c r="C370" s="2" t="s">
        <v>194</v>
      </c>
      <c r="D370" s="3">
        <v>45593.822916666657</v>
      </c>
      <c r="E370" s="3">
        <v>45593.850694444453</v>
      </c>
      <c r="F370" s="2">
        <v>40</v>
      </c>
      <c r="G370" s="2" t="s">
        <v>167</v>
      </c>
      <c r="H370" s="2" t="s">
        <v>168</v>
      </c>
      <c r="I370" s="2">
        <v>5</v>
      </c>
      <c r="J370" s="2">
        <v>7.5</v>
      </c>
      <c r="K370" s="2" t="s">
        <v>153</v>
      </c>
      <c r="L370" s="2" t="s">
        <v>504</v>
      </c>
      <c r="M370" s="2" t="b">
        <v>1</v>
      </c>
      <c r="N370" s="2" t="b">
        <v>0</v>
      </c>
      <c r="O370" s="2">
        <v>5.333333333333333</v>
      </c>
      <c r="P370" s="2">
        <v>0.66666666666666663</v>
      </c>
      <c r="Q370" s="2" t="s">
        <v>488</v>
      </c>
      <c r="R370" s="2" t="s">
        <v>171</v>
      </c>
      <c r="S370" s="2">
        <v>18</v>
      </c>
      <c r="T370" s="2">
        <v>22</v>
      </c>
      <c r="U370" s="2" t="b">
        <v>1</v>
      </c>
      <c r="V370" s="2">
        <v>20</v>
      </c>
      <c r="W370" s="2">
        <v>3</v>
      </c>
      <c r="X370" s="2">
        <v>19</v>
      </c>
      <c r="Y370" s="2">
        <v>29.948453608247419</v>
      </c>
    </row>
    <row r="371" spans="1:25" hidden="1">
      <c r="A371" s="2" t="s">
        <v>566</v>
      </c>
      <c r="B371" s="2" t="s">
        <v>157</v>
      </c>
      <c r="C371" s="2" t="s">
        <v>174</v>
      </c>
      <c r="D371" s="3">
        <v>45594.75</v>
      </c>
      <c r="E371" s="3">
        <v>45594.770833333343</v>
      </c>
      <c r="F371" s="2">
        <v>30</v>
      </c>
      <c r="G371" s="2" t="s">
        <v>143</v>
      </c>
      <c r="H371" s="2" t="s">
        <v>152</v>
      </c>
      <c r="I371" s="2">
        <v>3</v>
      </c>
      <c r="J371" s="2">
        <v>4</v>
      </c>
      <c r="K371" s="2" t="s">
        <v>143</v>
      </c>
      <c r="L371" s="2" t="s">
        <v>145</v>
      </c>
      <c r="M371" s="2" t="b">
        <v>1</v>
      </c>
      <c r="N371" s="2" t="b">
        <v>0</v>
      </c>
      <c r="O371" s="2">
        <v>7.5</v>
      </c>
      <c r="P371" s="2">
        <v>0.75</v>
      </c>
      <c r="Q371" s="2" t="s">
        <v>488</v>
      </c>
      <c r="R371" s="2" t="s">
        <v>147</v>
      </c>
      <c r="S371" s="2">
        <v>9.6</v>
      </c>
      <c r="T371" s="2">
        <v>20.399999999999999</v>
      </c>
      <c r="U371" s="2" t="b">
        <v>0</v>
      </c>
      <c r="V371" s="2">
        <v>6</v>
      </c>
      <c r="W371" s="2">
        <v>2</v>
      </c>
      <c r="X371" s="2">
        <v>18</v>
      </c>
      <c r="Y371" s="2">
        <v>28.844221105527641</v>
      </c>
    </row>
    <row r="372" spans="1:25" hidden="1">
      <c r="A372" s="2" t="s">
        <v>567</v>
      </c>
      <c r="B372" s="2" t="s">
        <v>173</v>
      </c>
      <c r="C372" s="2" t="s">
        <v>190</v>
      </c>
      <c r="D372" s="3">
        <v>45595.84375</v>
      </c>
      <c r="E372" s="3">
        <v>45595.875</v>
      </c>
      <c r="F372" s="2">
        <v>45</v>
      </c>
      <c r="G372" s="2" t="s">
        <v>151</v>
      </c>
      <c r="H372" s="2" t="s">
        <v>144</v>
      </c>
      <c r="I372" s="2">
        <v>4</v>
      </c>
      <c r="J372" s="2">
        <v>9</v>
      </c>
      <c r="K372" s="2" t="s">
        <v>153</v>
      </c>
      <c r="L372" s="2" t="s">
        <v>154</v>
      </c>
      <c r="M372" s="2" t="b">
        <v>1</v>
      </c>
      <c r="N372" s="2" t="b">
        <v>0</v>
      </c>
      <c r="O372" s="2">
        <v>5</v>
      </c>
      <c r="P372" s="2">
        <v>0.44444444444444442</v>
      </c>
      <c r="Q372" s="2" t="s">
        <v>488</v>
      </c>
      <c r="R372" s="2" t="s">
        <v>147</v>
      </c>
      <c r="S372" s="2">
        <v>21.6</v>
      </c>
      <c r="T372" s="2">
        <v>23.4</v>
      </c>
      <c r="U372" s="2" t="b">
        <v>1</v>
      </c>
      <c r="V372" s="2">
        <v>12</v>
      </c>
      <c r="W372" s="2">
        <v>3</v>
      </c>
      <c r="X372" s="2">
        <v>20</v>
      </c>
      <c r="Y372" s="2">
        <v>30.286458333333329</v>
      </c>
    </row>
    <row r="373" spans="1:25" hidden="1">
      <c r="A373" s="2" t="s">
        <v>568</v>
      </c>
      <c r="B373" s="2" t="s">
        <v>142</v>
      </c>
      <c r="C373" s="2" t="s">
        <v>315</v>
      </c>
      <c r="D373" s="3">
        <v>45596.75</v>
      </c>
      <c r="E373" s="3">
        <v>45596.763888888891</v>
      </c>
      <c r="F373" s="2">
        <v>20</v>
      </c>
      <c r="G373" s="2" t="s">
        <v>143</v>
      </c>
      <c r="H373" s="2" t="s">
        <v>144</v>
      </c>
      <c r="I373" s="2">
        <v>2</v>
      </c>
      <c r="J373" s="2">
        <v>3</v>
      </c>
      <c r="K373" s="2" t="s">
        <v>161</v>
      </c>
      <c r="L373" s="2" t="s">
        <v>145</v>
      </c>
      <c r="M373" s="2" t="b">
        <v>1</v>
      </c>
      <c r="N373" s="2" t="b">
        <v>0</v>
      </c>
      <c r="O373" s="2">
        <v>6.666666666666667</v>
      </c>
      <c r="P373" s="2">
        <v>0.66666666666666663</v>
      </c>
      <c r="Q373" s="2" t="s">
        <v>488</v>
      </c>
      <c r="R373" s="2" t="s">
        <v>147</v>
      </c>
      <c r="S373" s="2">
        <v>7.1999999999999993</v>
      </c>
      <c r="T373" s="2">
        <v>12.8</v>
      </c>
      <c r="U373" s="2" t="b">
        <v>0</v>
      </c>
      <c r="V373" s="2">
        <v>4</v>
      </c>
      <c r="W373" s="2">
        <v>1</v>
      </c>
      <c r="X373" s="2">
        <v>18</v>
      </c>
      <c r="Y373" s="2">
        <v>30.259433962264151</v>
      </c>
    </row>
    <row r="374" spans="1:25" hidden="1">
      <c r="A374" s="2" t="s">
        <v>569</v>
      </c>
      <c r="B374" s="2" t="s">
        <v>149</v>
      </c>
      <c r="C374" s="2" t="s">
        <v>317</v>
      </c>
      <c r="D374" s="3">
        <v>45597.802083333343</v>
      </c>
      <c r="E374" s="3">
        <v>45597.822916666657</v>
      </c>
      <c r="F374" s="2">
        <v>30</v>
      </c>
      <c r="G374" s="2" t="s">
        <v>151</v>
      </c>
      <c r="H374" s="2" t="s">
        <v>152</v>
      </c>
      <c r="I374" s="2">
        <v>4</v>
      </c>
      <c r="J374" s="2">
        <v>6</v>
      </c>
      <c r="K374" s="2" t="s">
        <v>143</v>
      </c>
      <c r="L374" s="2" t="s">
        <v>169</v>
      </c>
      <c r="M374" s="2" t="b">
        <v>1</v>
      </c>
      <c r="N374" s="2" t="b">
        <v>0</v>
      </c>
      <c r="O374" s="2">
        <v>5</v>
      </c>
      <c r="P374" s="2">
        <v>0.66666666666666663</v>
      </c>
      <c r="Q374" s="2" t="s">
        <v>570</v>
      </c>
      <c r="R374" s="2" t="s">
        <v>171</v>
      </c>
      <c r="S374" s="2">
        <v>14.4</v>
      </c>
      <c r="T374" s="2">
        <v>15.6</v>
      </c>
      <c r="U374" s="2" t="b">
        <v>0</v>
      </c>
      <c r="V374" s="2">
        <v>12</v>
      </c>
      <c r="W374" s="2">
        <v>2</v>
      </c>
      <c r="X374" s="2">
        <v>19</v>
      </c>
      <c r="Y374" s="2">
        <v>28.186274509803919</v>
      </c>
    </row>
    <row r="375" spans="1:25" hidden="1">
      <c r="A375" s="2" t="s">
        <v>571</v>
      </c>
      <c r="B375" s="2" t="s">
        <v>165</v>
      </c>
      <c r="C375" s="2" t="s">
        <v>319</v>
      </c>
      <c r="D375" s="3">
        <v>45598.854166666657</v>
      </c>
      <c r="E375" s="3">
        <v>45598.881944444453</v>
      </c>
      <c r="F375" s="2">
        <v>40</v>
      </c>
      <c r="G375" s="2" t="s">
        <v>167</v>
      </c>
      <c r="H375" s="2" t="s">
        <v>168</v>
      </c>
      <c r="I375" s="2">
        <v>5</v>
      </c>
      <c r="J375" s="2">
        <v>8</v>
      </c>
      <c r="K375" s="2" t="s">
        <v>153</v>
      </c>
      <c r="L375" s="2" t="s">
        <v>504</v>
      </c>
      <c r="M375" s="2" t="b">
        <v>1</v>
      </c>
      <c r="N375" s="2" t="b">
        <v>1</v>
      </c>
      <c r="O375" s="2">
        <v>5</v>
      </c>
      <c r="P375" s="2">
        <v>0.625</v>
      </c>
      <c r="Q375" s="2" t="s">
        <v>570</v>
      </c>
      <c r="R375" s="2" t="s">
        <v>171</v>
      </c>
      <c r="S375" s="2">
        <v>19.2</v>
      </c>
      <c r="T375" s="2">
        <v>20.8</v>
      </c>
      <c r="U375" s="2" t="b">
        <v>1</v>
      </c>
      <c r="V375" s="2">
        <v>20</v>
      </c>
      <c r="W375" s="2">
        <v>3</v>
      </c>
      <c r="X375" s="2">
        <v>20</v>
      </c>
      <c r="Y375" s="2">
        <v>29.948453608247419</v>
      </c>
    </row>
    <row r="376" spans="1:25" hidden="1">
      <c r="A376" s="2" t="s">
        <v>572</v>
      </c>
      <c r="B376" s="2" t="s">
        <v>157</v>
      </c>
      <c r="C376" s="2" t="s">
        <v>321</v>
      </c>
      <c r="D376" s="3">
        <v>45599.78125</v>
      </c>
      <c r="E376" s="3">
        <v>45599.795138888891</v>
      </c>
      <c r="F376" s="2">
        <v>20</v>
      </c>
      <c r="G376" s="2" t="s">
        <v>159</v>
      </c>
      <c r="H376" s="2" t="s">
        <v>160</v>
      </c>
      <c r="I376" s="2">
        <v>1</v>
      </c>
      <c r="J376" s="2">
        <v>2.5</v>
      </c>
      <c r="K376" s="2" t="s">
        <v>161</v>
      </c>
      <c r="L376" s="2" t="s">
        <v>154</v>
      </c>
      <c r="M376" s="2" t="b">
        <v>1</v>
      </c>
      <c r="N376" s="2" t="b">
        <v>1</v>
      </c>
      <c r="O376" s="2">
        <v>8</v>
      </c>
      <c r="P376" s="2">
        <v>0.4</v>
      </c>
      <c r="Q376" s="2" t="s">
        <v>570</v>
      </c>
      <c r="R376" s="2" t="s">
        <v>147</v>
      </c>
      <c r="S376" s="2">
        <v>6</v>
      </c>
      <c r="T376" s="2">
        <v>14</v>
      </c>
      <c r="U376" s="2" t="b">
        <v>0</v>
      </c>
      <c r="V376" s="2">
        <v>1</v>
      </c>
      <c r="W376" s="2">
        <v>1</v>
      </c>
      <c r="X376" s="2">
        <v>18</v>
      </c>
      <c r="Y376" s="2">
        <v>28.844221105527641</v>
      </c>
    </row>
    <row r="377" spans="1:25" hidden="1">
      <c r="A377" s="2" t="s">
        <v>573</v>
      </c>
      <c r="B377" s="2" t="s">
        <v>173</v>
      </c>
      <c r="C377" s="2" t="s">
        <v>323</v>
      </c>
      <c r="D377" s="3">
        <v>45600.791666666657</v>
      </c>
      <c r="E377" s="3">
        <v>45600.826388888891</v>
      </c>
      <c r="F377" s="2">
        <v>50</v>
      </c>
      <c r="G377" s="2" t="s">
        <v>151</v>
      </c>
      <c r="H377" s="2" t="s">
        <v>152</v>
      </c>
      <c r="I377" s="2">
        <v>4</v>
      </c>
      <c r="J377" s="2">
        <v>10</v>
      </c>
      <c r="K377" s="2" t="s">
        <v>153</v>
      </c>
      <c r="L377" s="2" t="s">
        <v>145</v>
      </c>
      <c r="M377" s="2" t="b">
        <v>1</v>
      </c>
      <c r="N377" s="2" t="b">
        <v>0</v>
      </c>
      <c r="O377" s="2">
        <v>5</v>
      </c>
      <c r="P377" s="2">
        <v>0.4</v>
      </c>
      <c r="Q377" s="2" t="s">
        <v>570</v>
      </c>
      <c r="R377" s="2" t="s">
        <v>147</v>
      </c>
      <c r="S377" s="2">
        <v>24</v>
      </c>
      <c r="T377" s="2">
        <v>26</v>
      </c>
      <c r="U377" s="2" t="b">
        <v>1</v>
      </c>
      <c r="V377" s="2">
        <v>12</v>
      </c>
      <c r="W377" s="2">
        <v>3</v>
      </c>
      <c r="X377" s="2">
        <v>19</v>
      </c>
      <c r="Y377" s="2">
        <v>30.286458333333329</v>
      </c>
    </row>
    <row r="378" spans="1:25" hidden="1">
      <c r="A378" s="2" t="s">
        <v>574</v>
      </c>
      <c r="B378" s="2" t="s">
        <v>142</v>
      </c>
      <c r="C378" s="2" t="s">
        <v>325</v>
      </c>
      <c r="D378" s="3">
        <v>45601.833333333343</v>
      </c>
      <c r="E378" s="3">
        <v>45601.857638888891</v>
      </c>
      <c r="F378" s="2">
        <v>35</v>
      </c>
      <c r="G378" s="2" t="s">
        <v>143</v>
      </c>
      <c r="H378" s="2" t="s">
        <v>144</v>
      </c>
      <c r="I378" s="2">
        <v>3</v>
      </c>
      <c r="J378" s="2">
        <v>5.5</v>
      </c>
      <c r="K378" s="2" t="s">
        <v>143</v>
      </c>
      <c r="L378" s="2" t="s">
        <v>154</v>
      </c>
      <c r="M378" s="2" t="b">
        <v>1</v>
      </c>
      <c r="N378" s="2" t="b">
        <v>0</v>
      </c>
      <c r="O378" s="2">
        <v>6.3636363636363633</v>
      </c>
      <c r="P378" s="2">
        <v>0.54545454545454541</v>
      </c>
      <c r="Q378" s="2" t="s">
        <v>570</v>
      </c>
      <c r="R378" s="2" t="s">
        <v>147</v>
      </c>
      <c r="S378" s="2">
        <v>13.2</v>
      </c>
      <c r="T378" s="2">
        <v>21.8</v>
      </c>
      <c r="U378" s="2" t="b">
        <v>1</v>
      </c>
      <c r="V378" s="2">
        <v>6</v>
      </c>
      <c r="W378" s="2">
        <v>2</v>
      </c>
      <c r="X378" s="2">
        <v>20</v>
      </c>
      <c r="Y378" s="2">
        <v>30.259433962264151</v>
      </c>
    </row>
    <row r="379" spans="1:25" hidden="1">
      <c r="A379" s="2" t="s">
        <v>575</v>
      </c>
      <c r="B379" s="2" t="s">
        <v>149</v>
      </c>
      <c r="C379" s="2" t="s">
        <v>327</v>
      </c>
      <c r="D379" s="3">
        <v>45602.770833333343</v>
      </c>
      <c r="E379" s="3">
        <v>45602.784722222219</v>
      </c>
      <c r="F379" s="2">
        <v>20</v>
      </c>
      <c r="G379" s="2" t="s">
        <v>159</v>
      </c>
      <c r="H379" s="2" t="s">
        <v>160</v>
      </c>
      <c r="I379" s="2">
        <v>2</v>
      </c>
      <c r="J379" s="2">
        <v>2</v>
      </c>
      <c r="K379" s="2" t="s">
        <v>161</v>
      </c>
      <c r="L379" s="2" t="s">
        <v>162</v>
      </c>
      <c r="M379" s="2" t="b">
        <v>1</v>
      </c>
      <c r="N379" s="2" t="b">
        <v>0</v>
      </c>
      <c r="O379" s="2">
        <v>10</v>
      </c>
      <c r="P379" s="2">
        <v>1</v>
      </c>
      <c r="Q379" s="2" t="s">
        <v>570</v>
      </c>
      <c r="R379" s="2" t="s">
        <v>147</v>
      </c>
      <c r="S379" s="2">
        <v>4.8</v>
      </c>
      <c r="T379" s="2">
        <v>15.2</v>
      </c>
      <c r="U379" s="2" t="b">
        <v>0</v>
      </c>
      <c r="V379" s="2">
        <v>2</v>
      </c>
      <c r="W379" s="2">
        <v>1</v>
      </c>
      <c r="X379" s="2">
        <v>18</v>
      </c>
      <c r="Y379" s="2">
        <v>28.186274509803919</v>
      </c>
    </row>
    <row r="380" spans="1:25" hidden="1">
      <c r="A380" s="2" t="s">
        <v>576</v>
      </c>
      <c r="B380" s="2" t="s">
        <v>165</v>
      </c>
      <c r="C380" s="2" t="s">
        <v>329</v>
      </c>
      <c r="D380" s="3">
        <v>45603.822916666657</v>
      </c>
      <c r="E380" s="3">
        <v>45603.850694444453</v>
      </c>
      <c r="F380" s="2">
        <v>40</v>
      </c>
      <c r="G380" s="2" t="s">
        <v>167</v>
      </c>
      <c r="H380" s="2" t="s">
        <v>168</v>
      </c>
      <c r="I380" s="2">
        <v>5</v>
      </c>
      <c r="J380" s="2">
        <v>7.5</v>
      </c>
      <c r="K380" s="2" t="s">
        <v>153</v>
      </c>
      <c r="L380" s="2" t="s">
        <v>504</v>
      </c>
      <c r="M380" s="2" t="b">
        <v>1</v>
      </c>
      <c r="N380" s="2" t="b">
        <v>0</v>
      </c>
      <c r="O380" s="2">
        <v>5.333333333333333</v>
      </c>
      <c r="P380" s="2">
        <v>0.66666666666666663</v>
      </c>
      <c r="Q380" s="2" t="s">
        <v>570</v>
      </c>
      <c r="R380" s="2" t="s">
        <v>171</v>
      </c>
      <c r="S380" s="2">
        <v>18</v>
      </c>
      <c r="T380" s="2">
        <v>22</v>
      </c>
      <c r="U380" s="2" t="b">
        <v>1</v>
      </c>
      <c r="V380" s="2">
        <v>20</v>
      </c>
      <c r="W380" s="2">
        <v>3</v>
      </c>
      <c r="X380" s="2">
        <v>19</v>
      </c>
      <c r="Y380" s="2">
        <v>29.948453608247419</v>
      </c>
    </row>
    <row r="381" spans="1:25" hidden="1">
      <c r="A381" s="2" t="s">
        <v>577</v>
      </c>
      <c r="B381" s="2" t="s">
        <v>157</v>
      </c>
      <c r="C381" s="2" t="s">
        <v>182</v>
      </c>
      <c r="D381" s="3">
        <v>45604.75</v>
      </c>
      <c r="E381" s="3">
        <v>45604.770833333343</v>
      </c>
      <c r="F381" s="2">
        <v>30</v>
      </c>
      <c r="G381" s="2" t="s">
        <v>143</v>
      </c>
      <c r="H381" s="2" t="s">
        <v>152</v>
      </c>
      <c r="I381" s="2">
        <v>3</v>
      </c>
      <c r="J381" s="2">
        <v>4</v>
      </c>
      <c r="K381" s="2" t="s">
        <v>143</v>
      </c>
      <c r="L381" s="2" t="s">
        <v>162</v>
      </c>
      <c r="M381" s="2" t="b">
        <v>1</v>
      </c>
      <c r="N381" s="2" t="b">
        <v>0</v>
      </c>
      <c r="O381" s="2">
        <v>7.5</v>
      </c>
      <c r="P381" s="2">
        <v>0.75</v>
      </c>
      <c r="Q381" s="2" t="s">
        <v>570</v>
      </c>
      <c r="R381" s="2" t="s">
        <v>147</v>
      </c>
      <c r="S381" s="2">
        <v>9.6</v>
      </c>
      <c r="T381" s="2">
        <v>20.399999999999999</v>
      </c>
      <c r="U381" s="2" t="b">
        <v>0</v>
      </c>
      <c r="V381" s="2">
        <v>6</v>
      </c>
      <c r="W381" s="2">
        <v>2</v>
      </c>
      <c r="X381" s="2">
        <v>18</v>
      </c>
      <c r="Y381" s="2">
        <v>28.844221105527641</v>
      </c>
    </row>
    <row r="382" spans="1:25" hidden="1">
      <c r="A382" s="2" t="s">
        <v>578</v>
      </c>
      <c r="B382" s="2" t="s">
        <v>173</v>
      </c>
      <c r="C382" s="2" t="s">
        <v>327</v>
      </c>
      <c r="D382" s="3">
        <v>45605.84375</v>
      </c>
      <c r="E382" s="3">
        <v>45605.875</v>
      </c>
      <c r="F382" s="2">
        <v>45</v>
      </c>
      <c r="G382" s="2" t="s">
        <v>151</v>
      </c>
      <c r="H382" s="2" t="s">
        <v>144</v>
      </c>
      <c r="I382" s="2">
        <v>4</v>
      </c>
      <c r="J382" s="2">
        <v>9</v>
      </c>
      <c r="K382" s="2" t="s">
        <v>153</v>
      </c>
      <c r="L382" s="2" t="s">
        <v>169</v>
      </c>
      <c r="M382" s="2" t="b">
        <v>1</v>
      </c>
      <c r="N382" s="2" t="b">
        <v>1</v>
      </c>
      <c r="O382" s="2">
        <v>5</v>
      </c>
      <c r="P382" s="2">
        <v>0.44444444444444442</v>
      </c>
      <c r="Q382" s="2" t="s">
        <v>570</v>
      </c>
      <c r="R382" s="2" t="s">
        <v>171</v>
      </c>
      <c r="S382" s="2">
        <v>21.6</v>
      </c>
      <c r="T382" s="2">
        <v>23.4</v>
      </c>
      <c r="U382" s="2" t="b">
        <v>1</v>
      </c>
      <c r="V382" s="2">
        <v>12</v>
      </c>
      <c r="W382" s="2">
        <v>3</v>
      </c>
      <c r="X382" s="2">
        <v>20</v>
      </c>
      <c r="Y382" s="2">
        <v>30.286458333333329</v>
      </c>
    </row>
    <row r="383" spans="1:25" hidden="1">
      <c r="A383" s="2" t="s">
        <v>579</v>
      </c>
      <c r="B383" s="2" t="s">
        <v>142</v>
      </c>
      <c r="C383" s="2" t="s">
        <v>333</v>
      </c>
      <c r="D383" s="3">
        <v>45606.75</v>
      </c>
      <c r="E383" s="3">
        <v>45606.763888888891</v>
      </c>
      <c r="F383" s="2">
        <v>20</v>
      </c>
      <c r="G383" s="2" t="s">
        <v>143</v>
      </c>
      <c r="H383" s="2" t="s">
        <v>144</v>
      </c>
      <c r="I383" s="2">
        <v>2</v>
      </c>
      <c r="J383" s="2">
        <v>3</v>
      </c>
      <c r="K383" s="2" t="s">
        <v>161</v>
      </c>
      <c r="L383" s="2" t="s">
        <v>145</v>
      </c>
      <c r="M383" s="2" t="b">
        <v>1</v>
      </c>
      <c r="N383" s="2" t="b">
        <v>1</v>
      </c>
      <c r="O383" s="2">
        <v>6.666666666666667</v>
      </c>
      <c r="P383" s="2">
        <v>0.66666666666666663</v>
      </c>
      <c r="Q383" s="2" t="s">
        <v>570</v>
      </c>
      <c r="R383" s="2" t="s">
        <v>147</v>
      </c>
      <c r="S383" s="2">
        <v>7.1999999999999993</v>
      </c>
      <c r="T383" s="2">
        <v>12.8</v>
      </c>
      <c r="U383" s="2" t="b">
        <v>0</v>
      </c>
      <c r="V383" s="2">
        <v>4</v>
      </c>
      <c r="W383" s="2">
        <v>1</v>
      </c>
      <c r="X383" s="2">
        <v>18</v>
      </c>
      <c r="Y383" s="2">
        <v>30.259433962264151</v>
      </c>
    </row>
    <row r="384" spans="1:25" hidden="1">
      <c r="A384" s="2" t="s">
        <v>580</v>
      </c>
      <c r="B384" s="2" t="s">
        <v>149</v>
      </c>
      <c r="C384" s="2" t="s">
        <v>335</v>
      </c>
      <c r="D384" s="3">
        <v>45607.802083333343</v>
      </c>
      <c r="E384" s="3">
        <v>45607.822916666657</v>
      </c>
      <c r="F384" s="2">
        <v>30</v>
      </c>
      <c r="G384" s="2" t="s">
        <v>151</v>
      </c>
      <c r="H384" s="2" t="s">
        <v>152</v>
      </c>
      <c r="I384" s="2">
        <v>4</v>
      </c>
      <c r="J384" s="2">
        <v>6</v>
      </c>
      <c r="K384" s="2" t="s">
        <v>143</v>
      </c>
      <c r="L384" s="2" t="s">
        <v>154</v>
      </c>
      <c r="M384" s="2" t="b">
        <v>1</v>
      </c>
      <c r="N384" s="2" t="b">
        <v>0</v>
      </c>
      <c r="O384" s="2">
        <v>5</v>
      </c>
      <c r="P384" s="2">
        <v>0.66666666666666663</v>
      </c>
      <c r="Q384" s="2" t="s">
        <v>570</v>
      </c>
      <c r="R384" s="2" t="s">
        <v>147</v>
      </c>
      <c r="S384" s="2">
        <v>14.4</v>
      </c>
      <c r="T384" s="2">
        <v>15.6</v>
      </c>
      <c r="U384" s="2" t="b">
        <v>0</v>
      </c>
      <c r="V384" s="2">
        <v>12</v>
      </c>
      <c r="W384" s="2">
        <v>2</v>
      </c>
      <c r="X384" s="2">
        <v>19</v>
      </c>
      <c r="Y384" s="2">
        <v>28.186274509803919</v>
      </c>
    </row>
    <row r="385" spans="1:25" hidden="1">
      <c r="A385" s="2" t="s">
        <v>581</v>
      </c>
      <c r="B385" s="2" t="s">
        <v>165</v>
      </c>
      <c r="C385" s="2" t="s">
        <v>337</v>
      </c>
      <c r="D385" s="3">
        <v>45608.854166666657</v>
      </c>
      <c r="E385" s="3">
        <v>45608.881944444453</v>
      </c>
      <c r="F385" s="2">
        <v>40</v>
      </c>
      <c r="G385" s="2" t="s">
        <v>167</v>
      </c>
      <c r="H385" s="2" t="s">
        <v>168</v>
      </c>
      <c r="I385" s="2">
        <v>5</v>
      </c>
      <c r="J385" s="2">
        <v>8</v>
      </c>
      <c r="K385" s="2" t="s">
        <v>153</v>
      </c>
      <c r="L385" s="2" t="s">
        <v>504</v>
      </c>
      <c r="M385" s="2" t="b">
        <v>1</v>
      </c>
      <c r="N385" s="2" t="b">
        <v>0</v>
      </c>
      <c r="O385" s="2">
        <v>5</v>
      </c>
      <c r="P385" s="2">
        <v>0.625</v>
      </c>
      <c r="Q385" s="2" t="s">
        <v>570</v>
      </c>
      <c r="R385" s="2" t="s">
        <v>171</v>
      </c>
      <c r="S385" s="2">
        <v>19.2</v>
      </c>
      <c r="T385" s="2">
        <v>20.8</v>
      </c>
      <c r="U385" s="2" t="b">
        <v>1</v>
      </c>
      <c r="V385" s="2">
        <v>20</v>
      </c>
      <c r="W385" s="2">
        <v>3</v>
      </c>
      <c r="X385" s="2">
        <v>20</v>
      </c>
      <c r="Y385" s="2">
        <v>29.948453608247419</v>
      </c>
    </row>
    <row r="386" spans="1:25" hidden="1">
      <c r="A386" s="2" t="s">
        <v>582</v>
      </c>
      <c r="B386" s="2" t="s">
        <v>157</v>
      </c>
      <c r="C386" s="2" t="s">
        <v>339</v>
      </c>
      <c r="D386" s="3">
        <v>45609.78125</v>
      </c>
      <c r="E386" s="3">
        <v>45609.795138888891</v>
      </c>
      <c r="F386" s="2">
        <v>20</v>
      </c>
      <c r="G386" s="2" t="s">
        <v>159</v>
      </c>
      <c r="H386" s="2" t="s">
        <v>160</v>
      </c>
      <c r="I386" s="2">
        <v>1</v>
      </c>
      <c r="J386" s="2">
        <v>2.5</v>
      </c>
      <c r="K386" s="2" t="s">
        <v>161</v>
      </c>
      <c r="L386" s="2" t="s">
        <v>169</v>
      </c>
      <c r="M386" s="2" t="b">
        <v>1</v>
      </c>
      <c r="N386" s="2" t="b">
        <v>0</v>
      </c>
      <c r="O386" s="2">
        <v>8</v>
      </c>
      <c r="P386" s="2">
        <v>0.4</v>
      </c>
      <c r="Q386" s="2" t="s">
        <v>570</v>
      </c>
      <c r="R386" s="2" t="s">
        <v>171</v>
      </c>
      <c r="S386" s="2">
        <v>6</v>
      </c>
      <c r="T386" s="2">
        <v>14</v>
      </c>
      <c r="U386" s="2" t="b">
        <v>0</v>
      </c>
      <c r="V386" s="2">
        <v>1</v>
      </c>
      <c r="W386" s="2">
        <v>1</v>
      </c>
      <c r="X386" s="2">
        <v>18</v>
      </c>
      <c r="Y386" s="2">
        <v>28.844221105527641</v>
      </c>
    </row>
    <row r="387" spans="1:25" hidden="1">
      <c r="A387" s="2" t="s">
        <v>583</v>
      </c>
      <c r="B387" s="2" t="s">
        <v>173</v>
      </c>
      <c r="C387" s="2" t="s">
        <v>194</v>
      </c>
      <c r="D387" s="3">
        <v>45610.791666666657</v>
      </c>
      <c r="E387" s="3">
        <v>45610.826388888891</v>
      </c>
      <c r="F387" s="2">
        <v>50</v>
      </c>
      <c r="G387" s="2" t="s">
        <v>151</v>
      </c>
      <c r="H387" s="2" t="s">
        <v>152</v>
      </c>
      <c r="I387" s="2">
        <v>4</v>
      </c>
      <c r="J387" s="2">
        <v>10</v>
      </c>
      <c r="K387" s="2" t="s">
        <v>153</v>
      </c>
      <c r="L387" s="2" t="s">
        <v>145</v>
      </c>
      <c r="M387" s="2" t="b">
        <v>1</v>
      </c>
      <c r="N387" s="2" t="b">
        <v>0</v>
      </c>
      <c r="O387" s="2">
        <v>5</v>
      </c>
      <c r="P387" s="2">
        <v>0.4</v>
      </c>
      <c r="Q387" s="2" t="s">
        <v>570</v>
      </c>
      <c r="R387" s="2" t="s">
        <v>147</v>
      </c>
      <c r="S387" s="2">
        <v>24</v>
      </c>
      <c r="T387" s="2">
        <v>26</v>
      </c>
      <c r="U387" s="2" t="b">
        <v>1</v>
      </c>
      <c r="V387" s="2">
        <v>12</v>
      </c>
      <c r="W387" s="2">
        <v>3</v>
      </c>
      <c r="X387" s="2">
        <v>19</v>
      </c>
      <c r="Y387" s="2">
        <v>30.286458333333329</v>
      </c>
    </row>
    <row r="388" spans="1:25" hidden="1">
      <c r="A388" s="2" t="s">
        <v>584</v>
      </c>
      <c r="B388" s="2" t="s">
        <v>142</v>
      </c>
      <c r="C388" s="2" t="s">
        <v>40</v>
      </c>
      <c r="D388" s="3">
        <v>45611.75</v>
      </c>
      <c r="E388" s="3">
        <v>45611.763888888891</v>
      </c>
      <c r="F388" s="2">
        <v>20</v>
      </c>
      <c r="G388" s="2" t="s">
        <v>143</v>
      </c>
      <c r="H388" s="2" t="s">
        <v>144</v>
      </c>
      <c r="I388" s="2">
        <v>2</v>
      </c>
      <c r="J388" s="2">
        <v>3</v>
      </c>
      <c r="K388" s="2" t="s">
        <v>161</v>
      </c>
      <c r="L388" s="2" t="s">
        <v>342</v>
      </c>
      <c r="M388" s="2" t="b">
        <v>1</v>
      </c>
      <c r="N388" s="2" t="b">
        <v>0</v>
      </c>
      <c r="O388" s="2">
        <v>6.666666666666667</v>
      </c>
      <c r="P388" s="2">
        <v>0.66666666666666663</v>
      </c>
      <c r="Q388" s="2" t="s">
        <v>570</v>
      </c>
      <c r="R388" s="2" t="s">
        <v>171</v>
      </c>
      <c r="S388" s="2">
        <v>7.1999999999999993</v>
      </c>
      <c r="T388" s="2">
        <v>12.8</v>
      </c>
      <c r="U388" s="2" t="b">
        <v>0</v>
      </c>
      <c r="V388" s="2">
        <v>4</v>
      </c>
      <c r="W388" s="2">
        <v>1</v>
      </c>
      <c r="X388" s="2">
        <v>18</v>
      </c>
      <c r="Y388" s="2">
        <v>30.259433962264151</v>
      </c>
    </row>
    <row r="389" spans="1:25" hidden="1">
      <c r="A389" s="2" t="s">
        <v>585</v>
      </c>
      <c r="B389" s="2" t="s">
        <v>142</v>
      </c>
      <c r="C389" s="2" t="s">
        <v>166</v>
      </c>
      <c r="D389" s="3">
        <v>45612.833333333343</v>
      </c>
      <c r="E389" s="3">
        <v>45612.847222222219</v>
      </c>
      <c r="F389" s="2">
        <v>20</v>
      </c>
      <c r="G389" s="2" t="s">
        <v>143</v>
      </c>
      <c r="H389" s="2" t="s">
        <v>144</v>
      </c>
      <c r="I389" s="2">
        <v>2</v>
      </c>
      <c r="J389" s="2">
        <v>3</v>
      </c>
      <c r="K389" s="2" t="s">
        <v>161</v>
      </c>
      <c r="L389" s="2" t="s">
        <v>145</v>
      </c>
      <c r="M389" s="2" t="b">
        <v>1</v>
      </c>
      <c r="N389" s="2" t="b">
        <v>1</v>
      </c>
      <c r="O389" s="2">
        <v>6.666666666666667</v>
      </c>
      <c r="P389" s="2">
        <v>0.66666666666666663</v>
      </c>
      <c r="Q389" s="2" t="s">
        <v>570</v>
      </c>
      <c r="R389" s="2" t="s">
        <v>147</v>
      </c>
      <c r="S389" s="2">
        <v>7.1999999999999993</v>
      </c>
      <c r="T389" s="2">
        <v>12.8</v>
      </c>
      <c r="U389" s="2" t="b">
        <v>0</v>
      </c>
      <c r="V389" s="2">
        <v>4</v>
      </c>
      <c r="W389" s="2">
        <v>1</v>
      </c>
      <c r="X389" s="2">
        <v>20</v>
      </c>
      <c r="Y389" s="2">
        <v>30.259433962264151</v>
      </c>
    </row>
    <row r="390" spans="1:25" hidden="1">
      <c r="A390" s="2" t="s">
        <v>586</v>
      </c>
      <c r="B390" s="2" t="s">
        <v>149</v>
      </c>
      <c r="C390" s="2" t="s">
        <v>158</v>
      </c>
      <c r="D390" s="3">
        <v>45613.802083333343</v>
      </c>
      <c r="E390" s="3">
        <v>45613.822916666657</v>
      </c>
      <c r="F390" s="2">
        <v>30</v>
      </c>
      <c r="G390" s="2" t="s">
        <v>151</v>
      </c>
      <c r="H390" s="2" t="s">
        <v>152</v>
      </c>
      <c r="I390" s="2">
        <v>4</v>
      </c>
      <c r="J390" s="2">
        <v>6</v>
      </c>
      <c r="K390" s="2" t="s">
        <v>143</v>
      </c>
      <c r="L390" s="2" t="s">
        <v>162</v>
      </c>
      <c r="M390" s="2" t="b">
        <v>1</v>
      </c>
      <c r="N390" s="2" t="b">
        <v>1</v>
      </c>
      <c r="O390" s="2">
        <v>5</v>
      </c>
      <c r="P390" s="2">
        <v>0.66666666666666663</v>
      </c>
      <c r="Q390" s="2" t="s">
        <v>570</v>
      </c>
      <c r="R390" s="2" t="s">
        <v>147</v>
      </c>
      <c r="S390" s="2">
        <v>14.4</v>
      </c>
      <c r="T390" s="2">
        <v>15.6</v>
      </c>
      <c r="U390" s="2" t="b">
        <v>0</v>
      </c>
      <c r="V390" s="2">
        <v>12</v>
      </c>
      <c r="W390" s="2">
        <v>2</v>
      </c>
      <c r="X390" s="2">
        <v>19</v>
      </c>
      <c r="Y390" s="2">
        <v>28.186274509803919</v>
      </c>
    </row>
    <row r="391" spans="1:25" hidden="1">
      <c r="A391" s="2" t="s">
        <v>587</v>
      </c>
      <c r="B391" s="2" t="s">
        <v>165</v>
      </c>
      <c r="C391" s="2" t="s">
        <v>150</v>
      </c>
      <c r="D391" s="3">
        <v>45614.854166666657</v>
      </c>
      <c r="E391" s="3">
        <v>45614.881944444453</v>
      </c>
      <c r="F391" s="2">
        <v>40</v>
      </c>
      <c r="G391" s="2" t="s">
        <v>167</v>
      </c>
      <c r="H391" s="2" t="s">
        <v>168</v>
      </c>
      <c r="I391" s="2">
        <v>5</v>
      </c>
      <c r="J391" s="2">
        <v>8</v>
      </c>
      <c r="K391" s="2" t="s">
        <v>153</v>
      </c>
      <c r="L391" s="2" t="s">
        <v>504</v>
      </c>
      <c r="M391" s="2" t="b">
        <v>1</v>
      </c>
      <c r="N391" s="2" t="b">
        <v>0</v>
      </c>
      <c r="O391" s="2">
        <v>5</v>
      </c>
      <c r="P391" s="2">
        <v>0.625</v>
      </c>
      <c r="Q391" s="2" t="s">
        <v>570</v>
      </c>
      <c r="R391" s="2" t="s">
        <v>171</v>
      </c>
      <c r="S391" s="2">
        <v>19.2</v>
      </c>
      <c r="T391" s="2">
        <v>20.8</v>
      </c>
      <c r="U391" s="2" t="b">
        <v>1</v>
      </c>
      <c r="V391" s="2">
        <v>20</v>
      </c>
      <c r="W391" s="2">
        <v>3</v>
      </c>
      <c r="X391" s="2">
        <v>20</v>
      </c>
      <c r="Y391" s="2">
        <v>29.948453608247419</v>
      </c>
    </row>
    <row r="392" spans="1:25" hidden="1">
      <c r="A392" s="2" t="s">
        <v>588</v>
      </c>
      <c r="B392" s="2" t="s">
        <v>157</v>
      </c>
      <c r="C392" s="2" t="s">
        <v>184</v>
      </c>
      <c r="D392" s="3">
        <v>45615.78125</v>
      </c>
      <c r="E392" s="3">
        <v>45615.795138888891</v>
      </c>
      <c r="F392" s="2">
        <v>20</v>
      </c>
      <c r="G392" s="2" t="s">
        <v>159</v>
      </c>
      <c r="H392" s="2" t="s">
        <v>160</v>
      </c>
      <c r="I392" s="2">
        <v>1</v>
      </c>
      <c r="J392" s="2">
        <v>2.5</v>
      </c>
      <c r="K392" s="2" t="s">
        <v>161</v>
      </c>
      <c r="L392" s="2" t="s">
        <v>169</v>
      </c>
      <c r="M392" s="2" t="b">
        <v>1</v>
      </c>
      <c r="N392" s="2" t="b">
        <v>0</v>
      </c>
      <c r="O392" s="2">
        <v>8</v>
      </c>
      <c r="P392" s="2">
        <v>0.4</v>
      </c>
      <c r="Q392" s="2" t="s">
        <v>570</v>
      </c>
      <c r="R392" s="2" t="s">
        <v>171</v>
      </c>
      <c r="S392" s="2">
        <v>6</v>
      </c>
      <c r="T392" s="2">
        <v>14</v>
      </c>
      <c r="U392" s="2" t="b">
        <v>0</v>
      </c>
      <c r="V392" s="2">
        <v>1</v>
      </c>
      <c r="W392" s="2">
        <v>1</v>
      </c>
      <c r="X392" s="2">
        <v>18</v>
      </c>
      <c r="Y392" s="2">
        <v>28.844221105527641</v>
      </c>
    </row>
    <row r="393" spans="1:25" hidden="1">
      <c r="A393" s="2" t="s">
        <v>589</v>
      </c>
      <c r="B393" s="2" t="s">
        <v>173</v>
      </c>
      <c r="C393" s="2" t="s">
        <v>186</v>
      </c>
      <c r="D393" s="3">
        <v>45616.791666666657</v>
      </c>
      <c r="E393" s="3">
        <v>45616.826388888891</v>
      </c>
      <c r="F393" s="2">
        <v>50</v>
      </c>
      <c r="G393" s="2" t="s">
        <v>151</v>
      </c>
      <c r="H393" s="2" t="s">
        <v>152</v>
      </c>
      <c r="I393" s="2">
        <v>4</v>
      </c>
      <c r="J393" s="2">
        <v>10</v>
      </c>
      <c r="K393" s="2" t="s">
        <v>153</v>
      </c>
      <c r="L393" s="2" t="s">
        <v>145</v>
      </c>
      <c r="M393" s="2" t="b">
        <v>1</v>
      </c>
      <c r="N393" s="2" t="b">
        <v>0</v>
      </c>
      <c r="O393" s="2">
        <v>5</v>
      </c>
      <c r="P393" s="2">
        <v>0.4</v>
      </c>
      <c r="Q393" s="2" t="s">
        <v>570</v>
      </c>
      <c r="R393" s="2" t="s">
        <v>147</v>
      </c>
      <c r="S393" s="2">
        <v>24</v>
      </c>
      <c r="T393" s="2">
        <v>26</v>
      </c>
      <c r="U393" s="2" t="b">
        <v>1</v>
      </c>
      <c r="V393" s="2">
        <v>12</v>
      </c>
      <c r="W393" s="2">
        <v>3</v>
      </c>
      <c r="X393" s="2">
        <v>19</v>
      </c>
      <c r="Y393" s="2">
        <v>30.286458333333329</v>
      </c>
    </row>
    <row r="394" spans="1:25" hidden="1">
      <c r="A394" s="2" t="s">
        <v>590</v>
      </c>
      <c r="B394" s="2" t="s">
        <v>142</v>
      </c>
      <c r="C394" s="2" t="s">
        <v>166</v>
      </c>
      <c r="D394" s="3">
        <v>45617.833333333343</v>
      </c>
      <c r="E394" s="3">
        <v>45617.857638888891</v>
      </c>
      <c r="F394" s="2">
        <v>35</v>
      </c>
      <c r="G394" s="2" t="s">
        <v>143</v>
      </c>
      <c r="H394" s="2" t="s">
        <v>591</v>
      </c>
      <c r="I394" s="2">
        <v>3</v>
      </c>
      <c r="J394" s="2">
        <v>5.5</v>
      </c>
      <c r="K394" s="2" t="s">
        <v>143</v>
      </c>
      <c r="L394" s="2" t="s">
        <v>154</v>
      </c>
      <c r="M394" s="2" t="b">
        <v>1</v>
      </c>
      <c r="N394" s="2" t="b">
        <v>0</v>
      </c>
      <c r="O394" s="2">
        <v>6.3636363636363633</v>
      </c>
      <c r="P394" s="2">
        <v>0.54545454545454541</v>
      </c>
      <c r="Q394" s="2" t="s">
        <v>570</v>
      </c>
      <c r="R394" s="2" t="s">
        <v>147</v>
      </c>
      <c r="S394" s="2">
        <v>13.2</v>
      </c>
      <c r="T394" s="2">
        <v>21.8</v>
      </c>
      <c r="U394" s="2" t="b">
        <v>1</v>
      </c>
      <c r="V394" s="2">
        <v>6</v>
      </c>
      <c r="W394" s="2">
        <v>2</v>
      </c>
      <c r="X394" s="2">
        <v>20</v>
      </c>
      <c r="Y394" s="2">
        <v>30.259433962264151</v>
      </c>
    </row>
    <row r="395" spans="1:25" hidden="1">
      <c r="A395" s="2" t="s">
        <v>592</v>
      </c>
      <c r="B395" s="2" t="s">
        <v>149</v>
      </c>
      <c r="C395" s="2" t="s">
        <v>192</v>
      </c>
      <c r="D395" s="3">
        <v>45618.770833333343</v>
      </c>
      <c r="E395" s="3">
        <v>45618.784722222219</v>
      </c>
      <c r="F395" s="2">
        <v>20</v>
      </c>
      <c r="G395" s="2" t="s">
        <v>159</v>
      </c>
      <c r="H395" s="2" t="s">
        <v>160</v>
      </c>
      <c r="I395" s="2">
        <v>2</v>
      </c>
      <c r="J395" s="2">
        <v>2</v>
      </c>
      <c r="K395" s="2" t="s">
        <v>161</v>
      </c>
      <c r="L395" s="2" t="s">
        <v>162</v>
      </c>
      <c r="M395" s="2" t="b">
        <v>1</v>
      </c>
      <c r="N395" s="2" t="b">
        <v>0</v>
      </c>
      <c r="O395" s="2">
        <v>10</v>
      </c>
      <c r="P395" s="2">
        <v>1</v>
      </c>
      <c r="Q395" s="2" t="s">
        <v>570</v>
      </c>
      <c r="R395" s="2" t="s">
        <v>147</v>
      </c>
      <c r="S395" s="2">
        <v>4.8</v>
      </c>
      <c r="T395" s="2">
        <v>15.2</v>
      </c>
      <c r="U395" s="2" t="b">
        <v>0</v>
      </c>
      <c r="V395" s="2">
        <v>2</v>
      </c>
      <c r="W395" s="2">
        <v>1</v>
      </c>
      <c r="X395" s="2">
        <v>18</v>
      </c>
      <c r="Y395" s="2">
        <v>28.186274509803919</v>
      </c>
    </row>
    <row r="396" spans="1:25" hidden="1">
      <c r="A396" s="2" t="s">
        <v>593</v>
      </c>
      <c r="B396" s="2" t="s">
        <v>165</v>
      </c>
      <c r="C396" s="2" t="s">
        <v>194</v>
      </c>
      <c r="D396" s="3">
        <v>45619.822916666657</v>
      </c>
      <c r="E396" s="3">
        <v>45619.850694444453</v>
      </c>
      <c r="F396" s="2">
        <v>40</v>
      </c>
      <c r="G396" s="2" t="s">
        <v>167</v>
      </c>
      <c r="H396" s="2" t="s">
        <v>594</v>
      </c>
      <c r="I396" s="2">
        <v>5</v>
      </c>
      <c r="J396" s="2">
        <v>7.5</v>
      </c>
      <c r="K396" s="2" t="s">
        <v>153</v>
      </c>
      <c r="L396" s="2" t="s">
        <v>504</v>
      </c>
      <c r="M396" s="2" t="b">
        <v>1</v>
      </c>
      <c r="N396" s="2" t="b">
        <v>1</v>
      </c>
      <c r="O396" s="2">
        <v>5.333333333333333</v>
      </c>
      <c r="P396" s="2">
        <v>0.66666666666666663</v>
      </c>
      <c r="Q396" s="2" t="s">
        <v>570</v>
      </c>
      <c r="R396" s="2" t="s">
        <v>171</v>
      </c>
      <c r="S396" s="2">
        <v>18</v>
      </c>
      <c r="T396" s="2">
        <v>22</v>
      </c>
      <c r="U396" s="2" t="b">
        <v>1</v>
      </c>
      <c r="V396" s="2">
        <v>20</v>
      </c>
      <c r="W396" s="2">
        <v>3</v>
      </c>
      <c r="X396" s="2">
        <v>19</v>
      </c>
      <c r="Y396" s="2">
        <v>29.948453608247419</v>
      </c>
    </row>
    <row r="397" spans="1:25" hidden="1">
      <c r="A397" s="2" t="s">
        <v>595</v>
      </c>
      <c r="B397" s="2" t="s">
        <v>157</v>
      </c>
      <c r="C397" s="2" t="s">
        <v>174</v>
      </c>
      <c r="D397" s="3">
        <v>45620.75</v>
      </c>
      <c r="E397" s="3">
        <v>45620.770833333343</v>
      </c>
      <c r="F397" s="2">
        <v>30</v>
      </c>
      <c r="G397" s="2" t="s">
        <v>143</v>
      </c>
      <c r="H397" s="2" t="s">
        <v>152</v>
      </c>
      <c r="I397" s="2">
        <v>3</v>
      </c>
      <c r="J397" s="2">
        <v>4</v>
      </c>
      <c r="K397" s="2" t="s">
        <v>143</v>
      </c>
      <c r="L397" s="2" t="s">
        <v>145</v>
      </c>
      <c r="M397" s="2" t="b">
        <v>1</v>
      </c>
      <c r="N397" s="2" t="b">
        <v>1</v>
      </c>
      <c r="O397" s="2">
        <v>7.5</v>
      </c>
      <c r="P397" s="2">
        <v>0.75</v>
      </c>
      <c r="Q397" s="2" t="s">
        <v>570</v>
      </c>
      <c r="R397" s="2" t="s">
        <v>147</v>
      </c>
      <c r="S397" s="2">
        <v>9.6</v>
      </c>
      <c r="T397" s="2">
        <v>20.399999999999999</v>
      </c>
      <c r="U397" s="2" t="b">
        <v>0</v>
      </c>
      <c r="V397" s="2">
        <v>6</v>
      </c>
      <c r="W397" s="2">
        <v>2</v>
      </c>
      <c r="X397" s="2">
        <v>18</v>
      </c>
      <c r="Y397" s="2">
        <v>28.844221105527641</v>
      </c>
    </row>
    <row r="398" spans="1:25" hidden="1">
      <c r="A398" s="2" t="s">
        <v>596</v>
      </c>
      <c r="B398" s="2" t="s">
        <v>173</v>
      </c>
      <c r="C398" s="2" t="s">
        <v>190</v>
      </c>
      <c r="D398" s="3">
        <v>45621.84375</v>
      </c>
      <c r="E398" s="3">
        <v>45621.875</v>
      </c>
      <c r="F398" s="2">
        <v>45</v>
      </c>
      <c r="G398" s="2" t="s">
        <v>151</v>
      </c>
      <c r="H398" s="2" t="s">
        <v>144</v>
      </c>
      <c r="I398" s="2">
        <v>4</v>
      </c>
      <c r="J398" s="2">
        <v>9</v>
      </c>
      <c r="K398" s="2" t="s">
        <v>153</v>
      </c>
      <c r="L398" s="2" t="s">
        <v>154</v>
      </c>
      <c r="M398" s="2" t="b">
        <v>1</v>
      </c>
      <c r="N398" s="2" t="b">
        <v>0</v>
      </c>
      <c r="O398" s="2">
        <v>5</v>
      </c>
      <c r="P398" s="2">
        <v>0.44444444444444442</v>
      </c>
      <c r="Q398" s="2" t="s">
        <v>570</v>
      </c>
      <c r="R398" s="2" t="s">
        <v>147</v>
      </c>
      <c r="S398" s="2">
        <v>21.6</v>
      </c>
      <c r="T398" s="2">
        <v>23.4</v>
      </c>
      <c r="U398" s="2" t="b">
        <v>1</v>
      </c>
      <c r="V398" s="2">
        <v>12</v>
      </c>
      <c r="W398" s="2">
        <v>3</v>
      </c>
      <c r="X398" s="2">
        <v>20</v>
      </c>
      <c r="Y398" s="2">
        <v>30.286458333333329</v>
      </c>
    </row>
    <row r="399" spans="1:25" hidden="1">
      <c r="A399" s="2" t="s">
        <v>597</v>
      </c>
      <c r="B399" s="2" t="s">
        <v>142</v>
      </c>
      <c r="C399" s="2" t="s">
        <v>315</v>
      </c>
      <c r="D399" s="3">
        <v>45622.75</v>
      </c>
      <c r="E399" s="3">
        <v>45622.763888888891</v>
      </c>
      <c r="F399" s="2">
        <v>20</v>
      </c>
      <c r="G399" s="2" t="s">
        <v>143</v>
      </c>
      <c r="H399" s="2" t="s">
        <v>144</v>
      </c>
      <c r="I399" s="2">
        <v>2</v>
      </c>
      <c r="J399" s="2">
        <v>3</v>
      </c>
      <c r="K399" s="2" t="s">
        <v>161</v>
      </c>
      <c r="L399" s="2" t="s">
        <v>145</v>
      </c>
      <c r="M399" s="2" t="b">
        <v>1</v>
      </c>
      <c r="N399" s="2" t="b">
        <v>0</v>
      </c>
      <c r="O399" s="2">
        <v>6.666666666666667</v>
      </c>
      <c r="P399" s="2">
        <v>0.66666666666666663</v>
      </c>
      <c r="Q399" s="2" t="s">
        <v>570</v>
      </c>
      <c r="R399" s="2" t="s">
        <v>147</v>
      </c>
      <c r="S399" s="2">
        <v>7.1999999999999993</v>
      </c>
      <c r="T399" s="2">
        <v>12.8</v>
      </c>
      <c r="U399" s="2" t="b">
        <v>0</v>
      </c>
      <c r="V399" s="2">
        <v>4</v>
      </c>
      <c r="W399" s="2">
        <v>1</v>
      </c>
      <c r="X399" s="2">
        <v>18</v>
      </c>
      <c r="Y399" s="2">
        <v>30.259433962264151</v>
      </c>
    </row>
    <row r="400" spans="1:25" hidden="1">
      <c r="A400" s="2" t="s">
        <v>598</v>
      </c>
      <c r="B400" s="2" t="s">
        <v>149</v>
      </c>
      <c r="C400" s="2" t="s">
        <v>317</v>
      </c>
      <c r="D400" s="3">
        <v>45623.802083333343</v>
      </c>
      <c r="E400" s="3">
        <v>45623.822916666657</v>
      </c>
      <c r="F400" s="2">
        <v>30</v>
      </c>
      <c r="G400" s="2" t="s">
        <v>151</v>
      </c>
      <c r="H400" s="2" t="s">
        <v>152</v>
      </c>
      <c r="I400" s="2">
        <v>4</v>
      </c>
      <c r="J400" s="2">
        <v>6</v>
      </c>
      <c r="K400" s="2" t="s">
        <v>143</v>
      </c>
      <c r="L400" s="2" t="s">
        <v>169</v>
      </c>
      <c r="M400" s="2" t="b">
        <v>1</v>
      </c>
      <c r="N400" s="2" t="b">
        <v>0</v>
      </c>
      <c r="O400" s="2">
        <v>5</v>
      </c>
      <c r="P400" s="2">
        <v>0.66666666666666663</v>
      </c>
      <c r="Q400" s="2" t="s">
        <v>570</v>
      </c>
      <c r="R400" s="2" t="s">
        <v>171</v>
      </c>
      <c r="S400" s="2">
        <v>14.4</v>
      </c>
      <c r="T400" s="2">
        <v>15.6</v>
      </c>
      <c r="U400" s="2" t="b">
        <v>0</v>
      </c>
      <c r="V400" s="2">
        <v>12</v>
      </c>
      <c r="W400" s="2">
        <v>2</v>
      </c>
      <c r="X400" s="2">
        <v>19</v>
      </c>
      <c r="Y400" s="2">
        <v>28.186274509803919</v>
      </c>
    </row>
    <row r="401" spans="1:25" hidden="1">
      <c r="A401" s="2" t="s">
        <v>599</v>
      </c>
      <c r="B401" s="2" t="s">
        <v>165</v>
      </c>
      <c r="C401" s="2" t="s">
        <v>319</v>
      </c>
      <c r="D401" s="3">
        <v>45624.854166666657</v>
      </c>
      <c r="E401" s="3">
        <v>45624.881944444453</v>
      </c>
      <c r="F401" s="2">
        <v>40</v>
      </c>
      <c r="G401" s="2" t="s">
        <v>167</v>
      </c>
      <c r="H401" s="2" t="s">
        <v>168</v>
      </c>
      <c r="I401" s="2">
        <v>5</v>
      </c>
      <c r="J401" s="2">
        <v>8</v>
      </c>
      <c r="K401" s="2" t="s">
        <v>153</v>
      </c>
      <c r="L401" s="2" t="s">
        <v>504</v>
      </c>
      <c r="M401" s="2" t="b">
        <v>1</v>
      </c>
      <c r="N401" s="2" t="b">
        <v>0</v>
      </c>
      <c r="O401" s="2">
        <v>5</v>
      </c>
      <c r="P401" s="2">
        <v>0.625</v>
      </c>
      <c r="Q401" s="2" t="s">
        <v>570</v>
      </c>
      <c r="R401" s="2" t="s">
        <v>171</v>
      </c>
      <c r="S401" s="2">
        <v>19.2</v>
      </c>
      <c r="T401" s="2">
        <v>20.8</v>
      </c>
      <c r="U401" s="2" t="b">
        <v>1</v>
      </c>
      <c r="V401" s="2">
        <v>20</v>
      </c>
      <c r="W401" s="2">
        <v>3</v>
      </c>
      <c r="X401" s="2">
        <v>20</v>
      </c>
      <c r="Y401" s="2">
        <v>29.948453608247419</v>
      </c>
    </row>
    <row r="402" spans="1:25" hidden="1">
      <c r="A402" s="2" t="s">
        <v>600</v>
      </c>
      <c r="B402" s="2" t="s">
        <v>157</v>
      </c>
      <c r="C402" s="2" t="s">
        <v>321</v>
      </c>
      <c r="D402" s="3">
        <v>45625.78125</v>
      </c>
      <c r="E402" s="3">
        <v>45625.795138888891</v>
      </c>
      <c r="F402" s="2">
        <v>20</v>
      </c>
      <c r="G402" s="2" t="s">
        <v>159</v>
      </c>
      <c r="H402" s="2" t="s">
        <v>160</v>
      </c>
      <c r="I402" s="2">
        <v>1</v>
      </c>
      <c r="J402" s="2">
        <v>2.5</v>
      </c>
      <c r="K402" s="2" t="s">
        <v>161</v>
      </c>
      <c r="L402" s="2" t="s">
        <v>154</v>
      </c>
      <c r="M402" s="2" t="b">
        <v>1</v>
      </c>
      <c r="N402" s="2" t="b">
        <v>0</v>
      </c>
      <c r="O402" s="2">
        <v>8</v>
      </c>
      <c r="P402" s="2">
        <v>0.4</v>
      </c>
      <c r="Q402" s="2" t="s">
        <v>570</v>
      </c>
      <c r="R402" s="2" t="s">
        <v>147</v>
      </c>
      <c r="S402" s="2">
        <v>6</v>
      </c>
      <c r="T402" s="2">
        <v>14</v>
      </c>
      <c r="U402" s="2" t="b">
        <v>0</v>
      </c>
      <c r="V402" s="2">
        <v>1</v>
      </c>
      <c r="W402" s="2">
        <v>1</v>
      </c>
      <c r="X402" s="2">
        <v>18</v>
      </c>
      <c r="Y402" s="2">
        <v>28.844221105527641</v>
      </c>
    </row>
    <row r="403" spans="1:25" hidden="1">
      <c r="A403" s="2" t="s">
        <v>601</v>
      </c>
      <c r="B403" s="2" t="s">
        <v>173</v>
      </c>
      <c r="C403" s="2" t="s">
        <v>323</v>
      </c>
      <c r="D403" s="3">
        <v>45626.791666666657</v>
      </c>
      <c r="E403" s="3">
        <v>45626.826388888891</v>
      </c>
      <c r="F403" s="2">
        <v>50</v>
      </c>
      <c r="G403" s="2" t="s">
        <v>151</v>
      </c>
      <c r="H403" s="2" t="s">
        <v>152</v>
      </c>
      <c r="I403" s="2">
        <v>4</v>
      </c>
      <c r="J403" s="2">
        <v>10</v>
      </c>
      <c r="K403" s="2" t="s">
        <v>153</v>
      </c>
      <c r="L403" s="2" t="s">
        <v>145</v>
      </c>
      <c r="M403" s="2" t="b">
        <v>1</v>
      </c>
      <c r="N403" s="2" t="b">
        <v>1</v>
      </c>
      <c r="O403" s="2">
        <v>5</v>
      </c>
      <c r="P403" s="2">
        <v>0.4</v>
      </c>
      <c r="Q403" s="2" t="s">
        <v>570</v>
      </c>
      <c r="R403" s="2" t="s">
        <v>147</v>
      </c>
      <c r="S403" s="2">
        <v>24</v>
      </c>
      <c r="T403" s="2">
        <v>26</v>
      </c>
      <c r="U403" s="2" t="b">
        <v>1</v>
      </c>
      <c r="V403" s="2">
        <v>12</v>
      </c>
      <c r="W403" s="2">
        <v>3</v>
      </c>
      <c r="X403" s="2">
        <v>19</v>
      </c>
      <c r="Y403" s="2">
        <v>30.286458333333329</v>
      </c>
    </row>
    <row r="404" spans="1:25" hidden="1">
      <c r="A404" s="2" t="s">
        <v>602</v>
      </c>
      <c r="B404" s="2" t="s">
        <v>142</v>
      </c>
      <c r="C404" s="2" t="s">
        <v>325</v>
      </c>
      <c r="D404" s="3">
        <v>45627.833333333343</v>
      </c>
      <c r="E404" s="3">
        <v>45627.857638888891</v>
      </c>
      <c r="F404" s="2">
        <v>35</v>
      </c>
      <c r="G404" s="2" t="s">
        <v>143</v>
      </c>
      <c r="H404" s="2" t="s">
        <v>144</v>
      </c>
      <c r="I404" s="2">
        <v>3</v>
      </c>
      <c r="J404" s="2">
        <v>5.5</v>
      </c>
      <c r="K404" s="2" t="s">
        <v>143</v>
      </c>
      <c r="L404" s="2" t="s">
        <v>154</v>
      </c>
      <c r="M404" s="2" t="b">
        <v>1</v>
      </c>
      <c r="N404" s="2" t="b">
        <v>1</v>
      </c>
      <c r="O404" s="2">
        <v>6.3636363636363633</v>
      </c>
      <c r="P404" s="2">
        <v>0.54545454545454541</v>
      </c>
      <c r="Q404" s="2" t="s">
        <v>603</v>
      </c>
      <c r="R404" s="2" t="s">
        <v>147</v>
      </c>
      <c r="S404" s="2">
        <v>13.2</v>
      </c>
      <c r="T404" s="2">
        <v>21.8</v>
      </c>
      <c r="U404" s="2" t="b">
        <v>1</v>
      </c>
      <c r="V404" s="2">
        <v>6</v>
      </c>
      <c r="W404" s="2">
        <v>2</v>
      </c>
      <c r="X404" s="2">
        <v>20</v>
      </c>
      <c r="Y404" s="2">
        <v>30.259433962264151</v>
      </c>
    </row>
    <row r="405" spans="1:25" hidden="1">
      <c r="A405" s="2" t="s">
        <v>604</v>
      </c>
      <c r="B405" s="2" t="s">
        <v>149</v>
      </c>
      <c r="C405" s="2" t="s">
        <v>327</v>
      </c>
      <c r="D405" s="3">
        <v>45628.770833333343</v>
      </c>
      <c r="E405" s="3">
        <v>45628.784722222219</v>
      </c>
      <c r="F405" s="2">
        <v>20</v>
      </c>
      <c r="G405" s="2" t="s">
        <v>159</v>
      </c>
      <c r="H405" s="2" t="s">
        <v>160</v>
      </c>
      <c r="I405" s="2">
        <v>2</v>
      </c>
      <c r="J405" s="2">
        <v>2</v>
      </c>
      <c r="K405" s="2" t="s">
        <v>161</v>
      </c>
      <c r="L405" s="2" t="s">
        <v>162</v>
      </c>
      <c r="M405" s="2" t="b">
        <v>1</v>
      </c>
      <c r="N405" s="2" t="b">
        <v>0</v>
      </c>
      <c r="O405" s="2">
        <v>10</v>
      </c>
      <c r="P405" s="2">
        <v>1</v>
      </c>
      <c r="Q405" s="2" t="s">
        <v>603</v>
      </c>
      <c r="R405" s="2" t="s">
        <v>147</v>
      </c>
      <c r="S405" s="2">
        <v>4.8</v>
      </c>
      <c r="T405" s="2">
        <v>15.2</v>
      </c>
      <c r="U405" s="2" t="b">
        <v>0</v>
      </c>
      <c r="V405" s="2">
        <v>2</v>
      </c>
      <c r="W405" s="2">
        <v>1</v>
      </c>
      <c r="X405" s="2">
        <v>18</v>
      </c>
      <c r="Y405" s="2">
        <v>28.186274509803919</v>
      </c>
    </row>
    <row r="406" spans="1:25" hidden="1">
      <c r="A406" s="2" t="s">
        <v>605</v>
      </c>
      <c r="B406" s="2" t="s">
        <v>165</v>
      </c>
      <c r="C406" s="2" t="s">
        <v>329</v>
      </c>
      <c r="D406" s="3">
        <v>45629.822916666657</v>
      </c>
      <c r="E406" s="3">
        <v>45629.850694444453</v>
      </c>
      <c r="F406" s="2">
        <v>40</v>
      </c>
      <c r="G406" s="2" t="s">
        <v>167</v>
      </c>
      <c r="H406" s="2" t="s">
        <v>594</v>
      </c>
      <c r="I406" s="2">
        <v>5</v>
      </c>
      <c r="J406" s="2">
        <v>7.5</v>
      </c>
      <c r="K406" s="2" t="s">
        <v>153</v>
      </c>
      <c r="L406" s="2" t="s">
        <v>504</v>
      </c>
      <c r="M406" s="2" t="b">
        <v>1</v>
      </c>
      <c r="N406" s="2" t="b">
        <v>0</v>
      </c>
      <c r="O406" s="2">
        <v>5.333333333333333</v>
      </c>
      <c r="P406" s="2">
        <v>0.66666666666666663</v>
      </c>
      <c r="Q406" s="2" t="s">
        <v>603</v>
      </c>
      <c r="R406" s="2" t="s">
        <v>171</v>
      </c>
      <c r="S406" s="2">
        <v>18</v>
      </c>
      <c r="T406" s="2">
        <v>22</v>
      </c>
      <c r="U406" s="2" t="b">
        <v>1</v>
      </c>
      <c r="V406" s="2">
        <v>20</v>
      </c>
      <c r="W406" s="2">
        <v>3</v>
      </c>
      <c r="X406" s="2">
        <v>19</v>
      </c>
      <c r="Y406" s="2">
        <v>29.948453608247419</v>
      </c>
    </row>
    <row r="407" spans="1:25" hidden="1">
      <c r="A407" s="2" t="s">
        <v>606</v>
      </c>
      <c r="B407" s="2" t="s">
        <v>157</v>
      </c>
      <c r="C407" s="2" t="s">
        <v>182</v>
      </c>
      <c r="D407" s="3">
        <v>45630.75</v>
      </c>
      <c r="E407" s="3">
        <v>45630.770833333343</v>
      </c>
      <c r="F407" s="2">
        <v>30</v>
      </c>
      <c r="G407" s="2" t="s">
        <v>143</v>
      </c>
      <c r="H407" s="2" t="s">
        <v>152</v>
      </c>
      <c r="I407" s="2">
        <v>3</v>
      </c>
      <c r="J407" s="2">
        <v>4</v>
      </c>
      <c r="K407" s="2" t="s">
        <v>143</v>
      </c>
      <c r="L407" s="2" t="s">
        <v>162</v>
      </c>
      <c r="M407" s="2" t="b">
        <v>1</v>
      </c>
      <c r="N407" s="2" t="b">
        <v>0</v>
      </c>
      <c r="O407" s="2">
        <v>7.5</v>
      </c>
      <c r="P407" s="2">
        <v>0.75</v>
      </c>
      <c r="Q407" s="2" t="s">
        <v>603</v>
      </c>
      <c r="R407" s="2" t="s">
        <v>147</v>
      </c>
      <c r="S407" s="2">
        <v>9.6</v>
      </c>
      <c r="T407" s="2">
        <v>20.399999999999999</v>
      </c>
      <c r="U407" s="2" t="b">
        <v>0</v>
      </c>
      <c r="V407" s="2">
        <v>6</v>
      </c>
      <c r="W407" s="2">
        <v>2</v>
      </c>
      <c r="X407" s="2">
        <v>18</v>
      </c>
      <c r="Y407" s="2">
        <v>28.844221105527641</v>
      </c>
    </row>
    <row r="408" spans="1:25" hidden="1">
      <c r="A408" s="2" t="s">
        <v>607</v>
      </c>
      <c r="B408" s="2" t="s">
        <v>173</v>
      </c>
      <c r="C408" s="2" t="s">
        <v>327</v>
      </c>
      <c r="D408" s="3">
        <v>45631.84375</v>
      </c>
      <c r="E408" s="3">
        <v>45631.875</v>
      </c>
      <c r="F408" s="2">
        <v>45</v>
      </c>
      <c r="G408" s="2" t="s">
        <v>151</v>
      </c>
      <c r="H408" s="2" t="s">
        <v>144</v>
      </c>
      <c r="I408" s="2">
        <v>4</v>
      </c>
      <c r="J408" s="2">
        <v>9</v>
      </c>
      <c r="K408" s="2" t="s">
        <v>153</v>
      </c>
      <c r="L408" s="2" t="s">
        <v>169</v>
      </c>
      <c r="M408" s="2" t="b">
        <v>1</v>
      </c>
      <c r="N408" s="2" t="b">
        <v>0</v>
      </c>
      <c r="O408" s="2">
        <v>5</v>
      </c>
      <c r="P408" s="2">
        <v>0.44444444444444442</v>
      </c>
      <c r="Q408" s="2" t="s">
        <v>603</v>
      </c>
      <c r="R408" s="2" t="s">
        <v>171</v>
      </c>
      <c r="S408" s="2">
        <v>21.6</v>
      </c>
      <c r="T408" s="2">
        <v>23.4</v>
      </c>
      <c r="U408" s="2" t="b">
        <v>1</v>
      </c>
      <c r="V408" s="2">
        <v>12</v>
      </c>
      <c r="W408" s="2">
        <v>3</v>
      </c>
      <c r="X408" s="2">
        <v>20</v>
      </c>
      <c r="Y408" s="2">
        <v>30.286458333333329</v>
      </c>
    </row>
    <row r="409" spans="1:25" hidden="1">
      <c r="A409" s="2" t="s">
        <v>608</v>
      </c>
      <c r="B409" s="2" t="s">
        <v>142</v>
      </c>
      <c r="C409" s="2" t="s">
        <v>333</v>
      </c>
      <c r="D409" s="3">
        <v>45632.75</v>
      </c>
      <c r="E409" s="3">
        <v>45632.763888888891</v>
      </c>
      <c r="F409" s="2">
        <v>20</v>
      </c>
      <c r="G409" s="2" t="s">
        <v>143</v>
      </c>
      <c r="H409" s="2" t="s">
        <v>144</v>
      </c>
      <c r="I409" s="2">
        <v>2</v>
      </c>
      <c r="J409" s="2">
        <v>3</v>
      </c>
      <c r="K409" s="2" t="s">
        <v>161</v>
      </c>
      <c r="L409" s="2" t="s">
        <v>145</v>
      </c>
      <c r="M409" s="2" t="b">
        <v>1</v>
      </c>
      <c r="N409" s="2" t="b">
        <v>0</v>
      </c>
      <c r="O409" s="2">
        <v>6.666666666666667</v>
      </c>
      <c r="P409" s="2">
        <v>0.66666666666666663</v>
      </c>
      <c r="Q409" s="2" t="s">
        <v>603</v>
      </c>
      <c r="R409" s="2" t="s">
        <v>147</v>
      </c>
      <c r="S409" s="2">
        <v>7.1999999999999993</v>
      </c>
      <c r="T409" s="2">
        <v>12.8</v>
      </c>
      <c r="U409" s="2" t="b">
        <v>0</v>
      </c>
      <c r="V409" s="2">
        <v>4</v>
      </c>
      <c r="W409" s="2">
        <v>1</v>
      </c>
      <c r="X409" s="2">
        <v>18</v>
      </c>
      <c r="Y409" s="2">
        <v>30.259433962264151</v>
      </c>
    </row>
    <row r="410" spans="1:25" hidden="1">
      <c r="A410" s="2" t="s">
        <v>609</v>
      </c>
      <c r="B410" s="2" t="s">
        <v>149</v>
      </c>
      <c r="C410" s="2" t="s">
        <v>335</v>
      </c>
      <c r="D410" s="3">
        <v>45633.802083333343</v>
      </c>
      <c r="E410" s="3">
        <v>45633.822916666657</v>
      </c>
      <c r="F410" s="2">
        <v>30</v>
      </c>
      <c r="G410" s="2" t="s">
        <v>151</v>
      </c>
      <c r="H410" s="2" t="s">
        <v>152</v>
      </c>
      <c r="I410" s="2">
        <v>4</v>
      </c>
      <c r="J410" s="2">
        <v>6</v>
      </c>
      <c r="K410" s="2" t="s">
        <v>143</v>
      </c>
      <c r="L410" s="2" t="s">
        <v>154</v>
      </c>
      <c r="M410" s="2" t="b">
        <v>1</v>
      </c>
      <c r="N410" s="2" t="b">
        <v>1</v>
      </c>
      <c r="O410" s="2">
        <v>5</v>
      </c>
      <c r="P410" s="2">
        <v>0.66666666666666663</v>
      </c>
      <c r="Q410" s="2" t="s">
        <v>603</v>
      </c>
      <c r="R410" s="2" t="s">
        <v>147</v>
      </c>
      <c r="S410" s="2">
        <v>14.4</v>
      </c>
      <c r="T410" s="2">
        <v>15.6</v>
      </c>
      <c r="U410" s="2" t="b">
        <v>0</v>
      </c>
      <c r="V410" s="2">
        <v>12</v>
      </c>
      <c r="W410" s="2">
        <v>2</v>
      </c>
      <c r="X410" s="2">
        <v>19</v>
      </c>
      <c r="Y410" s="2">
        <v>28.186274509803919</v>
      </c>
    </row>
    <row r="411" spans="1:25" hidden="1">
      <c r="A411" s="2" t="s">
        <v>610</v>
      </c>
      <c r="B411" s="2" t="s">
        <v>165</v>
      </c>
      <c r="C411" s="2" t="s">
        <v>337</v>
      </c>
      <c r="D411" s="3">
        <v>45634.854166666657</v>
      </c>
      <c r="E411" s="3">
        <v>45634.881944444453</v>
      </c>
      <c r="F411" s="2">
        <v>40</v>
      </c>
      <c r="G411" s="2" t="s">
        <v>167</v>
      </c>
      <c r="H411" s="2" t="s">
        <v>168</v>
      </c>
      <c r="I411" s="2">
        <v>5</v>
      </c>
      <c r="J411" s="2">
        <v>8</v>
      </c>
      <c r="K411" s="2" t="s">
        <v>153</v>
      </c>
      <c r="L411" s="2" t="s">
        <v>504</v>
      </c>
      <c r="M411" s="2" t="b">
        <v>1</v>
      </c>
      <c r="N411" s="2" t="b">
        <v>1</v>
      </c>
      <c r="O411" s="2">
        <v>5</v>
      </c>
      <c r="P411" s="2">
        <v>0.625</v>
      </c>
      <c r="Q411" s="2" t="s">
        <v>603</v>
      </c>
      <c r="R411" s="2" t="s">
        <v>171</v>
      </c>
      <c r="S411" s="2">
        <v>19.2</v>
      </c>
      <c r="T411" s="2">
        <v>20.8</v>
      </c>
      <c r="U411" s="2" t="b">
        <v>1</v>
      </c>
      <c r="V411" s="2">
        <v>20</v>
      </c>
      <c r="W411" s="2">
        <v>3</v>
      </c>
      <c r="X411" s="2">
        <v>20</v>
      </c>
      <c r="Y411" s="2">
        <v>29.948453608247419</v>
      </c>
    </row>
    <row r="412" spans="1:25" hidden="1">
      <c r="A412" s="2" t="s">
        <v>611</v>
      </c>
      <c r="B412" s="2" t="s">
        <v>157</v>
      </c>
      <c r="C412" s="2" t="s">
        <v>339</v>
      </c>
      <c r="D412" s="3">
        <v>45635.78125</v>
      </c>
      <c r="E412" s="3">
        <v>45635.795138888891</v>
      </c>
      <c r="F412" s="2">
        <v>20</v>
      </c>
      <c r="G412" s="2" t="s">
        <v>159</v>
      </c>
      <c r="H412" s="2" t="s">
        <v>160</v>
      </c>
      <c r="I412" s="2">
        <v>1</v>
      </c>
      <c r="J412" s="2">
        <v>2.5</v>
      </c>
      <c r="K412" s="2" t="s">
        <v>161</v>
      </c>
      <c r="L412" s="2" t="s">
        <v>169</v>
      </c>
      <c r="M412" s="2" t="b">
        <v>1</v>
      </c>
      <c r="N412" s="2" t="b">
        <v>0</v>
      </c>
      <c r="O412" s="2">
        <v>8</v>
      </c>
      <c r="P412" s="2">
        <v>0.4</v>
      </c>
      <c r="Q412" s="2" t="s">
        <v>603</v>
      </c>
      <c r="R412" s="2" t="s">
        <v>171</v>
      </c>
      <c r="S412" s="2">
        <v>6</v>
      </c>
      <c r="T412" s="2">
        <v>14</v>
      </c>
      <c r="U412" s="2" t="b">
        <v>0</v>
      </c>
      <c r="V412" s="2">
        <v>1</v>
      </c>
      <c r="W412" s="2">
        <v>1</v>
      </c>
      <c r="X412" s="2">
        <v>18</v>
      </c>
      <c r="Y412" s="2">
        <v>28.844221105527641</v>
      </c>
    </row>
    <row r="413" spans="1:25" hidden="1">
      <c r="A413" s="2" t="s">
        <v>612</v>
      </c>
      <c r="B413" s="2" t="s">
        <v>173</v>
      </c>
      <c r="C413" s="2" t="s">
        <v>194</v>
      </c>
      <c r="D413" s="3">
        <v>45636.791666666657</v>
      </c>
      <c r="E413" s="3">
        <v>45636.826388888891</v>
      </c>
      <c r="F413" s="2">
        <v>50</v>
      </c>
      <c r="G413" s="2" t="s">
        <v>151</v>
      </c>
      <c r="H413" s="2" t="s">
        <v>152</v>
      </c>
      <c r="I413" s="2">
        <v>4</v>
      </c>
      <c r="J413" s="2">
        <v>10</v>
      </c>
      <c r="K413" s="2" t="s">
        <v>153</v>
      </c>
      <c r="L413" s="2" t="s">
        <v>145</v>
      </c>
      <c r="M413" s="2" t="b">
        <v>1</v>
      </c>
      <c r="N413" s="2" t="b">
        <v>0</v>
      </c>
      <c r="O413" s="2">
        <v>5</v>
      </c>
      <c r="P413" s="2">
        <v>0.4</v>
      </c>
      <c r="Q413" s="2" t="s">
        <v>603</v>
      </c>
      <c r="R413" s="2" t="s">
        <v>147</v>
      </c>
      <c r="S413" s="2">
        <v>24</v>
      </c>
      <c r="T413" s="2">
        <v>26</v>
      </c>
      <c r="U413" s="2" t="b">
        <v>1</v>
      </c>
      <c r="V413" s="2">
        <v>12</v>
      </c>
      <c r="W413" s="2">
        <v>3</v>
      </c>
      <c r="X413" s="2">
        <v>19</v>
      </c>
      <c r="Y413" s="2">
        <v>30.286458333333329</v>
      </c>
    </row>
    <row r="414" spans="1:25" hidden="1">
      <c r="A414" s="2" t="s">
        <v>613</v>
      </c>
      <c r="B414" s="2" t="s">
        <v>142</v>
      </c>
      <c r="C414" s="2" t="s">
        <v>40</v>
      </c>
      <c r="D414" s="3">
        <v>45637.75</v>
      </c>
      <c r="E414" s="3">
        <v>45637.763888888891</v>
      </c>
      <c r="F414" s="2">
        <v>20</v>
      </c>
      <c r="G414" s="2" t="s">
        <v>143</v>
      </c>
      <c r="H414" s="2" t="s">
        <v>144</v>
      </c>
      <c r="I414" s="2">
        <v>2</v>
      </c>
      <c r="J414" s="2">
        <v>3</v>
      </c>
      <c r="K414" s="2" t="s">
        <v>161</v>
      </c>
      <c r="L414" s="2" t="s">
        <v>342</v>
      </c>
      <c r="M414" s="2" t="b">
        <v>1</v>
      </c>
      <c r="N414" s="2" t="b">
        <v>0</v>
      </c>
      <c r="O414" s="2">
        <v>6.666666666666667</v>
      </c>
      <c r="P414" s="2">
        <v>0.66666666666666663</v>
      </c>
      <c r="Q414" s="2" t="s">
        <v>603</v>
      </c>
      <c r="R414" s="2" t="s">
        <v>171</v>
      </c>
      <c r="S414" s="2">
        <v>7.1999999999999993</v>
      </c>
      <c r="T414" s="2">
        <v>12.8</v>
      </c>
      <c r="U414" s="2" t="b">
        <v>0</v>
      </c>
      <c r="V414" s="2">
        <v>4</v>
      </c>
      <c r="W414" s="2">
        <v>1</v>
      </c>
      <c r="X414" s="2">
        <v>18</v>
      </c>
      <c r="Y414" s="2">
        <v>30.259433962264151</v>
      </c>
    </row>
    <row r="415" spans="1:25" hidden="1">
      <c r="A415" s="2" t="s">
        <v>614</v>
      </c>
      <c r="B415" s="2" t="s">
        <v>142</v>
      </c>
      <c r="C415" s="2" t="s">
        <v>166</v>
      </c>
      <c r="D415" s="3">
        <v>45638.833333333343</v>
      </c>
      <c r="E415" s="3">
        <v>45638.847222222219</v>
      </c>
      <c r="F415" s="2">
        <v>20</v>
      </c>
      <c r="G415" s="2" t="s">
        <v>143</v>
      </c>
      <c r="H415" s="2" t="s">
        <v>615</v>
      </c>
      <c r="I415" s="2">
        <v>2</v>
      </c>
      <c r="J415" s="2">
        <v>3</v>
      </c>
      <c r="K415" s="2" t="s">
        <v>161</v>
      </c>
      <c r="L415" s="2" t="s">
        <v>145</v>
      </c>
      <c r="M415" s="2" t="b">
        <v>1</v>
      </c>
      <c r="N415" s="2" t="b">
        <v>0</v>
      </c>
      <c r="O415" s="2">
        <v>6.666666666666667</v>
      </c>
      <c r="P415" s="2">
        <v>0.66666666666666663</v>
      </c>
      <c r="Q415" s="2" t="s">
        <v>603</v>
      </c>
      <c r="R415" s="2" t="s">
        <v>147</v>
      </c>
      <c r="S415" s="2">
        <v>7.1999999999999993</v>
      </c>
      <c r="T415" s="2">
        <v>12.8</v>
      </c>
      <c r="U415" s="2" t="b">
        <v>0</v>
      </c>
      <c r="V415" s="2">
        <v>4</v>
      </c>
      <c r="W415" s="2">
        <v>1</v>
      </c>
      <c r="X415" s="2">
        <v>20</v>
      </c>
      <c r="Y415" s="2">
        <v>30.259433962264151</v>
      </c>
    </row>
    <row r="416" spans="1:25" hidden="1">
      <c r="A416" s="2" t="s">
        <v>616</v>
      </c>
      <c r="B416" s="2" t="s">
        <v>149</v>
      </c>
      <c r="C416" s="2" t="s">
        <v>158</v>
      </c>
      <c r="D416" s="3">
        <v>45639.802083333343</v>
      </c>
      <c r="E416" s="3">
        <v>45639.822916666657</v>
      </c>
      <c r="F416" s="2">
        <v>30</v>
      </c>
      <c r="G416" s="2" t="s">
        <v>151</v>
      </c>
      <c r="H416" s="2" t="s">
        <v>617</v>
      </c>
      <c r="I416" s="2">
        <v>4</v>
      </c>
      <c r="J416" s="2">
        <v>6</v>
      </c>
      <c r="K416" s="2" t="s">
        <v>143</v>
      </c>
      <c r="L416" s="2" t="s">
        <v>162</v>
      </c>
      <c r="M416" s="2" t="b">
        <v>1</v>
      </c>
      <c r="N416" s="2" t="b">
        <v>0</v>
      </c>
      <c r="O416" s="2">
        <v>5</v>
      </c>
      <c r="P416" s="2">
        <v>0.66666666666666663</v>
      </c>
      <c r="Q416" s="2" t="s">
        <v>603</v>
      </c>
      <c r="R416" s="2" t="s">
        <v>147</v>
      </c>
      <c r="S416" s="2">
        <v>14.4</v>
      </c>
      <c r="T416" s="2">
        <v>15.6</v>
      </c>
      <c r="U416" s="2" t="b">
        <v>0</v>
      </c>
      <c r="V416" s="2">
        <v>12</v>
      </c>
      <c r="W416" s="2">
        <v>2</v>
      </c>
      <c r="X416" s="2">
        <v>19</v>
      </c>
      <c r="Y416" s="2">
        <v>28.186274509803919</v>
      </c>
    </row>
    <row r="417" spans="1:25" hidden="1">
      <c r="A417" s="2" t="s">
        <v>618</v>
      </c>
      <c r="B417" s="2" t="s">
        <v>165</v>
      </c>
      <c r="C417" s="2" t="s">
        <v>150</v>
      </c>
      <c r="D417" s="3">
        <v>45640.854166666657</v>
      </c>
      <c r="E417" s="3">
        <v>45640.881944444453</v>
      </c>
      <c r="F417" s="2">
        <v>40</v>
      </c>
      <c r="G417" s="2" t="s">
        <v>167</v>
      </c>
      <c r="H417" s="2" t="s">
        <v>168</v>
      </c>
      <c r="I417" s="2">
        <v>5</v>
      </c>
      <c r="J417" s="2">
        <v>8</v>
      </c>
      <c r="K417" s="2" t="s">
        <v>153</v>
      </c>
      <c r="L417" s="2" t="s">
        <v>504</v>
      </c>
      <c r="M417" s="2" t="b">
        <v>1</v>
      </c>
      <c r="N417" s="2" t="b">
        <v>1</v>
      </c>
      <c r="O417" s="2">
        <v>5</v>
      </c>
      <c r="P417" s="2">
        <v>0.625</v>
      </c>
      <c r="Q417" s="2" t="s">
        <v>603</v>
      </c>
      <c r="R417" s="2" t="s">
        <v>171</v>
      </c>
      <c r="S417" s="2">
        <v>19.2</v>
      </c>
      <c r="T417" s="2">
        <v>20.8</v>
      </c>
      <c r="U417" s="2" t="b">
        <v>1</v>
      </c>
      <c r="V417" s="2">
        <v>20</v>
      </c>
      <c r="W417" s="2">
        <v>3</v>
      </c>
      <c r="X417" s="2">
        <v>20</v>
      </c>
      <c r="Y417" s="2">
        <v>29.948453608247419</v>
      </c>
    </row>
    <row r="418" spans="1:25" hidden="1">
      <c r="A418" s="2" t="s">
        <v>619</v>
      </c>
      <c r="B418" s="2" t="s">
        <v>157</v>
      </c>
      <c r="C418" s="2" t="s">
        <v>184</v>
      </c>
      <c r="D418" s="3">
        <v>45641.78125</v>
      </c>
      <c r="E418" s="3">
        <v>45641.795138888891</v>
      </c>
      <c r="F418" s="2">
        <v>20</v>
      </c>
      <c r="G418" s="2" t="s">
        <v>159</v>
      </c>
      <c r="H418" s="2" t="s">
        <v>160</v>
      </c>
      <c r="I418" s="2">
        <v>1</v>
      </c>
      <c r="J418" s="2">
        <v>2.5</v>
      </c>
      <c r="K418" s="2" t="s">
        <v>161</v>
      </c>
      <c r="L418" s="2" t="s">
        <v>169</v>
      </c>
      <c r="M418" s="2" t="b">
        <v>1</v>
      </c>
      <c r="N418" s="2" t="b">
        <v>1</v>
      </c>
      <c r="O418" s="2">
        <v>8</v>
      </c>
      <c r="P418" s="2">
        <v>0.4</v>
      </c>
      <c r="Q418" s="2" t="s">
        <v>603</v>
      </c>
      <c r="R418" s="2" t="s">
        <v>171</v>
      </c>
      <c r="S418" s="2">
        <v>6</v>
      </c>
      <c r="T418" s="2">
        <v>14</v>
      </c>
      <c r="U418" s="2" t="b">
        <v>0</v>
      </c>
      <c r="V418" s="2">
        <v>1</v>
      </c>
      <c r="W418" s="2">
        <v>1</v>
      </c>
      <c r="X418" s="2">
        <v>18</v>
      </c>
      <c r="Y418" s="2">
        <v>28.844221105527641</v>
      </c>
    </row>
    <row r="419" spans="1:25" hidden="1">
      <c r="A419" s="2" t="s">
        <v>620</v>
      </c>
      <c r="B419" s="2" t="s">
        <v>173</v>
      </c>
      <c r="C419" s="2" t="s">
        <v>186</v>
      </c>
      <c r="D419" s="3">
        <v>45642.791666666657</v>
      </c>
      <c r="E419" s="3">
        <v>45642.826388888891</v>
      </c>
      <c r="F419" s="2">
        <v>50</v>
      </c>
      <c r="G419" s="2" t="s">
        <v>151</v>
      </c>
      <c r="H419" s="2" t="s">
        <v>152</v>
      </c>
      <c r="I419" s="2">
        <v>4</v>
      </c>
      <c r="J419" s="2">
        <v>10</v>
      </c>
      <c r="K419" s="2" t="s">
        <v>153</v>
      </c>
      <c r="L419" s="2" t="s">
        <v>145</v>
      </c>
      <c r="M419" s="2" t="b">
        <v>1</v>
      </c>
      <c r="N419" s="2" t="b">
        <v>0</v>
      </c>
      <c r="O419" s="2">
        <v>5</v>
      </c>
      <c r="P419" s="2">
        <v>0.4</v>
      </c>
      <c r="Q419" s="2" t="s">
        <v>603</v>
      </c>
      <c r="R419" s="2" t="s">
        <v>147</v>
      </c>
      <c r="S419" s="2">
        <v>24</v>
      </c>
      <c r="T419" s="2">
        <v>26</v>
      </c>
      <c r="U419" s="2" t="b">
        <v>1</v>
      </c>
      <c r="V419" s="2">
        <v>12</v>
      </c>
      <c r="W419" s="2">
        <v>3</v>
      </c>
      <c r="X419" s="2">
        <v>19</v>
      </c>
      <c r="Y419" s="2">
        <v>30.286458333333329</v>
      </c>
    </row>
    <row r="420" spans="1:25" hidden="1">
      <c r="A420" s="2" t="s">
        <v>621</v>
      </c>
      <c r="B420" s="2" t="s">
        <v>142</v>
      </c>
      <c r="C420" s="2" t="s">
        <v>166</v>
      </c>
      <c r="D420" s="3">
        <v>45643.833333333343</v>
      </c>
      <c r="E420" s="3">
        <v>45643.857638888891</v>
      </c>
      <c r="F420" s="2">
        <v>35</v>
      </c>
      <c r="G420" s="2" t="s">
        <v>143</v>
      </c>
      <c r="H420" s="2" t="s">
        <v>591</v>
      </c>
      <c r="I420" s="2">
        <v>3</v>
      </c>
      <c r="J420" s="2">
        <v>5.5</v>
      </c>
      <c r="K420" s="2" t="s">
        <v>143</v>
      </c>
      <c r="L420" s="2" t="s">
        <v>154</v>
      </c>
      <c r="M420" s="2" t="b">
        <v>1</v>
      </c>
      <c r="N420" s="2" t="b">
        <v>0</v>
      </c>
      <c r="O420" s="2">
        <v>6.3636363636363633</v>
      </c>
      <c r="P420" s="2">
        <v>0.54545454545454541</v>
      </c>
      <c r="Q420" s="2" t="s">
        <v>603</v>
      </c>
      <c r="R420" s="2" t="s">
        <v>147</v>
      </c>
      <c r="S420" s="2">
        <v>13.2</v>
      </c>
      <c r="T420" s="2">
        <v>21.8</v>
      </c>
      <c r="U420" s="2" t="b">
        <v>1</v>
      </c>
      <c r="V420" s="2">
        <v>6</v>
      </c>
      <c r="W420" s="2">
        <v>2</v>
      </c>
      <c r="X420" s="2">
        <v>20</v>
      </c>
      <c r="Y420" s="2">
        <v>30.259433962264151</v>
      </c>
    </row>
    <row r="421" spans="1:25" hidden="1">
      <c r="A421" s="2" t="s">
        <v>622</v>
      </c>
      <c r="B421" s="2" t="s">
        <v>149</v>
      </c>
      <c r="C421" s="2" t="s">
        <v>192</v>
      </c>
      <c r="D421" s="3">
        <v>45644.770833333343</v>
      </c>
      <c r="E421" s="3">
        <v>45644.784722222219</v>
      </c>
      <c r="F421" s="2">
        <v>20</v>
      </c>
      <c r="G421" s="2" t="s">
        <v>159</v>
      </c>
      <c r="H421" s="2" t="s">
        <v>160</v>
      </c>
      <c r="I421" s="2">
        <v>2</v>
      </c>
      <c r="J421" s="2">
        <v>2</v>
      </c>
      <c r="K421" s="2" t="s">
        <v>161</v>
      </c>
      <c r="L421" s="2" t="s">
        <v>162</v>
      </c>
      <c r="M421" s="2" t="b">
        <v>1</v>
      </c>
      <c r="N421" s="2" t="b">
        <v>0</v>
      </c>
      <c r="O421" s="2">
        <v>10</v>
      </c>
      <c r="P421" s="2">
        <v>1</v>
      </c>
      <c r="Q421" s="2" t="s">
        <v>603</v>
      </c>
      <c r="R421" s="2" t="s">
        <v>147</v>
      </c>
      <c r="S421" s="2">
        <v>4.8</v>
      </c>
      <c r="T421" s="2">
        <v>15.2</v>
      </c>
      <c r="U421" s="2" t="b">
        <v>0</v>
      </c>
      <c r="V421" s="2">
        <v>2</v>
      </c>
      <c r="W421" s="2">
        <v>1</v>
      </c>
      <c r="X421" s="2">
        <v>18</v>
      </c>
      <c r="Y421" s="2">
        <v>28.186274509803919</v>
      </c>
    </row>
    <row r="422" spans="1:25" hidden="1">
      <c r="A422" s="2" t="s">
        <v>623</v>
      </c>
      <c r="B422" s="2" t="s">
        <v>165</v>
      </c>
      <c r="C422" s="2" t="s">
        <v>194</v>
      </c>
      <c r="D422" s="3">
        <v>45645.822916666657</v>
      </c>
      <c r="E422" s="3">
        <v>45645.850694444453</v>
      </c>
      <c r="F422" s="2">
        <v>40</v>
      </c>
      <c r="G422" s="2" t="s">
        <v>167</v>
      </c>
      <c r="H422" s="2" t="s">
        <v>594</v>
      </c>
      <c r="I422" s="2">
        <v>5</v>
      </c>
      <c r="J422" s="2">
        <v>7.5</v>
      </c>
      <c r="K422" s="2" t="s">
        <v>153</v>
      </c>
      <c r="L422" s="2" t="s">
        <v>145</v>
      </c>
      <c r="M422" s="2" t="b">
        <v>1</v>
      </c>
      <c r="N422" s="2" t="b">
        <v>0</v>
      </c>
      <c r="O422" s="2">
        <v>5.333333333333333</v>
      </c>
      <c r="P422" s="2">
        <v>0.66666666666666663</v>
      </c>
      <c r="Q422" s="2" t="s">
        <v>603</v>
      </c>
      <c r="R422" s="2" t="s">
        <v>147</v>
      </c>
      <c r="S422" s="2">
        <v>18</v>
      </c>
      <c r="T422" s="2">
        <v>22</v>
      </c>
      <c r="U422" s="2" t="b">
        <v>1</v>
      </c>
      <c r="V422" s="2">
        <v>20</v>
      </c>
      <c r="W422" s="2">
        <v>3</v>
      </c>
      <c r="X422" s="2">
        <v>19</v>
      </c>
      <c r="Y422" s="2">
        <v>29.948453608247419</v>
      </c>
    </row>
    <row r="423" spans="1:25" hidden="1">
      <c r="A423" s="2" t="s">
        <v>624</v>
      </c>
      <c r="B423" s="2" t="s">
        <v>157</v>
      </c>
      <c r="C423" s="2" t="s">
        <v>174</v>
      </c>
      <c r="D423" s="3">
        <v>45646.75</v>
      </c>
      <c r="E423" s="3">
        <v>45646.770833333343</v>
      </c>
      <c r="F423" s="2">
        <v>30</v>
      </c>
      <c r="G423" s="2" t="s">
        <v>143</v>
      </c>
      <c r="H423" s="2" t="s">
        <v>152</v>
      </c>
      <c r="I423" s="2">
        <v>3</v>
      </c>
      <c r="J423" s="2">
        <v>4</v>
      </c>
      <c r="K423" s="2" t="s">
        <v>143</v>
      </c>
      <c r="L423" s="2" t="s">
        <v>145</v>
      </c>
      <c r="M423" s="2" t="b">
        <v>1</v>
      </c>
      <c r="N423" s="2" t="b">
        <v>0</v>
      </c>
      <c r="O423" s="2">
        <v>7.5</v>
      </c>
      <c r="P423" s="2">
        <v>0.75</v>
      </c>
      <c r="Q423" s="2" t="s">
        <v>603</v>
      </c>
      <c r="R423" s="2" t="s">
        <v>147</v>
      </c>
      <c r="S423" s="2">
        <v>9.6</v>
      </c>
      <c r="T423" s="2">
        <v>20.399999999999999</v>
      </c>
      <c r="U423" s="2" t="b">
        <v>0</v>
      </c>
      <c r="V423" s="2">
        <v>6</v>
      </c>
      <c r="W423" s="2">
        <v>2</v>
      </c>
      <c r="X423" s="2">
        <v>18</v>
      </c>
      <c r="Y423" s="2">
        <v>28.844221105527641</v>
      </c>
    </row>
    <row r="424" spans="1:25" hidden="1">
      <c r="A424" s="2" t="s">
        <v>625</v>
      </c>
      <c r="B424" s="2" t="s">
        <v>173</v>
      </c>
      <c r="C424" s="2" t="s">
        <v>190</v>
      </c>
      <c r="D424" s="3">
        <v>45647.84375</v>
      </c>
      <c r="E424" s="3">
        <v>45647.875</v>
      </c>
      <c r="F424" s="2">
        <v>45</v>
      </c>
      <c r="G424" s="2" t="s">
        <v>151</v>
      </c>
      <c r="H424" s="2" t="s">
        <v>144</v>
      </c>
      <c r="I424" s="2">
        <v>4</v>
      </c>
      <c r="J424" s="2">
        <v>9</v>
      </c>
      <c r="K424" s="2" t="s">
        <v>153</v>
      </c>
      <c r="L424" s="2" t="s">
        <v>154</v>
      </c>
      <c r="M424" s="2" t="b">
        <v>1</v>
      </c>
      <c r="N424" s="2" t="b">
        <v>1</v>
      </c>
      <c r="O424" s="2">
        <v>5</v>
      </c>
      <c r="P424" s="2">
        <v>0.44444444444444442</v>
      </c>
      <c r="Q424" s="2" t="s">
        <v>603</v>
      </c>
      <c r="R424" s="2" t="s">
        <v>147</v>
      </c>
      <c r="S424" s="2">
        <v>21.6</v>
      </c>
      <c r="T424" s="2">
        <v>23.4</v>
      </c>
      <c r="U424" s="2" t="b">
        <v>1</v>
      </c>
      <c r="V424" s="2">
        <v>12</v>
      </c>
      <c r="W424" s="2">
        <v>3</v>
      </c>
      <c r="X424" s="2">
        <v>20</v>
      </c>
      <c r="Y424" s="2">
        <v>30.286458333333329</v>
      </c>
    </row>
    <row r="425" spans="1:25" hidden="1">
      <c r="A425" s="2" t="s">
        <v>626</v>
      </c>
      <c r="B425" s="2" t="s">
        <v>142</v>
      </c>
      <c r="C425" s="2" t="s">
        <v>166</v>
      </c>
      <c r="D425" s="3">
        <v>45638.833333333343</v>
      </c>
      <c r="E425" s="3">
        <v>45638.847222222219</v>
      </c>
      <c r="F425" s="2">
        <v>20</v>
      </c>
      <c r="G425" s="2" t="s">
        <v>143</v>
      </c>
      <c r="H425" s="2" t="s">
        <v>615</v>
      </c>
      <c r="I425" s="2">
        <v>2</v>
      </c>
      <c r="J425" s="2">
        <v>3</v>
      </c>
      <c r="K425" s="2" t="s">
        <v>161</v>
      </c>
      <c r="L425" s="2" t="s">
        <v>145</v>
      </c>
      <c r="M425" s="2" t="b">
        <v>1</v>
      </c>
      <c r="N425" s="2" t="b">
        <v>0</v>
      </c>
      <c r="O425" s="2">
        <v>6.666666666666667</v>
      </c>
      <c r="P425" s="2">
        <v>0.66666666666666663</v>
      </c>
      <c r="Q425" s="2" t="s">
        <v>603</v>
      </c>
      <c r="R425" s="2" t="s">
        <v>147</v>
      </c>
      <c r="S425" s="2">
        <v>7.1999999999999993</v>
      </c>
      <c r="T425" s="2">
        <v>12.8</v>
      </c>
      <c r="U425" s="2" t="b">
        <v>0</v>
      </c>
      <c r="V425" s="2">
        <v>4</v>
      </c>
      <c r="W425" s="2">
        <v>1</v>
      </c>
      <c r="X425" s="2">
        <v>20</v>
      </c>
      <c r="Y425" s="2">
        <v>30.259433962264151</v>
      </c>
    </row>
    <row r="426" spans="1:25" hidden="1">
      <c r="A426" s="2" t="s">
        <v>627</v>
      </c>
      <c r="B426" s="2" t="s">
        <v>149</v>
      </c>
      <c r="C426" s="2" t="s">
        <v>158</v>
      </c>
      <c r="D426" s="3">
        <v>45639.802083333343</v>
      </c>
      <c r="E426" s="3">
        <v>45639.822916666657</v>
      </c>
      <c r="F426" s="2">
        <v>30</v>
      </c>
      <c r="G426" s="2" t="s">
        <v>151</v>
      </c>
      <c r="H426" s="2" t="s">
        <v>617</v>
      </c>
      <c r="I426" s="2">
        <v>4</v>
      </c>
      <c r="J426" s="2">
        <v>6</v>
      </c>
      <c r="K426" s="2" t="s">
        <v>143</v>
      </c>
      <c r="L426" s="2" t="s">
        <v>162</v>
      </c>
      <c r="M426" s="2" t="b">
        <v>1</v>
      </c>
      <c r="N426" s="2" t="b">
        <v>0</v>
      </c>
      <c r="O426" s="2">
        <v>5</v>
      </c>
      <c r="P426" s="2">
        <v>0.66666666666666663</v>
      </c>
      <c r="Q426" s="2" t="s">
        <v>603</v>
      </c>
      <c r="R426" s="2" t="s">
        <v>147</v>
      </c>
      <c r="S426" s="2">
        <v>14.4</v>
      </c>
      <c r="T426" s="2">
        <v>15.6</v>
      </c>
      <c r="U426" s="2" t="b">
        <v>0</v>
      </c>
      <c r="V426" s="2">
        <v>12</v>
      </c>
      <c r="W426" s="2">
        <v>2</v>
      </c>
      <c r="X426" s="2">
        <v>19</v>
      </c>
      <c r="Y426" s="2">
        <v>28.186274509803919</v>
      </c>
    </row>
    <row r="427" spans="1:25" hidden="1">
      <c r="A427" s="2" t="s">
        <v>628</v>
      </c>
      <c r="B427" s="2" t="s">
        <v>165</v>
      </c>
      <c r="C427" s="2" t="s">
        <v>150</v>
      </c>
      <c r="D427" s="3">
        <v>45640.854166666657</v>
      </c>
      <c r="E427" s="3">
        <v>45640.881944444453</v>
      </c>
      <c r="F427" s="2">
        <v>40</v>
      </c>
      <c r="G427" s="2" t="s">
        <v>167</v>
      </c>
      <c r="H427" s="2" t="s">
        <v>168</v>
      </c>
      <c r="I427" s="2">
        <v>5</v>
      </c>
      <c r="J427" s="2">
        <v>8</v>
      </c>
      <c r="K427" s="2" t="s">
        <v>153</v>
      </c>
      <c r="L427" s="2" t="s">
        <v>504</v>
      </c>
      <c r="M427" s="2" t="b">
        <v>1</v>
      </c>
      <c r="N427" s="2" t="b">
        <v>1</v>
      </c>
      <c r="O427" s="2">
        <v>5</v>
      </c>
      <c r="P427" s="2">
        <v>0.625</v>
      </c>
      <c r="Q427" s="2" t="s">
        <v>603</v>
      </c>
      <c r="R427" s="2" t="s">
        <v>171</v>
      </c>
      <c r="S427" s="2">
        <v>19.2</v>
      </c>
      <c r="T427" s="2">
        <v>20.8</v>
      </c>
      <c r="U427" s="2" t="b">
        <v>1</v>
      </c>
      <c r="V427" s="2">
        <v>20</v>
      </c>
      <c r="W427" s="2">
        <v>3</v>
      </c>
      <c r="X427" s="2">
        <v>20</v>
      </c>
      <c r="Y427" s="2">
        <v>29.948453608247419</v>
      </c>
    </row>
    <row r="428" spans="1:25" hidden="1">
      <c r="A428" s="2" t="s">
        <v>629</v>
      </c>
      <c r="B428" s="2" t="s">
        <v>157</v>
      </c>
      <c r="C428" s="2" t="s">
        <v>184</v>
      </c>
      <c r="D428" s="3">
        <v>45641.78125</v>
      </c>
      <c r="E428" s="3">
        <v>45641.795138888891</v>
      </c>
      <c r="F428" s="2">
        <v>20</v>
      </c>
      <c r="G428" s="2" t="s">
        <v>159</v>
      </c>
      <c r="H428" s="2" t="s">
        <v>160</v>
      </c>
      <c r="I428" s="2">
        <v>1</v>
      </c>
      <c r="J428" s="2">
        <v>2.5</v>
      </c>
      <c r="K428" s="2" t="s">
        <v>161</v>
      </c>
      <c r="L428" s="2" t="s">
        <v>169</v>
      </c>
      <c r="M428" s="2" t="b">
        <v>1</v>
      </c>
      <c r="N428" s="2" t="b">
        <v>1</v>
      </c>
      <c r="O428" s="2">
        <v>8</v>
      </c>
      <c r="P428" s="2">
        <v>0.4</v>
      </c>
      <c r="Q428" s="2" t="s">
        <v>603</v>
      </c>
      <c r="R428" s="2" t="s">
        <v>171</v>
      </c>
      <c r="S428" s="2">
        <v>6</v>
      </c>
      <c r="T428" s="2">
        <v>14</v>
      </c>
      <c r="U428" s="2" t="b">
        <v>0</v>
      </c>
      <c r="V428" s="2">
        <v>1</v>
      </c>
      <c r="W428" s="2">
        <v>1</v>
      </c>
      <c r="X428" s="2">
        <v>18</v>
      </c>
      <c r="Y428" s="2">
        <v>28.844221105527641</v>
      </c>
    </row>
    <row r="429" spans="1:25" hidden="1">
      <c r="A429" s="2" t="s">
        <v>630</v>
      </c>
      <c r="B429" s="2" t="s">
        <v>173</v>
      </c>
      <c r="C429" s="2" t="s">
        <v>186</v>
      </c>
      <c r="D429" s="3">
        <v>45642.791666666657</v>
      </c>
      <c r="E429" s="3">
        <v>45642.826388888891</v>
      </c>
      <c r="F429" s="2">
        <v>50</v>
      </c>
      <c r="G429" s="2" t="s">
        <v>151</v>
      </c>
      <c r="H429" s="2" t="s">
        <v>152</v>
      </c>
      <c r="I429" s="2">
        <v>4</v>
      </c>
      <c r="J429" s="2">
        <v>10</v>
      </c>
      <c r="K429" s="2" t="s">
        <v>153</v>
      </c>
      <c r="L429" s="2" t="s">
        <v>145</v>
      </c>
      <c r="M429" s="2" t="b">
        <v>1</v>
      </c>
      <c r="N429" s="2" t="b">
        <v>0</v>
      </c>
      <c r="O429" s="2">
        <v>5</v>
      </c>
      <c r="P429" s="2">
        <v>0.4</v>
      </c>
      <c r="Q429" s="2" t="s">
        <v>603</v>
      </c>
      <c r="R429" s="2" t="s">
        <v>147</v>
      </c>
      <c r="S429" s="2">
        <v>24</v>
      </c>
      <c r="T429" s="2">
        <v>26</v>
      </c>
      <c r="U429" s="2" t="b">
        <v>1</v>
      </c>
      <c r="V429" s="2">
        <v>12</v>
      </c>
      <c r="W429" s="2">
        <v>3</v>
      </c>
      <c r="X429" s="2">
        <v>19</v>
      </c>
      <c r="Y429" s="2">
        <v>30.286458333333329</v>
      </c>
    </row>
    <row r="430" spans="1:25" hidden="1">
      <c r="A430" s="2" t="s">
        <v>631</v>
      </c>
      <c r="B430" s="2" t="s">
        <v>142</v>
      </c>
      <c r="C430" s="2" t="s">
        <v>166</v>
      </c>
      <c r="D430" s="3">
        <v>45643.833333333343</v>
      </c>
      <c r="E430" s="3">
        <v>45643.857638888891</v>
      </c>
      <c r="F430" s="2">
        <v>35</v>
      </c>
      <c r="G430" s="2" t="s">
        <v>143</v>
      </c>
      <c r="H430" s="2" t="s">
        <v>591</v>
      </c>
      <c r="I430" s="2">
        <v>3</v>
      </c>
      <c r="J430" s="2">
        <v>5.5</v>
      </c>
      <c r="K430" s="2" t="s">
        <v>143</v>
      </c>
      <c r="L430" s="2" t="s">
        <v>154</v>
      </c>
      <c r="M430" s="2" t="b">
        <v>1</v>
      </c>
      <c r="N430" s="2" t="b">
        <v>0</v>
      </c>
      <c r="O430" s="2">
        <v>6.3636363636363633</v>
      </c>
      <c r="P430" s="2">
        <v>0.54545454545454541</v>
      </c>
      <c r="Q430" s="2" t="s">
        <v>603</v>
      </c>
      <c r="R430" s="2" t="s">
        <v>147</v>
      </c>
      <c r="S430" s="2">
        <v>13.2</v>
      </c>
      <c r="T430" s="2">
        <v>21.8</v>
      </c>
      <c r="U430" s="2" t="b">
        <v>1</v>
      </c>
      <c r="V430" s="2">
        <v>6</v>
      </c>
      <c r="W430" s="2">
        <v>2</v>
      </c>
      <c r="X430" s="2">
        <v>20</v>
      </c>
      <c r="Y430" s="2">
        <v>30.259433962264151</v>
      </c>
    </row>
    <row r="431" spans="1:25" hidden="1">
      <c r="A431" s="2" t="s">
        <v>632</v>
      </c>
      <c r="B431" s="2" t="s">
        <v>149</v>
      </c>
      <c r="C431" s="2" t="s">
        <v>192</v>
      </c>
      <c r="D431" s="3">
        <v>45644.770833333343</v>
      </c>
      <c r="E431" s="3">
        <v>45644.784722222219</v>
      </c>
      <c r="F431" s="2">
        <v>20</v>
      </c>
      <c r="G431" s="2" t="s">
        <v>159</v>
      </c>
      <c r="H431" s="2" t="s">
        <v>160</v>
      </c>
      <c r="I431" s="2">
        <v>2</v>
      </c>
      <c r="J431" s="2">
        <v>2</v>
      </c>
      <c r="K431" s="2" t="s">
        <v>161</v>
      </c>
      <c r="L431" s="2" t="s">
        <v>162</v>
      </c>
      <c r="M431" s="2" t="b">
        <v>1</v>
      </c>
      <c r="N431" s="2" t="b">
        <v>0</v>
      </c>
      <c r="O431" s="2">
        <v>10</v>
      </c>
      <c r="P431" s="2">
        <v>1</v>
      </c>
      <c r="Q431" s="2" t="s">
        <v>603</v>
      </c>
      <c r="R431" s="2" t="s">
        <v>147</v>
      </c>
      <c r="S431" s="2">
        <v>4.8</v>
      </c>
      <c r="T431" s="2">
        <v>15.2</v>
      </c>
      <c r="U431" s="2" t="b">
        <v>0</v>
      </c>
      <c r="V431" s="2">
        <v>2</v>
      </c>
      <c r="W431" s="2">
        <v>1</v>
      </c>
      <c r="X431" s="2">
        <v>18</v>
      </c>
      <c r="Y431" s="2">
        <v>28.186274509803919</v>
      </c>
    </row>
    <row r="432" spans="1:25" hidden="1">
      <c r="A432" s="2" t="s">
        <v>633</v>
      </c>
      <c r="B432" s="2" t="s">
        <v>165</v>
      </c>
      <c r="C432" s="2" t="s">
        <v>194</v>
      </c>
      <c r="D432" s="3">
        <v>45645.822916666657</v>
      </c>
      <c r="E432" s="3">
        <v>45645.850694444453</v>
      </c>
      <c r="F432" s="2">
        <v>40</v>
      </c>
      <c r="G432" s="2" t="s">
        <v>167</v>
      </c>
      <c r="H432" s="2" t="s">
        <v>594</v>
      </c>
      <c r="I432" s="2">
        <v>5</v>
      </c>
      <c r="J432" s="2">
        <v>7.5</v>
      </c>
      <c r="K432" s="2" t="s">
        <v>153</v>
      </c>
      <c r="L432" s="2" t="s">
        <v>145</v>
      </c>
      <c r="M432" s="2" t="b">
        <v>1</v>
      </c>
      <c r="N432" s="2" t="b">
        <v>0</v>
      </c>
      <c r="O432" s="2">
        <v>5.333333333333333</v>
      </c>
      <c r="P432" s="2">
        <v>0.66666666666666663</v>
      </c>
      <c r="Q432" s="2" t="s">
        <v>603</v>
      </c>
      <c r="R432" s="2" t="s">
        <v>147</v>
      </c>
      <c r="S432" s="2">
        <v>18</v>
      </c>
      <c r="T432" s="2">
        <v>22</v>
      </c>
      <c r="U432" s="2" t="b">
        <v>1</v>
      </c>
      <c r="V432" s="2">
        <v>20</v>
      </c>
      <c r="W432" s="2">
        <v>3</v>
      </c>
      <c r="X432" s="2">
        <v>19</v>
      </c>
      <c r="Y432" s="2">
        <v>29.948453608247419</v>
      </c>
    </row>
    <row r="433" spans="1:25" hidden="1">
      <c r="A433" s="2" t="s">
        <v>634</v>
      </c>
      <c r="B433" s="2" t="s">
        <v>157</v>
      </c>
      <c r="C433" s="2" t="s">
        <v>174</v>
      </c>
      <c r="D433" s="3">
        <v>45646.75</v>
      </c>
      <c r="E433" s="3">
        <v>45646.770833333343</v>
      </c>
      <c r="F433" s="2">
        <v>30</v>
      </c>
      <c r="G433" s="2" t="s">
        <v>143</v>
      </c>
      <c r="H433" s="2" t="s">
        <v>152</v>
      </c>
      <c r="I433" s="2">
        <v>3</v>
      </c>
      <c r="J433" s="2">
        <v>4</v>
      </c>
      <c r="K433" s="2" t="s">
        <v>143</v>
      </c>
      <c r="L433" s="2" t="s">
        <v>145</v>
      </c>
      <c r="M433" s="2" t="b">
        <v>1</v>
      </c>
      <c r="N433" s="2" t="b">
        <v>0</v>
      </c>
      <c r="O433" s="2">
        <v>7.5</v>
      </c>
      <c r="P433" s="2">
        <v>0.75</v>
      </c>
      <c r="Q433" s="2" t="s">
        <v>603</v>
      </c>
      <c r="R433" s="2" t="s">
        <v>147</v>
      </c>
      <c r="S433" s="2">
        <v>9.6</v>
      </c>
      <c r="T433" s="2">
        <v>20.399999999999999</v>
      </c>
      <c r="U433" s="2" t="b">
        <v>0</v>
      </c>
      <c r="V433" s="2">
        <v>6</v>
      </c>
      <c r="W433" s="2">
        <v>2</v>
      </c>
      <c r="X433" s="2">
        <v>18</v>
      </c>
      <c r="Y433" s="2">
        <v>28.844221105527641</v>
      </c>
    </row>
    <row r="434" spans="1:25" hidden="1">
      <c r="A434" s="2" t="s">
        <v>635</v>
      </c>
      <c r="B434" s="2" t="s">
        <v>173</v>
      </c>
      <c r="C434" s="2" t="s">
        <v>190</v>
      </c>
      <c r="D434" s="3">
        <v>45647.84375</v>
      </c>
      <c r="E434" s="3">
        <v>45647.875</v>
      </c>
      <c r="F434" s="2">
        <v>45</v>
      </c>
      <c r="G434" s="2" t="s">
        <v>151</v>
      </c>
      <c r="H434" s="2" t="s">
        <v>144</v>
      </c>
      <c r="I434" s="2">
        <v>4</v>
      </c>
      <c r="J434" s="2">
        <v>9</v>
      </c>
      <c r="K434" s="2" t="s">
        <v>153</v>
      </c>
      <c r="L434" s="2" t="s">
        <v>154</v>
      </c>
      <c r="M434" s="2" t="b">
        <v>1</v>
      </c>
      <c r="N434" s="2" t="b">
        <v>1</v>
      </c>
      <c r="O434" s="2">
        <v>5</v>
      </c>
      <c r="P434" s="2">
        <v>0.44444444444444442</v>
      </c>
      <c r="Q434" s="2" t="s">
        <v>603</v>
      </c>
      <c r="R434" s="2" t="s">
        <v>147</v>
      </c>
      <c r="S434" s="2">
        <v>21.6</v>
      </c>
      <c r="T434" s="2">
        <v>23.4</v>
      </c>
      <c r="U434" s="2" t="b">
        <v>1</v>
      </c>
      <c r="V434" s="2">
        <v>12</v>
      </c>
      <c r="W434" s="2">
        <v>3</v>
      </c>
      <c r="X434" s="2">
        <v>20</v>
      </c>
      <c r="Y434" s="2">
        <v>30.286458333333329</v>
      </c>
    </row>
    <row r="435" spans="1:25" hidden="1">
      <c r="A435" s="2" t="s">
        <v>636</v>
      </c>
      <c r="B435" s="2" t="s">
        <v>142</v>
      </c>
      <c r="C435" s="2" t="s">
        <v>315</v>
      </c>
      <c r="D435" s="3">
        <v>45648.75</v>
      </c>
      <c r="E435" s="3">
        <v>45648.763888888891</v>
      </c>
      <c r="F435" s="2">
        <v>20</v>
      </c>
      <c r="G435" s="2" t="s">
        <v>143</v>
      </c>
      <c r="H435" s="2" t="s">
        <v>144</v>
      </c>
      <c r="I435" s="2">
        <v>2</v>
      </c>
      <c r="J435" s="2">
        <v>3</v>
      </c>
      <c r="K435" s="2" t="s">
        <v>161</v>
      </c>
      <c r="L435" s="2" t="s">
        <v>145</v>
      </c>
      <c r="M435" s="2" t="b">
        <v>1</v>
      </c>
      <c r="N435" s="2" t="b">
        <v>1</v>
      </c>
      <c r="O435" s="2">
        <v>6.666666666666667</v>
      </c>
      <c r="P435" s="2">
        <v>0.66666666666666663</v>
      </c>
      <c r="Q435" s="2" t="s">
        <v>603</v>
      </c>
      <c r="R435" s="2" t="s">
        <v>147</v>
      </c>
      <c r="S435" s="2">
        <v>7.1999999999999993</v>
      </c>
      <c r="T435" s="2">
        <v>12.8</v>
      </c>
      <c r="U435" s="2" t="b">
        <v>0</v>
      </c>
      <c r="V435" s="2">
        <v>4</v>
      </c>
      <c r="W435" s="2">
        <v>1</v>
      </c>
      <c r="X435" s="2">
        <v>18</v>
      </c>
      <c r="Y435" s="2">
        <v>30.259433962264151</v>
      </c>
    </row>
    <row r="436" spans="1:25" hidden="1">
      <c r="A436" s="2" t="s">
        <v>637</v>
      </c>
      <c r="B436" s="2" t="s">
        <v>149</v>
      </c>
      <c r="C436" s="2" t="s">
        <v>317</v>
      </c>
      <c r="D436" s="3">
        <v>45649.802083333343</v>
      </c>
      <c r="E436" s="3">
        <v>45649.822916666657</v>
      </c>
      <c r="F436" s="2">
        <v>30</v>
      </c>
      <c r="G436" s="2" t="s">
        <v>151</v>
      </c>
      <c r="H436" s="2" t="s">
        <v>152</v>
      </c>
      <c r="I436" s="2">
        <v>4</v>
      </c>
      <c r="J436" s="2">
        <v>6</v>
      </c>
      <c r="K436" s="2" t="s">
        <v>143</v>
      </c>
      <c r="L436" s="2" t="s">
        <v>169</v>
      </c>
      <c r="M436" s="2" t="b">
        <v>1</v>
      </c>
      <c r="N436" s="2" t="b">
        <v>0</v>
      </c>
      <c r="O436" s="2">
        <v>5</v>
      </c>
      <c r="P436" s="2">
        <v>0.66666666666666663</v>
      </c>
      <c r="Q436" s="2" t="s">
        <v>603</v>
      </c>
      <c r="R436" s="2" t="s">
        <v>171</v>
      </c>
      <c r="S436" s="2">
        <v>14.4</v>
      </c>
      <c r="T436" s="2">
        <v>15.6</v>
      </c>
      <c r="U436" s="2" t="b">
        <v>0</v>
      </c>
      <c r="V436" s="2">
        <v>12</v>
      </c>
      <c r="W436" s="2">
        <v>2</v>
      </c>
      <c r="X436" s="2">
        <v>19</v>
      </c>
      <c r="Y436" s="2">
        <v>28.186274509803919</v>
      </c>
    </row>
    <row r="437" spans="1:25" hidden="1">
      <c r="A437" s="2" t="s">
        <v>638</v>
      </c>
      <c r="B437" s="2" t="s">
        <v>165</v>
      </c>
      <c r="C437" s="2" t="s">
        <v>319</v>
      </c>
      <c r="D437" s="3">
        <v>45650.854166666657</v>
      </c>
      <c r="E437" s="3">
        <v>45650.881944444453</v>
      </c>
      <c r="F437" s="2">
        <v>40</v>
      </c>
      <c r="G437" s="2" t="s">
        <v>167</v>
      </c>
      <c r="H437" s="2" t="s">
        <v>168</v>
      </c>
      <c r="I437" s="2">
        <v>5</v>
      </c>
      <c r="J437" s="2">
        <v>8</v>
      </c>
      <c r="K437" s="2" t="s">
        <v>153</v>
      </c>
      <c r="L437" s="2" t="s">
        <v>145</v>
      </c>
      <c r="M437" s="2" t="b">
        <v>1</v>
      </c>
      <c r="N437" s="2" t="b">
        <v>0</v>
      </c>
      <c r="O437" s="2">
        <v>5</v>
      </c>
      <c r="P437" s="2">
        <v>0.625</v>
      </c>
      <c r="Q437" s="2" t="s">
        <v>603</v>
      </c>
      <c r="R437" s="2" t="s">
        <v>147</v>
      </c>
      <c r="S437" s="2">
        <v>19.2</v>
      </c>
      <c r="T437" s="2">
        <v>20.8</v>
      </c>
      <c r="U437" s="2" t="b">
        <v>1</v>
      </c>
      <c r="V437" s="2">
        <v>20</v>
      </c>
      <c r="W437" s="2">
        <v>3</v>
      </c>
      <c r="X437" s="2">
        <v>20</v>
      </c>
      <c r="Y437" s="2">
        <v>29.948453608247419</v>
      </c>
    </row>
    <row r="438" spans="1:25" hidden="1">
      <c r="A438" s="2" t="s">
        <v>639</v>
      </c>
      <c r="B438" s="2" t="s">
        <v>157</v>
      </c>
      <c r="C438" s="2" t="s">
        <v>321</v>
      </c>
      <c r="D438" s="3">
        <v>45651.78125</v>
      </c>
      <c r="E438" s="3">
        <v>45651.795138888891</v>
      </c>
      <c r="F438" s="2">
        <v>20</v>
      </c>
      <c r="G438" s="2" t="s">
        <v>159</v>
      </c>
      <c r="H438" s="2" t="s">
        <v>160</v>
      </c>
      <c r="I438" s="2">
        <v>1</v>
      </c>
      <c r="J438" s="2">
        <v>2.5</v>
      </c>
      <c r="K438" s="2" t="s">
        <v>161</v>
      </c>
      <c r="L438" s="2" t="s">
        <v>154</v>
      </c>
      <c r="M438" s="2" t="b">
        <v>1</v>
      </c>
      <c r="N438" s="2" t="b">
        <v>0</v>
      </c>
      <c r="O438" s="2">
        <v>8</v>
      </c>
      <c r="P438" s="2">
        <v>0.4</v>
      </c>
      <c r="Q438" s="2" t="s">
        <v>603</v>
      </c>
      <c r="R438" s="2" t="s">
        <v>147</v>
      </c>
      <c r="S438" s="2">
        <v>6</v>
      </c>
      <c r="T438" s="2">
        <v>14</v>
      </c>
      <c r="U438" s="2" t="b">
        <v>0</v>
      </c>
      <c r="V438" s="2">
        <v>1</v>
      </c>
      <c r="W438" s="2">
        <v>1</v>
      </c>
      <c r="X438" s="2">
        <v>18</v>
      </c>
      <c r="Y438" s="2">
        <v>28.844221105527641</v>
      </c>
    </row>
    <row r="439" spans="1:25" hidden="1">
      <c r="A439" s="2" t="s">
        <v>640</v>
      </c>
      <c r="B439" s="2" t="s">
        <v>173</v>
      </c>
      <c r="C439" s="2" t="s">
        <v>323</v>
      </c>
      <c r="D439" s="3">
        <v>45652.791666666657</v>
      </c>
      <c r="E439" s="3">
        <v>45652.826388888891</v>
      </c>
      <c r="F439" s="2">
        <v>50</v>
      </c>
      <c r="G439" s="2" t="s">
        <v>151</v>
      </c>
      <c r="H439" s="2" t="s">
        <v>152</v>
      </c>
      <c r="I439" s="2">
        <v>4</v>
      </c>
      <c r="J439" s="2">
        <v>10</v>
      </c>
      <c r="K439" s="2" t="s">
        <v>153</v>
      </c>
      <c r="L439" s="2" t="s">
        <v>145</v>
      </c>
      <c r="M439" s="2" t="b">
        <v>1</v>
      </c>
      <c r="N439" s="2" t="b">
        <v>0</v>
      </c>
      <c r="O439" s="2">
        <v>5</v>
      </c>
      <c r="P439" s="2">
        <v>0.4</v>
      </c>
      <c r="Q439" s="2" t="s">
        <v>603</v>
      </c>
      <c r="R439" s="2" t="s">
        <v>147</v>
      </c>
      <c r="S439" s="2">
        <v>24</v>
      </c>
      <c r="T439" s="2">
        <v>26</v>
      </c>
      <c r="U439" s="2" t="b">
        <v>1</v>
      </c>
      <c r="V439" s="2">
        <v>12</v>
      </c>
      <c r="W439" s="2">
        <v>3</v>
      </c>
      <c r="X439" s="2">
        <v>19</v>
      </c>
      <c r="Y439" s="2">
        <v>30.286458333333329</v>
      </c>
    </row>
    <row r="440" spans="1:25" hidden="1">
      <c r="A440" s="2" t="s">
        <v>641</v>
      </c>
      <c r="B440" s="2" t="s">
        <v>142</v>
      </c>
      <c r="C440" s="2" t="s">
        <v>325</v>
      </c>
      <c r="D440" s="3">
        <v>45653.833333333343</v>
      </c>
      <c r="E440" s="3">
        <v>45653.857638888891</v>
      </c>
      <c r="F440" s="2">
        <v>35</v>
      </c>
      <c r="G440" s="2" t="s">
        <v>143</v>
      </c>
      <c r="H440" s="2" t="s">
        <v>144</v>
      </c>
      <c r="I440" s="2">
        <v>3</v>
      </c>
      <c r="J440" s="2">
        <v>5.5</v>
      </c>
      <c r="K440" s="2" t="s">
        <v>143</v>
      </c>
      <c r="L440" s="2" t="s">
        <v>154</v>
      </c>
      <c r="M440" s="2" t="b">
        <v>1</v>
      </c>
      <c r="N440" s="2" t="b">
        <v>0</v>
      </c>
      <c r="O440" s="2">
        <v>6.3636363636363633</v>
      </c>
      <c r="P440" s="2">
        <v>0.54545454545454541</v>
      </c>
      <c r="Q440" s="2" t="s">
        <v>603</v>
      </c>
      <c r="R440" s="2" t="s">
        <v>147</v>
      </c>
      <c r="S440" s="2">
        <v>13.2</v>
      </c>
      <c r="T440" s="2">
        <v>21.8</v>
      </c>
      <c r="U440" s="2" t="b">
        <v>1</v>
      </c>
      <c r="V440" s="2">
        <v>6</v>
      </c>
      <c r="W440" s="2">
        <v>2</v>
      </c>
      <c r="X440" s="2">
        <v>20</v>
      </c>
      <c r="Y440" s="2">
        <v>30.259433962264151</v>
      </c>
    </row>
    <row r="441" spans="1:25" hidden="1">
      <c r="A441" s="2" t="s">
        <v>642</v>
      </c>
      <c r="B441" s="2" t="s">
        <v>149</v>
      </c>
      <c r="C441" s="2" t="s">
        <v>327</v>
      </c>
      <c r="D441" s="3">
        <v>45654.770833333343</v>
      </c>
      <c r="E441" s="3">
        <v>45654.784722222219</v>
      </c>
      <c r="F441" s="2">
        <v>20</v>
      </c>
      <c r="G441" s="2" t="s">
        <v>159</v>
      </c>
      <c r="H441" s="2" t="s">
        <v>160</v>
      </c>
      <c r="I441" s="2">
        <v>2</v>
      </c>
      <c r="J441" s="2">
        <v>2</v>
      </c>
      <c r="K441" s="2" t="s">
        <v>161</v>
      </c>
      <c r="L441" s="2" t="s">
        <v>162</v>
      </c>
      <c r="M441" s="2" t="b">
        <v>1</v>
      </c>
      <c r="N441" s="2" t="b">
        <v>1</v>
      </c>
      <c r="O441" s="2">
        <v>10</v>
      </c>
      <c r="P441" s="2">
        <v>1</v>
      </c>
      <c r="Q441" s="2" t="s">
        <v>603</v>
      </c>
      <c r="R441" s="2" t="s">
        <v>147</v>
      </c>
      <c r="S441" s="2">
        <v>4.8</v>
      </c>
      <c r="T441" s="2">
        <v>15.2</v>
      </c>
      <c r="U441" s="2" t="b">
        <v>0</v>
      </c>
      <c r="V441" s="2">
        <v>2</v>
      </c>
      <c r="W441" s="2">
        <v>1</v>
      </c>
      <c r="X441" s="2">
        <v>18</v>
      </c>
      <c r="Y441" s="2">
        <v>28.186274509803919</v>
      </c>
    </row>
    <row r="442" spans="1:25" hidden="1">
      <c r="A442" s="2" t="s">
        <v>643</v>
      </c>
      <c r="B442" s="2" t="s">
        <v>165</v>
      </c>
      <c r="C442" s="2" t="s">
        <v>329</v>
      </c>
      <c r="D442" s="3">
        <v>45655.822916666657</v>
      </c>
      <c r="E442" s="3">
        <v>45655.850694444453</v>
      </c>
      <c r="F442" s="2">
        <v>40</v>
      </c>
      <c r="G442" s="2" t="s">
        <v>167</v>
      </c>
      <c r="H442" s="2" t="s">
        <v>594</v>
      </c>
      <c r="I442" s="2">
        <v>5</v>
      </c>
      <c r="J442" s="2">
        <v>7.5</v>
      </c>
      <c r="K442" s="2" t="s">
        <v>153</v>
      </c>
      <c r="L442" s="2" t="s">
        <v>145</v>
      </c>
      <c r="M442" s="2" t="b">
        <v>1</v>
      </c>
      <c r="N442" s="2" t="b">
        <v>1</v>
      </c>
      <c r="O442" s="2">
        <v>5.333333333333333</v>
      </c>
      <c r="P442" s="2">
        <v>0.66666666666666663</v>
      </c>
      <c r="Q442" s="2" t="s">
        <v>603</v>
      </c>
      <c r="R442" s="2" t="s">
        <v>147</v>
      </c>
      <c r="S442" s="2">
        <v>18</v>
      </c>
      <c r="T442" s="2">
        <v>22</v>
      </c>
      <c r="U442" s="2" t="b">
        <v>1</v>
      </c>
      <c r="V442" s="2">
        <v>20</v>
      </c>
      <c r="W442" s="2">
        <v>3</v>
      </c>
      <c r="X442" s="2">
        <v>19</v>
      </c>
      <c r="Y442" s="2">
        <v>29.948453608247419</v>
      </c>
    </row>
    <row r="443" spans="1:25" hidden="1">
      <c r="A443" s="2" t="s">
        <v>644</v>
      </c>
      <c r="B443" s="2" t="s">
        <v>157</v>
      </c>
      <c r="C443" s="2" t="s">
        <v>182</v>
      </c>
      <c r="D443" s="3">
        <v>45656.75</v>
      </c>
      <c r="E443" s="3">
        <v>45656.770833333343</v>
      </c>
      <c r="F443" s="2">
        <v>30</v>
      </c>
      <c r="G443" s="2" t="s">
        <v>143</v>
      </c>
      <c r="H443" s="2" t="s">
        <v>152</v>
      </c>
      <c r="I443" s="2">
        <v>3</v>
      </c>
      <c r="J443" s="2">
        <v>4</v>
      </c>
      <c r="K443" s="2" t="s">
        <v>143</v>
      </c>
      <c r="L443" s="2" t="s">
        <v>162</v>
      </c>
      <c r="M443" s="2" t="b">
        <v>1</v>
      </c>
      <c r="N443" s="2" t="b">
        <v>0</v>
      </c>
      <c r="O443" s="2">
        <v>7.5</v>
      </c>
      <c r="P443" s="2">
        <v>0.75</v>
      </c>
      <c r="Q443" s="2" t="s">
        <v>603</v>
      </c>
      <c r="R443" s="2" t="s">
        <v>147</v>
      </c>
      <c r="S443" s="2">
        <v>9.6</v>
      </c>
      <c r="T443" s="2">
        <v>20.399999999999999</v>
      </c>
      <c r="U443" s="2" t="b">
        <v>0</v>
      </c>
      <c r="V443" s="2">
        <v>6</v>
      </c>
      <c r="W443" s="2">
        <v>2</v>
      </c>
      <c r="X443" s="2">
        <v>18</v>
      </c>
      <c r="Y443" s="2">
        <v>28.844221105527641</v>
      </c>
    </row>
    <row r="444" spans="1:25" hidden="1">
      <c r="A444" s="2" t="s">
        <v>645</v>
      </c>
      <c r="B444" s="2" t="s">
        <v>173</v>
      </c>
      <c r="C444" s="2" t="s">
        <v>327</v>
      </c>
      <c r="D444" s="3">
        <v>45657.84375</v>
      </c>
      <c r="E444" s="3">
        <v>45657.875</v>
      </c>
      <c r="F444" s="2">
        <v>45</v>
      </c>
      <c r="G444" s="2" t="s">
        <v>151</v>
      </c>
      <c r="H444" s="2" t="s">
        <v>144</v>
      </c>
      <c r="I444" s="2">
        <v>4</v>
      </c>
      <c r="J444" s="2">
        <v>9</v>
      </c>
      <c r="K444" s="2" t="s">
        <v>153</v>
      </c>
      <c r="L444" s="2" t="s">
        <v>169</v>
      </c>
      <c r="M444" s="2" t="b">
        <v>1</v>
      </c>
      <c r="N444" s="2" t="b">
        <v>0</v>
      </c>
      <c r="O444" s="2">
        <v>5</v>
      </c>
      <c r="P444" s="2">
        <v>0.44444444444444442</v>
      </c>
      <c r="Q444" s="2" t="s">
        <v>603</v>
      </c>
      <c r="R444" s="2" t="s">
        <v>171</v>
      </c>
      <c r="S444" s="2">
        <v>21.6</v>
      </c>
      <c r="T444" s="2">
        <v>23.4</v>
      </c>
      <c r="U444" s="2" t="b">
        <v>1</v>
      </c>
      <c r="V444" s="2">
        <v>12</v>
      </c>
      <c r="W444" s="2">
        <v>3</v>
      </c>
      <c r="X444" s="2">
        <v>20</v>
      </c>
      <c r="Y444" s="2">
        <v>30.286458333333329</v>
      </c>
    </row>
    <row r="445" spans="1:25" hidden="1">
      <c r="A445" s="2" t="s">
        <v>646</v>
      </c>
      <c r="B445" s="2" t="s">
        <v>142</v>
      </c>
      <c r="C445" s="2" t="s">
        <v>333</v>
      </c>
      <c r="D445" s="3">
        <v>45658.75</v>
      </c>
      <c r="E445" s="3">
        <v>45658.763888888891</v>
      </c>
      <c r="F445" s="2">
        <v>20</v>
      </c>
      <c r="G445" s="2" t="s">
        <v>143</v>
      </c>
      <c r="H445" s="2" t="s">
        <v>144</v>
      </c>
      <c r="I445" s="2">
        <v>2</v>
      </c>
      <c r="J445" s="2">
        <v>3</v>
      </c>
      <c r="K445" s="2" t="s">
        <v>161</v>
      </c>
      <c r="L445" s="2" t="s">
        <v>145</v>
      </c>
      <c r="M445" s="2" t="b">
        <v>1</v>
      </c>
      <c r="N445" s="2" t="b">
        <v>0</v>
      </c>
      <c r="O445" s="2">
        <v>6.666666666666667</v>
      </c>
      <c r="P445" s="2">
        <v>0.66666666666666663</v>
      </c>
      <c r="Q445" s="2" t="s">
        <v>146</v>
      </c>
      <c r="R445" s="2" t="s">
        <v>147</v>
      </c>
      <c r="S445" s="2">
        <v>7.1999999999999993</v>
      </c>
      <c r="T445" s="2">
        <v>12.8</v>
      </c>
      <c r="U445" s="2" t="b">
        <v>0</v>
      </c>
      <c r="V445" s="2">
        <v>4</v>
      </c>
      <c r="W445" s="2">
        <v>1</v>
      </c>
      <c r="X445" s="2">
        <v>18</v>
      </c>
      <c r="Y445" s="2">
        <v>30.259433962264151</v>
      </c>
    </row>
    <row r="446" spans="1:25" hidden="1">
      <c r="A446" s="2" t="s">
        <v>647</v>
      </c>
      <c r="B446" s="2" t="s">
        <v>149</v>
      </c>
      <c r="C446" s="2" t="s">
        <v>335</v>
      </c>
      <c r="D446" s="3">
        <v>45659.802083333343</v>
      </c>
      <c r="E446" s="3">
        <v>45659.822916666657</v>
      </c>
      <c r="F446" s="2">
        <v>30</v>
      </c>
      <c r="G446" s="2" t="s">
        <v>151</v>
      </c>
      <c r="H446" s="2" t="s">
        <v>152</v>
      </c>
      <c r="I446" s="2">
        <v>4</v>
      </c>
      <c r="J446" s="2">
        <v>6</v>
      </c>
      <c r="K446" s="2" t="s">
        <v>143</v>
      </c>
      <c r="L446" s="2" t="s">
        <v>154</v>
      </c>
      <c r="M446" s="2" t="b">
        <v>1</v>
      </c>
      <c r="N446" s="2" t="b">
        <v>0</v>
      </c>
      <c r="O446" s="2">
        <v>5</v>
      </c>
      <c r="P446" s="2">
        <v>0.66666666666666663</v>
      </c>
      <c r="Q446" s="2" t="s">
        <v>146</v>
      </c>
      <c r="R446" s="2" t="s">
        <v>147</v>
      </c>
      <c r="S446" s="2">
        <v>14.4</v>
      </c>
      <c r="T446" s="2">
        <v>15.6</v>
      </c>
      <c r="U446" s="2" t="b">
        <v>0</v>
      </c>
      <c r="V446" s="2">
        <v>12</v>
      </c>
      <c r="W446" s="2">
        <v>2</v>
      </c>
      <c r="X446" s="2">
        <v>19</v>
      </c>
      <c r="Y446" s="2">
        <v>28.186274509803919</v>
      </c>
    </row>
    <row r="447" spans="1:25" hidden="1">
      <c r="A447" s="2" t="s">
        <v>648</v>
      </c>
      <c r="B447" s="2" t="s">
        <v>165</v>
      </c>
      <c r="C447" s="2" t="s">
        <v>337</v>
      </c>
      <c r="D447" s="3">
        <v>45660.854166666657</v>
      </c>
      <c r="E447" s="3">
        <v>45660.881944444453</v>
      </c>
      <c r="F447" s="2">
        <v>40</v>
      </c>
      <c r="G447" s="2" t="s">
        <v>167</v>
      </c>
      <c r="H447" s="2" t="s">
        <v>168</v>
      </c>
      <c r="I447" s="2">
        <v>5</v>
      </c>
      <c r="J447" s="2">
        <v>8</v>
      </c>
      <c r="K447" s="2" t="s">
        <v>153</v>
      </c>
      <c r="L447" s="2" t="s">
        <v>145</v>
      </c>
      <c r="M447" s="2" t="b">
        <v>1</v>
      </c>
      <c r="N447" s="2" t="b">
        <v>0</v>
      </c>
      <c r="O447" s="2">
        <v>5</v>
      </c>
      <c r="P447" s="2">
        <v>0.625</v>
      </c>
      <c r="Q447" s="2" t="s">
        <v>146</v>
      </c>
      <c r="R447" s="2" t="s">
        <v>147</v>
      </c>
      <c r="S447" s="2">
        <v>19.2</v>
      </c>
      <c r="T447" s="2">
        <v>20.8</v>
      </c>
      <c r="U447" s="2" t="b">
        <v>1</v>
      </c>
      <c r="V447" s="2">
        <v>20</v>
      </c>
      <c r="W447" s="2">
        <v>3</v>
      </c>
      <c r="X447" s="2">
        <v>20</v>
      </c>
      <c r="Y447" s="2">
        <v>29.948453608247419</v>
      </c>
    </row>
    <row r="448" spans="1:25" hidden="1">
      <c r="A448" s="2" t="s">
        <v>649</v>
      </c>
      <c r="B448" s="2" t="s">
        <v>157</v>
      </c>
      <c r="C448" s="2" t="s">
        <v>339</v>
      </c>
      <c r="D448" s="3">
        <v>45661.78125</v>
      </c>
      <c r="E448" s="3">
        <v>45661.795138888891</v>
      </c>
      <c r="F448" s="2">
        <v>20</v>
      </c>
      <c r="G448" s="2" t="s">
        <v>159</v>
      </c>
      <c r="H448" s="2" t="s">
        <v>160</v>
      </c>
      <c r="I448" s="2">
        <v>1</v>
      </c>
      <c r="J448" s="2">
        <v>2.5</v>
      </c>
      <c r="K448" s="2" t="s">
        <v>161</v>
      </c>
      <c r="L448" s="2" t="s">
        <v>169</v>
      </c>
      <c r="M448" s="2" t="b">
        <v>1</v>
      </c>
      <c r="N448" s="2" t="b">
        <v>1</v>
      </c>
      <c r="O448" s="2">
        <v>8</v>
      </c>
      <c r="P448" s="2">
        <v>0.4</v>
      </c>
      <c r="Q448" s="2" t="s">
        <v>146</v>
      </c>
      <c r="R448" s="2" t="s">
        <v>171</v>
      </c>
      <c r="S448" s="2">
        <v>6</v>
      </c>
      <c r="T448" s="2">
        <v>14</v>
      </c>
      <c r="U448" s="2" t="b">
        <v>0</v>
      </c>
      <c r="V448" s="2">
        <v>1</v>
      </c>
      <c r="W448" s="2">
        <v>1</v>
      </c>
      <c r="X448" s="2">
        <v>18</v>
      </c>
      <c r="Y448" s="2">
        <v>28.844221105527641</v>
      </c>
    </row>
    <row r="449" spans="1:25" hidden="1">
      <c r="A449" s="2" t="s">
        <v>650</v>
      </c>
      <c r="B449" s="2" t="s">
        <v>173</v>
      </c>
      <c r="C449" s="2" t="s">
        <v>194</v>
      </c>
      <c r="D449" s="3">
        <v>45662.791666666657</v>
      </c>
      <c r="E449" s="3">
        <v>45662.826388888891</v>
      </c>
      <c r="F449" s="2">
        <v>50</v>
      </c>
      <c r="G449" s="2" t="s">
        <v>151</v>
      </c>
      <c r="H449" s="2" t="s">
        <v>152</v>
      </c>
      <c r="I449" s="2">
        <v>4</v>
      </c>
      <c r="J449" s="2">
        <v>10</v>
      </c>
      <c r="K449" s="2" t="s">
        <v>153</v>
      </c>
      <c r="L449" s="2" t="s">
        <v>145</v>
      </c>
      <c r="M449" s="2" t="b">
        <v>1</v>
      </c>
      <c r="N449" s="2" t="b">
        <v>1</v>
      </c>
      <c r="O449" s="2">
        <v>5</v>
      </c>
      <c r="P449" s="2">
        <v>0.4</v>
      </c>
      <c r="Q449" s="2" t="s">
        <v>146</v>
      </c>
      <c r="R449" s="2" t="s">
        <v>147</v>
      </c>
      <c r="S449" s="2">
        <v>24</v>
      </c>
      <c r="T449" s="2">
        <v>26</v>
      </c>
      <c r="U449" s="2" t="b">
        <v>1</v>
      </c>
      <c r="V449" s="2">
        <v>12</v>
      </c>
      <c r="W449" s="2">
        <v>3</v>
      </c>
      <c r="X449" s="2">
        <v>19</v>
      </c>
      <c r="Y449" s="2">
        <v>30.286458333333329</v>
      </c>
    </row>
    <row r="450" spans="1:25" hidden="1">
      <c r="A450" s="2" t="s">
        <v>651</v>
      </c>
      <c r="B450" s="2" t="s">
        <v>142</v>
      </c>
      <c r="C450" s="2" t="s">
        <v>40</v>
      </c>
      <c r="D450" s="3">
        <v>45663.75</v>
      </c>
      <c r="E450" s="3">
        <v>45663.763888888891</v>
      </c>
      <c r="F450" s="2">
        <v>20</v>
      </c>
      <c r="G450" s="2" t="s">
        <v>143</v>
      </c>
      <c r="H450" s="2" t="s">
        <v>144</v>
      </c>
      <c r="I450" s="2">
        <v>2</v>
      </c>
      <c r="J450" s="2">
        <v>3</v>
      </c>
      <c r="K450" s="2" t="s">
        <v>161</v>
      </c>
      <c r="L450" s="2" t="s">
        <v>342</v>
      </c>
      <c r="M450" s="2" t="b">
        <v>1</v>
      </c>
      <c r="N450" s="2" t="b">
        <v>0</v>
      </c>
      <c r="O450" s="2">
        <v>6.666666666666667</v>
      </c>
      <c r="P450" s="2">
        <v>0.66666666666666663</v>
      </c>
      <c r="Q450" s="2" t="s">
        <v>146</v>
      </c>
      <c r="R450" s="2" t="s">
        <v>171</v>
      </c>
      <c r="S450" s="2">
        <v>7.1999999999999993</v>
      </c>
      <c r="T450" s="2">
        <v>12.8</v>
      </c>
      <c r="U450" s="2" t="b">
        <v>0</v>
      </c>
      <c r="V450" s="2">
        <v>4</v>
      </c>
      <c r="W450" s="2">
        <v>1</v>
      </c>
      <c r="X450" s="2">
        <v>18</v>
      </c>
      <c r="Y450" s="2">
        <v>30.259433962264151</v>
      </c>
    </row>
    <row r="451" spans="1:25" hidden="1">
      <c r="A451" s="2" t="s">
        <v>652</v>
      </c>
      <c r="B451" s="2" t="s">
        <v>149</v>
      </c>
      <c r="C451" s="2" t="s">
        <v>158</v>
      </c>
      <c r="D451" s="3">
        <v>45664.802083333343</v>
      </c>
      <c r="E451" s="3">
        <v>45664.822916666657</v>
      </c>
      <c r="F451" s="2">
        <v>30</v>
      </c>
      <c r="G451" s="2" t="s">
        <v>151</v>
      </c>
      <c r="H451" s="2" t="s">
        <v>617</v>
      </c>
      <c r="I451" s="2">
        <v>4</v>
      </c>
      <c r="J451" s="2">
        <v>6</v>
      </c>
      <c r="K451" s="2" t="s">
        <v>143</v>
      </c>
      <c r="L451" s="2" t="s">
        <v>162</v>
      </c>
      <c r="M451" s="2" t="b">
        <v>1</v>
      </c>
      <c r="N451" s="2" t="b">
        <v>0</v>
      </c>
      <c r="O451" s="2">
        <v>5</v>
      </c>
      <c r="P451" s="2">
        <v>0.66666666666666663</v>
      </c>
      <c r="Q451" s="2" t="s">
        <v>146</v>
      </c>
      <c r="R451" s="2" t="s">
        <v>147</v>
      </c>
      <c r="S451" s="2">
        <v>14.4</v>
      </c>
      <c r="T451" s="2">
        <v>15.6</v>
      </c>
      <c r="U451" s="2" t="b">
        <v>0</v>
      </c>
      <c r="V451" s="2">
        <v>12</v>
      </c>
      <c r="W451" s="2">
        <v>2</v>
      </c>
      <c r="X451" s="2">
        <v>19</v>
      </c>
      <c r="Y451" s="2">
        <v>28.186274509803919</v>
      </c>
    </row>
    <row r="452" spans="1:25" hidden="1">
      <c r="A452" s="2" t="s">
        <v>653</v>
      </c>
      <c r="B452" s="2" t="s">
        <v>165</v>
      </c>
      <c r="C452" s="2" t="s">
        <v>150</v>
      </c>
      <c r="D452" s="3">
        <v>45665.854166666657</v>
      </c>
      <c r="E452" s="3">
        <v>45665.881944444453</v>
      </c>
      <c r="F452" s="2">
        <v>40</v>
      </c>
      <c r="G452" s="2" t="s">
        <v>167</v>
      </c>
      <c r="H452" s="2" t="s">
        <v>168</v>
      </c>
      <c r="I452" s="2">
        <v>5</v>
      </c>
      <c r="J452" s="2">
        <v>8</v>
      </c>
      <c r="K452" s="2" t="s">
        <v>153</v>
      </c>
      <c r="L452" s="2" t="s">
        <v>145</v>
      </c>
      <c r="M452" s="2" t="b">
        <v>1</v>
      </c>
      <c r="N452" s="2" t="b">
        <v>0</v>
      </c>
      <c r="O452" s="2">
        <v>5</v>
      </c>
      <c r="P452" s="2">
        <v>0.625</v>
      </c>
      <c r="Q452" s="2" t="s">
        <v>146</v>
      </c>
      <c r="R452" s="2" t="s">
        <v>147</v>
      </c>
      <c r="S452" s="2">
        <v>19.2</v>
      </c>
      <c r="T452" s="2">
        <v>20.8</v>
      </c>
      <c r="U452" s="2" t="b">
        <v>1</v>
      </c>
      <c r="V452" s="2">
        <v>20</v>
      </c>
      <c r="W452" s="2">
        <v>3</v>
      </c>
      <c r="X452" s="2">
        <v>20</v>
      </c>
      <c r="Y452" s="2">
        <v>29.948453608247419</v>
      </c>
    </row>
    <row r="453" spans="1:25" hidden="1">
      <c r="A453" s="2" t="s">
        <v>654</v>
      </c>
      <c r="B453" s="2" t="s">
        <v>157</v>
      </c>
      <c r="C453" s="2" t="s">
        <v>184</v>
      </c>
      <c r="D453" s="3">
        <v>45666.75</v>
      </c>
      <c r="E453" s="3">
        <v>45666.770833333343</v>
      </c>
      <c r="F453" s="2">
        <v>30</v>
      </c>
      <c r="G453" s="2" t="s">
        <v>143</v>
      </c>
      <c r="H453" s="2" t="s">
        <v>655</v>
      </c>
      <c r="I453" s="2">
        <v>3</v>
      </c>
      <c r="J453" s="2">
        <v>5</v>
      </c>
      <c r="K453" s="2" t="s">
        <v>143</v>
      </c>
      <c r="L453" s="2" t="s">
        <v>145</v>
      </c>
      <c r="M453" s="2" t="b">
        <v>1</v>
      </c>
      <c r="N453" s="2" t="b">
        <v>0</v>
      </c>
      <c r="O453" s="2">
        <v>6</v>
      </c>
      <c r="P453" s="2">
        <v>0.6</v>
      </c>
      <c r="Q453" s="2" t="s">
        <v>146</v>
      </c>
      <c r="R453" s="2" t="s">
        <v>147</v>
      </c>
      <c r="S453" s="2">
        <v>12</v>
      </c>
      <c r="T453" s="2">
        <v>18</v>
      </c>
      <c r="U453" s="2" t="b">
        <v>0</v>
      </c>
      <c r="V453" s="2">
        <v>6</v>
      </c>
      <c r="W453" s="2">
        <v>2</v>
      </c>
      <c r="X453" s="2">
        <v>18</v>
      </c>
      <c r="Y453" s="2">
        <v>28.844221105527641</v>
      </c>
    </row>
    <row r="454" spans="1:25" hidden="1">
      <c r="A454" s="2" t="s">
        <v>656</v>
      </c>
      <c r="B454" s="2" t="s">
        <v>173</v>
      </c>
      <c r="C454" s="2" t="s">
        <v>188</v>
      </c>
      <c r="D454" s="3">
        <v>45667.802083333343</v>
      </c>
      <c r="E454" s="3">
        <v>45667.826388888891</v>
      </c>
      <c r="F454" s="2">
        <v>35</v>
      </c>
      <c r="G454" s="2" t="s">
        <v>151</v>
      </c>
      <c r="H454" s="2" t="s">
        <v>657</v>
      </c>
      <c r="I454" s="2">
        <v>4</v>
      </c>
      <c r="J454" s="2">
        <v>6.5</v>
      </c>
      <c r="K454" s="2" t="s">
        <v>153</v>
      </c>
      <c r="L454" s="2" t="s">
        <v>162</v>
      </c>
      <c r="M454" s="2" t="b">
        <v>1</v>
      </c>
      <c r="N454" s="2" t="b">
        <v>0</v>
      </c>
      <c r="O454" s="2">
        <v>5.384615384615385</v>
      </c>
      <c r="P454" s="2">
        <v>0.61538461538461542</v>
      </c>
      <c r="Q454" s="2" t="s">
        <v>146</v>
      </c>
      <c r="R454" s="2" t="s">
        <v>147</v>
      </c>
      <c r="S454" s="2">
        <v>15.6</v>
      </c>
      <c r="T454" s="2">
        <v>19.399999999999999</v>
      </c>
      <c r="U454" s="2" t="b">
        <v>1</v>
      </c>
      <c r="V454" s="2">
        <v>12</v>
      </c>
      <c r="W454" s="2">
        <v>3</v>
      </c>
      <c r="X454" s="2">
        <v>19</v>
      </c>
      <c r="Y454" s="2">
        <v>30.286458333333329</v>
      </c>
    </row>
    <row r="455" spans="1:25" hidden="1">
      <c r="A455" s="2" t="s">
        <v>658</v>
      </c>
      <c r="B455" s="2" t="s">
        <v>142</v>
      </c>
      <c r="C455" s="2" t="s">
        <v>659</v>
      </c>
      <c r="D455" s="3">
        <v>45668.854166666657</v>
      </c>
      <c r="E455" s="3">
        <v>45668.881944444453</v>
      </c>
      <c r="F455" s="2">
        <v>40</v>
      </c>
      <c r="G455" s="2" t="s">
        <v>167</v>
      </c>
      <c r="H455" s="2" t="s">
        <v>168</v>
      </c>
      <c r="I455" s="2">
        <v>5</v>
      </c>
      <c r="J455" s="2">
        <v>8</v>
      </c>
      <c r="K455" s="2" t="s">
        <v>153</v>
      </c>
      <c r="L455" s="2" t="s">
        <v>154</v>
      </c>
      <c r="M455" s="2" t="b">
        <v>1</v>
      </c>
      <c r="N455" s="2" t="b">
        <v>1</v>
      </c>
      <c r="O455" s="2">
        <v>5</v>
      </c>
      <c r="P455" s="2">
        <v>0.625</v>
      </c>
      <c r="Q455" s="2" t="s">
        <v>146</v>
      </c>
      <c r="R455" s="2" t="s">
        <v>147</v>
      </c>
      <c r="S455" s="2">
        <v>19.2</v>
      </c>
      <c r="T455" s="2">
        <v>20.8</v>
      </c>
      <c r="U455" s="2" t="b">
        <v>1</v>
      </c>
      <c r="V455" s="2">
        <v>20</v>
      </c>
      <c r="W455" s="2">
        <v>3</v>
      </c>
      <c r="X455" s="2">
        <v>20</v>
      </c>
      <c r="Y455" s="2">
        <v>30.259433962264151</v>
      </c>
    </row>
    <row r="456" spans="1:25" hidden="1">
      <c r="A456" s="2" t="s">
        <v>660</v>
      </c>
      <c r="B456" s="2" t="s">
        <v>149</v>
      </c>
      <c r="C456" s="2" t="s">
        <v>317</v>
      </c>
      <c r="D456" s="3">
        <v>45669.78125</v>
      </c>
      <c r="E456" s="3">
        <v>45669.795138888891</v>
      </c>
      <c r="F456" s="2">
        <v>20</v>
      </c>
      <c r="G456" s="2" t="s">
        <v>159</v>
      </c>
      <c r="H456" s="2" t="s">
        <v>160</v>
      </c>
      <c r="I456" s="2">
        <v>1</v>
      </c>
      <c r="J456" s="2">
        <v>2.5</v>
      </c>
      <c r="K456" s="2" t="s">
        <v>161</v>
      </c>
      <c r="L456" s="2" t="s">
        <v>169</v>
      </c>
      <c r="M456" s="2" t="b">
        <v>1</v>
      </c>
      <c r="N456" s="2" t="b">
        <v>1</v>
      </c>
      <c r="O456" s="2">
        <v>8</v>
      </c>
      <c r="P456" s="2">
        <v>0.4</v>
      </c>
      <c r="Q456" s="2" t="s">
        <v>146</v>
      </c>
      <c r="R456" s="2" t="s">
        <v>171</v>
      </c>
      <c r="S456" s="2">
        <v>6</v>
      </c>
      <c r="T456" s="2">
        <v>14</v>
      </c>
      <c r="U456" s="2" t="b">
        <v>0</v>
      </c>
      <c r="V456" s="2">
        <v>1</v>
      </c>
      <c r="W456" s="2">
        <v>1</v>
      </c>
      <c r="X456" s="2">
        <v>18</v>
      </c>
      <c r="Y456" s="2">
        <v>28.186274509803919</v>
      </c>
    </row>
    <row r="457" spans="1:25" hidden="1">
      <c r="A457" s="2" t="s">
        <v>661</v>
      </c>
      <c r="B457" s="2" t="s">
        <v>165</v>
      </c>
      <c r="C457" s="2" t="s">
        <v>190</v>
      </c>
      <c r="D457" s="3">
        <v>45670.791666666657</v>
      </c>
      <c r="E457" s="3">
        <v>45670.826388888891</v>
      </c>
      <c r="F457" s="2">
        <v>50</v>
      </c>
      <c r="G457" s="2" t="s">
        <v>151</v>
      </c>
      <c r="H457" s="2" t="s">
        <v>152</v>
      </c>
      <c r="I457" s="2">
        <v>4</v>
      </c>
      <c r="J457" s="2">
        <v>10</v>
      </c>
      <c r="K457" s="2" t="s">
        <v>153</v>
      </c>
      <c r="L457" s="2" t="s">
        <v>145</v>
      </c>
      <c r="M457" s="2" t="b">
        <v>1</v>
      </c>
      <c r="N457" s="2" t="b">
        <v>0</v>
      </c>
      <c r="O457" s="2">
        <v>5</v>
      </c>
      <c r="P457" s="2">
        <v>0.4</v>
      </c>
      <c r="Q457" s="2" t="s">
        <v>146</v>
      </c>
      <c r="R457" s="2" t="s">
        <v>147</v>
      </c>
      <c r="S457" s="2">
        <v>24</v>
      </c>
      <c r="T457" s="2">
        <v>26</v>
      </c>
      <c r="U457" s="2" t="b">
        <v>1</v>
      </c>
      <c r="V457" s="2">
        <v>12</v>
      </c>
      <c r="W457" s="2">
        <v>3</v>
      </c>
      <c r="X457" s="2">
        <v>19</v>
      </c>
      <c r="Y457" s="2">
        <v>29.948453608247419</v>
      </c>
    </row>
    <row r="458" spans="1:25" hidden="1">
      <c r="A458" s="2" t="s">
        <v>662</v>
      </c>
      <c r="B458" s="2" t="s">
        <v>142</v>
      </c>
      <c r="C458" s="2" t="s">
        <v>166</v>
      </c>
      <c r="D458" s="3">
        <v>45671.833333333343</v>
      </c>
      <c r="E458" s="3">
        <v>45671.857638888891</v>
      </c>
      <c r="F458" s="2">
        <v>35</v>
      </c>
      <c r="G458" s="2" t="s">
        <v>143</v>
      </c>
      <c r="H458" s="2" t="s">
        <v>591</v>
      </c>
      <c r="I458" s="2">
        <v>3</v>
      </c>
      <c r="J458" s="2">
        <v>5.5</v>
      </c>
      <c r="K458" s="2" t="s">
        <v>143</v>
      </c>
      <c r="L458" s="2" t="s">
        <v>342</v>
      </c>
      <c r="M458" s="2" t="b">
        <v>1</v>
      </c>
      <c r="N458" s="2" t="b">
        <v>0</v>
      </c>
      <c r="O458" s="2">
        <v>6.3636363636363633</v>
      </c>
      <c r="P458" s="2">
        <v>0.54545454545454541</v>
      </c>
      <c r="Q458" s="2" t="s">
        <v>146</v>
      </c>
      <c r="R458" s="2" t="s">
        <v>171</v>
      </c>
      <c r="S458" s="2">
        <v>13.2</v>
      </c>
      <c r="T458" s="2">
        <v>21.8</v>
      </c>
      <c r="U458" s="2" t="b">
        <v>1</v>
      </c>
      <c r="V458" s="2">
        <v>6</v>
      </c>
      <c r="W458" s="2">
        <v>2</v>
      </c>
      <c r="X458" s="2">
        <v>20</v>
      </c>
      <c r="Y458" s="2">
        <v>30.259433962264151</v>
      </c>
    </row>
    <row r="459" spans="1:25" hidden="1">
      <c r="A459" s="2" t="s">
        <v>663</v>
      </c>
      <c r="B459" s="2" t="s">
        <v>149</v>
      </c>
      <c r="C459" s="2" t="s">
        <v>192</v>
      </c>
      <c r="D459" s="3">
        <v>45672.770833333343</v>
      </c>
      <c r="E459" s="3">
        <v>45672.784722222219</v>
      </c>
      <c r="F459" s="2">
        <v>20</v>
      </c>
      <c r="G459" s="2" t="s">
        <v>159</v>
      </c>
      <c r="H459" s="2" t="s">
        <v>160</v>
      </c>
      <c r="I459" s="2">
        <v>2</v>
      </c>
      <c r="J459" s="2">
        <v>2</v>
      </c>
      <c r="K459" s="2" t="s">
        <v>161</v>
      </c>
      <c r="L459" s="2" t="s">
        <v>162</v>
      </c>
      <c r="M459" s="2" t="b">
        <v>1</v>
      </c>
      <c r="N459" s="2" t="b">
        <v>0</v>
      </c>
      <c r="O459" s="2">
        <v>10</v>
      </c>
      <c r="P459" s="2">
        <v>1</v>
      </c>
      <c r="Q459" s="2" t="s">
        <v>146</v>
      </c>
      <c r="R459" s="2" t="s">
        <v>147</v>
      </c>
      <c r="S459" s="2">
        <v>4.8</v>
      </c>
      <c r="T459" s="2">
        <v>15.2</v>
      </c>
      <c r="U459" s="2" t="b">
        <v>0</v>
      </c>
      <c r="V459" s="2">
        <v>2</v>
      </c>
      <c r="W459" s="2">
        <v>1</v>
      </c>
      <c r="X459" s="2">
        <v>18</v>
      </c>
      <c r="Y459" s="2">
        <v>28.186274509803919</v>
      </c>
    </row>
    <row r="460" spans="1:25" hidden="1">
      <c r="A460" s="2" t="s">
        <v>664</v>
      </c>
      <c r="B460" s="2" t="s">
        <v>165</v>
      </c>
      <c r="C460" s="2" t="s">
        <v>194</v>
      </c>
      <c r="D460" s="3">
        <v>45673.822916666657</v>
      </c>
      <c r="E460" s="3">
        <v>45673.850694444453</v>
      </c>
      <c r="F460" s="2">
        <v>40</v>
      </c>
      <c r="G460" s="2" t="s">
        <v>167</v>
      </c>
      <c r="H460" s="2" t="s">
        <v>594</v>
      </c>
      <c r="I460" s="2">
        <v>5</v>
      </c>
      <c r="J460" s="2">
        <v>7.5</v>
      </c>
      <c r="K460" s="2" t="s">
        <v>153</v>
      </c>
      <c r="L460" s="2" t="s">
        <v>145</v>
      </c>
      <c r="M460" s="2" t="b">
        <v>1</v>
      </c>
      <c r="N460" s="2" t="b">
        <v>0</v>
      </c>
      <c r="O460" s="2">
        <v>5.333333333333333</v>
      </c>
      <c r="P460" s="2">
        <v>0.66666666666666663</v>
      </c>
      <c r="Q460" s="2" t="s">
        <v>146</v>
      </c>
      <c r="R460" s="2" t="s">
        <v>147</v>
      </c>
      <c r="S460" s="2">
        <v>18</v>
      </c>
      <c r="T460" s="2">
        <v>22</v>
      </c>
      <c r="U460" s="2" t="b">
        <v>1</v>
      </c>
      <c r="V460" s="2">
        <v>20</v>
      </c>
      <c r="W460" s="2">
        <v>3</v>
      </c>
      <c r="X460" s="2">
        <v>19</v>
      </c>
      <c r="Y460" s="2">
        <v>29.948453608247419</v>
      </c>
    </row>
    <row r="461" spans="1:25" hidden="1">
      <c r="A461" s="2" t="s">
        <v>665</v>
      </c>
      <c r="B461" s="2" t="s">
        <v>142</v>
      </c>
      <c r="C461" s="2" t="s">
        <v>40</v>
      </c>
      <c r="D461" s="3">
        <v>45674.75</v>
      </c>
      <c r="E461" s="3">
        <v>45674.763888888891</v>
      </c>
      <c r="F461" s="2">
        <v>20</v>
      </c>
      <c r="G461" s="2" t="s">
        <v>143</v>
      </c>
      <c r="H461" s="2" t="s">
        <v>144</v>
      </c>
      <c r="I461" s="2">
        <v>2</v>
      </c>
      <c r="J461" s="2">
        <v>3</v>
      </c>
      <c r="K461" s="2" t="s">
        <v>161</v>
      </c>
      <c r="L461" s="2" t="s">
        <v>145</v>
      </c>
      <c r="M461" s="2" t="b">
        <v>1</v>
      </c>
      <c r="N461" s="2" t="b">
        <v>0</v>
      </c>
      <c r="O461" s="2">
        <v>6.666666666666667</v>
      </c>
      <c r="P461" s="2">
        <v>0.66666666666666663</v>
      </c>
      <c r="Q461" s="2" t="s">
        <v>146</v>
      </c>
      <c r="R461" s="2" t="s">
        <v>147</v>
      </c>
      <c r="S461" s="2">
        <v>7.1999999999999993</v>
      </c>
      <c r="T461" s="2">
        <v>12.8</v>
      </c>
      <c r="U461" s="2" t="b">
        <v>0</v>
      </c>
      <c r="V461" s="2">
        <v>4</v>
      </c>
      <c r="W461" s="2">
        <v>1</v>
      </c>
      <c r="X461" s="2">
        <v>18</v>
      </c>
      <c r="Y461" s="2">
        <v>30.259433962264151</v>
      </c>
    </row>
    <row r="462" spans="1:25" hidden="1">
      <c r="A462" s="2" t="s">
        <v>666</v>
      </c>
      <c r="B462" s="2" t="s">
        <v>149</v>
      </c>
      <c r="C462" s="2" t="s">
        <v>158</v>
      </c>
      <c r="D462" s="3">
        <v>45675.802083333343</v>
      </c>
      <c r="E462" s="3">
        <v>45675.822916666657</v>
      </c>
      <c r="F462" s="2">
        <v>30</v>
      </c>
      <c r="G462" s="2" t="s">
        <v>151</v>
      </c>
      <c r="H462" s="2" t="s">
        <v>617</v>
      </c>
      <c r="I462" s="2">
        <v>4</v>
      </c>
      <c r="J462" s="2">
        <v>6</v>
      </c>
      <c r="K462" s="2" t="s">
        <v>143</v>
      </c>
      <c r="L462" s="2" t="s">
        <v>162</v>
      </c>
      <c r="M462" s="2" t="b">
        <v>1</v>
      </c>
      <c r="N462" s="2" t="b">
        <v>1</v>
      </c>
      <c r="O462" s="2">
        <v>5</v>
      </c>
      <c r="P462" s="2">
        <v>0.66666666666666663</v>
      </c>
      <c r="Q462" s="2" t="s">
        <v>146</v>
      </c>
      <c r="R462" s="2" t="s">
        <v>147</v>
      </c>
      <c r="S462" s="2">
        <v>14.4</v>
      </c>
      <c r="T462" s="2">
        <v>15.6</v>
      </c>
      <c r="U462" s="2" t="b">
        <v>0</v>
      </c>
      <c r="V462" s="2">
        <v>12</v>
      </c>
      <c r="W462" s="2">
        <v>2</v>
      </c>
      <c r="X462" s="2">
        <v>19</v>
      </c>
      <c r="Y462" s="2">
        <v>28.186274509803919</v>
      </c>
    </row>
    <row r="463" spans="1:25" hidden="1">
      <c r="A463" s="2" t="s">
        <v>667</v>
      </c>
      <c r="B463" s="2" t="s">
        <v>157</v>
      </c>
      <c r="C463" s="2" t="s">
        <v>150</v>
      </c>
      <c r="D463" s="3">
        <v>45676.854166666657</v>
      </c>
      <c r="E463" s="3">
        <v>45676.881944444453</v>
      </c>
      <c r="F463" s="2">
        <v>40</v>
      </c>
      <c r="G463" s="2" t="s">
        <v>167</v>
      </c>
      <c r="H463" s="2" t="s">
        <v>168</v>
      </c>
      <c r="I463" s="2">
        <v>5</v>
      </c>
      <c r="J463" s="2">
        <v>8</v>
      </c>
      <c r="K463" s="2" t="s">
        <v>153</v>
      </c>
      <c r="L463" s="2" t="s">
        <v>154</v>
      </c>
      <c r="M463" s="2" t="b">
        <v>1</v>
      </c>
      <c r="N463" s="2" t="b">
        <v>1</v>
      </c>
      <c r="O463" s="2">
        <v>5</v>
      </c>
      <c r="P463" s="2">
        <v>0.625</v>
      </c>
      <c r="Q463" s="2" t="s">
        <v>146</v>
      </c>
      <c r="R463" s="2" t="s">
        <v>147</v>
      </c>
      <c r="S463" s="2">
        <v>19.2</v>
      </c>
      <c r="T463" s="2">
        <v>20.8</v>
      </c>
      <c r="U463" s="2" t="b">
        <v>1</v>
      </c>
      <c r="V463" s="2">
        <v>20</v>
      </c>
      <c r="W463" s="2">
        <v>3</v>
      </c>
      <c r="X463" s="2">
        <v>20</v>
      </c>
      <c r="Y463" s="2">
        <v>28.844221105527641</v>
      </c>
    </row>
    <row r="464" spans="1:25" hidden="1">
      <c r="A464" s="2" t="s">
        <v>668</v>
      </c>
      <c r="B464" s="2" t="s">
        <v>173</v>
      </c>
      <c r="C464" s="2" t="s">
        <v>184</v>
      </c>
      <c r="D464" s="3">
        <v>45677.78125</v>
      </c>
      <c r="E464" s="3">
        <v>45677.795138888891</v>
      </c>
      <c r="F464" s="2">
        <v>20</v>
      </c>
      <c r="G464" s="2" t="s">
        <v>159</v>
      </c>
      <c r="H464" s="2" t="s">
        <v>160</v>
      </c>
      <c r="I464" s="2">
        <v>1</v>
      </c>
      <c r="J464" s="2">
        <v>2.5</v>
      </c>
      <c r="K464" s="2" t="s">
        <v>161</v>
      </c>
      <c r="L464" s="2" t="s">
        <v>169</v>
      </c>
      <c r="M464" s="2" t="b">
        <v>1</v>
      </c>
      <c r="N464" s="2" t="b">
        <v>0</v>
      </c>
      <c r="O464" s="2">
        <v>8</v>
      </c>
      <c r="P464" s="2">
        <v>0.4</v>
      </c>
      <c r="Q464" s="2" t="s">
        <v>146</v>
      </c>
      <c r="R464" s="2" t="s">
        <v>171</v>
      </c>
      <c r="S464" s="2">
        <v>6</v>
      </c>
      <c r="T464" s="2">
        <v>14</v>
      </c>
      <c r="U464" s="2" t="b">
        <v>0</v>
      </c>
      <c r="V464" s="2">
        <v>1</v>
      </c>
      <c r="W464" s="2">
        <v>1</v>
      </c>
      <c r="X464" s="2">
        <v>18</v>
      </c>
      <c r="Y464" s="2">
        <v>30.286458333333329</v>
      </c>
    </row>
    <row r="465" spans="1:25" hidden="1">
      <c r="A465" s="2" t="s">
        <v>669</v>
      </c>
      <c r="B465" s="2" t="s">
        <v>142</v>
      </c>
      <c r="C465" s="2" t="s">
        <v>186</v>
      </c>
      <c r="D465" s="3">
        <v>45678.791666666657</v>
      </c>
      <c r="E465" s="3">
        <v>45678.826388888891</v>
      </c>
      <c r="F465" s="2">
        <v>50</v>
      </c>
      <c r="G465" s="2" t="s">
        <v>151</v>
      </c>
      <c r="H465" s="2" t="s">
        <v>152</v>
      </c>
      <c r="I465" s="2">
        <v>4</v>
      </c>
      <c r="J465" s="2">
        <v>10</v>
      </c>
      <c r="K465" s="2" t="s">
        <v>153</v>
      </c>
      <c r="L465" s="2" t="s">
        <v>145</v>
      </c>
      <c r="M465" s="2" t="b">
        <v>1</v>
      </c>
      <c r="N465" s="2" t="b">
        <v>0</v>
      </c>
      <c r="O465" s="2">
        <v>5</v>
      </c>
      <c r="P465" s="2">
        <v>0.4</v>
      </c>
      <c r="Q465" s="2" t="s">
        <v>146</v>
      </c>
      <c r="R465" s="2" t="s">
        <v>147</v>
      </c>
      <c r="S465" s="2">
        <v>24</v>
      </c>
      <c r="T465" s="2">
        <v>26</v>
      </c>
      <c r="U465" s="2" t="b">
        <v>1</v>
      </c>
      <c r="V465" s="2">
        <v>12</v>
      </c>
      <c r="W465" s="2">
        <v>3</v>
      </c>
      <c r="X465" s="2">
        <v>19</v>
      </c>
      <c r="Y465" s="2">
        <v>30.259433962264151</v>
      </c>
    </row>
    <row r="466" spans="1:25" hidden="1">
      <c r="A466" s="2" t="s">
        <v>670</v>
      </c>
      <c r="B466" s="2" t="s">
        <v>149</v>
      </c>
      <c r="C466" s="2" t="s">
        <v>671</v>
      </c>
      <c r="D466" s="3">
        <v>45679.833333333343</v>
      </c>
      <c r="E466" s="3">
        <v>45679.857638888891</v>
      </c>
      <c r="F466" s="2">
        <v>35</v>
      </c>
      <c r="G466" s="2" t="s">
        <v>143</v>
      </c>
      <c r="H466" s="2" t="s">
        <v>591</v>
      </c>
      <c r="I466" s="2">
        <v>3</v>
      </c>
      <c r="J466" s="2">
        <v>5.5</v>
      </c>
      <c r="K466" s="2" t="s">
        <v>143</v>
      </c>
      <c r="L466" s="2" t="s">
        <v>154</v>
      </c>
      <c r="M466" s="2" t="b">
        <v>1</v>
      </c>
      <c r="N466" s="2" t="b">
        <v>0</v>
      </c>
      <c r="O466" s="2">
        <v>6.3636363636363633</v>
      </c>
      <c r="P466" s="2">
        <v>0.54545454545454541</v>
      </c>
      <c r="Q466" s="2" t="s">
        <v>146</v>
      </c>
      <c r="R466" s="2" t="s">
        <v>147</v>
      </c>
      <c r="S466" s="2">
        <v>13.2</v>
      </c>
      <c r="T466" s="2">
        <v>21.8</v>
      </c>
      <c r="U466" s="2" t="b">
        <v>1</v>
      </c>
      <c r="V466" s="2">
        <v>6</v>
      </c>
      <c r="W466" s="2">
        <v>2</v>
      </c>
      <c r="X466" s="2">
        <v>20</v>
      </c>
      <c r="Y466" s="2">
        <v>28.186274509803919</v>
      </c>
    </row>
    <row r="467" spans="1:25" hidden="1">
      <c r="A467" s="2" t="s">
        <v>672</v>
      </c>
      <c r="B467" s="2" t="s">
        <v>165</v>
      </c>
      <c r="C467" s="2" t="s">
        <v>673</v>
      </c>
      <c r="D467" s="3">
        <v>45680.770833333343</v>
      </c>
      <c r="E467" s="3">
        <v>45680.784722222219</v>
      </c>
      <c r="F467" s="2">
        <v>20</v>
      </c>
      <c r="G467" s="2" t="s">
        <v>159</v>
      </c>
      <c r="H467" s="2" t="s">
        <v>160</v>
      </c>
      <c r="I467" s="2">
        <v>2</v>
      </c>
      <c r="J467" s="2">
        <v>2</v>
      </c>
      <c r="K467" s="2" t="s">
        <v>161</v>
      </c>
      <c r="L467" s="2" t="s">
        <v>162</v>
      </c>
      <c r="M467" s="2" t="b">
        <v>1</v>
      </c>
      <c r="N467" s="2" t="b">
        <v>0</v>
      </c>
      <c r="O467" s="2">
        <v>10</v>
      </c>
      <c r="P467" s="2">
        <v>1</v>
      </c>
      <c r="Q467" s="2" t="s">
        <v>146</v>
      </c>
      <c r="R467" s="2" t="s">
        <v>147</v>
      </c>
      <c r="S467" s="2">
        <v>4.8</v>
      </c>
      <c r="T467" s="2">
        <v>15.2</v>
      </c>
      <c r="U467" s="2" t="b">
        <v>0</v>
      </c>
      <c r="V467" s="2">
        <v>2</v>
      </c>
      <c r="W467" s="2">
        <v>1</v>
      </c>
      <c r="X467" s="2">
        <v>18</v>
      </c>
      <c r="Y467" s="2">
        <v>29.948453608247419</v>
      </c>
    </row>
    <row r="468" spans="1:25" hidden="1">
      <c r="A468" s="2" t="s">
        <v>674</v>
      </c>
      <c r="B468" s="2" t="s">
        <v>157</v>
      </c>
      <c r="C468" s="2" t="s">
        <v>319</v>
      </c>
      <c r="D468" s="3">
        <v>45681.822916666657</v>
      </c>
      <c r="E468" s="3">
        <v>45681.850694444453</v>
      </c>
      <c r="F468" s="2">
        <v>40</v>
      </c>
      <c r="G468" s="2" t="s">
        <v>167</v>
      </c>
      <c r="H468" s="2" t="s">
        <v>594</v>
      </c>
      <c r="I468" s="2">
        <v>5</v>
      </c>
      <c r="J468" s="2">
        <v>7.5</v>
      </c>
      <c r="K468" s="2" t="s">
        <v>153</v>
      </c>
      <c r="L468" s="2" t="s">
        <v>145</v>
      </c>
      <c r="M468" s="2" t="b">
        <v>1</v>
      </c>
      <c r="N468" s="2" t="b">
        <v>0</v>
      </c>
      <c r="O468" s="2">
        <v>5.333333333333333</v>
      </c>
      <c r="P468" s="2">
        <v>0.66666666666666663</v>
      </c>
      <c r="Q468" s="2" t="s">
        <v>146</v>
      </c>
      <c r="R468" s="2" t="s">
        <v>147</v>
      </c>
      <c r="S468" s="2">
        <v>18</v>
      </c>
      <c r="T468" s="2">
        <v>22</v>
      </c>
      <c r="U468" s="2" t="b">
        <v>1</v>
      </c>
      <c r="V468" s="2">
        <v>20</v>
      </c>
      <c r="W468" s="2">
        <v>3</v>
      </c>
      <c r="X468" s="2">
        <v>19</v>
      </c>
      <c r="Y468" s="2">
        <v>28.844221105527641</v>
      </c>
    </row>
    <row r="469" spans="1:25" hidden="1">
      <c r="A469" s="2" t="s">
        <v>675</v>
      </c>
      <c r="B469" s="2" t="s">
        <v>173</v>
      </c>
      <c r="C469" s="2" t="s">
        <v>174</v>
      </c>
      <c r="D469" s="3">
        <v>45682.75</v>
      </c>
      <c r="E469" s="3">
        <v>45682.770833333343</v>
      </c>
      <c r="F469" s="2">
        <v>30</v>
      </c>
      <c r="G469" s="2" t="s">
        <v>143</v>
      </c>
      <c r="H469" s="2" t="s">
        <v>152</v>
      </c>
      <c r="I469" s="2">
        <v>3</v>
      </c>
      <c r="J469" s="2">
        <v>4</v>
      </c>
      <c r="K469" s="2" t="s">
        <v>143</v>
      </c>
      <c r="L469" s="2" t="s">
        <v>162</v>
      </c>
      <c r="M469" s="2" t="b">
        <v>1</v>
      </c>
      <c r="N469" s="2" t="b">
        <v>1</v>
      </c>
      <c r="O469" s="2">
        <v>7.5</v>
      </c>
      <c r="P469" s="2">
        <v>0.75</v>
      </c>
      <c r="Q469" s="2" t="s">
        <v>146</v>
      </c>
      <c r="R469" s="2" t="s">
        <v>147</v>
      </c>
      <c r="S469" s="2">
        <v>9.6</v>
      </c>
      <c r="T469" s="2">
        <v>20.399999999999999</v>
      </c>
      <c r="U469" s="2" t="b">
        <v>0</v>
      </c>
      <c r="V469" s="2">
        <v>6</v>
      </c>
      <c r="W469" s="2">
        <v>2</v>
      </c>
      <c r="X469" s="2">
        <v>18</v>
      </c>
      <c r="Y469" s="2">
        <v>30.286458333333329</v>
      </c>
    </row>
    <row r="470" spans="1:25" hidden="1">
      <c r="A470" s="2" t="s">
        <v>676</v>
      </c>
      <c r="B470" s="2" t="s">
        <v>142</v>
      </c>
      <c r="C470" s="2" t="s">
        <v>315</v>
      </c>
      <c r="D470" s="3">
        <v>45683.84375</v>
      </c>
      <c r="E470" s="3">
        <v>45683.875</v>
      </c>
      <c r="F470" s="2">
        <v>45</v>
      </c>
      <c r="G470" s="2" t="s">
        <v>151</v>
      </c>
      <c r="H470" s="2" t="s">
        <v>144</v>
      </c>
      <c r="I470" s="2">
        <v>4</v>
      </c>
      <c r="J470" s="2">
        <v>9</v>
      </c>
      <c r="K470" s="2" t="s">
        <v>153</v>
      </c>
      <c r="L470" s="2" t="s">
        <v>169</v>
      </c>
      <c r="M470" s="2" t="b">
        <v>1</v>
      </c>
      <c r="N470" s="2" t="b">
        <v>1</v>
      </c>
      <c r="O470" s="2">
        <v>5</v>
      </c>
      <c r="P470" s="2">
        <v>0.44444444444444442</v>
      </c>
      <c r="Q470" s="2" t="s">
        <v>146</v>
      </c>
      <c r="R470" s="2" t="s">
        <v>171</v>
      </c>
      <c r="S470" s="2">
        <v>21.6</v>
      </c>
      <c r="T470" s="2">
        <v>23.4</v>
      </c>
      <c r="U470" s="2" t="b">
        <v>1</v>
      </c>
      <c r="V470" s="2">
        <v>12</v>
      </c>
      <c r="W470" s="2">
        <v>3</v>
      </c>
      <c r="X470" s="2">
        <v>20</v>
      </c>
      <c r="Y470" s="2">
        <v>30.259433962264151</v>
      </c>
    </row>
    <row r="471" spans="1:25" hidden="1">
      <c r="A471" s="2" t="s">
        <v>677</v>
      </c>
      <c r="B471" s="2" t="s">
        <v>149</v>
      </c>
      <c r="C471" s="2" t="s">
        <v>317</v>
      </c>
      <c r="D471" s="3">
        <v>45684.75</v>
      </c>
      <c r="E471" s="3">
        <v>45684.763888888891</v>
      </c>
      <c r="F471" s="2">
        <v>20</v>
      </c>
      <c r="G471" s="2" t="s">
        <v>143</v>
      </c>
      <c r="H471" s="2" t="s">
        <v>144</v>
      </c>
      <c r="I471" s="2">
        <v>2</v>
      </c>
      <c r="J471" s="2">
        <v>3</v>
      </c>
      <c r="K471" s="2" t="s">
        <v>161</v>
      </c>
      <c r="L471" s="2" t="s">
        <v>145</v>
      </c>
      <c r="M471" s="2" t="b">
        <v>1</v>
      </c>
      <c r="N471" s="2" t="b">
        <v>0</v>
      </c>
      <c r="O471" s="2">
        <v>6.666666666666667</v>
      </c>
      <c r="P471" s="2">
        <v>0.66666666666666663</v>
      </c>
      <c r="Q471" s="2" t="s">
        <v>146</v>
      </c>
      <c r="R471" s="2" t="s">
        <v>147</v>
      </c>
      <c r="S471" s="2">
        <v>7.1999999999999993</v>
      </c>
      <c r="T471" s="2">
        <v>12.8</v>
      </c>
      <c r="U471" s="2" t="b">
        <v>0</v>
      </c>
      <c r="V471" s="2">
        <v>4</v>
      </c>
      <c r="W471" s="2">
        <v>1</v>
      </c>
      <c r="X471" s="2">
        <v>18</v>
      </c>
      <c r="Y471" s="2">
        <v>28.186274509803919</v>
      </c>
    </row>
    <row r="472" spans="1:25" hidden="1">
      <c r="A472" s="2" t="s">
        <v>678</v>
      </c>
      <c r="B472" s="2" t="s">
        <v>165</v>
      </c>
      <c r="C472" s="2" t="s">
        <v>321</v>
      </c>
      <c r="D472" s="3">
        <v>45685.802083333343</v>
      </c>
      <c r="E472" s="3">
        <v>45685.822916666657</v>
      </c>
      <c r="F472" s="2">
        <v>30</v>
      </c>
      <c r="G472" s="2" t="s">
        <v>151</v>
      </c>
      <c r="H472" s="2" t="s">
        <v>152</v>
      </c>
      <c r="I472" s="2">
        <v>4</v>
      </c>
      <c r="J472" s="2">
        <v>6</v>
      </c>
      <c r="K472" s="2" t="s">
        <v>143</v>
      </c>
      <c r="L472" s="2" t="s">
        <v>154</v>
      </c>
      <c r="M472" s="2" t="b">
        <v>1</v>
      </c>
      <c r="N472" s="2" t="b">
        <v>0</v>
      </c>
      <c r="O472" s="2">
        <v>5</v>
      </c>
      <c r="P472" s="2">
        <v>0.66666666666666663</v>
      </c>
      <c r="Q472" s="2" t="s">
        <v>146</v>
      </c>
      <c r="R472" s="2" t="s">
        <v>147</v>
      </c>
      <c r="S472" s="2">
        <v>14.4</v>
      </c>
      <c r="T472" s="2">
        <v>15.6</v>
      </c>
      <c r="U472" s="2" t="b">
        <v>0</v>
      </c>
      <c r="V472" s="2">
        <v>12</v>
      </c>
      <c r="W472" s="2">
        <v>2</v>
      </c>
      <c r="X472" s="2">
        <v>19</v>
      </c>
      <c r="Y472" s="2">
        <v>29.948453608247419</v>
      </c>
    </row>
    <row r="473" spans="1:25" hidden="1">
      <c r="A473" s="2" t="s">
        <v>679</v>
      </c>
      <c r="B473" s="2" t="s">
        <v>157</v>
      </c>
      <c r="C473" s="2" t="s">
        <v>323</v>
      </c>
      <c r="D473" s="3">
        <v>45686.854166666657</v>
      </c>
      <c r="E473" s="3">
        <v>45686.881944444453</v>
      </c>
      <c r="F473" s="2">
        <v>40</v>
      </c>
      <c r="G473" s="2" t="s">
        <v>167</v>
      </c>
      <c r="H473" s="2" t="s">
        <v>168</v>
      </c>
      <c r="I473" s="2">
        <v>5</v>
      </c>
      <c r="J473" s="2">
        <v>8</v>
      </c>
      <c r="K473" s="2" t="s">
        <v>153</v>
      </c>
      <c r="L473" s="2" t="s">
        <v>145</v>
      </c>
      <c r="M473" s="2" t="b">
        <v>1</v>
      </c>
      <c r="N473" s="2" t="b">
        <v>0</v>
      </c>
      <c r="O473" s="2">
        <v>5</v>
      </c>
      <c r="P473" s="2">
        <v>0.625</v>
      </c>
      <c r="Q473" s="2" t="s">
        <v>146</v>
      </c>
      <c r="R473" s="2" t="s">
        <v>147</v>
      </c>
      <c r="S473" s="2">
        <v>19.2</v>
      </c>
      <c r="T473" s="2">
        <v>20.8</v>
      </c>
      <c r="U473" s="2" t="b">
        <v>1</v>
      </c>
      <c r="V473" s="2">
        <v>20</v>
      </c>
      <c r="W473" s="2">
        <v>3</v>
      </c>
      <c r="X473" s="2">
        <v>20</v>
      </c>
      <c r="Y473" s="2">
        <v>28.844221105527641</v>
      </c>
    </row>
    <row r="474" spans="1:25" hidden="1">
      <c r="A474" s="2" t="s">
        <v>680</v>
      </c>
      <c r="B474" s="2" t="s">
        <v>173</v>
      </c>
      <c r="C474" s="2" t="s">
        <v>325</v>
      </c>
      <c r="D474" s="3">
        <v>45687.78125</v>
      </c>
      <c r="E474" s="3">
        <v>45687.795138888891</v>
      </c>
      <c r="F474" s="2">
        <v>20</v>
      </c>
      <c r="G474" s="2" t="s">
        <v>159</v>
      </c>
      <c r="H474" s="2" t="s">
        <v>160</v>
      </c>
      <c r="I474" s="2">
        <v>1</v>
      </c>
      <c r="J474" s="2">
        <v>2.5</v>
      </c>
      <c r="K474" s="2" t="s">
        <v>161</v>
      </c>
      <c r="L474" s="2" t="s">
        <v>169</v>
      </c>
      <c r="M474" s="2" t="b">
        <v>1</v>
      </c>
      <c r="N474" s="2" t="b">
        <v>0</v>
      </c>
      <c r="O474" s="2">
        <v>8</v>
      </c>
      <c r="P474" s="2">
        <v>0.4</v>
      </c>
      <c r="Q474" s="2" t="s">
        <v>146</v>
      </c>
      <c r="R474" s="2" t="s">
        <v>171</v>
      </c>
      <c r="S474" s="2">
        <v>6</v>
      </c>
      <c r="T474" s="2">
        <v>14</v>
      </c>
      <c r="U474" s="2" t="b">
        <v>0</v>
      </c>
      <c r="V474" s="2">
        <v>1</v>
      </c>
      <c r="W474" s="2">
        <v>1</v>
      </c>
      <c r="X474" s="2">
        <v>18</v>
      </c>
      <c r="Y474" s="2">
        <v>30.286458333333329</v>
      </c>
    </row>
    <row r="475" spans="1:25" hidden="1">
      <c r="A475" s="2" t="s">
        <v>681</v>
      </c>
      <c r="B475" s="2" t="s">
        <v>142</v>
      </c>
      <c r="C475" s="2" t="s">
        <v>327</v>
      </c>
      <c r="D475" s="3">
        <v>45688.791666666657</v>
      </c>
      <c r="E475" s="3">
        <v>45688.826388888891</v>
      </c>
      <c r="F475" s="2">
        <v>50</v>
      </c>
      <c r="G475" s="2" t="s">
        <v>151</v>
      </c>
      <c r="H475" s="2" t="s">
        <v>152</v>
      </c>
      <c r="I475" s="2">
        <v>4</v>
      </c>
      <c r="J475" s="2">
        <v>10</v>
      </c>
      <c r="K475" s="2" t="s">
        <v>153</v>
      </c>
      <c r="L475" s="2" t="s">
        <v>145</v>
      </c>
      <c r="M475" s="2" t="b">
        <v>1</v>
      </c>
      <c r="N475" s="2" t="b">
        <v>0</v>
      </c>
      <c r="O475" s="2">
        <v>5</v>
      </c>
      <c r="P475" s="2">
        <v>0.4</v>
      </c>
      <c r="Q475" s="2" t="s">
        <v>146</v>
      </c>
      <c r="R475" s="2" t="s">
        <v>147</v>
      </c>
      <c r="S475" s="2">
        <v>24</v>
      </c>
      <c r="T475" s="2">
        <v>26</v>
      </c>
      <c r="U475" s="2" t="b">
        <v>1</v>
      </c>
      <c r="V475" s="2">
        <v>12</v>
      </c>
      <c r="W475" s="2">
        <v>3</v>
      </c>
      <c r="X475" s="2">
        <v>19</v>
      </c>
      <c r="Y475" s="2">
        <v>30.259433962264151</v>
      </c>
    </row>
    <row r="476" spans="1:25" hidden="1">
      <c r="A476" s="2" t="s">
        <v>682</v>
      </c>
      <c r="B476" s="2" t="s">
        <v>149</v>
      </c>
      <c r="C476" s="2" t="s">
        <v>182</v>
      </c>
      <c r="D476" s="3">
        <v>45689.833333333343</v>
      </c>
      <c r="E476" s="3">
        <v>45689.857638888891</v>
      </c>
      <c r="F476" s="2">
        <v>35</v>
      </c>
      <c r="G476" s="2" t="s">
        <v>143</v>
      </c>
      <c r="H476" s="2" t="s">
        <v>591</v>
      </c>
      <c r="I476" s="2">
        <v>3</v>
      </c>
      <c r="J476" s="2">
        <v>5.5</v>
      </c>
      <c r="K476" s="2" t="s">
        <v>143</v>
      </c>
      <c r="L476" s="2" t="s">
        <v>154</v>
      </c>
      <c r="M476" s="2" t="b">
        <v>1</v>
      </c>
      <c r="N476" s="2" t="b">
        <v>1</v>
      </c>
      <c r="O476" s="2">
        <v>6.3636363636363633</v>
      </c>
      <c r="P476" s="2">
        <v>0.54545454545454541</v>
      </c>
      <c r="Q476" s="2" t="s">
        <v>155</v>
      </c>
      <c r="R476" s="2" t="s">
        <v>147</v>
      </c>
      <c r="S476" s="2">
        <v>13.2</v>
      </c>
      <c r="T476" s="2">
        <v>21.8</v>
      </c>
      <c r="U476" s="2" t="b">
        <v>1</v>
      </c>
      <c r="V476" s="2">
        <v>6</v>
      </c>
      <c r="W476" s="2">
        <v>2</v>
      </c>
      <c r="X476" s="2">
        <v>20</v>
      </c>
      <c r="Y476" s="2">
        <v>28.186274509803919</v>
      </c>
    </row>
    <row r="477" spans="1:25" hidden="1">
      <c r="A477" s="2" t="s">
        <v>683</v>
      </c>
      <c r="B477" s="2" t="s">
        <v>165</v>
      </c>
      <c r="C477" s="2" t="s">
        <v>329</v>
      </c>
      <c r="D477" s="3">
        <v>45690.770833333343</v>
      </c>
      <c r="E477" s="3">
        <v>45690.784722222219</v>
      </c>
      <c r="F477" s="2">
        <v>20</v>
      </c>
      <c r="G477" s="2" t="s">
        <v>159</v>
      </c>
      <c r="H477" s="2" t="s">
        <v>160</v>
      </c>
      <c r="I477" s="2">
        <v>2</v>
      </c>
      <c r="J477" s="2">
        <v>2</v>
      </c>
      <c r="K477" s="2" t="s">
        <v>161</v>
      </c>
      <c r="L477" s="2" t="s">
        <v>162</v>
      </c>
      <c r="M477" s="2" t="b">
        <v>1</v>
      </c>
      <c r="N477" s="2" t="b">
        <v>1</v>
      </c>
      <c r="O477" s="2">
        <v>10</v>
      </c>
      <c r="P477" s="2">
        <v>1</v>
      </c>
      <c r="Q477" s="2" t="s">
        <v>155</v>
      </c>
      <c r="R477" s="2" t="s">
        <v>147</v>
      </c>
      <c r="S477" s="2">
        <v>4.8</v>
      </c>
      <c r="T477" s="2">
        <v>15.2</v>
      </c>
      <c r="U477" s="2" t="b">
        <v>0</v>
      </c>
      <c r="V477" s="2">
        <v>2</v>
      </c>
      <c r="W477" s="2">
        <v>1</v>
      </c>
      <c r="X477" s="2">
        <v>18</v>
      </c>
      <c r="Y477" s="2">
        <v>29.948453608247419</v>
      </c>
    </row>
    <row r="478" spans="1:25" hidden="1">
      <c r="A478" s="2" t="s">
        <v>684</v>
      </c>
      <c r="B478" s="2" t="s">
        <v>157</v>
      </c>
      <c r="C478" s="2" t="s">
        <v>190</v>
      </c>
      <c r="D478" s="3">
        <v>45691.822916666657</v>
      </c>
      <c r="E478" s="3">
        <v>45691.850694444453</v>
      </c>
      <c r="F478" s="2">
        <v>40</v>
      </c>
      <c r="G478" s="2" t="s">
        <v>167</v>
      </c>
      <c r="H478" s="2" t="s">
        <v>594</v>
      </c>
      <c r="I478" s="2">
        <v>5</v>
      </c>
      <c r="J478" s="2">
        <v>7.5</v>
      </c>
      <c r="K478" s="2" t="s">
        <v>153</v>
      </c>
      <c r="L478" s="2" t="s">
        <v>145</v>
      </c>
      <c r="M478" s="2" t="b">
        <v>1</v>
      </c>
      <c r="N478" s="2" t="b">
        <v>0</v>
      </c>
      <c r="O478" s="2">
        <v>5.333333333333333</v>
      </c>
      <c r="P478" s="2">
        <v>0.66666666666666663</v>
      </c>
      <c r="Q478" s="2" t="s">
        <v>155</v>
      </c>
      <c r="R478" s="2" t="s">
        <v>147</v>
      </c>
      <c r="S478" s="2">
        <v>18</v>
      </c>
      <c r="T478" s="2">
        <v>22</v>
      </c>
      <c r="U478" s="2" t="b">
        <v>1</v>
      </c>
      <c r="V478" s="2">
        <v>20</v>
      </c>
      <c r="W478" s="2">
        <v>3</v>
      </c>
      <c r="X478" s="2">
        <v>19</v>
      </c>
      <c r="Y478" s="2">
        <v>28.844221105527641</v>
      </c>
    </row>
    <row r="479" spans="1:25" hidden="1">
      <c r="A479" s="2" t="s">
        <v>685</v>
      </c>
      <c r="B479" s="2" t="s">
        <v>173</v>
      </c>
      <c r="C479" s="2" t="s">
        <v>192</v>
      </c>
      <c r="D479" s="3">
        <v>45692.75</v>
      </c>
      <c r="E479" s="3">
        <v>45692.770833333343</v>
      </c>
      <c r="F479" s="2">
        <v>30</v>
      </c>
      <c r="G479" s="2" t="s">
        <v>143</v>
      </c>
      <c r="H479" s="2" t="s">
        <v>152</v>
      </c>
      <c r="I479" s="2">
        <v>3</v>
      </c>
      <c r="J479" s="2">
        <v>4</v>
      </c>
      <c r="K479" s="2" t="s">
        <v>143</v>
      </c>
      <c r="L479" s="2" t="s">
        <v>162</v>
      </c>
      <c r="M479" s="2" t="b">
        <v>1</v>
      </c>
      <c r="N479" s="2" t="b">
        <v>0</v>
      </c>
      <c r="O479" s="2">
        <v>7.5</v>
      </c>
      <c r="P479" s="2">
        <v>0.75</v>
      </c>
      <c r="Q479" s="2" t="s">
        <v>155</v>
      </c>
      <c r="R479" s="2" t="s">
        <v>147</v>
      </c>
      <c r="S479" s="2">
        <v>9.6</v>
      </c>
      <c r="T479" s="2">
        <v>20.399999999999999</v>
      </c>
      <c r="U479" s="2" t="b">
        <v>0</v>
      </c>
      <c r="V479" s="2">
        <v>6</v>
      </c>
      <c r="W479" s="2">
        <v>2</v>
      </c>
      <c r="X479" s="2">
        <v>18</v>
      </c>
      <c r="Y479" s="2">
        <v>30.286458333333329</v>
      </c>
    </row>
    <row r="480" spans="1:25" hidden="1">
      <c r="A480" s="2" t="s">
        <v>686</v>
      </c>
      <c r="B480" s="2" t="s">
        <v>142</v>
      </c>
      <c r="C480" s="2" t="s">
        <v>687</v>
      </c>
      <c r="D480" s="3">
        <v>45693.84375</v>
      </c>
      <c r="E480" s="3">
        <v>45693.875</v>
      </c>
      <c r="F480" s="2">
        <v>45</v>
      </c>
      <c r="G480" s="2" t="s">
        <v>151</v>
      </c>
      <c r="H480" s="2" t="s">
        <v>144</v>
      </c>
      <c r="I480" s="2">
        <v>4</v>
      </c>
      <c r="J480" s="2">
        <v>9</v>
      </c>
      <c r="K480" s="2" t="s">
        <v>153</v>
      </c>
      <c r="L480" s="2" t="s">
        <v>169</v>
      </c>
      <c r="M480" s="2" t="b">
        <v>1</v>
      </c>
      <c r="N480" s="2" t="b">
        <v>0</v>
      </c>
      <c r="O480" s="2">
        <v>5</v>
      </c>
      <c r="P480" s="2">
        <v>0.44444444444444442</v>
      </c>
      <c r="Q480" s="2" t="s">
        <v>155</v>
      </c>
      <c r="R480" s="2" t="s">
        <v>171</v>
      </c>
      <c r="S480" s="2">
        <v>21.6</v>
      </c>
      <c r="T480" s="2">
        <v>23.4</v>
      </c>
      <c r="U480" s="2" t="b">
        <v>1</v>
      </c>
      <c r="V480" s="2">
        <v>12</v>
      </c>
      <c r="W480" s="2">
        <v>3</v>
      </c>
      <c r="X480" s="2">
        <v>20</v>
      </c>
      <c r="Y480" s="2">
        <v>30.259433962264151</v>
      </c>
    </row>
    <row r="481" spans="1:25" hidden="1">
      <c r="A481" s="2" t="s">
        <v>688</v>
      </c>
      <c r="B481" s="2" t="s">
        <v>149</v>
      </c>
      <c r="C481" s="2" t="s">
        <v>194</v>
      </c>
      <c r="D481" s="3">
        <v>45694.75</v>
      </c>
      <c r="E481" s="3">
        <v>45694.763888888891</v>
      </c>
      <c r="F481" s="2">
        <v>20</v>
      </c>
      <c r="G481" s="2" t="s">
        <v>143</v>
      </c>
      <c r="H481" s="2" t="s">
        <v>144</v>
      </c>
      <c r="I481" s="2">
        <v>2</v>
      </c>
      <c r="J481" s="2">
        <v>3</v>
      </c>
      <c r="K481" s="2" t="s">
        <v>161</v>
      </c>
      <c r="L481" s="2" t="s">
        <v>145</v>
      </c>
      <c r="M481" s="2" t="b">
        <v>1</v>
      </c>
      <c r="N481" s="2" t="b">
        <v>0</v>
      </c>
      <c r="O481" s="2">
        <v>6.666666666666667</v>
      </c>
      <c r="P481" s="2">
        <v>0.66666666666666663</v>
      </c>
      <c r="Q481" s="2" t="s">
        <v>155</v>
      </c>
      <c r="R481" s="2" t="s">
        <v>147</v>
      </c>
      <c r="S481" s="2">
        <v>7.1999999999999993</v>
      </c>
      <c r="T481" s="2">
        <v>12.8</v>
      </c>
      <c r="U481" s="2" t="b">
        <v>0</v>
      </c>
      <c r="V481" s="2">
        <v>4</v>
      </c>
      <c r="W481" s="2">
        <v>1</v>
      </c>
      <c r="X481" s="2">
        <v>18</v>
      </c>
      <c r="Y481" s="2">
        <v>28.186274509803919</v>
      </c>
    </row>
    <row r="482" spans="1:25" hidden="1">
      <c r="A482" s="2" t="s">
        <v>689</v>
      </c>
      <c r="B482" s="2" t="s">
        <v>165</v>
      </c>
      <c r="C482" s="2" t="s">
        <v>690</v>
      </c>
      <c r="D482" s="3">
        <v>45695.802083333343</v>
      </c>
      <c r="E482" s="3">
        <v>45695.822916666657</v>
      </c>
      <c r="F482" s="2">
        <v>30</v>
      </c>
      <c r="G482" s="2" t="s">
        <v>151</v>
      </c>
      <c r="H482" s="2" t="s">
        <v>152</v>
      </c>
      <c r="I482" s="2">
        <v>4</v>
      </c>
      <c r="J482" s="2">
        <v>6</v>
      </c>
      <c r="K482" s="2" t="s">
        <v>143</v>
      </c>
      <c r="L482" s="2" t="s">
        <v>154</v>
      </c>
      <c r="M482" s="2" t="b">
        <v>1</v>
      </c>
      <c r="N482" s="2" t="b">
        <v>0</v>
      </c>
      <c r="O482" s="2">
        <v>5</v>
      </c>
      <c r="P482" s="2">
        <v>0.66666666666666663</v>
      </c>
      <c r="Q482" s="2" t="s">
        <v>155</v>
      </c>
      <c r="R482" s="2" t="s">
        <v>147</v>
      </c>
      <c r="S482" s="2">
        <v>14.4</v>
      </c>
      <c r="T482" s="2">
        <v>15.6</v>
      </c>
      <c r="U482" s="2" t="b">
        <v>0</v>
      </c>
      <c r="V482" s="2">
        <v>12</v>
      </c>
      <c r="W482" s="2">
        <v>2</v>
      </c>
      <c r="X482" s="2">
        <v>19</v>
      </c>
      <c r="Y482" s="2">
        <v>29.948453608247419</v>
      </c>
    </row>
    <row r="483" spans="1:25" hidden="1">
      <c r="A483" s="2" t="s">
        <v>691</v>
      </c>
      <c r="B483" s="2" t="s">
        <v>157</v>
      </c>
      <c r="C483" s="2" t="s">
        <v>339</v>
      </c>
      <c r="D483" s="3">
        <v>45696.854166666657</v>
      </c>
      <c r="E483" s="3">
        <v>45696.881944444453</v>
      </c>
      <c r="F483" s="2">
        <v>40</v>
      </c>
      <c r="G483" s="2" t="s">
        <v>167</v>
      </c>
      <c r="H483" s="2" t="s">
        <v>168</v>
      </c>
      <c r="I483" s="2">
        <v>5</v>
      </c>
      <c r="J483" s="2">
        <v>8</v>
      </c>
      <c r="K483" s="2" t="s">
        <v>153</v>
      </c>
      <c r="L483" s="2" t="s">
        <v>145</v>
      </c>
      <c r="M483" s="2" t="b">
        <v>1</v>
      </c>
      <c r="N483" s="2" t="b">
        <v>1</v>
      </c>
      <c r="O483" s="2">
        <v>5</v>
      </c>
      <c r="P483" s="2">
        <v>0.625</v>
      </c>
      <c r="Q483" s="2" t="s">
        <v>155</v>
      </c>
      <c r="R483" s="2" t="s">
        <v>147</v>
      </c>
      <c r="S483" s="2">
        <v>19.2</v>
      </c>
      <c r="T483" s="2">
        <v>20.8</v>
      </c>
      <c r="U483" s="2" t="b">
        <v>1</v>
      </c>
      <c r="V483" s="2">
        <v>20</v>
      </c>
      <c r="W483" s="2">
        <v>3</v>
      </c>
      <c r="X483" s="2">
        <v>20</v>
      </c>
      <c r="Y483" s="2">
        <v>28.844221105527641</v>
      </c>
    </row>
    <row r="484" spans="1:25" hidden="1">
      <c r="A484" s="2" t="s">
        <v>692</v>
      </c>
      <c r="B484" s="2" t="s">
        <v>173</v>
      </c>
      <c r="C484" s="2" t="s">
        <v>693</v>
      </c>
      <c r="D484" s="3">
        <v>45697.78125</v>
      </c>
      <c r="E484" s="3">
        <v>45697.795138888891</v>
      </c>
      <c r="F484" s="2">
        <v>20</v>
      </c>
      <c r="G484" s="2" t="s">
        <v>159</v>
      </c>
      <c r="H484" s="2" t="s">
        <v>160</v>
      </c>
      <c r="I484" s="2">
        <v>1</v>
      </c>
      <c r="J484" s="2">
        <v>2.5</v>
      </c>
      <c r="K484" s="2" t="s">
        <v>161</v>
      </c>
      <c r="L484" s="2" t="s">
        <v>169</v>
      </c>
      <c r="M484" s="2" t="b">
        <v>1</v>
      </c>
      <c r="N484" s="2" t="b">
        <v>1</v>
      </c>
      <c r="O484" s="2">
        <v>8</v>
      </c>
      <c r="P484" s="2">
        <v>0.4</v>
      </c>
      <c r="Q484" s="2" t="s">
        <v>155</v>
      </c>
      <c r="R484" s="2" t="s">
        <v>171</v>
      </c>
      <c r="S484" s="2">
        <v>6</v>
      </c>
      <c r="T484" s="2">
        <v>14</v>
      </c>
      <c r="U484" s="2" t="b">
        <v>0</v>
      </c>
      <c r="V484" s="2">
        <v>1</v>
      </c>
      <c r="W484" s="2">
        <v>1</v>
      </c>
      <c r="X484" s="2">
        <v>18</v>
      </c>
      <c r="Y484" s="2">
        <v>30.286458333333329</v>
      </c>
    </row>
    <row r="485" spans="1:25" hidden="1">
      <c r="A485" s="2" t="s">
        <v>694</v>
      </c>
      <c r="B485" s="2" t="s">
        <v>142</v>
      </c>
      <c r="C485" s="2" t="s">
        <v>695</v>
      </c>
      <c r="D485" s="3">
        <v>45698.791666666657</v>
      </c>
      <c r="E485" s="3">
        <v>45698.826388888891</v>
      </c>
      <c r="F485" s="2">
        <v>50</v>
      </c>
      <c r="G485" s="2" t="s">
        <v>151</v>
      </c>
      <c r="H485" s="2" t="s">
        <v>152</v>
      </c>
      <c r="I485" s="2">
        <v>4</v>
      </c>
      <c r="J485" s="2">
        <v>10</v>
      </c>
      <c r="K485" s="2" t="s">
        <v>153</v>
      </c>
      <c r="L485" s="2" t="s">
        <v>145</v>
      </c>
      <c r="M485" s="2" t="b">
        <v>1</v>
      </c>
      <c r="N485" s="2" t="b">
        <v>0</v>
      </c>
      <c r="O485" s="2">
        <v>5</v>
      </c>
      <c r="P485" s="2">
        <v>0.4</v>
      </c>
      <c r="Q485" s="2" t="s">
        <v>155</v>
      </c>
      <c r="R485" s="2" t="s">
        <v>147</v>
      </c>
      <c r="S485" s="2">
        <v>24</v>
      </c>
      <c r="T485" s="2">
        <v>26</v>
      </c>
      <c r="U485" s="2" t="b">
        <v>1</v>
      </c>
      <c r="V485" s="2">
        <v>12</v>
      </c>
      <c r="W485" s="2">
        <v>3</v>
      </c>
      <c r="X485" s="2">
        <v>19</v>
      </c>
      <c r="Y485" s="2">
        <v>30.259433962264151</v>
      </c>
    </row>
    <row r="486" spans="1:25" hidden="1">
      <c r="A486" s="2" t="s">
        <v>696</v>
      </c>
      <c r="B486" s="2" t="s">
        <v>149</v>
      </c>
      <c r="C486" s="2" t="s">
        <v>697</v>
      </c>
      <c r="D486" s="3">
        <v>45699.833333333343</v>
      </c>
      <c r="E486" s="3">
        <v>45699.857638888891</v>
      </c>
      <c r="F486" s="2">
        <v>35</v>
      </c>
      <c r="G486" s="2" t="s">
        <v>143</v>
      </c>
      <c r="H486" s="2" t="s">
        <v>591</v>
      </c>
      <c r="I486" s="2">
        <v>3</v>
      </c>
      <c r="J486" s="2">
        <v>5.5</v>
      </c>
      <c r="K486" s="2" t="s">
        <v>143</v>
      </c>
      <c r="L486" s="2" t="s">
        <v>154</v>
      </c>
      <c r="M486" s="2" t="b">
        <v>1</v>
      </c>
      <c r="N486" s="2" t="b">
        <v>0</v>
      </c>
      <c r="O486" s="2">
        <v>6.3636363636363633</v>
      </c>
      <c r="P486" s="2">
        <v>0.54545454545454541</v>
      </c>
      <c r="Q486" s="2" t="s">
        <v>155</v>
      </c>
      <c r="R486" s="2" t="s">
        <v>147</v>
      </c>
      <c r="S486" s="2">
        <v>13.2</v>
      </c>
      <c r="T486" s="2">
        <v>21.8</v>
      </c>
      <c r="U486" s="2" t="b">
        <v>1</v>
      </c>
      <c r="V486" s="2">
        <v>6</v>
      </c>
      <c r="W486" s="2">
        <v>2</v>
      </c>
      <c r="X486" s="2">
        <v>20</v>
      </c>
      <c r="Y486" s="2">
        <v>28.186274509803919</v>
      </c>
    </row>
    <row r="487" spans="1:25" hidden="1">
      <c r="A487" s="2" t="s">
        <v>698</v>
      </c>
      <c r="B487" s="2" t="s">
        <v>165</v>
      </c>
      <c r="C487" s="2" t="s">
        <v>699</v>
      </c>
      <c r="D487" s="3">
        <v>45700.770833333343</v>
      </c>
      <c r="E487" s="3">
        <v>45700.784722222219</v>
      </c>
      <c r="F487" s="2">
        <v>20</v>
      </c>
      <c r="G487" s="2" t="s">
        <v>159</v>
      </c>
      <c r="H487" s="2" t="s">
        <v>160</v>
      </c>
      <c r="I487" s="2">
        <v>2</v>
      </c>
      <c r="J487" s="2">
        <v>2</v>
      </c>
      <c r="K487" s="2" t="s">
        <v>161</v>
      </c>
      <c r="L487" s="2" t="s">
        <v>154</v>
      </c>
      <c r="M487" s="2" t="b">
        <v>1</v>
      </c>
      <c r="N487" s="2" t="b">
        <v>0</v>
      </c>
      <c r="O487" s="2">
        <v>10</v>
      </c>
      <c r="P487" s="2">
        <v>1</v>
      </c>
      <c r="Q487" s="2" t="s">
        <v>155</v>
      </c>
      <c r="R487" s="2" t="s">
        <v>147</v>
      </c>
      <c r="S487" s="2">
        <v>4.8</v>
      </c>
      <c r="T487" s="2">
        <v>15.2</v>
      </c>
      <c r="U487" s="2" t="b">
        <v>0</v>
      </c>
      <c r="V487" s="2">
        <v>2</v>
      </c>
      <c r="W487" s="2">
        <v>1</v>
      </c>
      <c r="X487" s="2">
        <v>18</v>
      </c>
      <c r="Y487" s="2">
        <v>29.948453608247419</v>
      </c>
    </row>
    <row r="488" spans="1:25" hidden="1">
      <c r="A488" s="2" t="s">
        <v>700</v>
      </c>
      <c r="B488" s="2" t="s">
        <v>157</v>
      </c>
      <c r="C488" s="2" t="s">
        <v>701</v>
      </c>
      <c r="D488" s="3">
        <v>45701.822916666657</v>
      </c>
      <c r="E488" s="3">
        <v>45701.850694444453</v>
      </c>
      <c r="F488" s="2">
        <v>40</v>
      </c>
      <c r="G488" s="2" t="s">
        <v>167</v>
      </c>
      <c r="H488" s="2" t="s">
        <v>168</v>
      </c>
      <c r="I488" s="2">
        <v>5</v>
      </c>
      <c r="J488" s="2">
        <v>7.5</v>
      </c>
      <c r="K488" s="2" t="s">
        <v>153</v>
      </c>
      <c r="L488" s="2" t="s">
        <v>145</v>
      </c>
      <c r="M488" s="2" t="b">
        <v>1</v>
      </c>
      <c r="N488" s="2" t="b">
        <v>0</v>
      </c>
      <c r="O488" s="2">
        <v>5.333333333333333</v>
      </c>
      <c r="P488" s="2">
        <v>0.66666666666666663</v>
      </c>
      <c r="Q488" s="2" t="s">
        <v>155</v>
      </c>
      <c r="R488" s="2" t="s">
        <v>147</v>
      </c>
      <c r="S488" s="2">
        <v>18</v>
      </c>
      <c r="T488" s="2">
        <v>22</v>
      </c>
      <c r="U488" s="2" t="b">
        <v>1</v>
      </c>
      <c r="V488" s="2">
        <v>20</v>
      </c>
      <c r="W488" s="2">
        <v>3</v>
      </c>
      <c r="X488" s="2">
        <v>19</v>
      </c>
      <c r="Y488" s="2">
        <v>28.844221105527641</v>
      </c>
    </row>
    <row r="489" spans="1:25" hidden="1">
      <c r="A489" s="2" t="s">
        <v>702</v>
      </c>
      <c r="B489" s="2" t="s">
        <v>173</v>
      </c>
      <c r="C489" s="2" t="s">
        <v>703</v>
      </c>
      <c r="D489" s="3">
        <v>45702.75</v>
      </c>
      <c r="E489" s="3">
        <v>45702.763888888891</v>
      </c>
      <c r="F489" s="2">
        <v>20</v>
      </c>
      <c r="G489" s="2" t="s">
        <v>143</v>
      </c>
      <c r="H489" s="2" t="s">
        <v>144</v>
      </c>
      <c r="I489" s="2">
        <v>2</v>
      </c>
      <c r="J489" s="2">
        <v>3</v>
      </c>
      <c r="K489" s="2" t="s">
        <v>161</v>
      </c>
      <c r="L489" s="2" t="s">
        <v>145</v>
      </c>
      <c r="M489" s="2" t="b">
        <v>1</v>
      </c>
      <c r="N489" s="2" t="b">
        <v>0</v>
      </c>
      <c r="O489" s="2">
        <v>6.666666666666667</v>
      </c>
      <c r="P489" s="2">
        <v>0.66666666666666663</v>
      </c>
      <c r="Q489" s="2" t="s">
        <v>155</v>
      </c>
      <c r="R489" s="2" t="s">
        <v>147</v>
      </c>
      <c r="S489" s="2">
        <v>7.1999999999999993</v>
      </c>
      <c r="T489" s="2">
        <v>12.8</v>
      </c>
      <c r="U489" s="2" t="b">
        <v>0</v>
      </c>
      <c r="V489" s="2">
        <v>4</v>
      </c>
      <c r="W489" s="2">
        <v>1</v>
      </c>
      <c r="X489" s="2">
        <v>18</v>
      </c>
      <c r="Y489" s="2">
        <v>30.286458333333329</v>
      </c>
    </row>
    <row r="490" spans="1:25" hidden="1">
      <c r="A490" s="2" t="s">
        <v>704</v>
      </c>
      <c r="B490" s="2" t="s">
        <v>142</v>
      </c>
      <c r="C490" s="2" t="s">
        <v>705</v>
      </c>
      <c r="D490" s="3">
        <v>45703.802083333343</v>
      </c>
      <c r="E490" s="3">
        <v>45703.822916666657</v>
      </c>
      <c r="F490" s="2">
        <v>30</v>
      </c>
      <c r="G490" s="2" t="s">
        <v>151</v>
      </c>
      <c r="H490" s="2" t="s">
        <v>617</v>
      </c>
      <c r="I490" s="2">
        <v>4</v>
      </c>
      <c r="J490" s="2">
        <v>6</v>
      </c>
      <c r="K490" s="2" t="s">
        <v>143</v>
      </c>
      <c r="L490" s="2" t="s">
        <v>162</v>
      </c>
      <c r="M490" s="2" t="b">
        <v>1</v>
      </c>
      <c r="N490" s="2" t="b">
        <v>1</v>
      </c>
      <c r="O490" s="2">
        <v>5</v>
      </c>
      <c r="P490" s="2">
        <v>0.66666666666666663</v>
      </c>
      <c r="Q490" s="2" t="s">
        <v>155</v>
      </c>
      <c r="R490" s="2" t="s">
        <v>147</v>
      </c>
      <c r="S490" s="2">
        <v>14.4</v>
      </c>
      <c r="T490" s="2">
        <v>15.6</v>
      </c>
      <c r="U490" s="2" t="b">
        <v>0</v>
      </c>
      <c r="V490" s="2">
        <v>12</v>
      </c>
      <c r="W490" s="2">
        <v>2</v>
      </c>
      <c r="X490" s="2">
        <v>19</v>
      </c>
      <c r="Y490" s="2">
        <v>30.259433962264151</v>
      </c>
    </row>
    <row r="491" spans="1:25" hidden="1">
      <c r="A491" s="2" t="s">
        <v>706</v>
      </c>
      <c r="B491" s="2" t="s">
        <v>149</v>
      </c>
      <c r="C491" s="2" t="s">
        <v>707</v>
      </c>
      <c r="D491" s="3">
        <v>45704.854166666657</v>
      </c>
      <c r="E491" s="3">
        <v>45704.881944444453</v>
      </c>
      <c r="F491" s="2">
        <v>40</v>
      </c>
      <c r="G491" s="2" t="s">
        <v>167</v>
      </c>
      <c r="H491" s="2" t="s">
        <v>168</v>
      </c>
      <c r="I491" s="2">
        <v>5</v>
      </c>
      <c r="J491" s="2">
        <v>8</v>
      </c>
      <c r="K491" s="2" t="s">
        <v>153</v>
      </c>
      <c r="L491" s="2" t="s">
        <v>154</v>
      </c>
      <c r="M491" s="2" t="b">
        <v>1</v>
      </c>
      <c r="N491" s="2" t="b">
        <v>1</v>
      </c>
      <c r="O491" s="2">
        <v>5</v>
      </c>
      <c r="P491" s="2">
        <v>0.625</v>
      </c>
      <c r="Q491" s="2" t="s">
        <v>155</v>
      </c>
      <c r="R491" s="2" t="s">
        <v>147</v>
      </c>
      <c r="S491" s="2">
        <v>19.2</v>
      </c>
      <c r="T491" s="2">
        <v>20.8</v>
      </c>
      <c r="U491" s="2" t="b">
        <v>1</v>
      </c>
      <c r="V491" s="2">
        <v>20</v>
      </c>
      <c r="W491" s="2">
        <v>3</v>
      </c>
      <c r="X491" s="2">
        <v>20</v>
      </c>
      <c r="Y491" s="2">
        <v>28.186274509803919</v>
      </c>
    </row>
    <row r="492" spans="1:25" hidden="1">
      <c r="A492" s="2" t="s">
        <v>708</v>
      </c>
      <c r="B492" s="2" t="s">
        <v>165</v>
      </c>
      <c r="C492" s="2" t="s">
        <v>709</v>
      </c>
      <c r="D492" s="3">
        <v>45705.78125</v>
      </c>
      <c r="E492" s="3">
        <v>45705.795138888891</v>
      </c>
      <c r="F492" s="2">
        <v>20</v>
      </c>
      <c r="G492" s="2" t="s">
        <v>159</v>
      </c>
      <c r="H492" s="2" t="s">
        <v>160</v>
      </c>
      <c r="I492" s="2">
        <v>1</v>
      </c>
      <c r="J492" s="2">
        <v>2.5</v>
      </c>
      <c r="K492" s="2" t="s">
        <v>161</v>
      </c>
      <c r="L492" s="2" t="s">
        <v>169</v>
      </c>
      <c r="M492" s="2" t="b">
        <v>1</v>
      </c>
      <c r="N492" s="2" t="b">
        <v>0</v>
      </c>
      <c r="O492" s="2">
        <v>8</v>
      </c>
      <c r="P492" s="2">
        <v>0.4</v>
      </c>
      <c r="Q492" s="2" t="s">
        <v>155</v>
      </c>
      <c r="R492" s="2" t="s">
        <v>171</v>
      </c>
      <c r="S492" s="2">
        <v>6</v>
      </c>
      <c r="T492" s="2">
        <v>14</v>
      </c>
      <c r="U492" s="2" t="b">
        <v>0</v>
      </c>
      <c r="V492" s="2">
        <v>1</v>
      </c>
      <c r="W492" s="2">
        <v>1</v>
      </c>
      <c r="X492" s="2">
        <v>18</v>
      </c>
      <c r="Y492" s="2">
        <v>29.948453608247419</v>
      </c>
    </row>
    <row r="493" spans="1:25" hidden="1">
      <c r="A493" s="2" t="s">
        <v>710</v>
      </c>
      <c r="B493" s="2" t="s">
        <v>142</v>
      </c>
      <c r="C493" s="2" t="s">
        <v>188</v>
      </c>
      <c r="D493" s="3">
        <v>45706.791666666657</v>
      </c>
      <c r="E493" s="3">
        <v>45706.826388888891</v>
      </c>
      <c r="F493" s="2">
        <v>50</v>
      </c>
      <c r="G493" s="2" t="s">
        <v>151</v>
      </c>
      <c r="H493" s="2" t="s">
        <v>152</v>
      </c>
      <c r="I493" s="2">
        <v>4</v>
      </c>
      <c r="J493" s="2">
        <v>10</v>
      </c>
      <c r="K493" s="2" t="s">
        <v>153</v>
      </c>
      <c r="L493" s="2" t="s">
        <v>145</v>
      </c>
      <c r="M493" s="2" t="b">
        <v>1</v>
      </c>
      <c r="N493" s="2" t="b">
        <v>0</v>
      </c>
      <c r="O493" s="2">
        <v>5</v>
      </c>
      <c r="P493" s="2">
        <v>0.4</v>
      </c>
      <c r="Q493" s="2" t="s">
        <v>155</v>
      </c>
      <c r="R493" s="2" t="s">
        <v>147</v>
      </c>
      <c r="S493" s="2">
        <v>24</v>
      </c>
      <c r="T493" s="2">
        <v>26</v>
      </c>
      <c r="U493" s="2" t="b">
        <v>1</v>
      </c>
      <c r="V493" s="2">
        <v>12</v>
      </c>
      <c r="W493" s="2">
        <v>3</v>
      </c>
      <c r="X493" s="2">
        <v>19</v>
      </c>
      <c r="Y493" s="2">
        <v>30.259433962264151</v>
      </c>
    </row>
    <row r="494" spans="1:25" hidden="1">
      <c r="A494" s="2" t="s">
        <v>711</v>
      </c>
      <c r="B494" s="2" t="s">
        <v>149</v>
      </c>
      <c r="C494" s="2" t="s">
        <v>712</v>
      </c>
      <c r="D494" s="3">
        <v>45707.833333333343</v>
      </c>
      <c r="E494" s="3">
        <v>45707.857638888891</v>
      </c>
      <c r="F494" s="2">
        <v>35</v>
      </c>
      <c r="G494" s="2" t="s">
        <v>143</v>
      </c>
      <c r="H494" s="2" t="s">
        <v>591</v>
      </c>
      <c r="I494" s="2">
        <v>3</v>
      </c>
      <c r="J494" s="2">
        <v>5.5</v>
      </c>
      <c r="K494" s="2" t="s">
        <v>143</v>
      </c>
      <c r="L494" s="2" t="s">
        <v>154</v>
      </c>
      <c r="M494" s="2" t="b">
        <v>1</v>
      </c>
      <c r="N494" s="2" t="b">
        <v>0</v>
      </c>
      <c r="O494" s="2">
        <v>6.3636363636363633</v>
      </c>
      <c r="P494" s="2">
        <v>0.54545454545454541</v>
      </c>
      <c r="Q494" s="2" t="s">
        <v>155</v>
      </c>
      <c r="R494" s="2" t="s">
        <v>147</v>
      </c>
      <c r="S494" s="2">
        <v>13.2</v>
      </c>
      <c r="T494" s="2">
        <v>21.8</v>
      </c>
      <c r="U494" s="2" t="b">
        <v>1</v>
      </c>
      <c r="V494" s="2">
        <v>6</v>
      </c>
      <c r="W494" s="2">
        <v>2</v>
      </c>
      <c r="X494" s="2">
        <v>20</v>
      </c>
      <c r="Y494" s="2">
        <v>28.186274509803919</v>
      </c>
    </row>
    <row r="495" spans="1:25" hidden="1">
      <c r="A495" s="2" t="s">
        <v>713</v>
      </c>
      <c r="B495" s="2" t="s">
        <v>165</v>
      </c>
      <c r="C495" s="2" t="s">
        <v>714</v>
      </c>
      <c r="D495" s="3">
        <v>45708.770833333343</v>
      </c>
      <c r="E495" s="3">
        <v>45708.784722222219</v>
      </c>
      <c r="F495" s="2">
        <v>20</v>
      </c>
      <c r="G495" s="2" t="s">
        <v>159</v>
      </c>
      <c r="H495" s="2" t="s">
        <v>160</v>
      </c>
      <c r="I495" s="2">
        <v>2</v>
      </c>
      <c r="J495" s="2">
        <v>2</v>
      </c>
      <c r="K495" s="2" t="s">
        <v>161</v>
      </c>
      <c r="L495" s="2" t="s">
        <v>162</v>
      </c>
      <c r="M495" s="2" t="b">
        <v>1</v>
      </c>
      <c r="N495" s="2" t="b">
        <v>0</v>
      </c>
      <c r="O495" s="2">
        <v>10</v>
      </c>
      <c r="P495" s="2">
        <v>1</v>
      </c>
      <c r="Q495" s="2" t="s">
        <v>155</v>
      </c>
      <c r="R495" s="2" t="s">
        <v>147</v>
      </c>
      <c r="S495" s="2">
        <v>4.8</v>
      </c>
      <c r="T495" s="2">
        <v>15.2</v>
      </c>
      <c r="U495" s="2" t="b">
        <v>0</v>
      </c>
      <c r="V495" s="2">
        <v>2</v>
      </c>
      <c r="W495" s="2">
        <v>1</v>
      </c>
      <c r="X495" s="2">
        <v>18</v>
      </c>
      <c r="Y495" s="2">
        <v>29.948453608247419</v>
      </c>
    </row>
    <row r="496" spans="1:25" hidden="1">
      <c r="A496" s="2" t="s">
        <v>715</v>
      </c>
      <c r="B496" s="2" t="s">
        <v>157</v>
      </c>
      <c r="C496" s="2" t="s">
        <v>166</v>
      </c>
      <c r="D496" s="3">
        <v>45709.822916666657</v>
      </c>
      <c r="E496" s="3">
        <v>45709.850694444453</v>
      </c>
      <c r="F496" s="2">
        <v>40</v>
      </c>
      <c r="G496" s="2" t="s">
        <v>167</v>
      </c>
      <c r="H496" s="2" t="s">
        <v>594</v>
      </c>
      <c r="I496" s="2">
        <v>5</v>
      </c>
      <c r="J496" s="2">
        <v>7.5</v>
      </c>
      <c r="K496" s="2" t="s">
        <v>153</v>
      </c>
      <c r="L496" s="2" t="s">
        <v>145</v>
      </c>
      <c r="M496" s="2" t="b">
        <v>1</v>
      </c>
      <c r="N496" s="2" t="b">
        <v>0</v>
      </c>
      <c r="O496" s="2">
        <v>5.333333333333333</v>
      </c>
      <c r="P496" s="2">
        <v>0.66666666666666663</v>
      </c>
      <c r="Q496" s="2" t="s">
        <v>155</v>
      </c>
      <c r="R496" s="2" t="s">
        <v>147</v>
      </c>
      <c r="S496" s="2">
        <v>18</v>
      </c>
      <c r="T496" s="2">
        <v>22</v>
      </c>
      <c r="U496" s="2" t="b">
        <v>1</v>
      </c>
      <c r="V496" s="2">
        <v>20</v>
      </c>
      <c r="W496" s="2">
        <v>3</v>
      </c>
      <c r="X496" s="2">
        <v>19</v>
      </c>
      <c r="Y496" s="2">
        <v>28.844221105527641</v>
      </c>
    </row>
    <row r="497" spans="1:25" hidden="1">
      <c r="A497" s="2" t="s">
        <v>716</v>
      </c>
      <c r="B497" s="2" t="s">
        <v>173</v>
      </c>
      <c r="C497" s="2" t="s">
        <v>717</v>
      </c>
      <c r="D497" s="3">
        <v>45710.75</v>
      </c>
      <c r="E497" s="3">
        <v>45710.770833333343</v>
      </c>
      <c r="F497" s="2">
        <v>30</v>
      </c>
      <c r="G497" s="2" t="s">
        <v>143</v>
      </c>
      <c r="H497" s="2" t="s">
        <v>152</v>
      </c>
      <c r="I497" s="2">
        <v>3</v>
      </c>
      <c r="J497" s="2">
        <v>4</v>
      </c>
      <c r="K497" s="2" t="s">
        <v>143</v>
      </c>
      <c r="L497" s="2" t="s">
        <v>162</v>
      </c>
      <c r="M497" s="2" t="b">
        <v>1</v>
      </c>
      <c r="N497" s="2" t="b">
        <v>1</v>
      </c>
      <c r="O497" s="2">
        <v>7.5</v>
      </c>
      <c r="P497" s="2">
        <v>0.75</v>
      </c>
      <c r="Q497" s="2" t="s">
        <v>155</v>
      </c>
      <c r="R497" s="2" t="s">
        <v>147</v>
      </c>
      <c r="S497" s="2">
        <v>9.6</v>
      </c>
      <c r="T497" s="2">
        <v>20.399999999999999</v>
      </c>
      <c r="U497" s="2" t="b">
        <v>0</v>
      </c>
      <c r="V497" s="2">
        <v>6</v>
      </c>
      <c r="W497" s="2">
        <v>2</v>
      </c>
      <c r="X497" s="2">
        <v>18</v>
      </c>
      <c r="Y497" s="2">
        <v>30.286458333333329</v>
      </c>
    </row>
    <row r="498" spans="1:25" hidden="1">
      <c r="A498" s="2" t="s">
        <v>718</v>
      </c>
      <c r="B498" s="2" t="s">
        <v>142</v>
      </c>
      <c r="C498" s="2" t="s">
        <v>719</v>
      </c>
      <c r="D498" s="3">
        <v>45711.84375</v>
      </c>
      <c r="E498" s="3">
        <v>45711.875</v>
      </c>
      <c r="F498" s="2">
        <v>45</v>
      </c>
      <c r="G498" s="2" t="s">
        <v>151</v>
      </c>
      <c r="H498" s="2" t="s">
        <v>144</v>
      </c>
      <c r="I498" s="2">
        <v>4</v>
      </c>
      <c r="J498" s="2">
        <v>9</v>
      </c>
      <c r="K498" s="2" t="s">
        <v>153</v>
      </c>
      <c r="L498" s="2" t="s">
        <v>169</v>
      </c>
      <c r="M498" s="2" t="b">
        <v>1</v>
      </c>
      <c r="N498" s="2" t="b">
        <v>1</v>
      </c>
      <c r="O498" s="2">
        <v>5</v>
      </c>
      <c r="P498" s="2">
        <v>0.44444444444444442</v>
      </c>
      <c r="Q498" s="2" t="s">
        <v>155</v>
      </c>
      <c r="R498" s="2" t="s">
        <v>171</v>
      </c>
      <c r="S498" s="2">
        <v>21.6</v>
      </c>
      <c r="T498" s="2">
        <v>23.4</v>
      </c>
      <c r="U498" s="2" t="b">
        <v>1</v>
      </c>
      <c r="V498" s="2">
        <v>12</v>
      </c>
      <c r="W498" s="2">
        <v>3</v>
      </c>
      <c r="X498" s="2">
        <v>20</v>
      </c>
      <c r="Y498" s="2">
        <v>30.259433962264151</v>
      </c>
    </row>
    <row r="499" spans="1:25" hidden="1">
      <c r="A499" s="2" t="s">
        <v>720</v>
      </c>
      <c r="B499" s="2" t="s">
        <v>149</v>
      </c>
      <c r="C499" s="2" t="s">
        <v>721</v>
      </c>
      <c r="D499" s="3">
        <v>45712.75</v>
      </c>
      <c r="E499" s="3">
        <v>45712.763888888891</v>
      </c>
      <c r="F499" s="2">
        <v>20</v>
      </c>
      <c r="G499" s="2" t="s">
        <v>143</v>
      </c>
      <c r="H499" s="2" t="s">
        <v>144</v>
      </c>
      <c r="I499" s="2">
        <v>2</v>
      </c>
      <c r="J499" s="2">
        <v>3</v>
      </c>
      <c r="K499" s="2" t="s">
        <v>161</v>
      </c>
      <c r="L499" s="2" t="s">
        <v>145</v>
      </c>
      <c r="M499" s="2" t="b">
        <v>1</v>
      </c>
      <c r="N499" s="2" t="b">
        <v>0</v>
      </c>
      <c r="O499" s="2">
        <v>6.666666666666667</v>
      </c>
      <c r="P499" s="2">
        <v>0.66666666666666663</v>
      </c>
      <c r="Q499" s="2" t="s">
        <v>155</v>
      </c>
      <c r="R499" s="2" t="s">
        <v>147</v>
      </c>
      <c r="S499" s="2">
        <v>7.1999999999999993</v>
      </c>
      <c r="T499" s="2">
        <v>12.8</v>
      </c>
      <c r="U499" s="2" t="b">
        <v>0</v>
      </c>
      <c r="V499" s="2">
        <v>4</v>
      </c>
      <c r="W499" s="2">
        <v>1</v>
      </c>
      <c r="X499" s="2">
        <v>18</v>
      </c>
      <c r="Y499" s="2">
        <v>28.186274509803919</v>
      </c>
    </row>
    <row r="500" spans="1:25" hidden="1">
      <c r="A500" s="2" t="s">
        <v>722</v>
      </c>
      <c r="B500" s="2" t="s">
        <v>165</v>
      </c>
      <c r="C500" s="2" t="s">
        <v>723</v>
      </c>
      <c r="D500" s="3">
        <v>45713.802083333343</v>
      </c>
      <c r="E500" s="3">
        <v>45713.822916666657</v>
      </c>
      <c r="F500" s="2">
        <v>30</v>
      </c>
      <c r="G500" s="2" t="s">
        <v>151</v>
      </c>
      <c r="H500" s="2" t="s">
        <v>152</v>
      </c>
      <c r="I500" s="2">
        <v>4</v>
      </c>
      <c r="J500" s="2">
        <v>6</v>
      </c>
      <c r="K500" s="2" t="s">
        <v>143</v>
      </c>
      <c r="L500" s="2" t="s">
        <v>154</v>
      </c>
      <c r="M500" s="2" t="b">
        <v>1</v>
      </c>
      <c r="N500" s="2" t="b">
        <v>0</v>
      </c>
      <c r="O500" s="2">
        <v>5</v>
      </c>
      <c r="P500" s="2">
        <v>0.66666666666666663</v>
      </c>
      <c r="Q500" s="2" t="s">
        <v>155</v>
      </c>
      <c r="R500" s="2" t="s">
        <v>147</v>
      </c>
      <c r="S500" s="2">
        <v>14.4</v>
      </c>
      <c r="T500" s="2">
        <v>15.6</v>
      </c>
      <c r="U500" s="2" t="b">
        <v>0</v>
      </c>
      <c r="V500" s="2">
        <v>12</v>
      </c>
      <c r="W500" s="2">
        <v>2</v>
      </c>
      <c r="X500" s="2">
        <v>19</v>
      </c>
      <c r="Y500" s="2">
        <v>29.948453608247419</v>
      </c>
    </row>
    <row r="501" spans="1:25" hidden="1">
      <c r="A501" s="2" t="s">
        <v>724</v>
      </c>
      <c r="B501" s="2" t="s">
        <v>157</v>
      </c>
      <c r="C501" s="2" t="s">
        <v>725</v>
      </c>
      <c r="D501" s="3">
        <v>45714.854166666657</v>
      </c>
      <c r="E501" s="3">
        <v>45714.881944444453</v>
      </c>
      <c r="F501" s="2">
        <v>40</v>
      </c>
      <c r="G501" s="2" t="s">
        <v>167</v>
      </c>
      <c r="H501" s="2" t="s">
        <v>168</v>
      </c>
      <c r="I501" s="2">
        <v>5</v>
      </c>
      <c r="J501" s="2">
        <v>8</v>
      </c>
      <c r="K501" s="2" t="s">
        <v>153</v>
      </c>
      <c r="L501" s="2" t="s">
        <v>145</v>
      </c>
      <c r="M501" s="2" t="b">
        <v>1</v>
      </c>
      <c r="N501" s="2" t="b">
        <v>0</v>
      </c>
      <c r="O501" s="2">
        <v>5</v>
      </c>
      <c r="P501" s="2">
        <v>0.625</v>
      </c>
      <c r="Q501" s="2" t="s">
        <v>155</v>
      </c>
      <c r="R501" s="2" t="s">
        <v>147</v>
      </c>
      <c r="S501" s="2">
        <v>19.2</v>
      </c>
      <c r="T501" s="2">
        <v>20.8</v>
      </c>
      <c r="U501" s="2" t="b">
        <v>1</v>
      </c>
      <c r="V501" s="2">
        <v>20</v>
      </c>
      <c r="W501" s="2">
        <v>3</v>
      </c>
      <c r="X501" s="2">
        <v>20</v>
      </c>
      <c r="Y501" s="2">
        <v>28.844221105527641</v>
      </c>
    </row>
    <row r="502" spans="1:25" hidden="1">
      <c r="A502" s="2" t="s">
        <v>726</v>
      </c>
      <c r="B502" s="2" t="s">
        <v>173</v>
      </c>
      <c r="C502" s="2" t="s">
        <v>727</v>
      </c>
      <c r="D502" s="3">
        <v>45715.78125</v>
      </c>
      <c r="E502" s="3">
        <v>45715.795138888891</v>
      </c>
      <c r="F502" s="2">
        <v>20</v>
      </c>
      <c r="G502" s="2" t="s">
        <v>159</v>
      </c>
      <c r="H502" s="2" t="s">
        <v>160</v>
      </c>
      <c r="I502" s="2">
        <v>1</v>
      </c>
      <c r="J502" s="2">
        <v>2.5</v>
      </c>
      <c r="K502" s="2" t="s">
        <v>161</v>
      </c>
      <c r="L502" s="2" t="s">
        <v>169</v>
      </c>
      <c r="M502" s="2" t="b">
        <v>1</v>
      </c>
      <c r="N502" s="2" t="b">
        <v>0</v>
      </c>
      <c r="O502" s="2">
        <v>8</v>
      </c>
      <c r="P502" s="2">
        <v>0.4</v>
      </c>
      <c r="Q502" s="2" t="s">
        <v>155</v>
      </c>
      <c r="R502" s="2" t="s">
        <v>171</v>
      </c>
      <c r="S502" s="2">
        <v>6</v>
      </c>
      <c r="T502" s="2">
        <v>14</v>
      </c>
      <c r="U502" s="2" t="b">
        <v>0</v>
      </c>
      <c r="V502" s="2">
        <v>1</v>
      </c>
      <c r="W502" s="2">
        <v>1</v>
      </c>
      <c r="X502" s="2">
        <v>18</v>
      </c>
      <c r="Y502" s="2">
        <v>30.286458333333329</v>
      </c>
    </row>
    <row r="503" spans="1:25" hidden="1">
      <c r="A503" s="2" t="s">
        <v>728</v>
      </c>
      <c r="B503" s="2" t="s">
        <v>142</v>
      </c>
      <c r="C503" s="2" t="s">
        <v>729</v>
      </c>
      <c r="D503" s="3">
        <v>45716.791666666657</v>
      </c>
      <c r="E503" s="3">
        <v>45716.826388888891</v>
      </c>
      <c r="F503" s="2">
        <v>50</v>
      </c>
      <c r="G503" s="2" t="s">
        <v>151</v>
      </c>
      <c r="H503" s="2" t="s">
        <v>152</v>
      </c>
      <c r="I503" s="2">
        <v>4</v>
      </c>
      <c r="J503" s="2">
        <v>10</v>
      </c>
      <c r="K503" s="2" t="s">
        <v>153</v>
      </c>
      <c r="L503" s="2" t="s">
        <v>342</v>
      </c>
      <c r="M503" s="2" t="b">
        <v>1</v>
      </c>
      <c r="N503" s="2" t="b">
        <v>0</v>
      </c>
      <c r="O503" s="2">
        <v>5</v>
      </c>
      <c r="P503" s="2">
        <v>0.4</v>
      </c>
      <c r="Q503" s="2" t="s">
        <v>155</v>
      </c>
      <c r="R503" s="2" t="s">
        <v>171</v>
      </c>
      <c r="S503" s="2">
        <v>24</v>
      </c>
      <c r="T503" s="2">
        <v>26</v>
      </c>
      <c r="U503" s="2" t="b">
        <v>1</v>
      </c>
      <c r="V503" s="2">
        <v>12</v>
      </c>
      <c r="W503" s="2">
        <v>3</v>
      </c>
      <c r="X503" s="2">
        <v>19</v>
      </c>
      <c r="Y503" s="2">
        <v>30.259433962264151</v>
      </c>
    </row>
    <row r="504" spans="1:25" hidden="1">
      <c r="A504" s="2" t="s">
        <v>730</v>
      </c>
      <c r="B504" s="2" t="s">
        <v>149</v>
      </c>
      <c r="C504" s="2" t="s">
        <v>731</v>
      </c>
      <c r="D504" s="3">
        <v>45717.833333333343</v>
      </c>
      <c r="E504" s="3">
        <v>45717.857638888891</v>
      </c>
      <c r="F504" s="2">
        <v>35</v>
      </c>
      <c r="G504" s="2" t="s">
        <v>143</v>
      </c>
      <c r="H504" s="2" t="s">
        <v>591</v>
      </c>
      <c r="I504" s="2">
        <v>3</v>
      </c>
      <c r="J504" s="2">
        <v>5.5</v>
      </c>
      <c r="K504" s="2" t="s">
        <v>143</v>
      </c>
      <c r="L504" s="2" t="s">
        <v>154</v>
      </c>
      <c r="M504" s="2" t="b">
        <v>1</v>
      </c>
      <c r="N504" s="2" t="b">
        <v>1</v>
      </c>
      <c r="O504" s="2">
        <v>6.3636363636363633</v>
      </c>
      <c r="P504" s="2">
        <v>0.54545454545454541</v>
      </c>
      <c r="Q504" s="2" t="s">
        <v>163</v>
      </c>
      <c r="R504" s="2" t="s">
        <v>147</v>
      </c>
      <c r="S504" s="2">
        <v>13.2</v>
      </c>
      <c r="T504" s="2">
        <v>21.8</v>
      </c>
      <c r="U504" s="2" t="b">
        <v>1</v>
      </c>
      <c r="V504" s="2">
        <v>6</v>
      </c>
      <c r="W504" s="2">
        <v>2</v>
      </c>
      <c r="X504" s="2">
        <v>20</v>
      </c>
      <c r="Y504" s="2">
        <v>28.186274509803919</v>
      </c>
    </row>
    <row r="505" spans="1:25" hidden="1">
      <c r="A505" s="2" t="s">
        <v>732</v>
      </c>
      <c r="B505" s="2" t="s">
        <v>165</v>
      </c>
      <c r="C505" s="2" t="s">
        <v>733</v>
      </c>
      <c r="D505" s="3">
        <v>45718.770833333343</v>
      </c>
      <c r="E505" s="3">
        <v>45718.784722222219</v>
      </c>
      <c r="F505" s="2">
        <v>20</v>
      </c>
      <c r="G505" s="2" t="s">
        <v>159</v>
      </c>
      <c r="H505" s="2" t="s">
        <v>160</v>
      </c>
      <c r="I505" s="2">
        <v>2</v>
      </c>
      <c r="J505" s="2">
        <v>2</v>
      </c>
      <c r="K505" s="2" t="s">
        <v>161</v>
      </c>
      <c r="L505" s="2" t="s">
        <v>162</v>
      </c>
      <c r="M505" s="2" t="b">
        <v>1</v>
      </c>
      <c r="N505" s="2" t="b">
        <v>1</v>
      </c>
      <c r="O505" s="2">
        <v>10</v>
      </c>
      <c r="P505" s="2">
        <v>1</v>
      </c>
      <c r="Q505" s="2" t="s">
        <v>163</v>
      </c>
      <c r="R505" s="2" t="s">
        <v>147</v>
      </c>
      <c r="S505" s="2">
        <v>4.8</v>
      </c>
      <c r="T505" s="2">
        <v>15.2</v>
      </c>
      <c r="U505" s="2" t="b">
        <v>0</v>
      </c>
      <c r="V505" s="2">
        <v>2</v>
      </c>
      <c r="W505" s="2">
        <v>1</v>
      </c>
      <c r="X505" s="2">
        <v>18</v>
      </c>
      <c r="Y505" s="2">
        <v>29.948453608247419</v>
      </c>
    </row>
    <row r="506" spans="1:25" hidden="1">
      <c r="A506" s="2" t="s">
        <v>734</v>
      </c>
      <c r="B506" s="2" t="s">
        <v>157</v>
      </c>
      <c r="C506" s="2" t="s">
        <v>735</v>
      </c>
      <c r="D506" s="3">
        <v>45719.822916666657</v>
      </c>
      <c r="E506" s="3">
        <v>45719.850694444453</v>
      </c>
      <c r="F506" s="2">
        <v>40</v>
      </c>
      <c r="G506" s="2" t="s">
        <v>167</v>
      </c>
      <c r="H506" s="2" t="s">
        <v>594</v>
      </c>
      <c r="I506" s="2">
        <v>5</v>
      </c>
      <c r="J506" s="2">
        <v>7.5</v>
      </c>
      <c r="K506" s="2" t="s">
        <v>153</v>
      </c>
      <c r="L506" s="2" t="s">
        <v>145</v>
      </c>
      <c r="M506" s="2" t="b">
        <v>1</v>
      </c>
      <c r="N506" s="2" t="b">
        <v>0</v>
      </c>
      <c r="O506" s="2">
        <v>5.333333333333333</v>
      </c>
      <c r="P506" s="2">
        <v>0.66666666666666663</v>
      </c>
      <c r="Q506" s="2" t="s">
        <v>163</v>
      </c>
      <c r="R506" s="2" t="s">
        <v>147</v>
      </c>
      <c r="S506" s="2">
        <v>18</v>
      </c>
      <c r="T506" s="2">
        <v>22</v>
      </c>
      <c r="U506" s="2" t="b">
        <v>1</v>
      </c>
      <c r="V506" s="2">
        <v>20</v>
      </c>
      <c r="W506" s="2">
        <v>3</v>
      </c>
      <c r="X506" s="2">
        <v>19</v>
      </c>
      <c r="Y506" s="2">
        <v>28.844221105527641</v>
      </c>
    </row>
    <row r="507" spans="1:25" hidden="1">
      <c r="A507" s="2" t="s">
        <v>736</v>
      </c>
      <c r="B507" s="2" t="s">
        <v>173</v>
      </c>
      <c r="C507" s="2" t="s">
        <v>737</v>
      </c>
      <c r="D507" s="3">
        <v>45720.75</v>
      </c>
      <c r="E507" s="3">
        <v>45720.770833333343</v>
      </c>
      <c r="F507" s="2">
        <v>30</v>
      </c>
      <c r="G507" s="2" t="s">
        <v>143</v>
      </c>
      <c r="H507" s="2" t="s">
        <v>152</v>
      </c>
      <c r="I507" s="2">
        <v>3</v>
      </c>
      <c r="J507" s="2">
        <v>4</v>
      </c>
      <c r="K507" s="2" t="s">
        <v>143</v>
      </c>
      <c r="L507" s="2" t="s">
        <v>162</v>
      </c>
      <c r="M507" s="2" t="b">
        <v>1</v>
      </c>
      <c r="N507" s="2" t="b">
        <v>0</v>
      </c>
      <c r="O507" s="2">
        <v>7.5</v>
      </c>
      <c r="P507" s="2">
        <v>0.75</v>
      </c>
      <c r="Q507" s="2" t="s">
        <v>163</v>
      </c>
      <c r="R507" s="2" t="s">
        <v>147</v>
      </c>
      <c r="S507" s="2">
        <v>9.6</v>
      </c>
      <c r="T507" s="2">
        <v>20.399999999999999</v>
      </c>
      <c r="U507" s="2" t="b">
        <v>0</v>
      </c>
      <c r="V507" s="2">
        <v>6</v>
      </c>
      <c r="W507" s="2">
        <v>2</v>
      </c>
      <c r="X507" s="2">
        <v>18</v>
      </c>
      <c r="Y507" s="2">
        <v>30.286458333333329</v>
      </c>
    </row>
    <row r="508" spans="1:25" hidden="1">
      <c r="A508" s="2" t="s">
        <v>738</v>
      </c>
      <c r="B508" s="2" t="s">
        <v>142</v>
      </c>
      <c r="C508" s="2" t="s">
        <v>739</v>
      </c>
      <c r="D508" s="3">
        <v>45721.84375</v>
      </c>
      <c r="E508" s="3">
        <v>45721.875</v>
      </c>
      <c r="F508" s="2">
        <v>45</v>
      </c>
      <c r="G508" s="2" t="s">
        <v>151</v>
      </c>
      <c r="H508" s="2" t="s">
        <v>144</v>
      </c>
      <c r="I508" s="2">
        <v>4</v>
      </c>
      <c r="J508" s="2">
        <v>9</v>
      </c>
      <c r="K508" s="2" t="s">
        <v>153</v>
      </c>
      <c r="L508" s="2" t="s">
        <v>169</v>
      </c>
      <c r="M508" s="2" t="b">
        <v>1</v>
      </c>
      <c r="N508" s="2" t="b">
        <v>0</v>
      </c>
      <c r="O508" s="2">
        <v>5</v>
      </c>
      <c r="P508" s="2">
        <v>0.44444444444444442</v>
      </c>
      <c r="Q508" s="2" t="s">
        <v>163</v>
      </c>
      <c r="R508" s="2" t="s">
        <v>171</v>
      </c>
      <c r="S508" s="2">
        <v>21.6</v>
      </c>
      <c r="T508" s="2">
        <v>23.4</v>
      </c>
      <c r="U508" s="2" t="b">
        <v>1</v>
      </c>
      <c r="V508" s="2">
        <v>12</v>
      </c>
      <c r="W508" s="2">
        <v>3</v>
      </c>
      <c r="X508" s="2">
        <v>20</v>
      </c>
      <c r="Y508" s="2">
        <v>30.259433962264151</v>
      </c>
    </row>
    <row r="509" spans="1:25" hidden="1">
      <c r="A509" s="2" t="s">
        <v>740</v>
      </c>
      <c r="B509" s="2" t="s">
        <v>149</v>
      </c>
      <c r="C509" s="2" t="s">
        <v>741</v>
      </c>
      <c r="D509" s="3">
        <v>45722.75</v>
      </c>
      <c r="E509" s="3">
        <v>45722.763888888891</v>
      </c>
      <c r="F509" s="2">
        <v>20</v>
      </c>
      <c r="G509" s="2" t="s">
        <v>143</v>
      </c>
      <c r="H509" s="2" t="s">
        <v>144</v>
      </c>
      <c r="I509" s="2">
        <v>2</v>
      </c>
      <c r="J509" s="2">
        <v>3</v>
      </c>
      <c r="K509" s="2" t="s">
        <v>161</v>
      </c>
      <c r="L509" s="2" t="s">
        <v>145</v>
      </c>
      <c r="M509" s="2" t="b">
        <v>1</v>
      </c>
      <c r="N509" s="2" t="b">
        <v>0</v>
      </c>
      <c r="O509" s="2">
        <v>6.666666666666667</v>
      </c>
      <c r="P509" s="2">
        <v>0.66666666666666663</v>
      </c>
      <c r="Q509" s="2" t="s">
        <v>163</v>
      </c>
      <c r="R509" s="2" t="s">
        <v>147</v>
      </c>
      <c r="S509" s="2">
        <v>7.1999999999999993</v>
      </c>
      <c r="T509" s="2">
        <v>12.8</v>
      </c>
      <c r="U509" s="2" t="b">
        <v>0</v>
      </c>
      <c r="V509" s="2">
        <v>4</v>
      </c>
      <c r="W509" s="2">
        <v>1</v>
      </c>
      <c r="X509" s="2">
        <v>18</v>
      </c>
      <c r="Y509" s="2">
        <v>28.186274509803919</v>
      </c>
    </row>
    <row r="510" spans="1:25" hidden="1">
      <c r="A510" s="2" t="s">
        <v>742</v>
      </c>
      <c r="B510" s="2" t="s">
        <v>165</v>
      </c>
      <c r="C510" s="2" t="s">
        <v>743</v>
      </c>
      <c r="D510" s="3">
        <v>45723.802083333343</v>
      </c>
      <c r="E510" s="3">
        <v>45723.822916666657</v>
      </c>
      <c r="F510" s="2">
        <v>30</v>
      </c>
      <c r="G510" s="2" t="s">
        <v>151</v>
      </c>
      <c r="H510" s="2" t="s">
        <v>152</v>
      </c>
      <c r="I510" s="2">
        <v>4</v>
      </c>
      <c r="J510" s="2">
        <v>6</v>
      </c>
      <c r="K510" s="2" t="s">
        <v>143</v>
      </c>
      <c r="L510" s="2" t="s">
        <v>154</v>
      </c>
      <c r="M510" s="2" t="b">
        <v>1</v>
      </c>
      <c r="N510" s="2" t="b">
        <v>0</v>
      </c>
      <c r="O510" s="2">
        <v>5</v>
      </c>
      <c r="P510" s="2">
        <v>0.66666666666666663</v>
      </c>
      <c r="Q510" s="2" t="s">
        <v>163</v>
      </c>
      <c r="R510" s="2" t="s">
        <v>147</v>
      </c>
      <c r="S510" s="2">
        <v>14.4</v>
      </c>
      <c r="T510" s="2">
        <v>15.6</v>
      </c>
      <c r="U510" s="2" t="b">
        <v>0</v>
      </c>
      <c r="V510" s="2">
        <v>12</v>
      </c>
      <c r="W510" s="2">
        <v>2</v>
      </c>
      <c r="X510" s="2">
        <v>19</v>
      </c>
      <c r="Y510" s="2">
        <v>29.948453608247419</v>
      </c>
    </row>
    <row r="511" spans="1:25" hidden="1">
      <c r="A511" s="2" t="s">
        <v>744</v>
      </c>
      <c r="B511" s="2" t="s">
        <v>157</v>
      </c>
      <c r="C511" s="2" t="s">
        <v>745</v>
      </c>
      <c r="D511" s="3">
        <v>45724.854166666657</v>
      </c>
      <c r="E511" s="3">
        <v>45724.881944444453</v>
      </c>
      <c r="F511" s="2">
        <v>40</v>
      </c>
      <c r="G511" s="2" t="s">
        <v>167</v>
      </c>
      <c r="H511" s="2" t="s">
        <v>168</v>
      </c>
      <c r="I511" s="2">
        <v>5</v>
      </c>
      <c r="J511" s="2">
        <v>8</v>
      </c>
      <c r="K511" s="2" t="s">
        <v>153</v>
      </c>
      <c r="L511" s="2" t="s">
        <v>145</v>
      </c>
      <c r="M511" s="2" t="b">
        <v>1</v>
      </c>
      <c r="N511" s="2" t="b">
        <v>1</v>
      </c>
      <c r="O511" s="2">
        <v>5</v>
      </c>
      <c r="P511" s="2">
        <v>0.625</v>
      </c>
      <c r="Q511" s="2" t="s">
        <v>163</v>
      </c>
      <c r="R511" s="2" t="s">
        <v>147</v>
      </c>
      <c r="S511" s="2">
        <v>19.2</v>
      </c>
      <c r="T511" s="2">
        <v>20.8</v>
      </c>
      <c r="U511" s="2" t="b">
        <v>1</v>
      </c>
      <c r="V511" s="2">
        <v>20</v>
      </c>
      <c r="W511" s="2">
        <v>3</v>
      </c>
      <c r="X511" s="2">
        <v>20</v>
      </c>
      <c r="Y511" s="2">
        <v>28.844221105527641</v>
      </c>
    </row>
    <row r="512" spans="1:25" hidden="1">
      <c r="A512" s="2" t="s">
        <v>746</v>
      </c>
      <c r="B512" s="2" t="s">
        <v>173</v>
      </c>
      <c r="C512" s="2" t="s">
        <v>747</v>
      </c>
      <c r="D512" s="3">
        <v>45725.78125</v>
      </c>
      <c r="E512" s="3">
        <v>45725.795138888891</v>
      </c>
      <c r="F512" s="2">
        <v>20</v>
      </c>
      <c r="G512" s="2" t="s">
        <v>159</v>
      </c>
      <c r="H512" s="2" t="s">
        <v>160</v>
      </c>
      <c r="I512" s="2">
        <v>1</v>
      </c>
      <c r="J512" s="2">
        <v>2.5</v>
      </c>
      <c r="K512" s="2" t="s">
        <v>161</v>
      </c>
      <c r="L512" s="2" t="s">
        <v>169</v>
      </c>
      <c r="M512" s="2" t="b">
        <v>1</v>
      </c>
      <c r="N512" s="2" t="b">
        <v>1</v>
      </c>
      <c r="O512" s="2">
        <v>8</v>
      </c>
      <c r="P512" s="2">
        <v>0.4</v>
      </c>
      <c r="Q512" s="2" t="s">
        <v>163</v>
      </c>
      <c r="R512" s="2" t="s">
        <v>171</v>
      </c>
      <c r="S512" s="2">
        <v>6</v>
      </c>
      <c r="T512" s="2">
        <v>14</v>
      </c>
      <c r="U512" s="2" t="b">
        <v>0</v>
      </c>
      <c r="V512" s="2">
        <v>1</v>
      </c>
      <c r="W512" s="2">
        <v>1</v>
      </c>
      <c r="X512" s="2">
        <v>18</v>
      </c>
      <c r="Y512" s="2">
        <v>30.286458333333329</v>
      </c>
    </row>
    <row r="513" spans="1:25" hidden="1">
      <c r="A513" s="2" t="s">
        <v>748</v>
      </c>
      <c r="B513" s="2" t="s">
        <v>142</v>
      </c>
      <c r="C513" s="2" t="s">
        <v>749</v>
      </c>
      <c r="D513" s="3">
        <v>45726.791666666657</v>
      </c>
      <c r="E513" s="3">
        <v>45726.826388888891</v>
      </c>
      <c r="F513" s="2">
        <v>50</v>
      </c>
      <c r="G513" s="2" t="s">
        <v>151</v>
      </c>
      <c r="H513" s="2" t="s">
        <v>152</v>
      </c>
      <c r="I513" s="2">
        <v>4</v>
      </c>
      <c r="J513" s="2">
        <v>10</v>
      </c>
      <c r="K513" s="2" t="s">
        <v>153</v>
      </c>
      <c r="L513" s="2" t="s">
        <v>145</v>
      </c>
      <c r="M513" s="2" t="b">
        <v>1</v>
      </c>
      <c r="N513" s="2" t="b">
        <v>0</v>
      </c>
      <c r="O513" s="2">
        <v>5</v>
      </c>
      <c r="P513" s="2">
        <v>0.4</v>
      </c>
      <c r="Q513" s="2" t="s">
        <v>163</v>
      </c>
      <c r="R513" s="2" t="s">
        <v>147</v>
      </c>
      <c r="S513" s="2">
        <v>24</v>
      </c>
      <c r="T513" s="2">
        <v>26</v>
      </c>
      <c r="U513" s="2" t="b">
        <v>1</v>
      </c>
      <c r="V513" s="2">
        <v>12</v>
      </c>
      <c r="W513" s="2">
        <v>3</v>
      </c>
      <c r="X513" s="2">
        <v>19</v>
      </c>
      <c r="Y513" s="2">
        <v>30.259433962264151</v>
      </c>
    </row>
    <row r="514" spans="1:25" hidden="1">
      <c r="A514" s="2" t="s">
        <v>750</v>
      </c>
      <c r="B514" s="2" t="s">
        <v>149</v>
      </c>
      <c r="C514" s="2" t="s">
        <v>751</v>
      </c>
      <c r="D514" s="3">
        <v>45727.833333333343</v>
      </c>
      <c r="E514" s="3">
        <v>45727.857638888891</v>
      </c>
      <c r="F514" s="2">
        <v>35</v>
      </c>
      <c r="G514" s="2" t="s">
        <v>143</v>
      </c>
      <c r="H514" s="2" t="s">
        <v>591</v>
      </c>
      <c r="I514" s="2">
        <v>3</v>
      </c>
      <c r="J514" s="2">
        <v>5.5</v>
      </c>
      <c r="K514" s="2" t="s">
        <v>143</v>
      </c>
      <c r="L514" s="2" t="s">
        <v>154</v>
      </c>
      <c r="M514" s="2" t="b">
        <v>1</v>
      </c>
      <c r="N514" s="2" t="b">
        <v>0</v>
      </c>
      <c r="O514" s="2">
        <v>6.3636363636363633</v>
      </c>
      <c r="P514" s="2">
        <v>0.54545454545454541</v>
      </c>
      <c r="Q514" s="2" t="s">
        <v>163</v>
      </c>
      <c r="R514" s="2" t="s">
        <v>147</v>
      </c>
      <c r="S514" s="2">
        <v>13.2</v>
      </c>
      <c r="T514" s="2">
        <v>21.8</v>
      </c>
      <c r="U514" s="2" t="b">
        <v>1</v>
      </c>
      <c r="V514" s="2">
        <v>6</v>
      </c>
      <c r="W514" s="2">
        <v>2</v>
      </c>
      <c r="X514" s="2">
        <v>20</v>
      </c>
      <c r="Y514" s="2">
        <v>28.186274509803919</v>
      </c>
    </row>
    <row r="515" spans="1:25" hidden="1">
      <c r="A515" s="2" t="s">
        <v>752</v>
      </c>
      <c r="B515" s="2" t="s">
        <v>165</v>
      </c>
      <c r="C515" s="2" t="s">
        <v>753</v>
      </c>
      <c r="D515" s="3">
        <v>45728.770833333343</v>
      </c>
      <c r="E515" s="3">
        <v>45728.784722222219</v>
      </c>
      <c r="F515" s="2">
        <v>20</v>
      </c>
      <c r="G515" s="2" t="s">
        <v>159</v>
      </c>
      <c r="H515" s="2" t="s">
        <v>160</v>
      </c>
      <c r="I515" s="2">
        <v>2</v>
      </c>
      <c r="J515" s="2">
        <v>2</v>
      </c>
      <c r="K515" s="2" t="s">
        <v>161</v>
      </c>
      <c r="L515" s="2" t="s">
        <v>162</v>
      </c>
      <c r="M515" s="2" t="b">
        <v>1</v>
      </c>
      <c r="N515" s="2" t="b">
        <v>0</v>
      </c>
      <c r="O515" s="2">
        <v>10</v>
      </c>
      <c r="P515" s="2">
        <v>1</v>
      </c>
      <c r="Q515" s="2" t="s">
        <v>163</v>
      </c>
      <c r="R515" s="2" t="s">
        <v>147</v>
      </c>
      <c r="S515" s="2">
        <v>4.8</v>
      </c>
      <c r="T515" s="2">
        <v>15.2</v>
      </c>
      <c r="U515" s="2" t="b">
        <v>0</v>
      </c>
      <c r="V515" s="2">
        <v>2</v>
      </c>
      <c r="W515" s="2">
        <v>1</v>
      </c>
      <c r="X515" s="2">
        <v>18</v>
      </c>
      <c r="Y515" s="2">
        <v>29.948453608247419</v>
      </c>
    </row>
    <row r="516" spans="1:25" hidden="1">
      <c r="A516" s="2" t="s">
        <v>754</v>
      </c>
      <c r="B516" s="2" t="s">
        <v>157</v>
      </c>
      <c r="C516" s="2" t="s">
        <v>755</v>
      </c>
      <c r="D516" s="3">
        <v>45729.822916666657</v>
      </c>
      <c r="E516" s="3">
        <v>45729.850694444453</v>
      </c>
      <c r="F516" s="2">
        <v>40</v>
      </c>
      <c r="G516" s="2" t="s">
        <v>167</v>
      </c>
      <c r="H516" s="2" t="s">
        <v>168</v>
      </c>
      <c r="I516" s="2">
        <v>5</v>
      </c>
      <c r="J516" s="2">
        <v>7.5</v>
      </c>
      <c r="K516" s="2" t="s">
        <v>153</v>
      </c>
      <c r="L516" s="2" t="s">
        <v>145</v>
      </c>
      <c r="M516" s="2" t="b">
        <v>1</v>
      </c>
      <c r="N516" s="2" t="b">
        <v>0</v>
      </c>
      <c r="O516" s="2">
        <v>5.333333333333333</v>
      </c>
      <c r="P516" s="2">
        <v>0.66666666666666663</v>
      </c>
      <c r="Q516" s="2" t="s">
        <v>163</v>
      </c>
      <c r="R516" s="2" t="s">
        <v>147</v>
      </c>
      <c r="S516" s="2">
        <v>18</v>
      </c>
      <c r="T516" s="2">
        <v>22</v>
      </c>
      <c r="U516" s="2" t="b">
        <v>1</v>
      </c>
      <c r="V516" s="2">
        <v>20</v>
      </c>
      <c r="W516" s="2">
        <v>3</v>
      </c>
      <c r="X516" s="2">
        <v>19</v>
      </c>
      <c r="Y516" s="2">
        <v>28.844221105527641</v>
      </c>
    </row>
    <row r="517" spans="1:25" hidden="1">
      <c r="A517" s="2" t="s">
        <v>756</v>
      </c>
      <c r="B517" s="2" t="s">
        <v>173</v>
      </c>
      <c r="C517" s="2" t="s">
        <v>757</v>
      </c>
      <c r="D517" s="3">
        <v>45730.75</v>
      </c>
      <c r="E517" s="3">
        <v>45730.763888888891</v>
      </c>
      <c r="F517" s="2">
        <v>20</v>
      </c>
      <c r="G517" s="2" t="s">
        <v>143</v>
      </c>
      <c r="H517" s="2" t="s">
        <v>144</v>
      </c>
      <c r="I517" s="2">
        <v>2</v>
      </c>
      <c r="J517" s="2">
        <v>3</v>
      </c>
      <c r="K517" s="2" t="s">
        <v>161</v>
      </c>
      <c r="L517" s="2" t="s">
        <v>145</v>
      </c>
      <c r="M517" s="2" t="b">
        <v>1</v>
      </c>
      <c r="N517" s="2" t="b">
        <v>0</v>
      </c>
      <c r="O517" s="2">
        <v>6.666666666666667</v>
      </c>
      <c r="P517" s="2">
        <v>0.66666666666666663</v>
      </c>
      <c r="Q517" s="2" t="s">
        <v>163</v>
      </c>
      <c r="R517" s="2" t="s">
        <v>147</v>
      </c>
      <c r="S517" s="2">
        <v>7.1999999999999993</v>
      </c>
      <c r="T517" s="2">
        <v>12.8</v>
      </c>
      <c r="U517" s="2" t="b">
        <v>0</v>
      </c>
      <c r="V517" s="2">
        <v>4</v>
      </c>
      <c r="W517" s="2">
        <v>1</v>
      </c>
      <c r="X517" s="2">
        <v>18</v>
      </c>
      <c r="Y517" s="2">
        <v>30.286458333333329</v>
      </c>
    </row>
    <row r="518" spans="1:25" hidden="1">
      <c r="A518" s="2" t="s">
        <v>758</v>
      </c>
      <c r="B518" s="2" t="s">
        <v>142</v>
      </c>
      <c r="C518" s="2" t="s">
        <v>759</v>
      </c>
      <c r="D518" s="3">
        <v>45731.802083333343</v>
      </c>
      <c r="E518" s="3">
        <v>45731.822916666657</v>
      </c>
      <c r="F518" s="2">
        <v>30</v>
      </c>
      <c r="G518" s="2" t="s">
        <v>151</v>
      </c>
      <c r="H518" s="2" t="s">
        <v>617</v>
      </c>
      <c r="I518" s="2">
        <v>4</v>
      </c>
      <c r="J518" s="2">
        <v>6</v>
      </c>
      <c r="K518" s="2" t="s">
        <v>143</v>
      </c>
      <c r="L518" s="2" t="s">
        <v>162</v>
      </c>
      <c r="M518" s="2" t="b">
        <v>1</v>
      </c>
      <c r="N518" s="2" t="b">
        <v>1</v>
      </c>
      <c r="O518" s="2">
        <v>5</v>
      </c>
      <c r="P518" s="2">
        <v>0.66666666666666663</v>
      </c>
      <c r="Q518" s="2" t="s">
        <v>163</v>
      </c>
      <c r="R518" s="2" t="s">
        <v>147</v>
      </c>
      <c r="S518" s="2">
        <v>14.4</v>
      </c>
      <c r="T518" s="2">
        <v>15.6</v>
      </c>
      <c r="U518" s="2" t="b">
        <v>0</v>
      </c>
      <c r="V518" s="2">
        <v>12</v>
      </c>
      <c r="W518" s="2">
        <v>2</v>
      </c>
      <c r="X518" s="2">
        <v>19</v>
      </c>
      <c r="Y518" s="2">
        <v>30.259433962264151</v>
      </c>
    </row>
    <row r="519" spans="1:25" hidden="1">
      <c r="A519" s="2" t="s">
        <v>760</v>
      </c>
      <c r="B519" s="2" t="s">
        <v>149</v>
      </c>
      <c r="C519" s="2" t="s">
        <v>761</v>
      </c>
      <c r="D519" s="3">
        <v>45732.854166666657</v>
      </c>
      <c r="E519" s="3">
        <v>45732.881944444453</v>
      </c>
      <c r="F519" s="2">
        <v>40</v>
      </c>
      <c r="G519" s="2" t="s">
        <v>167</v>
      </c>
      <c r="H519" s="2" t="s">
        <v>168</v>
      </c>
      <c r="I519" s="2">
        <v>5</v>
      </c>
      <c r="J519" s="2">
        <v>8</v>
      </c>
      <c r="K519" s="2" t="s">
        <v>153</v>
      </c>
      <c r="L519" s="2" t="s">
        <v>154</v>
      </c>
      <c r="M519" s="2" t="b">
        <v>1</v>
      </c>
      <c r="N519" s="2" t="b">
        <v>1</v>
      </c>
      <c r="O519" s="2">
        <v>5</v>
      </c>
      <c r="P519" s="2">
        <v>0.625</v>
      </c>
      <c r="Q519" s="2" t="s">
        <v>163</v>
      </c>
      <c r="R519" s="2" t="s">
        <v>147</v>
      </c>
      <c r="S519" s="2">
        <v>19.2</v>
      </c>
      <c r="T519" s="2">
        <v>20.8</v>
      </c>
      <c r="U519" s="2" t="b">
        <v>1</v>
      </c>
      <c r="V519" s="2">
        <v>20</v>
      </c>
      <c r="W519" s="2">
        <v>3</v>
      </c>
      <c r="X519" s="2">
        <v>20</v>
      </c>
      <c r="Y519" s="2">
        <v>28.186274509803919</v>
      </c>
    </row>
    <row r="520" spans="1:25" hidden="1">
      <c r="A520" s="2" t="s">
        <v>762</v>
      </c>
      <c r="B520" s="2" t="s">
        <v>165</v>
      </c>
      <c r="C520" s="2" t="s">
        <v>763</v>
      </c>
      <c r="D520" s="3">
        <v>45733.78125</v>
      </c>
      <c r="E520" s="3">
        <v>45733.795138888891</v>
      </c>
      <c r="F520" s="2">
        <v>20</v>
      </c>
      <c r="G520" s="2" t="s">
        <v>159</v>
      </c>
      <c r="H520" s="2" t="s">
        <v>160</v>
      </c>
      <c r="I520" s="2">
        <v>1</v>
      </c>
      <c r="J520" s="2">
        <v>2.5</v>
      </c>
      <c r="K520" s="2" t="s">
        <v>161</v>
      </c>
      <c r="L520" s="2" t="s">
        <v>169</v>
      </c>
      <c r="M520" s="2" t="b">
        <v>1</v>
      </c>
      <c r="N520" s="2" t="b">
        <v>0</v>
      </c>
      <c r="O520" s="2">
        <v>8</v>
      </c>
      <c r="P520" s="2">
        <v>0.4</v>
      </c>
      <c r="Q520" s="2" t="s">
        <v>163</v>
      </c>
      <c r="R520" s="2" t="s">
        <v>171</v>
      </c>
      <c r="S520" s="2">
        <v>6</v>
      </c>
      <c r="T520" s="2">
        <v>14</v>
      </c>
      <c r="U520" s="2" t="b">
        <v>0</v>
      </c>
      <c r="V520" s="2">
        <v>1</v>
      </c>
      <c r="W520" s="2">
        <v>1</v>
      </c>
      <c r="X520" s="2">
        <v>18</v>
      </c>
      <c r="Y520" s="2">
        <v>29.948453608247419</v>
      </c>
    </row>
    <row r="521" spans="1:25" hidden="1">
      <c r="A521" s="2" t="s">
        <v>764</v>
      </c>
      <c r="B521" s="2" t="s">
        <v>142</v>
      </c>
      <c r="C521" s="2" t="s">
        <v>659</v>
      </c>
      <c r="D521" s="3">
        <v>45734.791666666657</v>
      </c>
      <c r="E521" s="3">
        <v>45734.826388888891</v>
      </c>
      <c r="F521" s="2">
        <v>50</v>
      </c>
      <c r="G521" s="2" t="s">
        <v>151</v>
      </c>
      <c r="H521" s="2" t="s">
        <v>152</v>
      </c>
      <c r="I521" s="2">
        <v>4</v>
      </c>
      <c r="J521" s="2">
        <v>10</v>
      </c>
      <c r="K521" s="2" t="s">
        <v>153</v>
      </c>
      <c r="L521" s="2" t="s">
        <v>145</v>
      </c>
      <c r="M521" s="2" t="b">
        <v>1</v>
      </c>
      <c r="N521" s="2" t="b">
        <v>0</v>
      </c>
      <c r="O521" s="2">
        <v>5</v>
      </c>
      <c r="P521" s="2">
        <v>0.4</v>
      </c>
      <c r="Q521" s="2" t="s">
        <v>163</v>
      </c>
      <c r="R521" s="2" t="s">
        <v>147</v>
      </c>
      <c r="S521" s="2">
        <v>24</v>
      </c>
      <c r="T521" s="2">
        <v>26</v>
      </c>
      <c r="U521" s="2" t="b">
        <v>1</v>
      </c>
      <c r="V521" s="2">
        <v>12</v>
      </c>
      <c r="W521" s="2">
        <v>3</v>
      </c>
      <c r="X521" s="2">
        <v>19</v>
      </c>
      <c r="Y521" s="2">
        <v>30.259433962264151</v>
      </c>
    </row>
    <row r="522" spans="1:25" hidden="1">
      <c r="A522" s="2" t="s">
        <v>765</v>
      </c>
      <c r="B522" s="2" t="s">
        <v>149</v>
      </c>
      <c r="C522" s="2" t="s">
        <v>766</v>
      </c>
      <c r="D522" s="3">
        <v>45735.833333333343</v>
      </c>
      <c r="E522" s="3">
        <v>45735.857638888891</v>
      </c>
      <c r="F522" s="2">
        <v>35</v>
      </c>
      <c r="G522" s="2" t="s">
        <v>143</v>
      </c>
      <c r="H522" s="2" t="s">
        <v>591</v>
      </c>
      <c r="I522" s="2">
        <v>3</v>
      </c>
      <c r="J522" s="2">
        <v>5.5</v>
      </c>
      <c r="K522" s="2" t="s">
        <v>143</v>
      </c>
      <c r="L522" s="2" t="s">
        <v>154</v>
      </c>
      <c r="M522" s="2" t="b">
        <v>1</v>
      </c>
      <c r="N522" s="2" t="b">
        <v>0</v>
      </c>
      <c r="O522" s="2">
        <v>6.3636363636363633</v>
      </c>
      <c r="P522" s="2">
        <v>0.54545454545454541</v>
      </c>
      <c r="Q522" s="2" t="s">
        <v>163</v>
      </c>
      <c r="R522" s="2" t="s">
        <v>147</v>
      </c>
      <c r="S522" s="2">
        <v>13.2</v>
      </c>
      <c r="T522" s="2">
        <v>21.8</v>
      </c>
      <c r="U522" s="2" t="b">
        <v>1</v>
      </c>
      <c r="V522" s="2">
        <v>6</v>
      </c>
      <c r="W522" s="2">
        <v>2</v>
      </c>
      <c r="X522" s="2">
        <v>20</v>
      </c>
      <c r="Y522" s="2">
        <v>28.186274509803919</v>
      </c>
    </row>
    <row r="523" spans="1:25" hidden="1">
      <c r="A523" s="2" t="s">
        <v>767</v>
      </c>
      <c r="B523" s="2" t="s">
        <v>165</v>
      </c>
      <c r="C523" s="2" t="s">
        <v>768</v>
      </c>
      <c r="D523" s="3">
        <v>45736.770833333343</v>
      </c>
      <c r="E523" s="3">
        <v>45736.784722222219</v>
      </c>
      <c r="F523" s="2">
        <v>20</v>
      </c>
      <c r="G523" s="2" t="s">
        <v>159</v>
      </c>
      <c r="H523" s="2" t="s">
        <v>160</v>
      </c>
      <c r="I523" s="2">
        <v>2</v>
      </c>
      <c r="J523" s="2">
        <v>2</v>
      </c>
      <c r="K523" s="2" t="s">
        <v>161</v>
      </c>
      <c r="L523" s="2" t="s">
        <v>162</v>
      </c>
      <c r="M523" s="2" t="b">
        <v>1</v>
      </c>
      <c r="N523" s="2" t="b">
        <v>0</v>
      </c>
      <c r="O523" s="2">
        <v>10</v>
      </c>
      <c r="P523" s="2">
        <v>1</v>
      </c>
      <c r="Q523" s="2" t="s">
        <v>163</v>
      </c>
      <c r="R523" s="2" t="s">
        <v>147</v>
      </c>
      <c r="S523" s="2">
        <v>4.8</v>
      </c>
      <c r="T523" s="2">
        <v>15.2</v>
      </c>
      <c r="U523" s="2" t="b">
        <v>0</v>
      </c>
      <c r="V523" s="2">
        <v>2</v>
      </c>
      <c r="W523" s="2">
        <v>1</v>
      </c>
      <c r="X523" s="2">
        <v>18</v>
      </c>
      <c r="Y523" s="2">
        <v>29.948453608247419</v>
      </c>
    </row>
    <row r="524" spans="1:25" hidden="1">
      <c r="A524" s="2" t="s">
        <v>769</v>
      </c>
      <c r="B524" s="2" t="s">
        <v>157</v>
      </c>
      <c r="C524" s="2" t="s">
        <v>770</v>
      </c>
      <c r="D524" s="3">
        <v>45737.822916666657</v>
      </c>
      <c r="E524" s="3">
        <v>45737.850694444453</v>
      </c>
      <c r="F524" s="2">
        <v>40</v>
      </c>
      <c r="G524" s="2" t="s">
        <v>167</v>
      </c>
      <c r="H524" s="2" t="s">
        <v>594</v>
      </c>
      <c r="I524" s="2">
        <v>5</v>
      </c>
      <c r="J524" s="2">
        <v>7.5</v>
      </c>
      <c r="K524" s="2" t="s">
        <v>153</v>
      </c>
      <c r="L524" s="2" t="s">
        <v>145</v>
      </c>
      <c r="M524" s="2" t="b">
        <v>1</v>
      </c>
      <c r="N524" s="2" t="b">
        <v>0</v>
      </c>
      <c r="O524" s="2">
        <v>5.333333333333333</v>
      </c>
      <c r="P524" s="2">
        <v>0.66666666666666663</v>
      </c>
      <c r="Q524" s="2" t="s">
        <v>163</v>
      </c>
      <c r="R524" s="2" t="s">
        <v>147</v>
      </c>
      <c r="S524" s="2">
        <v>18</v>
      </c>
      <c r="T524" s="2">
        <v>22</v>
      </c>
      <c r="U524" s="2" t="b">
        <v>1</v>
      </c>
      <c r="V524" s="2">
        <v>20</v>
      </c>
      <c r="W524" s="2">
        <v>3</v>
      </c>
      <c r="X524" s="2">
        <v>19</v>
      </c>
      <c r="Y524" s="2">
        <v>28.844221105527641</v>
      </c>
    </row>
    <row r="525" spans="1:25" hidden="1">
      <c r="A525" s="2" t="s">
        <v>771</v>
      </c>
      <c r="B525" s="2" t="s">
        <v>173</v>
      </c>
      <c r="C525" s="2" t="s">
        <v>772</v>
      </c>
      <c r="D525" s="3">
        <v>45738.75</v>
      </c>
      <c r="E525" s="3">
        <v>45738.770833333343</v>
      </c>
      <c r="F525" s="2">
        <v>30</v>
      </c>
      <c r="G525" s="2" t="s">
        <v>143</v>
      </c>
      <c r="H525" s="2" t="s">
        <v>152</v>
      </c>
      <c r="I525" s="2">
        <v>3</v>
      </c>
      <c r="J525" s="2">
        <v>4</v>
      </c>
      <c r="K525" s="2" t="s">
        <v>143</v>
      </c>
      <c r="L525" s="2" t="s">
        <v>162</v>
      </c>
      <c r="M525" s="2" t="b">
        <v>1</v>
      </c>
      <c r="N525" s="2" t="b">
        <v>1</v>
      </c>
      <c r="O525" s="2">
        <v>7.5</v>
      </c>
      <c r="P525" s="2">
        <v>0.75</v>
      </c>
      <c r="Q525" s="2" t="s">
        <v>163</v>
      </c>
      <c r="R525" s="2" t="s">
        <v>147</v>
      </c>
      <c r="S525" s="2">
        <v>9.6</v>
      </c>
      <c r="T525" s="2">
        <v>20.399999999999999</v>
      </c>
      <c r="U525" s="2" t="b">
        <v>0</v>
      </c>
      <c r="V525" s="2">
        <v>6</v>
      </c>
      <c r="W525" s="2">
        <v>2</v>
      </c>
      <c r="X525" s="2">
        <v>18</v>
      </c>
      <c r="Y525" s="2">
        <v>30.286458333333329</v>
      </c>
    </row>
    <row r="526" spans="1:25" hidden="1">
      <c r="A526" s="2" t="s">
        <v>773</v>
      </c>
      <c r="B526" s="2" t="s">
        <v>142</v>
      </c>
      <c r="C526" s="2" t="s">
        <v>774</v>
      </c>
      <c r="D526" s="3">
        <v>45739.84375</v>
      </c>
      <c r="E526" s="3">
        <v>45739.875</v>
      </c>
      <c r="F526" s="2">
        <v>45</v>
      </c>
      <c r="G526" s="2" t="s">
        <v>151</v>
      </c>
      <c r="H526" s="2" t="s">
        <v>144</v>
      </c>
      <c r="I526" s="2">
        <v>4</v>
      </c>
      <c r="J526" s="2">
        <v>9</v>
      </c>
      <c r="K526" s="2" t="s">
        <v>153</v>
      </c>
      <c r="L526" s="2" t="s">
        <v>169</v>
      </c>
      <c r="M526" s="2" t="b">
        <v>1</v>
      </c>
      <c r="N526" s="2" t="b">
        <v>1</v>
      </c>
      <c r="O526" s="2">
        <v>5</v>
      </c>
      <c r="P526" s="2">
        <v>0.44444444444444442</v>
      </c>
      <c r="Q526" s="2" t="s">
        <v>163</v>
      </c>
      <c r="R526" s="2" t="s">
        <v>171</v>
      </c>
      <c r="S526" s="2">
        <v>21.6</v>
      </c>
      <c r="T526" s="2">
        <v>23.4</v>
      </c>
      <c r="U526" s="2" t="b">
        <v>1</v>
      </c>
      <c r="V526" s="2">
        <v>12</v>
      </c>
      <c r="W526" s="2">
        <v>3</v>
      </c>
      <c r="X526" s="2">
        <v>20</v>
      </c>
      <c r="Y526" s="2">
        <v>30.259433962264151</v>
      </c>
    </row>
    <row r="527" spans="1:25" hidden="1">
      <c r="A527" s="2" t="s">
        <v>775</v>
      </c>
      <c r="B527" s="2" t="s">
        <v>149</v>
      </c>
      <c r="C527" s="2" t="s">
        <v>776</v>
      </c>
      <c r="D527" s="3">
        <v>45740.75</v>
      </c>
      <c r="E527" s="3">
        <v>45740.763888888891</v>
      </c>
      <c r="F527" s="2">
        <v>20</v>
      </c>
      <c r="G527" s="2" t="s">
        <v>143</v>
      </c>
      <c r="H527" s="2" t="s">
        <v>144</v>
      </c>
      <c r="I527" s="2">
        <v>2</v>
      </c>
      <c r="J527" s="2">
        <v>3</v>
      </c>
      <c r="K527" s="2" t="s">
        <v>161</v>
      </c>
      <c r="L527" s="2" t="s">
        <v>145</v>
      </c>
      <c r="M527" s="2" t="b">
        <v>1</v>
      </c>
      <c r="N527" s="2" t="b">
        <v>0</v>
      </c>
      <c r="O527" s="2">
        <v>6.666666666666667</v>
      </c>
      <c r="P527" s="2">
        <v>0.66666666666666663</v>
      </c>
      <c r="Q527" s="2" t="s">
        <v>163</v>
      </c>
      <c r="R527" s="2" t="s">
        <v>147</v>
      </c>
      <c r="S527" s="2">
        <v>7.1999999999999993</v>
      </c>
      <c r="T527" s="2">
        <v>12.8</v>
      </c>
      <c r="U527" s="2" t="b">
        <v>0</v>
      </c>
      <c r="V527" s="2">
        <v>4</v>
      </c>
      <c r="W527" s="2">
        <v>1</v>
      </c>
      <c r="X527" s="2">
        <v>18</v>
      </c>
      <c r="Y527" s="2">
        <v>28.186274509803919</v>
      </c>
    </row>
    <row r="528" spans="1:25" hidden="1">
      <c r="A528" s="2" t="s">
        <v>777</v>
      </c>
      <c r="B528" s="2" t="s">
        <v>165</v>
      </c>
      <c r="C528" s="2" t="s">
        <v>778</v>
      </c>
      <c r="D528" s="3">
        <v>45741.802083333343</v>
      </c>
      <c r="E528" s="3">
        <v>45741.822916666657</v>
      </c>
      <c r="F528" s="2">
        <v>30</v>
      </c>
      <c r="G528" s="2" t="s">
        <v>151</v>
      </c>
      <c r="H528" s="2" t="s">
        <v>152</v>
      </c>
      <c r="I528" s="2">
        <v>4</v>
      </c>
      <c r="J528" s="2">
        <v>6</v>
      </c>
      <c r="K528" s="2" t="s">
        <v>143</v>
      </c>
      <c r="L528" s="2" t="s">
        <v>154</v>
      </c>
      <c r="M528" s="2" t="b">
        <v>1</v>
      </c>
      <c r="N528" s="2" t="b">
        <v>0</v>
      </c>
      <c r="O528" s="2">
        <v>5</v>
      </c>
      <c r="P528" s="2">
        <v>0.66666666666666663</v>
      </c>
      <c r="Q528" s="2" t="s">
        <v>163</v>
      </c>
      <c r="R528" s="2" t="s">
        <v>147</v>
      </c>
      <c r="S528" s="2">
        <v>14.4</v>
      </c>
      <c r="T528" s="2">
        <v>15.6</v>
      </c>
      <c r="U528" s="2" t="b">
        <v>0</v>
      </c>
      <c r="V528" s="2">
        <v>12</v>
      </c>
      <c r="W528" s="2">
        <v>2</v>
      </c>
      <c r="X528" s="2">
        <v>19</v>
      </c>
      <c r="Y528" s="2">
        <v>29.948453608247419</v>
      </c>
    </row>
    <row r="529" spans="1:25" hidden="1">
      <c r="A529" s="2" t="s">
        <v>779</v>
      </c>
      <c r="B529" s="2" t="s">
        <v>157</v>
      </c>
      <c r="C529" s="2" t="s">
        <v>780</v>
      </c>
      <c r="D529" s="3">
        <v>45742.854166666657</v>
      </c>
      <c r="E529" s="3">
        <v>45742.881944444453</v>
      </c>
      <c r="F529" s="2">
        <v>40</v>
      </c>
      <c r="G529" s="2" t="s">
        <v>167</v>
      </c>
      <c r="H529" s="2" t="s">
        <v>168</v>
      </c>
      <c r="I529" s="2">
        <v>5</v>
      </c>
      <c r="J529" s="2">
        <v>8</v>
      </c>
      <c r="K529" s="2" t="s">
        <v>153</v>
      </c>
      <c r="L529" s="2" t="s">
        <v>145</v>
      </c>
      <c r="M529" s="2" t="b">
        <v>1</v>
      </c>
      <c r="N529" s="2" t="b">
        <v>0</v>
      </c>
      <c r="O529" s="2">
        <v>5</v>
      </c>
      <c r="P529" s="2">
        <v>0.625</v>
      </c>
      <c r="Q529" s="2" t="s">
        <v>163</v>
      </c>
      <c r="R529" s="2" t="s">
        <v>147</v>
      </c>
      <c r="S529" s="2">
        <v>19.2</v>
      </c>
      <c r="T529" s="2">
        <v>20.8</v>
      </c>
      <c r="U529" s="2" t="b">
        <v>1</v>
      </c>
      <c r="V529" s="2">
        <v>20</v>
      </c>
      <c r="W529" s="2">
        <v>3</v>
      </c>
      <c r="X529" s="2">
        <v>20</v>
      </c>
      <c r="Y529" s="2">
        <v>28.844221105527641</v>
      </c>
    </row>
    <row r="530" spans="1:25" hidden="1">
      <c r="A530" s="2" t="s">
        <v>781</v>
      </c>
      <c r="B530" s="2" t="s">
        <v>173</v>
      </c>
      <c r="C530" s="2" t="s">
        <v>782</v>
      </c>
      <c r="D530" s="3">
        <v>45743.78125</v>
      </c>
      <c r="E530" s="3">
        <v>45743.795138888891</v>
      </c>
      <c r="F530" s="2">
        <v>20</v>
      </c>
      <c r="G530" s="2" t="s">
        <v>159</v>
      </c>
      <c r="H530" s="2" t="s">
        <v>160</v>
      </c>
      <c r="I530" s="2">
        <v>1</v>
      </c>
      <c r="J530" s="2">
        <v>2.5</v>
      </c>
      <c r="K530" s="2" t="s">
        <v>161</v>
      </c>
      <c r="L530" s="2" t="s">
        <v>169</v>
      </c>
      <c r="M530" s="2" t="b">
        <v>1</v>
      </c>
      <c r="N530" s="2" t="b">
        <v>0</v>
      </c>
      <c r="O530" s="2">
        <v>8</v>
      </c>
      <c r="P530" s="2">
        <v>0.4</v>
      </c>
      <c r="Q530" s="2" t="s">
        <v>163</v>
      </c>
      <c r="R530" s="2" t="s">
        <v>171</v>
      </c>
      <c r="S530" s="2">
        <v>6</v>
      </c>
      <c r="T530" s="2">
        <v>14</v>
      </c>
      <c r="U530" s="2" t="b">
        <v>0</v>
      </c>
      <c r="V530" s="2">
        <v>1</v>
      </c>
      <c r="W530" s="2">
        <v>1</v>
      </c>
      <c r="X530" s="2">
        <v>18</v>
      </c>
      <c r="Y530" s="2">
        <v>30.286458333333329</v>
      </c>
    </row>
    <row r="531" spans="1:25" hidden="1">
      <c r="A531" s="2" t="s">
        <v>783</v>
      </c>
      <c r="B531" s="2" t="s">
        <v>142</v>
      </c>
      <c r="C531" s="2" t="s">
        <v>784</v>
      </c>
      <c r="D531" s="3">
        <v>45744.791666666657</v>
      </c>
      <c r="E531" s="3">
        <v>45744.826388888891</v>
      </c>
      <c r="F531" s="2">
        <v>50</v>
      </c>
      <c r="G531" s="2" t="s">
        <v>151</v>
      </c>
      <c r="H531" s="2" t="s">
        <v>152</v>
      </c>
      <c r="I531" s="2">
        <v>4</v>
      </c>
      <c r="J531" s="2">
        <v>10</v>
      </c>
      <c r="K531" s="2" t="s">
        <v>153</v>
      </c>
      <c r="L531" s="2" t="s">
        <v>342</v>
      </c>
      <c r="M531" s="2" t="b">
        <v>1</v>
      </c>
      <c r="N531" s="2" t="b">
        <v>0</v>
      </c>
      <c r="O531" s="2">
        <v>5</v>
      </c>
      <c r="P531" s="2">
        <v>0.4</v>
      </c>
      <c r="Q531" s="2" t="s">
        <v>163</v>
      </c>
      <c r="R531" s="2" t="s">
        <v>171</v>
      </c>
      <c r="S531" s="2">
        <v>24</v>
      </c>
      <c r="T531" s="2">
        <v>26</v>
      </c>
      <c r="U531" s="2" t="b">
        <v>1</v>
      </c>
      <c r="V531" s="2">
        <v>12</v>
      </c>
      <c r="W531" s="2">
        <v>3</v>
      </c>
      <c r="X531" s="2">
        <v>19</v>
      </c>
      <c r="Y531" s="2">
        <v>30.259433962264151</v>
      </c>
    </row>
    <row r="532" spans="1:25" hidden="1">
      <c r="A532" s="2" t="s">
        <v>785</v>
      </c>
      <c r="B532" s="2" t="s">
        <v>149</v>
      </c>
      <c r="C532" s="2" t="s">
        <v>786</v>
      </c>
      <c r="D532" s="3">
        <v>45745.833333333343</v>
      </c>
      <c r="E532" s="3">
        <v>45745.857638888891</v>
      </c>
      <c r="F532" s="2">
        <v>35</v>
      </c>
      <c r="G532" s="2" t="s">
        <v>143</v>
      </c>
      <c r="H532" s="2" t="s">
        <v>591</v>
      </c>
      <c r="I532" s="2">
        <v>3</v>
      </c>
      <c r="J532" s="2">
        <v>5.5</v>
      </c>
      <c r="K532" s="2" t="s">
        <v>143</v>
      </c>
      <c r="L532" s="2" t="s">
        <v>154</v>
      </c>
      <c r="M532" s="2" t="b">
        <v>1</v>
      </c>
      <c r="N532" s="2" t="b">
        <v>1</v>
      </c>
      <c r="O532" s="2">
        <v>6.3636363636363633</v>
      </c>
      <c r="P532" s="2">
        <v>0.54545454545454541</v>
      </c>
      <c r="Q532" s="2" t="s">
        <v>163</v>
      </c>
      <c r="R532" s="2" t="s">
        <v>147</v>
      </c>
      <c r="S532" s="2">
        <v>13.2</v>
      </c>
      <c r="T532" s="2">
        <v>21.8</v>
      </c>
      <c r="U532" s="2" t="b">
        <v>1</v>
      </c>
      <c r="V532" s="2">
        <v>6</v>
      </c>
      <c r="W532" s="2">
        <v>2</v>
      </c>
      <c r="X532" s="2">
        <v>20</v>
      </c>
      <c r="Y532" s="2">
        <v>28.186274509803919</v>
      </c>
    </row>
    <row r="533" spans="1:25" hidden="1">
      <c r="A533" s="2" t="s">
        <v>787</v>
      </c>
      <c r="B533" s="2" t="s">
        <v>165</v>
      </c>
      <c r="C533" s="2" t="s">
        <v>788</v>
      </c>
      <c r="D533" s="3">
        <v>45746.770833333343</v>
      </c>
      <c r="E533" s="3">
        <v>45746.784722222219</v>
      </c>
      <c r="F533" s="2">
        <v>20</v>
      </c>
      <c r="G533" s="2" t="s">
        <v>159</v>
      </c>
      <c r="H533" s="2" t="s">
        <v>160</v>
      </c>
      <c r="I533" s="2">
        <v>2</v>
      </c>
      <c r="J533" s="2">
        <v>2</v>
      </c>
      <c r="K533" s="2" t="s">
        <v>161</v>
      </c>
      <c r="L533" s="2" t="s">
        <v>162</v>
      </c>
      <c r="M533" s="2" t="b">
        <v>1</v>
      </c>
      <c r="N533" s="2" t="b">
        <v>1</v>
      </c>
      <c r="O533" s="2">
        <v>10</v>
      </c>
      <c r="P533" s="2">
        <v>1</v>
      </c>
      <c r="Q533" s="2" t="s">
        <v>163</v>
      </c>
      <c r="R533" s="2" t="s">
        <v>147</v>
      </c>
      <c r="S533" s="2">
        <v>4.8</v>
      </c>
      <c r="T533" s="2">
        <v>15.2</v>
      </c>
      <c r="U533" s="2" t="b">
        <v>0</v>
      </c>
      <c r="V533" s="2">
        <v>2</v>
      </c>
      <c r="W533" s="2">
        <v>1</v>
      </c>
      <c r="X533" s="2">
        <v>18</v>
      </c>
      <c r="Y533" s="2">
        <v>29.948453608247419</v>
      </c>
    </row>
    <row r="534" spans="1:25" hidden="1">
      <c r="A534" s="2" t="s">
        <v>789</v>
      </c>
      <c r="B534" s="2" t="s">
        <v>157</v>
      </c>
      <c r="C534" s="2" t="s">
        <v>790</v>
      </c>
      <c r="D534" s="3">
        <v>45747.822916666657</v>
      </c>
      <c r="E534" s="3">
        <v>45747.850694444453</v>
      </c>
      <c r="F534" s="2">
        <v>40</v>
      </c>
      <c r="G534" s="2" t="s">
        <v>167</v>
      </c>
      <c r="H534" s="2" t="s">
        <v>594</v>
      </c>
      <c r="I534" s="2">
        <v>5</v>
      </c>
      <c r="J534" s="2">
        <v>7.5</v>
      </c>
      <c r="K534" s="2" t="s">
        <v>153</v>
      </c>
      <c r="L534" s="2" t="s">
        <v>145</v>
      </c>
      <c r="M534" s="2" t="b">
        <v>1</v>
      </c>
      <c r="N534" s="2" t="b">
        <v>0</v>
      </c>
      <c r="O534" s="2">
        <v>5.333333333333333</v>
      </c>
      <c r="P534" s="2">
        <v>0.66666666666666663</v>
      </c>
      <c r="Q534" s="2" t="s">
        <v>163</v>
      </c>
      <c r="R534" s="2" t="s">
        <v>147</v>
      </c>
      <c r="S534" s="2">
        <v>18</v>
      </c>
      <c r="T534" s="2">
        <v>22</v>
      </c>
      <c r="U534" s="2" t="b">
        <v>1</v>
      </c>
      <c r="V534" s="2">
        <v>20</v>
      </c>
      <c r="W534" s="2">
        <v>3</v>
      </c>
      <c r="X534" s="2">
        <v>19</v>
      </c>
      <c r="Y534" s="2">
        <v>28.844221105527641</v>
      </c>
    </row>
    <row r="535" spans="1:25" hidden="1">
      <c r="A535" s="2" t="s">
        <v>791</v>
      </c>
      <c r="B535" s="2" t="s">
        <v>173</v>
      </c>
      <c r="C535" s="2" t="s">
        <v>792</v>
      </c>
      <c r="D535" s="3">
        <v>45748.75</v>
      </c>
      <c r="E535" s="3">
        <v>45748.770833333343</v>
      </c>
      <c r="F535" s="2">
        <v>30</v>
      </c>
      <c r="G535" s="2" t="s">
        <v>143</v>
      </c>
      <c r="H535" s="2" t="s">
        <v>152</v>
      </c>
      <c r="I535" s="2">
        <v>3</v>
      </c>
      <c r="J535" s="2">
        <v>4</v>
      </c>
      <c r="K535" s="2" t="s">
        <v>143</v>
      </c>
      <c r="L535" s="2" t="s">
        <v>162</v>
      </c>
      <c r="M535" s="2" t="b">
        <v>1</v>
      </c>
      <c r="N535" s="2" t="b">
        <v>0</v>
      </c>
      <c r="O535" s="2">
        <v>7.5</v>
      </c>
      <c r="P535" s="2">
        <v>0.75</v>
      </c>
      <c r="Q535" s="2" t="s">
        <v>170</v>
      </c>
      <c r="R535" s="2" t="s">
        <v>147</v>
      </c>
      <c r="S535" s="2">
        <v>9.6</v>
      </c>
      <c r="T535" s="2">
        <v>20.399999999999999</v>
      </c>
      <c r="U535" s="2" t="b">
        <v>0</v>
      </c>
      <c r="V535" s="2">
        <v>6</v>
      </c>
      <c r="W535" s="2">
        <v>2</v>
      </c>
      <c r="X535" s="2">
        <v>18</v>
      </c>
      <c r="Y535" s="2">
        <v>30.286458333333329</v>
      </c>
    </row>
    <row r="536" spans="1:25" hidden="1">
      <c r="A536" s="2" t="s">
        <v>793</v>
      </c>
      <c r="B536" s="2" t="s">
        <v>142</v>
      </c>
      <c r="C536" s="2" t="s">
        <v>794</v>
      </c>
      <c r="D536" s="3">
        <v>45749.84375</v>
      </c>
      <c r="E536" s="3">
        <v>45749.875</v>
      </c>
      <c r="F536" s="2">
        <v>45</v>
      </c>
      <c r="G536" s="2" t="s">
        <v>151</v>
      </c>
      <c r="H536" s="2" t="s">
        <v>144</v>
      </c>
      <c r="I536" s="2">
        <v>4</v>
      </c>
      <c r="J536" s="2">
        <v>9</v>
      </c>
      <c r="K536" s="2" t="s">
        <v>153</v>
      </c>
      <c r="L536" s="2" t="s">
        <v>169</v>
      </c>
      <c r="M536" s="2" t="b">
        <v>1</v>
      </c>
      <c r="N536" s="2" t="b">
        <v>0</v>
      </c>
      <c r="O536" s="2">
        <v>5</v>
      </c>
      <c r="P536" s="2">
        <v>0.44444444444444442</v>
      </c>
      <c r="Q536" s="2" t="s">
        <v>170</v>
      </c>
      <c r="R536" s="2" t="s">
        <v>171</v>
      </c>
      <c r="S536" s="2">
        <v>21.6</v>
      </c>
      <c r="T536" s="2">
        <v>23.4</v>
      </c>
      <c r="U536" s="2" t="b">
        <v>1</v>
      </c>
      <c r="V536" s="2">
        <v>12</v>
      </c>
      <c r="W536" s="2">
        <v>3</v>
      </c>
      <c r="X536" s="2">
        <v>20</v>
      </c>
      <c r="Y536" s="2">
        <v>30.259433962264151</v>
      </c>
    </row>
    <row r="537" spans="1:25" hidden="1">
      <c r="A537" s="2" t="s">
        <v>795</v>
      </c>
      <c r="B537" s="2" t="s">
        <v>149</v>
      </c>
      <c r="C537" s="2" t="s">
        <v>770</v>
      </c>
      <c r="D537" s="3">
        <v>45750.75</v>
      </c>
      <c r="E537" s="3">
        <v>45750.763888888891</v>
      </c>
      <c r="F537" s="2">
        <v>20</v>
      </c>
      <c r="G537" s="2" t="s">
        <v>143</v>
      </c>
      <c r="H537" s="2" t="s">
        <v>144</v>
      </c>
      <c r="I537" s="2">
        <v>2</v>
      </c>
      <c r="J537" s="2">
        <v>3</v>
      </c>
      <c r="K537" s="2" t="s">
        <v>161</v>
      </c>
      <c r="L537" s="2" t="s">
        <v>145</v>
      </c>
      <c r="M537" s="2" t="b">
        <v>1</v>
      </c>
      <c r="N537" s="2" t="b">
        <v>0</v>
      </c>
      <c r="O537" s="2">
        <v>6.666666666666667</v>
      </c>
      <c r="P537" s="2">
        <v>0.66666666666666663</v>
      </c>
      <c r="Q537" s="2" t="s">
        <v>170</v>
      </c>
      <c r="R537" s="2" t="s">
        <v>147</v>
      </c>
      <c r="S537" s="2">
        <v>7.1999999999999993</v>
      </c>
      <c r="T537" s="2">
        <v>12.8</v>
      </c>
      <c r="U537" s="2" t="b">
        <v>0</v>
      </c>
      <c r="V537" s="2">
        <v>4</v>
      </c>
      <c r="W537" s="2">
        <v>1</v>
      </c>
      <c r="X537" s="2">
        <v>18</v>
      </c>
      <c r="Y537" s="2">
        <v>28.186274509803919</v>
      </c>
    </row>
    <row r="538" spans="1:25" hidden="1">
      <c r="A538" s="2" t="s">
        <v>796</v>
      </c>
      <c r="B538" s="2" t="s">
        <v>165</v>
      </c>
      <c r="C538" s="2" t="s">
        <v>768</v>
      </c>
      <c r="D538" s="3">
        <v>45751.802083333343</v>
      </c>
      <c r="E538" s="3">
        <v>45751.822916666657</v>
      </c>
      <c r="F538" s="2">
        <v>30</v>
      </c>
      <c r="G538" s="2" t="s">
        <v>151</v>
      </c>
      <c r="H538" s="2" t="s">
        <v>152</v>
      </c>
      <c r="I538" s="2">
        <v>4</v>
      </c>
      <c r="J538" s="2">
        <v>6</v>
      </c>
      <c r="K538" s="2" t="s">
        <v>143</v>
      </c>
      <c r="L538" s="2" t="s">
        <v>154</v>
      </c>
      <c r="M538" s="2" t="b">
        <v>1</v>
      </c>
      <c r="N538" s="2" t="b">
        <v>0</v>
      </c>
      <c r="O538" s="2">
        <v>5</v>
      </c>
      <c r="P538" s="2">
        <v>0.66666666666666663</v>
      </c>
      <c r="Q538" s="2" t="s">
        <v>170</v>
      </c>
      <c r="R538" s="2" t="s">
        <v>147</v>
      </c>
      <c r="S538" s="2">
        <v>14.4</v>
      </c>
      <c r="T538" s="2">
        <v>15.6</v>
      </c>
      <c r="U538" s="2" t="b">
        <v>0</v>
      </c>
      <c r="V538" s="2">
        <v>12</v>
      </c>
      <c r="W538" s="2">
        <v>2</v>
      </c>
      <c r="X538" s="2">
        <v>19</v>
      </c>
      <c r="Y538" s="2">
        <v>29.948453608247419</v>
      </c>
    </row>
    <row r="539" spans="1:25" hidden="1">
      <c r="A539" s="2" t="s">
        <v>797</v>
      </c>
      <c r="B539" s="2" t="s">
        <v>157</v>
      </c>
      <c r="C539" s="2" t="s">
        <v>772</v>
      </c>
      <c r="D539" s="3">
        <v>45752.854166666657</v>
      </c>
      <c r="E539" s="3">
        <v>45752.881944444453</v>
      </c>
      <c r="F539" s="2">
        <v>40</v>
      </c>
      <c r="G539" s="2" t="s">
        <v>167</v>
      </c>
      <c r="H539" s="2" t="s">
        <v>168</v>
      </c>
      <c r="I539" s="2">
        <v>5</v>
      </c>
      <c r="J539" s="2">
        <v>8</v>
      </c>
      <c r="K539" s="2" t="s">
        <v>153</v>
      </c>
      <c r="L539" s="2" t="s">
        <v>145</v>
      </c>
      <c r="M539" s="2" t="b">
        <v>1</v>
      </c>
      <c r="N539" s="2" t="b">
        <v>1</v>
      </c>
      <c r="O539" s="2">
        <v>5</v>
      </c>
      <c r="P539" s="2">
        <v>0.625</v>
      </c>
      <c r="Q539" s="2" t="s">
        <v>170</v>
      </c>
      <c r="R539" s="2" t="s">
        <v>147</v>
      </c>
      <c r="S539" s="2">
        <v>19.2</v>
      </c>
      <c r="T539" s="2">
        <v>20.8</v>
      </c>
      <c r="U539" s="2" t="b">
        <v>1</v>
      </c>
      <c r="V539" s="2">
        <v>20</v>
      </c>
      <c r="W539" s="2">
        <v>3</v>
      </c>
      <c r="X539" s="2">
        <v>20</v>
      </c>
      <c r="Y539" s="2">
        <v>28.844221105527641</v>
      </c>
    </row>
    <row r="540" spans="1:25" hidden="1">
      <c r="A540" s="2" t="s">
        <v>798</v>
      </c>
      <c r="B540" s="2" t="s">
        <v>173</v>
      </c>
      <c r="C540" s="2" t="s">
        <v>774</v>
      </c>
      <c r="D540" s="3">
        <v>45753.78125</v>
      </c>
      <c r="E540" s="3">
        <v>45753.795138888891</v>
      </c>
      <c r="F540" s="2">
        <v>20</v>
      </c>
      <c r="G540" s="2" t="s">
        <v>159</v>
      </c>
      <c r="H540" s="2" t="s">
        <v>160</v>
      </c>
      <c r="I540" s="2">
        <v>1</v>
      </c>
      <c r="J540" s="2">
        <v>2.5</v>
      </c>
      <c r="K540" s="2" t="s">
        <v>161</v>
      </c>
      <c r="L540" s="2" t="s">
        <v>169</v>
      </c>
      <c r="M540" s="2" t="b">
        <v>1</v>
      </c>
      <c r="N540" s="2" t="b">
        <v>1</v>
      </c>
      <c r="O540" s="2">
        <v>8</v>
      </c>
      <c r="P540" s="2">
        <v>0.4</v>
      </c>
      <c r="Q540" s="2" t="s">
        <v>170</v>
      </c>
      <c r="R540" s="2" t="s">
        <v>171</v>
      </c>
      <c r="S540" s="2">
        <v>6</v>
      </c>
      <c r="T540" s="2">
        <v>14</v>
      </c>
      <c r="U540" s="2" t="b">
        <v>0</v>
      </c>
      <c r="V540" s="2">
        <v>1</v>
      </c>
      <c r="W540" s="2">
        <v>1</v>
      </c>
      <c r="X540" s="2">
        <v>18</v>
      </c>
      <c r="Y540" s="2">
        <v>30.286458333333329</v>
      </c>
    </row>
    <row r="541" spans="1:25" hidden="1">
      <c r="A541" s="2" t="s">
        <v>799</v>
      </c>
      <c r="B541" s="2" t="s">
        <v>142</v>
      </c>
      <c r="C541" s="2" t="s">
        <v>776</v>
      </c>
      <c r="D541" s="3">
        <v>45754.791666666657</v>
      </c>
      <c r="E541" s="3">
        <v>45754.826388888891</v>
      </c>
      <c r="F541" s="2">
        <v>50</v>
      </c>
      <c r="G541" s="2" t="s">
        <v>151</v>
      </c>
      <c r="H541" s="2" t="s">
        <v>152</v>
      </c>
      <c r="I541" s="2">
        <v>4</v>
      </c>
      <c r="J541" s="2">
        <v>10</v>
      </c>
      <c r="K541" s="2" t="s">
        <v>153</v>
      </c>
      <c r="L541" s="2" t="s">
        <v>145</v>
      </c>
      <c r="M541" s="2" t="b">
        <v>1</v>
      </c>
      <c r="N541" s="2" t="b">
        <v>0</v>
      </c>
      <c r="O541" s="2">
        <v>5</v>
      </c>
      <c r="P541" s="2">
        <v>0.4</v>
      </c>
      <c r="Q541" s="2" t="s">
        <v>170</v>
      </c>
      <c r="R541" s="2" t="s">
        <v>147</v>
      </c>
      <c r="S541" s="2">
        <v>24</v>
      </c>
      <c r="T541" s="2">
        <v>26</v>
      </c>
      <c r="U541" s="2" t="b">
        <v>1</v>
      </c>
      <c r="V541" s="2">
        <v>12</v>
      </c>
      <c r="W541" s="2">
        <v>3</v>
      </c>
      <c r="X541" s="2">
        <v>19</v>
      </c>
      <c r="Y541" s="2">
        <v>30.259433962264151</v>
      </c>
    </row>
    <row r="542" spans="1:25" hidden="1">
      <c r="A542" s="2" t="s">
        <v>800</v>
      </c>
      <c r="B542" s="2" t="s">
        <v>149</v>
      </c>
      <c r="C542" s="2" t="s">
        <v>778</v>
      </c>
      <c r="D542" s="3">
        <v>45755.833333333343</v>
      </c>
      <c r="E542" s="3">
        <v>45755.857638888891</v>
      </c>
      <c r="F542" s="2">
        <v>35</v>
      </c>
      <c r="G542" s="2" t="s">
        <v>143</v>
      </c>
      <c r="H542" s="2" t="s">
        <v>591</v>
      </c>
      <c r="I542" s="2">
        <v>3</v>
      </c>
      <c r="J542" s="2">
        <v>5.5</v>
      </c>
      <c r="K542" s="2" t="s">
        <v>143</v>
      </c>
      <c r="L542" s="2" t="s">
        <v>154</v>
      </c>
      <c r="M542" s="2" t="b">
        <v>1</v>
      </c>
      <c r="N542" s="2" t="b">
        <v>0</v>
      </c>
      <c r="O542" s="2">
        <v>6.3636363636363633</v>
      </c>
      <c r="P542" s="2">
        <v>0.54545454545454541</v>
      </c>
      <c r="Q542" s="2" t="s">
        <v>170</v>
      </c>
      <c r="R542" s="2" t="s">
        <v>147</v>
      </c>
      <c r="S542" s="2">
        <v>13.2</v>
      </c>
      <c r="T542" s="2">
        <v>21.8</v>
      </c>
      <c r="U542" s="2" t="b">
        <v>1</v>
      </c>
      <c r="V542" s="2">
        <v>6</v>
      </c>
      <c r="W542" s="2">
        <v>2</v>
      </c>
      <c r="X542" s="2">
        <v>20</v>
      </c>
      <c r="Y542" s="2">
        <v>28.186274509803919</v>
      </c>
    </row>
    <row r="543" spans="1:25" hidden="1">
      <c r="A543" s="2" t="s">
        <v>801</v>
      </c>
      <c r="B543" s="2" t="s">
        <v>165</v>
      </c>
      <c r="C543" s="2" t="s">
        <v>780</v>
      </c>
      <c r="D543" s="3">
        <v>45756.770833333343</v>
      </c>
      <c r="E543" s="3">
        <v>45756.784722222219</v>
      </c>
      <c r="F543" s="2">
        <v>20</v>
      </c>
      <c r="G543" s="2" t="s">
        <v>159</v>
      </c>
      <c r="H543" s="2" t="s">
        <v>160</v>
      </c>
      <c r="I543" s="2">
        <v>2</v>
      </c>
      <c r="J543" s="2">
        <v>2</v>
      </c>
      <c r="K543" s="2" t="s">
        <v>161</v>
      </c>
      <c r="L543" s="2" t="s">
        <v>162</v>
      </c>
      <c r="M543" s="2" t="b">
        <v>1</v>
      </c>
      <c r="N543" s="2" t="b">
        <v>0</v>
      </c>
      <c r="O543" s="2">
        <v>10</v>
      </c>
      <c r="P543" s="2">
        <v>1</v>
      </c>
      <c r="Q543" s="2" t="s">
        <v>170</v>
      </c>
      <c r="R543" s="2" t="s">
        <v>147</v>
      </c>
      <c r="S543" s="2">
        <v>4.8</v>
      </c>
      <c r="T543" s="2">
        <v>15.2</v>
      </c>
      <c r="U543" s="2" t="b">
        <v>0</v>
      </c>
      <c r="V543" s="2">
        <v>2</v>
      </c>
      <c r="W543" s="2">
        <v>1</v>
      </c>
      <c r="X543" s="2">
        <v>18</v>
      </c>
      <c r="Y543" s="2">
        <v>29.948453608247419</v>
      </c>
    </row>
    <row r="544" spans="1:25" hidden="1">
      <c r="A544" s="2" t="s">
        <v>802</v>
      </c>
      <c r="B544" s="2" t="s">
        <v>142</v>
      </c>
      <c r="C544" s="2" t="s">
        <v>317</v>
      </c>
      <c r="D544" s="3">
        <v>45757.791666666657</v>
      </c>
      <c r="E544" s="3">
        <v>45757.822916666657</v>
      </c>
      <c r="F544" s="2">
        <v>45</v>
      </c>
      <c r="G544" s="2" t="s">
        <v>151</v>
      </c>
      <c r="H544" s="2" t="s">
        <v>655</v>
      </c>
      <c r="I544" s="2">
        <v>4</v>
      </c>
      <c r="J544" s="2">
        <v>7</v>
      </c>
      <c r="K544" s="2" t="s">
        <v>143</v>
      </c>
      <c r="L544" s="2" t="s">
        <v>145</v>
      </c>
      <c r="M544" s="2" t="b">
        <v>1</v>
      </c>
      <c r="N544" s="2" t="b">
        <v>0</v>
      </c>
      <c r="O544" s="2">
        <v>6.4285714285714288</v>
      </c>
      <c r="P544" s="2">
        <v>0.5714285714285714</v>
      </c>
      <c r="Q544" s="2" t="s">
        <v>170</v>
      </c>
      <c r="R544" s="2" t="s">
        <v>147</v>
      </c>
      <c r="S544" s="2">
        <v>16.8</v>
      </c>
      <c r="T544" s="2">
        <v>28.2</v>
      </c>
      <c r="U544" s="2" t="b">
        <v>1</v>
      </c>
      <c r="V544" s="2">
        <v>12</v>
      </c>
      <c r="W544" s="2">
        <v>2</v>
      </c>
      <c r="X544" s="2">
        <v>19</v>
      </c>
      <c r="Y544" s="2">
        <v>30.259433962264151</v>
      </c>
    </row>
    <row r="545" spans="1:25" hidden="1">
      <c r="A545" s="2" t="s">
        <v>803</v>
      </c>
      <c r="B545" s="2" t="s">
        <v>149</v>
      </c>
      <c r="C545" s="2" t="s">
        <v>192</v>
      </c>
      <c r="D545" s="3">
        <v>45758.84375</v>
      </c>
      <c r="E545" s="3">
        <v>45758.871527777781</v>
      </c>
      <c r="F545" s="2">
        <v>40</v>
      </c>
      <c r="G545" s="2" t="s">
        <v>143</v>
      </c>
      <c r="H545" s="2" t="s">
        <v>657</v>
      </c>
      <c r="I545" s="2">
        <v>3</v>
      </c>
      <c r="J545" s="2">
        <v>6.5</v>
      </c>
      <c r="K545" s="2" t="s">
        <v>153</v>
      </c>
      <c r="L545" s="2" t="s">
        <v>154</v>
      </c>
      <c r="M545" s="2" t="b">
        <v>1</v>
      </c>
      <c r="N545" s="2" t="b">
        <v>0</v>
      </c>
      <c r="O545" s="2">
        <v>6.1538461538461542</v>
      </c>
      <c r="P545" s="2">
        <v>0.46153846153846162</v>
      </c>
      <c r="Q545" s="2" t="s">
        <v>170</v>
      </c>
      <c r="R545" s="2" t="s">
        <v>147</v>
      </c>
      <c r="S545" s="2">
        <v>15.6</v>
      </c>
      <c r="T545" s="2">
        <v>24.4</v>
      </c>
      <c r="U545" s="2" t="b">
        <v>1</v>
      </c>
      <c r="V545" s="2">
        <v>6</v>
      </c>
      <c r="W545" s="2">
        <v>3</v>
      </c>
      <c r="X545" s="2">
        <v>20</v>
      </c>
      <c r="Y545" s="2">
        <v>28.186274509803919</v>
      </c>
    </row>
    <row r="546" spans="1:25" hidden="1">
      <c r="A546" s="2" t="s">
        <v>804</v>
      </c>
      <c r="B546" s="2" t="s">
        <v>165</v>
      </c>
      <c r="C546" s="2" t="s">
        <v>166</v>
      </c>
      <c r="D546" s="3">
        <v>45759.78125</v>
      </c>
      <c r="E546" s="3">
        <v>45759.795138888891</v>
      </c>
      <c r="F546" s="2">
        <v>20</v>
      </c>
      <c r="G546" s="2" t="s">
        <v>159</v>
      </c>
      <c r="H546" s="2" t="s">
        <v>160</v>
      </c>
      <c r="I546" s="2">
        <v>1</v>
      </c>
      <c r="J546" s="2">
        <v>2.5</v>
      </c>
      <c r="K546" s="2" t="s">
        <v>161</v>
      </c>
      <c r="L546" s="2" t="s">
        <v>169</v>
      </c>
      <c r="M546" s="2" t="b">
        <v>1</v>
      </c>
      <c r="N546" s="2" t="b">
        <v>1</v>
      </c>
      <c r="O546" s="2">
        <v>8</v>
      </c>
      <c r="P546" s="2">
        <v>0.4</v>
      </c>
      <c r="Q546" s="2" t="s">
        <v>170</v>
      </c>
      <c r="R546" s="2" t="s">
        <v>171</v>
      </c>
      <c r="S546" s="2">
        <v>6</v>
      </c>
      <c r="T546" s="2">
        <v>14</v>
      </c>
      <c r="U546" s="2" t="b">
        <v>0</v>
      </c>
      <c r="V546" s="2">
        <v>1</v>
      </c>
      <c r="W546" s="2">
        <v>1</v>
      </c>
      <c r="X546" s="2">
        <v>18</v>
      </c>
      <c r="Y546" s="2">
        <v>29.948453608247419</v>
      </c>
    </row>
    <row r="547" spans="1:25" hidden="1">
      <c r="A547" s="2" t="s">
        <v>805</v>
      </c>
      <c r="B547" s="2" t="s">
        <v>157</v>
      </c>
      <c r="C547" s="2" t="s">
        <v>190</v>
      </c>
      <c r="D547" s="3">
        <v>45760.8125</v>
      </c>
      <c r="E547" s="3">
        <v>45760.840277777781</v>
      </c>
      <c r="F547" s="2">
        <v>40</v>
      </c>
      <c r="G547" s="2" t="s">
        <v>167</v>
      </c>
      <c r="H547" s="2" t="s">
        <v>168</v>
      </c>
      <c r="I547" s="2">
        <v>5</v>
      </c>
      <c r="J547" s="2">
        <v>8</v>
      </c>
      <c r="K547" s="2" t="s">
        <v>153</v>
      </c>
      <c r="L547" s="2" t="s">
        <v>145</v>
      </c>
      <c r="M547" s="2" t="b">
        <v>1</v>
      </c>
      <c r="N547" s="2" t="b">
        <v>1</v>
      </c>
      <c r="O547" s="2">
        <v>5</v>
      </c>
      <c r="P547" s="2">
        <v>0.625</v>
      </c>
      <c r="Q547" s="2" t="s">
        <v>170</v>
      </c>
      <c r="R547" s="2" t="s">
        <v>147</v>
      </c>
      <c r="S547" s="2">
        <v>19.2</v>
      </c>
      <c r="T547" s="2">
        <v>20.8</v>
      </c>
      <c r="U547" s="2" t="b">
        <v>1</v>
      </c>
      <c r="V547" s="2">
        <v>20</v>
      </c>
      <c r="W547" s="2">
        <v>3</v>
      </c>
      <c r="X547" s="2">
        <v>19</v>
      </c>
      <c r="Y547" s="2">
        <v>28.844221105527641</v>
      </c>
    </row>
    <row r="548" spans="1:25" hidden="1">
      <c r="A548" s="2" t="s">
        <v>806</v>
      </c>
      <c r="B548" s="2" t="s">
        <v>173</v>
      </c>
      <c r="C548" s="2" t="s">
        <v>807</v>
      </c>
      <c r="D548" s="3">
        <v>45761.75</v>
      </c>
      <c r="E548" s="3">
        <v>45761.770833333343</v>
      </c>
      <c r="F548" s="2">
        <v>30</v>
      </c>
      <c r="G548" s="2" t="s">
        <v>143</v>
      </c>
      <c r="H548" s="2" t="s">
        <v>152</v>
      </c>
      <c r="I548" s="2">
        <v>3</v>
      </c>
      <c r="J548" s="2">
        <v>4</v>
      </c>
      <c r="K548" s="2" t="s">
        <v>143</v>
      </c>
      <c r="L548" s="2" t="s">
        <v>162</v>
      </c>
      <c r="M548" s="2" t="b">
        <v>1</v>
      </c>
      <c r="N548" s="2" t="b">
        <v>0</v>
      </c>
      <c r="O548" s="2">
        <v>7.5</v>
      </c>
      <c r="P548" s="2">
        <v>0.75</v>
      </c>
      <c r="Q548" s="2" t="s">
        <v>170</v>
      </c>
      <c r="R548" s="2" t="s">
        <v>147</v>
      </c>
      <c r="S548" s="2">
        <v>9.6</v>
      </c>
      <c r="T548" s="2">
        <v>20.399999999999999</v>
      </c>
      <c r="U548" s="2" t="b">
        <v>0</v>
      </c>
      <c r="V548" s="2">
        <v>6</v>
      </c>
      <c r="W548" s="2">
        <v>2</v>
      </c>
      <c r="X548" s="2">
        <v>18</v>
      </c>
      <c r="Y548" s="2">
        <v>30.286458333333329</v>
      </c>
    </row>
    <row r="549" spans="1:25" hidden="1">
      <c r="A549" s="2" t="s">
        <v>808</v>
      </c>
      <c r="B549" s="2" t="s">
        <v>142</v>
      </c>
      <c r="C549" s="2" t="s">
        <v>158</v>
      </c>
      <c r="D549" s="3">
        <v>45762.84375</v>
      </c>
      <c r="E549" s="3">
        <v>45762.875</v>
      </c>
      <c r="F549" s="2">
        <v>45</v>
      </c>
      <c r="G549" s="2" t="s">
        <v>151</v>
      </c>
      <c r="H549" s="2" t="s">
        <v>144</v>
      </c>
      <c r="I549" s="2">
        <v>4</v>
      </c>
      <c r="J549" s="2">
        <v>9</v>
      </c>
      <c r="K549" s="2" t="s">
        <v>153</v>
      </c>
      <c r="L549" s="2" t="s">
        <v>169</v>
      </c>
      <c r="M549" s="2" t="b">
        <v>1</v>
      </c>
      <c r="N549" s="2" t="b">
        <v>0</v>
      </c>
      <c r="O549" s="2">
        <v>5</v>
      </c>
      <c r="P549" s="2">
        <v>0.44444444444444442</v>
      </c>
      <c r="Q549" s="2" t="s">
        <v>170</v>
      </c>
      <c r="R549" s="2" t="s">
        <v>171</v>
      </c>
      <c r="S549" s="2">
        <v>21.6</v>
      </c>
      <c r="T549" s="2">
        <v>23.4</v>
      </c>
      <c r="U549" s="2" t="b">
        <v>1</v>
      </c>
      <c r="V549" s="2">
        <v>12</v>
      </c>
      <c r="W549" s="2">
        <v>3</v>
      </c>
      <c r="X549" s="2">
        <v>20</v>
      </c>
      <c r="Y549" s="2">
        <v>30.259433962264151</v>
      </c>
    </row>
    <row r="550" spans="1:25" hidden="1">
      <c r="A550" s="2" t="s">
        <v>809</v>
      </c>
      <c r="B550" s="2" t="s">
        <v>149</v>
      </c>
      <c r="C550" s="2" t="s">
        <v>194</v>
      </c>
      <c r="D550" s="3">
        <v>45763.75</v>
      </c>
      <c r="E550" s="3">
        <v>45763.763888888891</v>
      </c>
      <c r="F550" s="2">
        <v>20</v>
      </c>
      <c r="G550" s="2" t="s">
        <v>143</v>
      </c>
      <c r="H550" s="2" t="s">
        <v>144</v>
      </c>
      <c r="I550" s="2">
        <v>2</v>
      </c>
      <c r="J550" s="2">
        <v>3</v>
      </c>
      <c r="K550" s="2" t="s">
        <v>161</v>
      </c>
      <c r="L550" s="2" t="s">
        <v>145</v>
      </c>
      <c r="M550" s="2" t="b">
        <v>1</v>
      </c>
      <c r="N550" s="2" t="b">
        <v>0</v>
      </c>
      <c r="O550" s="2">
        <v>6.666666666666667</v>
      </c>
      <c r="P550" s="2">
        <v>0.66666666666666663</v>
      </c>
      <c r="Q550" s="2" t="s">
        <v>170</v>
      </c>
      <c r="R550" s="2" t="s">
        <v>147</v>
      </c>
      <c r="S550" s="2">
        <v>7.1999999999999993</v>
      </c>
      <c r="T550" s="2">
        <v>12.8</v>
      </c>
      <c r="U550" s="2" t="b">
        <v>0</v>
      </c>
      <c r="V550" s="2">
        <v>4</v>
      </c>
      <c r="W550" s="2">
        <v>1</v>
      </c>
      <c r="X550" s="2">
        <v>18</v>
      </c>
      <c r="Y550" s="2">
        <v>28.186274509803919</v>
      </c>
    </row>
    <row r="551" spans="1:25" hidden="1">
      <c r="A551" s="2" t="s">
        <v>810</v>
      </c>
      <c r="B551" s="2" t="s">
        <v>165</v>
      </c>
      <c r="C551" s="2" t="s">
        <v>188</v>
      </c>
      <c r="D551" s="3">
        <v>45764.802083333343</v>
      </c>
      <c r="E551" s="3">
        <v>45764.822916666657</v>
      </c>
      <c r="F551" s="2">
        <v>30</v>
      </c>
      <c r="G551" s="2" t="s">
        <v>151</v>
      </c>
      <c r="H551" s="2" t="s">
        <v>152</v>
      </c>
      <c r="I551" s="2">
        <v>4</v>
      </c>
      <c r="J551" s="2">
        <v>6</v>
      </c>
      <c r="K551" s="2" t="s">
        <v>143</v>
      </c>
      <c r="L551" s="2" t="s">
        <v>154</v>
      </c>
      <c r="M551" s="2" t="b">
        <v>1</v>
      </c>
      <c r="N551" s="2" t="b">
        <v>0</v>
      </c>
      <c r="O551" s="2">
        <v>5</v>
      </c>
      <c r="P551" s="2">
        <v>0.66666666666666663</v>
      </c>
      <c r="Q551" s="2" t="s">
        <v>170</v>
      </c>
      <c r="R551" s="2" t="s">
        <v>147</v>
      </c>
      <c r="S551" s="2">
        <v>14.4</v>
      </c>
      <c r="T551" s="2">
        <v>15.6</v>
      </c>
      <c r="U551" s="2" t="b">
        <v>0</v>
      </c>
      <c r="V551" s="2">
        <v>12</v>
      </c>
      <c r="W551" s="2">
        <v>2</v>
      </c>
      <c r="X551" s="2">
        <v>19</v>
      </c>
      <c r="Y551" s="2">
        <v>29.948453608247419</v>
      </c>
    </row>
    <row r="552" spans="1:25" hidden="1">
      <c r="A552" s="2" t="s">
        <v>811</v>
      </c>
      <c r="B552" s="2" t="s">
        <v>157</v>
      </c>
      <c r="C552" s="2" t="s">
        <v>186</v>
      </c>
      <c r="D552" s="3">
        <v>45765.854166666657</v>
      </c>
      <c r="E552" s="3">
        <v>45765.881944444453</v>
      </c>
      <c r="F552" s="2">
        <v>40</v>
      </c>
      <c r="G552" s="2" t="s">
        <v>167</v>
      </c>
      <c r="H552" s="2" t="s">
        <v>168</v>
      </c>
      <c r="I552" s="2">
        <v>5</v>
      </c>
      <c r="J552" s="2">
        <v>8</v>
      </c>
      <c r="K552" s="2" t="s">
        <v>153</v>
      </c>
      <c r="L552" s="2" t="s">
        <v>145</v>
      </c>
      <c r="M552" s="2" t="b">
        <v>1</v>
      </c>
      <c r="N552" s="2" t="b">
        <v>0</v>
      </c>
      <c r="O552" s="2">
        <v>5</v>
      </c>
      <c r="P552" s="2">
        <v>0.625</v>
      </c>
      <c r="Q552" s="2" t="s">
        <v>170</v>
      </c>
      <c r="R552" s="2" t="s">
        <v>147</v>
      </c>
      <c r="S552" s="2">
        <v>19.2</v>
      </c>
      <c r="T552" s="2">
        <v>20.8</v>
      </c>
      <c r="U552" s="2" t="b">
        <v>1</v>
      </c>
      <c r="V552" s="2">
        <v>20</v>
      </c>
      <c r="W552" s="2">
        <v>3</v>
      </c>
      <c r="X552" s="2">
        <v>20</v>
      </c>
      <c r="Y552" s="2">
        <v>28.844221105527641</v>
      </c>
    </row>
    <row r="553" spans="1:25" hidden="1">
      <c r="A553" s="2" t="s">
        <v>812</v>
      </c>
      <c r="B553" s="2" t="s">
        <v>173</v>
      </c>
      <c r="C553" s="2" t="s">
        <v>319</v>
      </c>
      <c r="D553" s="3">
        <v>45766.78125</v>
      </c>
      <c r="E553" s="3">
        <v>45766.795138888891</v>
      </c>
      <c r="F553" s="2">
        <v>20</v>
      </c>
      <c r="G553" s="2" t="s">
        <v>159</v>
      </c>
      <c r="H553" s="2" t="s">
        <v>160</v>
      </c>
      <c r="I553" s="2">
        <v>1</v>
      </c>
      <c r="J553" s="2">
        <v>2.5</v>
      </c>
      <c r="K553" s="2" t="s">
        <v>161</v>
      </c>
      <c r="L553" s="2" t="s">
        <v>169</v>
      </c>
      <c r="M553" s="2" t="b">
        <v>1</v>
      </c>
      <c r="N553" s="2" t="b">
        <v>1</v>
      </c>
      <c r="O553" s="2">
        <v>8</v>
      </c>
      <c r="P553" s="2">
        <v>0.4</v>
      </c>
      <c r="Q553" s="2" t="s">
        <v>170</v>
      </c>
      <c r="R553" s="2" t="s">
        <v>171</v>
      </c>
      <c r="S553" s="2">
        <v>6</v>
      </c>
      <c r="T553" s="2">
        <v>14</v>
      </c>
      <c r="U553" s="2" t="b">
        <v>0</v>
      </c>
      <c r="V553" s="2">
        <v>1</v>
      </c>
      <c r="W553" s="2">
        <v>1</v>
      </c>
      <c r="X553" s="2">
        <v>18</v>
      </c>
      <c r="Y553" s="2">
        <v>30.286458333333329</v>
      </c>
    </row>
    <row r="554" spans="1:25" hidden="1">
      <c r="A554" s="2" t="s">
        <v>813</v>
      </c>
      <c r="B554" s="2" t="s">
        <v>142</v>
      </c>
      <c r="C554" s="2" t="s">
        <v>325</v>
      </c>
      <c r="D554" s="3">
        <v>45767.791666666657</v>
      </c>
      <c r="E554" s="3">
        <v>45767.826388888891</v>
      </c>
      <c r="F554" s="2">
        <v>50</v>
      </c>
      <c r="G554" s="2" t="s">
        <v>151</v>
      </c>
      <c r="H554" s="2" t="s">
        <v>152</v>
      </c>
      <c r="I554" s="2">
        <v>4</v>
      </c>
      <c r="J554" s="2">
        <v>10</v>
      </c>
      <c r="K554" s="2" t="s">
        <v>153</v>
      </c>
      <c r="L554" s="2" t="s">
        <v>342</v>
      </c>
      <c r="M554" s="2" t="b">
        <v>1</v>
      </c>
      <c r="N554" s="2" t="b">
        <v>1</v>
      </c>
      <c r="O554" s="2">
        <v>5</v>
      </c>
      <c r="P554" s="2">
        <v>0.4</v>
      </c>
      <c r="Q554" s="2" t="s">
        <v>170</v>
      </c>
      <c r="R554" s="2" t="s">
        <v>171</v>
      </c>
      <c r="S554" s="2">
        <v>24</v>
      </c>
      <c r="T554" s="2">
        <v>26</v>
      </c>
      <c r="U554" s="2" t="b">
        <v>1</v>
      </c>
      <c r="V554" s="2">
        <v>12</v>
      </c>
      <c r="W554" s="2">
        <v>3</v>
      </c>
      <c r="X554" s="2">
        <v>19</v>
      </c>
      <c r="Y554" s="2">
        <v>30.259433962264151</v>
      </c>
    </row>
    <row r="555" spans="1:25" hidden="1">
      <c r="A555" s="2" t="s">
        <v>814</v>
      </c>
      <c r="B555" s="2" t="s">
        <v>149</v>
      </c>
      <c r="C555" s="2" t="s">
        <v>327</v>
      </c>
      <c r="D555" s="3">
        <v>45768.833333333343</v>
      </c>
      <c r="E555" s="3">
        <v>45768.857638888891</v>
      </c>
      <c r="F555" s="2">
        <v>35</v>
      </c>
      <c r="G555" s="2" t="s">
        <v>143</v>
      </c>
      <c r="H555" s="2" t="s">
        <v>591</v>
      </c>
      <c r="I555" s="2">
        <v>3</v>
      </c>
      <c r="J555" s="2">
        <v>5.5</v>
      </c>
      <c r="K555" s="2" t="s">
        <v>143</v>
      </c>
      <c r="L555" s="2" t="s">
        <v>154</v>
      </c>
      <c r="M555" s="2" t="b">
        <v>1</v>
      </c>
      <c r="N555" s="2" t="b">
        <v>0</v>
      </c>
      <c r="O555" s="2">
        <v>6.3636363636363633</v>
      </c>
      <c r="P555" s="2">
        <v>0.54545454545454541</v>
      </c>
      <c r="Q555" s="2" t="s">
        <v>170</v>
      </c>
      <c r="R555" s="2" t="s">
        <v>147</v>
      </c>
      <c r="S555" s="2">
        <v>13.2</v>
      </c>
      <c r="T555" s="2">
        <v>21.8</v>
      </c>
      <c r="U555" s="2" t="b">
        <v>1</v>
      </c>
      <c r="V555" s="2">
        <v>6</v>
      </c>
      <c r="W555" s="2">
        <v>2</v>
      </c>
      <c r="X555" s="2">
        <v>20</v>
      </c>
      <c r="Y555" s="2">
        <v>28.186274509803919</v>
      </c>
    </row>
    <row r="556" spans="1:25" hidden="1">
      <c r="A556" s="2" t="s">
        <v>815</v>
      </c>
      <c r="B556" s="2" t="s">
        <v>165</v>
      </c>
      <c r="C556" s="2" t="s">
        <v>690</v>
      </c>
      <c r="D556" s="3">
        <v>45769.770833333343</v>
      </c>
      <c r="E556" s="3">
        <v>45769.784722222219</v>
      </c>
      <c r="F556" s="2">
        <v>20</v>
      </c>
      <c r="G556" s="2" t="s">
        <v>159</v>
      </c>
      <c r="H556" s="2" t="s">
        <v>160</v>
      </c>
      <c r="I556" s="2">
        <v>2</v>
      </c>
      <c r="J556" s="2">
        <v>2</v>
      </c>
      <c r="K556" s="2" t="s">
        <v>161</v>
      </c>
      <c r="L556" s="2" t="s">
        <v>162</v>
      </c>
      <c r="M556" s="2" t="b">
        <v>1</v>
      </c>
      <c r="N556" s="2" t="b">
        <v>0</v>
      </c>
      <c r="O556" s="2">
        <v>10</v>
      </c>
      <c r="P556" s="2">
        <v>1</v>
      </c>
      <c r="Q556" s="2" t="s">
        <v>170</v>
      </c>
      <c r="R556" s="2" t="s">
        <v>147</v>
      </c>
      <c r="S556" s="2">
        <v>4.8</v>
      </c>
      <c r="T556" s="2">
        <v>15.2</v>
      </c>
      <c r="U556" s="2" t="b">
        <v>0</v>
      </c>
      <c r="V556" s="2">
        <v>2</v>
      </c>
      <c r="W556" s="2">
        <v>1</v>
      </c>
      <c r="X556" s="2">
        <v>18</v>
      </c>
      <c r="Y556" s="2">
        <v>29.948453608247419</v>
      </c>
    </row>
    <row r="557" spans="1:25" hidden="1">
      <c r="A557" s="2" t="s">
        <v>816</v>
      </c>
      <c r="B557" s="2" t="s">
        <v>157</v>
      </c>
      <c r="C557" s="2" t="s">
        <v>817</v>
      </c>
      <c r="D557" s="3">
        <v>45770.822916666657</v>
      </c>
      <c r="E557" s="3">
        <v>45770.850694444453</v>
      </c>
      <c r="F557" s="2">
        <v>40</v>
      </c>
      <c r="G557" s="2" t="s">
        <v>167</v>
      </c>
      <c r="H557" s="2" t="s">
        <v>594</v>
      </c>
      <c r="I557" s="2">
        <v>5</v>
      </c>
      <c r="J557" s="2">
        <v>7.5</v>
      </c>
      <c r="K557" s="2" t="s">
        <v>153</v>
      </c>
      <c r="L557" s="2" t="s">
        <v>145</v>
      </c>
      <c r="M557" s="2" t="b">
        <v>1</v>
      </c>
      <c r="N557" s="2" t="b">
        <v>0</v>
      </c>
      <c r="O557" s="2">
        <v>5.333333333333333</v>
      </c>
      <c r="P557" s="2">
        <v>0.66666666666666663</v>
      </c>
      <c r="Q557" s="2" t="s">
        <v>170</v>
      </c>
      <c r="R557" s="2" t="s">
        <v>147</v>
      </c>
      <c r="S557" s="2">
        <v>18</v>
      </c>
      <c r="T557" s="2">
        <v>22</v>
      </c>
      <c r="U557" s="2" t="b">
        <v>1</v>
      </c>
      <c r="V557" s="2">
        <v>20</v>
      </c>
      <c r="W557" s="2">
        <v>3</v>
      </c>
      <c r="X557" s="2">
        <v>19</v>
      </c>
      <c r="Y557" s="2">
        <v>28.844221105527641</v>
      </c>
    </row>
    <row r="558" spans="1:25" hidden="1">
      <c r="A558" s="2" t="s">
        <v>818</v>
      </c>
      <c r="B558" s="2" t="s">
        <v>173</v>
      </c>
      <c r="C558" s="2" t="s">
        <v>819</v>
      </c>
      <c r="D558" s="3">
        <v>45771.75</v>
      </c>
      <c r="E558" s="3">
        <v>45771.770833333343</v>
      </c>
      <c r="F558" s="2">
        <v>30</v>
      </c>
      <c r="G558" s="2" t="s">
        <v>143</v>
      </c>
      <c r="H558" s="2" t="s">
        <v>152</v>
      </c>
      <c r="I558" s="2">
        <v>3</v>
      </c>
      <c r="J558" s="2">
        <v>4</v>
      </c>
      <c r="K558" s="2" t="s">
        <v>143</v>
      </c>
      <c r="L558" s="2" t="s">
        <v>162</v>
      </c>
      <c r="M558" s="2" t="b">
        <v>1</v>
      </c>
      <c r="N558" s="2" t="b">
        <v>0</v>
      </c>
      <c r="O558" s="2">
        <v>7.5</v>
      </c>
      <c r="P558" s="2">
        <v>0.75</v>
      </c>
      <c r="Q558" s="2" t="s">
        <v>170</v>
      </c>
      <c r="R558" s="2" t="s">
        <v>147</v>
      </c>
      <c r="S558" s="2">
        <v>9.6</v>
      </c>
      <c r="T558" s="2">
        <v>20.399999999999999</v>
      </c>
      <c r="U558" s="2" t="b">
        <v>0</v>
      </c>
      <c r="V558" s="2">
        <v>6</v>
      </c>
      <c r="W558" s="2">
        <v>2</v>
      </c>
      <c r="X558" s="2">
        <v>18</v>
      </c>
      <c r="Y558" s="2">
        <v>30.286458333333329</v>
      </c>
    </row>
    <row r="559" spans="1:25" hidden="1">
      <c r="A559" s="2" t="s">
        <v>820</v>
      </c>
      <c r="B559" s="2" t="s">
        <v>142</v>
      </c>
      <c r="C559" s="2" t="s">
        <v>329</v>
      </c>
      <c r="D559" s="3">
        <v>45772.84375</v>
      </c>
      <c r="E559" s="3">
        <v>45772.875</v>
      </c>
      <c r="F559" s="2">
        <v>45</v>
      </c>
      <c r="G559" s="2" t="s">
        <v>151</v>
      </c>
      <c r="H559" s="2" t="s">
        <v>144</v>
      </c>
      <c r="I559" s="2">
        <v>4</v>
      </c>
      <c r="J559" s="2">
        <v>9</v>
      </c>
      <c r="K559" s="2" t="s">
        <v>153</v>
      </c>
      <c r="L559" s="2" t="s">
        <v>169</v>
      </c>
      <c r="M559" s="2" t="b">
        <v>1</v>
      </c>
      <c r="N559" s="2" t="b">
        <v>0</v>
      </c>
      <c r="O559" s="2">
        <v>5</v>
      </c>
      <c r="P559" s="2">
        <v>0.44444444444444442</v>
      </c>
      <c r="Q559" s="2" t="s">
        <v>170</v>
      </c>
      <c r="R559" s="2" t="s">
        <v>171</v>
      </c>
      <c r="S559" s="2">
        <v>21.6</v>
      </c>
      <c r="T559" s="2">
        <v>23.4</v>
      </c>
      <c r="U559" s="2" t="b">
        <v>1</v>
      </c>
      <c r="V559" s="2">
        <v>12</v>
      </c>
      <c r="W559" s="2">
        <v>3</v>
      </c>
      <c r="X559" s="2">
        <v>20</v>
      </c>
      <c r="Y559" s="2">
        <v>30.259433962264151</v>
      </c>
    </row>
    <row r="560" spans="1:25" hidden="1">
      <c r="A560" s="2" t="s">
        <v>821</v>
      </c>
      <c r="B560" s="2" t="s">
        <v>149</v>
      </c>
      <c r="C560" s="2" t="s">
        <v>315</v>
      </c>
      <c r="D560" s="3">
        <v>45773.75</v>
      </c>
      <c r="E560" s="3">
        <v>45773.763888888891</v>
      </c>
      <c r="F560" s="2">
        <v>20</v>
      </c>
      <c r="G560" s="2" t="s">
        <v>143</v>
      </c>
      <c r="H560" s="2" t="s">
        <v>144</v>
      </c>
      <c r="I560" s="2">
        <v>2</v>
      </c>
      <c r="J560" s="2">
        <v>3</v>
      </c>
      <c r="K560" s="2" t="s">
        <v>161</v>
      </c>
      <c r="L560" s="2" t="s">
        <v>145</v>
      </c>
      <c r="M560" s="2" t="b">
        <v>1</v>
      </c>
      <c r="N560" s="2" t="b">
        <v>1</v>
      </c>
      <c r="O560" s="2">
        <v>6.666666666666667</v>
      </c>
      <c r="P560" s="2">
        <v>0.66666666666666663</v>
      </c>
      <c r="Q560" s="2" t="s">
        <v>170</v>
      </c>
      <c r="R560" s="2" t="s">
        <v>147</v>
      </c>
      <c r="S560" s="2">
        <v>7.1999999999999993</v>
      </c>
      <c r="T560" s="2">
        <v>12.8</v>
      </c>
      <c r="U560" s="2" t="b">
        <v>0</v>
      </c>
      <c r="V560" s="2">
        <v>4</v>
      </c>
      <c r="W560" s="2">
        <v>1</v>
      </c>
      <c r="X560" s="2">
        <v>18</v>
      </c>
      <c r="Y560" s="2">
        <v>28.186274509803919</v>
      </c>
    </row>
    <row r="561" spans="1:25" hidden="1">
      <c r="A561" s="2" t="s">
        <v>822</v>
      </c>
      <c r="B561" s="2" t="s">
        <v>165</v>
      </c>
      <c r="C561" s="2" t="s">
        <v>321</v>
      </c>
      <c r="D561" s="3">
        <v>45774.802083333343</v>
      </c>
      <c r="E561" s="3">
        <v>45774.822916666657</v>
      </c>
      <c r="F561" s="2">
        <v>30</v>
      </c>
      <c r="G561" s="2" t="s">
        <v>151</v>
      </c>
      <c r="H561" s="2" t="s">
        <v>152</v>
      </c>
      <c r="I561" s="2">
        <v>4</v>
      </c>
      <c r="J561" s="2">
        <v>6</v>
      </c>
      <c r="K561" s="2" t="s">
        <v>143</v>
      </c>
      <c r="L561" s="2" t="s">
        <v>154</v>
      </c>
      <c r="M561" s="2" t="b">
        <v>1</v>
      </c>
      <c r="N561" s="2" t="b">
        <v>1</v>
      </c>
      <c r="O561" s="2">
        <v>5</v>
      </c>
      <c r="P561" s="2">
        <v>0.66666666666666663</v>
      </c>
      <c r="Q561" s="2" t="s">
        <v>170</v>
      </c>
      <c r="R561" s="2" t="s">
        <v>147</v>
      </c>
      <c r="S561" s="2">
        <v>14.4</v>
      </c>
      <c r="T561" s="2">
        <v>15.6</v>
      </c>
      <c r="U561" s="2" t="b">
        <v>0</v>
      </c>
      <c r="V561" s="2">
        <v>12</v>
      </c>
      <c r="W561" s="2">
        <v>2</v>
      </c>
      <c r="X561" s="2">
        <v>19</v>
      </c>
      <c r="Y561" s="2">
        <v>29.948453608247419</v>
      </c>
    </row>
    <row r="562" spans="1:25" hidden="1">
      <c r="A562" s="2" t="s">
        <v>823</v>
      </c>
      <c r="B562" s="2" t="s">
        <v>157</v>
      </c>
      <c r="C562" s="2" t="s">
        <v>323</v>
      </c>
      <c r="D562" s="3">
        <v>45775.854166666657</v>
      </c>
      <c r="E562" s="3">
        <v>45775.881944444453</v>
      </c>
      <c r="F562" s="2">
        <v>40</v>
      </c>
      <c r="G562" s="2" t="s">
        <v>167</v>
      </c>
      <c r="H562" s="2" t="s">
        <v>168</v>
      </c>
      <c r="I562" s="2">
        <v>5</v>
      </c>
      <c r="J562" s="2">
        <v>8</v>
      </c>
      <c r="K562" s="2" t="s">
        <v>153</v>
      </c>
      <c r="L562" s="2" t="s">
        <v>145</v>
      </c>
      <c r="M562" s="2" t="b">
        <v>1</v>
      </c>
      <c r="N562" s="2" t="b">
        <v>0</v>
      </c>
      <c r="O562" s="2">
        <v>5</v>
      </c>
      <c r="P562" s="2">
        <v>0.625</v>
      </c>
      <c r="Q562" s="2" t="s">
        <v>170</v>
      </c>
      <c r="R562" s="2" t="s">
        <v>147</v>
      </c>
      <c r="S562" s="2">
        <v>19.2</v>
      </c>
      <c r="T562" s="2">
        <v>20.8</v>
      </c>
      <c r="U562" s="2" t="b">
        <v>1</v>
      </c>
      <c r="V562" s="2">
        <v>20</v>
      </c>
      <c r="W562" s="2">
        <v>3</v>
      </c>
      <c r="X562" s="2">
        <v>20</v>
      </c>
      <c r="Y562" s="2">
        <v>28.844221105527641</v>
      </c>
    </row>
    <row r="563" spans="1:25" hidden="1">
      <c r="A563" s="2" t="s">
        <v>824</v>
      </c>
      <c r="B563" s="2" t="s">
        <v>173</v>
      </c>
      <c r="C563" s="2" t="s">
        <v>337</v>
      </c>
      <c r="D563" s="3">
        <v>45776.78125</v>
      </c>
      <c r="E563" s="3">
        <v>45776.795138888891</v>
      </c>
      <c r="F563" s="2">
        <v>20</v>
      </c>
      <c r="G563" s="2" t="s">
        <v>159</v>
      </c>
      <c r="H563" s="2" t="s">
        <v>160</v>
      </c>
      <c r="I563" s="2">
        <v>1</v>
      </c>
      <c r="J563" s="2">
        <v>2.5</v>
      </c>
      <c r="K563" s="2" t="s">
        <v>161</v>
      </c>
      <c r="L563" s="2" t="s">
        <v>169</v>
      </c>
      <c r="M563" s="2" t="b">
        <v>1</v>
      </c>
      <c r="N563" s="2" t="b">
        <v>0</v>
      </c>
      <c r="O563" s="2">
        <v>8</v>
      </c>
      <c r="P563" s="2">
        <v>0.4</v>
      </c>
      <c r="Q563" s="2" t="s">
        <v>170</v>
      </c>
      <c r="R563" s="2" t="s">
        <v>171</v>
      </c>
      <c r="S563" s="2">
        <v>6</v>
      </c>
      <c r="T563" s="2">
        <v>14</v>
      </c>
      <c r="U563" s="2" t="b">
        <v>0</v>
      </c>
      <c r="V563" s="2">
        <v>1</v>
      </c>
      <c r="W563" s="2">
        <v>1</v>
      </c>
      <c r="X563" s="2">
        <v>18</v>
      </c>
      <c r="Y563" s="2">
        <v>30.286458333333329</v>
      </c>
    </row>
    <row r="564" spans="1:25" hidden="1">
      <c r="A564" s="2" t="s">
        <v>825</v>
      </c>
      <c r="B564" s="2" t="s">
        <v>142</v>
      </c>
      <c r="C564" s="2" t="s">
        <v>339</v>
      </c>
      <c r="D564" s="3">
        <v>45777.791666666657</v>
      </c>
      <c r="E564" s="3">
        <v>45777.826388888891</v>
      </c>
      <c r="F564" s="2">
        <v>50</v>
      </c>
      <c r="G564" s="2" t="s">
        <v>151</v>
      </c>
      <c r="H564" s="2" t="s">
        <v>152</v>
      </c>
      <c r="I564" s="2">
        <v>4</v>
      </c>
      <c r="J564" s="2">
        <v>10</v>
      </c>
      <c r="K564" s="2" t="s">
        <v>153</v>
      </c>
      <c r="L564" s="2" t="s">
        <v>145</v>
      </c>
      <c r="M564" s="2" t="b">
        <v>1</v>
      </c>
      <c r="N564" s="2" t="b">
        <v>0</v>
      </c>
      <c r="O564" s="2">
        <v>5</v>
      </c>
      <c r="P564" s="2">
        <v>0.4</v>
      </c>
      <c r="Q564" s="2" t="s">
        <v>170</v>
      </c>
      <c r="R564" s="2" t="s">
        <v>147</v>
      </c>
      <c r="S564" s="2">
        <v>24</v>
      </c>
      <c r="T564" s="2">
        <v>26</v>
      </c>
      <c r="U564" s="2" t="b">
        <v>1</v>
      </c>
      <c r="V564" s="2">
        <v>12</v>
      </c>
      <c r="W564" s="2">
        <v>3</v>
      </c>
      <c r="X564" s="2">
        <v>19</v>
      </c>
      <c r="Y564" s="2">
        <v>30.259433962264151</v>
      </c>
    </row>
    <row r="565" spans="1:25" hidden="1">
      <c r="A565" s="2" t="s">
        <v>826</v>
      </c>
      <c r="B565" s="2" t="s">
        <v>149</v>
      </c>
      <c r="C565" s="2" t="s">
        <v>695</v>
      </c>
      <c r="D565" s="3">
        <v>45778.833333333343</v>
      </c>
      <c r="E565" s="3">
        <v>45778.857638888891</v>
      </c>
      <c r="F565" s="2">
        <v>35</v>
      </c>
      <c r="G565" s="2" t="s">
        <v>143</v>
      </c>
      <c r="H565" s="2" t="s">
        <v>591</v>
      </c>
      <c r="I565" s="2">
        <v>3</v>
      </c>
      <c r="J565" s="2">
        <v>5.5</v>
      </c>
      <c r="K565" s="2" t="s">
        <v>143</v>
      </c>
      <c r="L565" s="2" t="s">
        <v>154</v>
      </c>
      <c r="M565" s="2" t="b">
        <v>1</v>
      </c>
      <c r="N565" s="2" t="b">
        <v>0</v>
      </c>
      <c r="O565" s="2">
        <v>6.3636363636363633</v>
      </c>
      <c r="P565" s="2">
        <v>0.54545454545454541</v>
      </c>
      <c r="Q565" s="2" t="s">
        <v>175</v>
      </c>
      <c r="R565" s="2" t="s">
        <v>147</v>
      </c>
      <c r="S565" s="2">
        <v>13.2</v>
      </c>
      <c r="T565" s="2">
        <v>21.8</v>
      </c>
      <c r="U565" s="2" t="b">
        <v>1</v>
      </c>
      <c r="V565" s="2">
        <v>6</v>
      </c>
      <c r="W565" s="2">
        <v>2</v>
      </c>
      <c r="X565" s="2">
        <v>20</v>
      </c>
      <c r="Y565" s="2">
        <v>28.186274509803919</v>
      </c>
    </row>
    <row r="566" spans="1:25" hidden="1">
      <c r="A566" s="2" t="s">
        <v>827</v>
      </c>
      <c r="B566" s="2" t="s">
        <v>165</v>
      </c>
      <c r="C566" s="2" t="s">
        <v>697</v>
      </c>
      <c r="D566" s="3">
        <v>45779.770833333343</v>
      </c>
      <c r="E566" s="3">
        <v>45779.784722222219</v>
      </c>
      <c r="F566" s="2">
        <v>20</v>
      </c>
      <c r="G566" s="2" t="s">
        <v>159</v>
      </c>
      <c r="H566" s="2" t="s">
        <v>160</v>
      </c>
      <c r="I566" s="2">
        <v>2</v>
      </c>
      <c r="J566" s="2">
        <v>2</v>
      </c>
      <c r="K566" s="2" t="s">
        <v>161</v>
      </c>
      <c r="L566" s="2" t="s">
        <v>162</v>
      </c>
      <c r="M566" s="2" t="b">
        <v>1</v>
      </c>
      <c r="N566" s="2" t="b">
        <v>0</v>
      </c>
      <c r="O566" s="2">
        <v>10</v>
      </c>
      <c r="P566" s="2">
        <v>1</v>
      </c>
      <c r="Q566" s="2" t="s">
        <v>175</v>
      </c>
      <c r="R566" s="2" t="s">
        <v>147</v>
      </c>
      <c r="S566" s="2">
        <v>4.8</v>
      </c>
      <c r="T566" s="2">
        <v>15.2</v>
      </c>
      <c r="U566" s="2" t="b">
        <v>0</v>
      </c>
      <c r="V566" s="2">
        <v>2</v>
      </c>
      <c r="W566" s="2">
        <v>1</v>
      </c>
      <c r="X566" s="2">
        <v>18</v>
      </c>
      <c r="Y566" s="2">
        <v>29.948453608247419</v>
      </c>
    </row>
    <row r="567" spans="1:25" hidden="1">
      <c r="A567" s="2" t="s">
        <v>828</v>
      </c>
      <c r="B567" s="2" t="s">
        <v>157</v>
      </c>
      <c r="C567" s="2" t="s">
        <v>699</v>
      </c>
      <c r="D567" s="3">
        <v>45780.822916666657</v>
      </c>
      <c r="E567" s="3">
        <v>45780.850694444453</v>
      </c>
      <c r="F567" s="2">
        <v>40</v>
      </c>
      <c r="G567" s="2" t="s">
        <v>167</v>
      </c>
      <c r="H567" s="2" t="s">
        <v>594</v>
      </c>
      <c r="I567" s="2">
        <v>5</v>
      </c>
      <c r="J567" s="2">
        <v>7.5</v>
      </c>
      <c r="K567" s="2" t="s">
        <v>153</v>
      </c>
      <c r="L567" s="2" t="s">
        <v>145</v>
      </c>
      <c r="M567" s="2" t="b">
        <v>1</v>
      </c>
      <c r="N567" s="2" t="b">
        <v>1</v>
      </c>
      <c r="O567" s="2">
        <v>5.333333333333333</v>
      </c>
      <c r="P567" s="2">
        <v>0.66666666666666663</v>
      </c>
      <c r="Q567" s="2" t="s">
        <v>175</v>
      </c>
      <c r="R567" s="2" t="s">
        <v>147</v>
      </c>
      <c r="S567" s="2">
        <v>18</v>
      </c>
      <c r="T567" s="2">
        <v>22</v>
      </c>
      <c r="U567" s="2" t="b">
        <v>1</v>
      </c>
      <c r="V567" s="2">
        <v>20</v>
      </c>
      <c r="W567" s="2">
        <v>3</v>
      </c>
      <c r="X567" s="2">
        <v>19</v>
      </c>
      <c r="Y567" s="2">
        <v>28.844221105527641</v>
      </c>
    </row>
    <row r="568" spans="1:25" hidden="1">
      <c r="A568" s="2" t="s">
        <v>829</v>
      </c>
      <c r="B568" s="2" t="s">
        <v>173</v>
      </c>
      <c r="C568" s="2" t="s">
        <v>701</v>
      </c>
      <c r="D568" s="3">
        <v>45781.75</v>
      </c>
      <c r="E568" s="3">
        <v>45781.770833333343</v>
      </c>
      <c r="F568" s="2">
        <v>30</v>
      </c>
      <c r="G568" s="2" t="s">
        <v>143</v>
      </c>
      <c r="H568" s="2" t="s">
        <v>152</v>
      </c>
      <c r="I568" s="2">
        <v>3</v>
      </c>
      <c r="J568" s="2">
        <v>4</v>
      </c>
      <c r="K568" s="2" t="s">
        <v>143</v>
      </c>
      <c r="L568" s="2" t="s">
        <v>162</v>
      </c>
      <c r="M568" s="2" t="b">
        <v>1</v>
      </c>
      <c r="N568" s="2" t="b">
        <v>1</v>
      </c>
      <c r="O568" s="2">
        <v>7.5</v>
      </c>
      <c r="P568" s="2">
        <v>0.75</v>
      </c>
      <c r="Q568" s="2" t="s">
        <v>175</v>
      </c>
      <c r="R568" s="2" t="s">
        <v>147</v>
      </c>
      <c r="S568" s="2">
        <v>9.6</v>
      </c>
      <c r="T568" s="2">
        <v>20.399999999999999</v>
      </c>
      <c r="U568" s="2" t="b">
        <v>0</v>
      </c>
      <c r="V568" s="2">
        <v>6</v>
      </c>
      <c r="W568" s="2">
        <v>2</v>
      </c>
      <c r="X568" s="2">
        <v>18</v>
      </c>
      <c r="Y568" s="2">
        <v>30.286458333333329</v>
      </c>
    </row>
    <row r="569" spans="1:25" hidden="1">
      <c r="A569" s="2" t="s">
        <v>830</v>
      </c>
      <c r="B569" s="2" t="s">
        <v>142</v>
      </c>
      <c r="C569" s="2" t="s">
        <v>703</v>
      </c>
      <c r="D569" s="3">
        <v>45782.84375</v>
      </c>
      <c r="E569" s="3">
        <v>45782.875</v>
      </c>
      <c r="F569" s="2">
        <v>45</v>
      </c>
      <c r="G569" s="2" t="s">
        <v>151</v>
      </c>
      <c r="H569" s="2" t="s">
        <v>144</v>
      </c>
      <c r="I569" s="2">
        <v>4</v>
      </c>
      <c r="J569" s="2">
        <v>9</v>
      </c>
      <c r="K569" s="2" t="s">
        <v>153</v>
      </c>
      <c r="L569" s="2" t="s">
        <v>169</v>
      </c>
      <c r="M569" s="2" t="b">
        <v>1</v>
      </c>
      <c r="N569" s="2" t="b">
        <v>0</v>
      </c>
      <c r="O569" s="2">
        <v>5</v>
      </c>
      <c r="P569" s="2">
        <v>0.44444444444444442</v>
      </c>
      <c r="Q569" s="2" t="s">
        <v>175</v>
      </c>
      <c r="R569" s="2" t="s">
        <v>171</v>
      </c>
      <c r="S569" s="2">
        <v>21.6</v>
      </c>
      <c r="T569" s="2">
        <v>23.4</v>
      </c>
      <c r="U569" s="2" t="b">
        <v>1</v>
      </c>
      <c r="V569" s="2">
        <v>12</v>
      </c>
      <c r="W569" s="2">
        <v>3</v>
      </c>
      <c r="X569" s="2">
        <v>20</v>
      </c>
      <c r="Y569" s="2">
        <v>30.259433962264151</v>
      </c>
    </row>
    <row r="570" spans="1:25" hidden="1">
      <c r="A570" s="2" t="s">
        <v>831</v>
      </c>
      <c r="B570" s="2" t="s">
        <v>149</v>
      </c>
      <c r="C570" s="2" t="s">
        <v>695</v>
      </c>
      <c r="D570" s="3">
        <v>45778.833333333343</v>
      </c>
      <c r="E570" s="3">
        <v>45778.857638888891</v>
      </c>
      <c r="F570" s="2">
        <v>35</v>
      </c>
      <c r="G570" s="2" t="s">
        <v>143</v>
      </c>
      <c r="H570" s="2" t="s">
        <v>591</v>
      </c>
      <c r="I570" s="2">
        <v>3</v>
      </c>
      <c r="J570" s="2">
        <v>5.5</v>
      </c>
      <c r="K570" s="2" t="s">
        <v>143</v>
      </c>
      <c r="L570" s="2" t="s">
        <v>154</v>
      </c>
      <c r="M570" s="2" t="b">
        <v>1</v>
      </c>
      <c r="N570" s="2" t="b">
        <v>0</v>
      </c>
      <c r="O570" s="2">
        <v>6.3636363636363633</v>
      </c>
      <c r="P570" s="2">
        <v>0.54545454545454541</v>
      </c>
      <c r="Q570" s="2" t="s">
        <v>175</v>
      </c>
      <c r="R570" s="2" t="s">
        <v>147</v>
      </c>
      <c r="S570" s="2">
        <v>13.2</v>
      </c>
      <c r="T570" s="2">
        <v>21.8</v>
      </c>
      <c r="U570" s="2" t="b">
        <v>1</v>
      </c>
      <c r="V570" s="2">
        <v>6</v>
      </c>
      <c r="W570" s="2">
        <v>2</v>
      </c>
      <c r="X570" s="2">
        <v>20</v>
      </c>
      <c r="Y570" s="2">
        <v>28.186274509803919</v>
      </c>
    </row>
    <row r="571" spans="1:25" hidden="1">
      <c r="A571" s="2" t="s">
        <v>832</v>
      </c>
      <c r="B571" s="2" t="s">
        <v>142</v>
      </c>
      <c r="C571" s="2" t="s">
        <v>40</v>
      </c>
      <c r="D571" s="3">
        <v>45784.791666666657</v>
      </c>
      <c r="E571" s="3">
        <v>45784.822916666657</v>
      </c>
      <c r="F571" s="2">
        <v>45</v>
      </c>
      <c r="G571" s="2" t="s">
        <v>151</v>
      </c>
      <c r="H571" s="2" t="s">
        <v>655</v>
      </c>
      <c r="I571" s="2">
        <v>4</v>
      </c>
      <c r="J571" s="2">
        <v>7</v>
      </c>
      <c r="K571" s="2" t="s">
        <v>143</v>
      </c>
      <c r="L571" s="2" t="s">
        <v>145</v>
      </c>
      <c r="M571" s="2" t="b">
        <v>1</v>
      </c>
      <c r="N571" s="2" t="b">
        <v>0</v>
      </c>
      <c r="O571" s="2">
        <v>6.4285714285714288</v>
      </c>
      <c r="P571" s="2">
        <v>0.5714285714285714</v>
      </c>
      <c r="Q571" s="2" t="s">
        <v>175</v>
      </c>
      <c r="R571" s="2" t="s">
        <v>147</v>
      </c>
      <c r="S571" s="2">
        <v>16.8</v>
      </c>
      <c r="T571" s="2">
        <v>28.2</v>
      </c>
      <c r="U571" s="2" t="b">
        <v>1</v>
      </c>
      <c r="V571" s="2">
        <v>12</v>
      </c>
      <c r="W571" s="2">
        <v>2</v>
      </c>
      <c r="X571" s="2">
        <v>19</v>
      </c>
      <c r="Y571" s="2">
        <v>30.259433962264151</v>
      </c>
    </row>
    <row r="572" spans="1:25" hidden="1">
      <c r="A572" s="2" t="s">
        <v>833</v>
      </c>
      <c r="B572" s="2" t="s">
        <v>149</v>
      </c>
      <c r="C572" s="2" t="s">
        <v>150</v>
      </c>
      <c r="D572" s="3">
        <v>45785.84375</v>
      </c>
      <c r="E572" s="3">
        <v>45785.871527777781</v>
      </c>
      <c r="F572" s="2">
        <v>40</v>
      </c>
      <c r="G572" s="2" t="s">
        <v>143</v>
      </c>
      <c r="H572" s="2" t="s">
        <v>657</v>
      </c>
      <c r="I572" s="2">
        <v>3</v>
      </c>
      <c r="J572" s="2">
        <v>6.5</v>
      </c>
      <c r="K572" s="2" t="s">
        <v>153</v>
      </c>
      <c r="L572" s="2" t="s">
        <v>154</v>
      </c>
      <c r="M572" s="2" t="b">
        <v>1</v>
      </c>
      <c r="N572" s="2" t="b">
        <v>0</v>
      </c>
      <c r="O572" s="2">
        <v>6.1538461538461542</v>
      </c>
      <c r="P572" s="2">
        <v>0.46153846153846162</v>
      </c>
      <c r="Q572" s="2" t="s">
        <v>175</v>
      </c>
      <c r="R572" s="2" t="s">
        <v>147</v>
      </c>
      <c r="S572" s="2">
        <v>15.6</v>
      </c>
      <c r="T572" s="2">
        <v>24.4</v>
      </c>
      <c r="U572" s="2" t="b">
        <v>1</v>
      </c>
      <c r="V572" s="2">
        <v>6</v>
      </c>
      <c r="W572" s="2">
        <v>3</v>
      </c>
      <c r="X572" s="2">
        <v>20</v>
      </c>
      <c r="Y572" s="2">
        <v>28.186274509803919</v>
      </c>
    </row>
    <row r="573" spans="1:25" hidden="1">
      <c r="A573" s="2" t="s">
        <v>834</v>
      </c>
      <c r="B573" s="2" t="s">
        <v>165</v>
      </c>
      <c r="C573" s="2" t="s">
        <v>158</v>
      </c>
      <c r="D573" s="3">
        <v>45786.78125</v>
      </c>
      <c r="E573" s="3">
        <v>45786.795138888891</v>
      </c>
      <c r="F573" s="2">
        <v>20</v>
      </c>
      <c r="G573" s="2" t="s">
        <v>159</v>
      </c>
      <c r="H573" s="2" t="s">
        <v>160</v>
      </c>
      <c r="I573" s="2">
        <v>1</v>
      </c>
      <c r="J573" s="2">
        <v>2.5</v>
      </c>
      <c r="K573" s="2" t="s">
        <v>161</v>
      </c>
      <c r="L573" s="2" t="s">
        <v>169</v>
      </c>
      <c r="M573" s="2" t="b">
        <v>1</v>
      </c>
      <c r="N573" s="2" t="b">
        <v>0</v>
      </c>
      <c r="O573" s="2">
        <v>8</v>
      </c>
      <c r="P573" s="2">
        <v>0.4</v>
      </c>
      <c r="Q573" s="2" t="s">
        <v>175</v>
      </c>
      <c r="R573" s="2" t="s">
        <v>171</v>
      </c>
      <c r="S573" s="2">
        <v>6</v>
      </c>
      <c r="T573" s="2">
        <v>14</v>
      </c>
      <c r="U573" s="2" t="b">
        <v>0</v>
      </c>
      <c r="V573" s="2">
        <v>1</v>
      </c>
      <c r="W573" s="2">
        <v>1</v>
      </c>
      <c r="X573" s="2">
        <v>18</v>
      </c>
      <c r="Y573" s="2">
        <v>29.948453608247419</v>
      </c>
    </row>
    <row r="574" spans="1:25" hidden="1">
      <c r="A574" s="2" t="s">
        <v>835</v>
      </c>
      <c r="B574" s="2" t="s">
        <v>157</v>
      </c>
      <c r="C574" s="2" t="s">
        <v>184</v>
      </c>
      <c r="D574" s="3">
        <v>45787.8125</v>
      </c>
      <c r="E574" s="3">
        <v>45787.840277777781</v>
      </c>
      <c r="F574" s="2">
        <v>40</v>
      </c>
      <c r="G574" s="2" t="s">
        <v>167</v>
      </c>
      <c r="H574" s="2" t="s">
        <v>168</v>
      </c>
      <c r="I574" s="2">
        <v>5</v>
      </c>
      <c r="J574" s="2">
        <v>8</v>
      </c>
      <c r="K574" s="2" t="s">
        <v>153</v>
      </c>
      <c r="L574" s="2" t="s">
        <v>145</v>
      </c>
      <c r="M574" s="2" t="b">
        <v>1</v>
      </c>
      <c r="N574" s="2" t="b">
        <v>1</v>
      </c>
      <c r="O574" s="2">
        <v>5</v>
      </c>
      <c r="P574" s="2">
        <v>0.625</v>
      </c>
      <c r="Q574" s="2" t="s">
        <v>175</v>
      </c>
      <c r="R574" s="2" t="s">
        <v>147</v>
      </c>
      <c r="S574" s="2">
        <v>19.2</v>
      </c>
      <c r="T574" s="2">
        <v>20.8</v>
      </c>
      <c r="U574" s="2" t="b">
        <v>1</v>
      </c>
      <c r="V574" s="2">
        <v>20</v>
      </c>
      <c r="W574" s="2">
        <v>3</v>
      </c>
      <c r="X574" s="2">
        <v>19</v>
      </c>
      <c r="Y574" s="2">
        <v>28.844221105527641</v>
      </c>
    </row>
    <row r="575" spans="1:25" hidden="1">
      <c r="A575" s="2" t="s">
        <v>836</v>
      </c>
      <c r="B575" s="2" t="s">
        <v>173</v>
      </c>
      <c r="C575" s="2" t="s">
        <v>186</v>
      </c>
      <c r="D575" s="3">
        <v>45788.75</v>
      </c>
      <c r="E575" s="3">
        <v>45788.770833333343</v>
      </c>
      <c r="F575" s="2">
        <v>30</v>
      </c>
      <c r="G575" s="2" t="s">
        <v>143</v>
      </c>
      <c r="H575" s="2" t="s">
        <v>152</v>
      </c>
      <c r="I575" s="2">
        <v>3</v>
      </c>
      <c r="J575" s="2">
        <v>4</v>
      </c>
      <c r="K575" s="2" t="s">
        <v>143</v>
      </c>
      <c r="L575" s="2" t="s">
        <v>162</v>
      </c>
      <c r="M575" s="2" t="b">
        <v>1</v>
      </c>
      <c r="N575" s="2" t="b">
        <v>1</v>
      </c>
      <c r="O575" s="2">
        <v>7.5</v>
      </c>
      <c r="P575" s="2">
        <v>0.75</v>
      </c>
      <c r="Q575" s="2" t="s">
        <v>175</v>
      </c>
      <c r="R575" s="2" t="s">
        <v>147</v>
      </c>
      <c r="S575" s="2">
        <v>9.6</v>
      </c>
      <c r="T575" s="2">
        <v>20.399999999999999</v>
      </c>
      <c r="U575" s="2" t="b">
        <v>0</v>
      </c>
      <c r="V575" s="2">
        <v>6</v>
      </c>
      <c r="W575" s="2">
        <v>2</v>
      </c>
      <c r="X575" s="2">
        <v>18</v>
      </c>
      <c r="Y575" s="2">
        <v>30.286458333333329</v>
      </c>
    </row>
    <row r="576" spans="1:25" hidden="1">
      <c r="A576" s="2" t="s">
        <v>837</v>
      </c>
      <c r="B576" s="2" t="s">
        <v>142</v>
      </c>
      <c r="C576" s="2" t="s">
        <v>671</v>
      </c>
      <c r="D576" s="3">
        <v>45789.84375</v>
      </c>
      <c r="E576" s="3">
        <v>45789.875</v>
      </c>
      <c r="F576" s="2">
        <v>45</v>
      </c>
      <c r="G576" s="2" t="s">
        <v>151</v>
      </c>
      <c r="H576" s="2" t="s">
        <v>144</v>
      </c>
      <c r="I576" s="2">
        <v>4</v>
      </c>
      <c r="J576" s="2">
        <v>9</v>
      </c>
      <c r="K576" s="2" t="s">
        <v>153</v>
      </c>
      <c r="L576" s="2" t="s">
        <v>169</v>
      </c>
      <c r="M576" s="2" t="b">
        <v>1</v>
      </c>
      <c r="N576" s="2" t="b">
        <v>0</v>
      </c>
      <c r="O576" s="2">
        <v>5</v>
      </c>
      <c r="P576" s="2">
        <v>0.44444444444444442</v>
      </c>
      <c r="Q576" s="2" t="s">
        <v>175</v>
      </c>
      <c r="R576" s="2" t="s">
        <v>171</v>
      </c>
      <c r="S576" s="2">
        <v>21.6</v>
      </c>
      <c r="T576" s="2">
        <v>23.4</v>
      </c>
      <c r="U576" s="2" t="b">
        <v>1</v>
      </c>
      <c r="V576" s="2">
        <v>12</v>
      </c>
      <c r="W576" s="2">
        <v>3</v>
      </c>
      <c r="X576" s="2">
        <v>20</v>
      </c>
      <c r="Y576" s="2">
        <v>30.259433962264151</v>
      </c>
    </row>
    <row r="577" spans="1:25" hidden="1">
      <c r="A577" s="2" t="s">
        <v>838</v>
      </c>
      <c r="B577" s="2" t="s">
        <v>149</v>
      </c>
      <c r="C577" s="2" t="s">
        <v>673</v>
      </c>
      <c r="D577" s="3">
        <v>45790.75</v>
      </c>
      <c r="E577" s="3">
        <v>45790.763888888891</v>
      </c>
      <c r="F577" s="2">
        <v>20</v>
      </c>
      <c r="G577" s="2" t="s">
        <v>143</v>
      </c>
      <c r="H577" s="2" t="s">
        <v>144</v>
      </c>
      <c r="I577" s="2">
        <v>2</v>
      </c>
      <c r="J577" s="2">
        <v>3</v>
      </c>
      <c r="K577" s="2" t="s">
        <v>161</v>
      </c>
      <c r="L577" s="2" t="s">
        <v>145</v>
      </c>
      <c r="M577" s="2" t="b">
        <v>1</v>
      </c>
      <c r="N577" s="2" t="b">
        <v>0</v>
      </c>
      <c r="O577" s="2">
        <v>6.666666666666667</v>
      </c>
      <c r="P577" s="2">
        <v>0.66666666666666663</v>
      </c>
      <c r="Q577" s="2" t="s">
        <v>175</v>
      </c>
      <c r="R577" s="2" t="s">
        <v>147</v>
      </c>
      <c r="S577" s="2">
        <v>7.1999999999999993</v>
      </c>
      <c r="T577" s="2">
        <v>12.8</v>
      </c>
      <c r="U577" s="2" t="b">
        <v>0</v>
      </c>
      <c r="V577" s="2">
        <v>4</v>
      </c>
      <c r="W577" s="2">
        <v>1</v>
      </c>
      <c r="X577" s="2">
        <v>18</v>
      </c>
      <c r="Y577" s="2">
        <v>28.186274509803919</v>
      </c>
    </row>
    <row r="578" spans="1:25" hidden="1">
      <c r="A578" s="2" t="s">
        <v>839</v>
      </c>
      <c r="B578" s="2" t="s">
        <v>165</v>
      </c>
      <c r="C578" s="2" t="s">
        <v>319</v>
      </c>
      <c r="D578" s="3">
        <v>45791.802083333343</v>
      </c>
      <c r="E578" s="3">
        <v>45791.822916666657</v>
      </c>
      <c r="F578" s="2">
        <v>30</v>
      </c>
      <c r="G578" s="2" t="s">
        <v>151</v>
      </c>
      <c r="H578" s="2" t="s">
        <v>152</v>
      </c>
      <c r="I578" s="2">
        <v>4</v>
      </c>
      <c r="J578" s="2">
        <v>6</v>
      </c>
      <c r="K578" s="2" t="s">
        <v>143</v>
      </c>
      <c r="L578" s="2" t="s">
        <v>154</v>
      </c>
      <c r="M578" s="2" t="b">
        <v>1</v>
      </c>
      <c r="N578" s="2" t="b">
        <v>0</v>
      </c>
      <c r="O578" s="2">
        <v>5</v>
      </c>
      <c r="P578" s="2">
        <v>0.66666666666666663</v>
      </c>
      <c r="Q578" s="2" t="s">
        <v>175</v>
      </c>
      <c r="R578" s="2" t="s">
        <v>147</v>
      </c>
      <c r="S578" s="2">
        <v>14.4</v>
      </c>
      <c r="T578" s="2">
        <v>15.6</v>
      </c>
      <c r="U578" s="2" t="b">
        <v>0</v>
      </c>
      <c r="V578" s="2">
        <v>12</v>
      </c>
      <c r="W578" s="2">
        <v>2</v>
      </c>
      <c r="X578" s="2">
        <v>19</v>
      </c>
      <c r="Y578" s="2">
        <v>29.948453608247419</v>
      </c>
    </row>
    <row r="579" spans="1:25" hidden="1">
      <c r="A579" s="2" t="s">
        <v>840</v>
      </c>
      <c r="B579" s="2" t="s">
        <v>157</v>
      </c>
      <c r="C579" s="2" t="s">
        <v>174</v>
      </c>
      <c r="D579" s="3">
        <v>45792.854166666657</v>
      </c>
      <c r="E579" s="3">
        <v>45792.881944444453</v>
      </c>
      <c r="F579" s="2">
        <v>40</v>
      </c>
      <c r="G579" s="2" t="s">
        <v>167</v>
      </c>
      <c r="H579" s="2" t="s">
        <v>168</v>
      </c>
      <c r="I579" s="2">
        <v>5</v>
      </c>
      <c r="J579" s="2">
        <v>8</v>
      </c>
      <c r="K579" s="2" t="s">
        <v>153</v>
      </c>
      <c r="L579" s="2" t="s">
        <v>145</v>
      </c>
      <c r="M579" s="2" t="b">
        <v>1</v>
      </c>
      <c r="N579" s="2" t="b">
        <v>0</v>
      </c>
      <c r="O579" s="2">
        <v>5</v>
      </c>
      <c r="P579" s="2">
        <v>0.625</v>
      </c>
      <c r="Q579" s="2" t="s">
        <v>175</v>
      </c>
      <c r="R579" s="2" t="s">
        <v>147</v>
      </c>
      <c r="S579" s="2">
        <v>19.2</v>
      </c>
      <c r="T579" s="2">
        <v>20.8</v>
      </c>
      <c r="U579" s="2" t="b">
        <v>1</v>
      </c>
      <c r="V579" s="2">
        <v>20</v>
      </c>
      <c r="W579" s="2">
        <v>3</v>
      </c>
      <c r="X579" s="2">
        <v>20</v>
      </c>
      <c r="Y579" s="2">
        <v>28.844221105527641</v>
      </c>
    </row>
    <row r="580" spans="1:25" hidden="1">
      <c r="A580" s="2" t="s">
        <v>841</v>
      </c>
      <c r="B580" s="2" t="s">
        <v>173</v>
      </c>
      <c r="C580" s="2" t="s">
        <v>315</v>
      </c>
      <c r="D580" s="3">
        <v>45793.78125</v>
      </c>
      <c r="E580" s="3">
        <v>45793.795138888891</v>
      </c>
      <c r="F580" s="2">
        <v>20</v>
      </c>
      <c r="G580" s="2" t="s">
        <v>159</v>
      </c>
      <c r="H580" s="2" t="s">
        <v>160</v>
      </c>
      <c r="I580" s="2">
        <v>1</v>
      </c>
      <c r="J580" s="2">
        <v>2.5</v>
      </c>
      <c r="K580" s="2" t="s">
        <v>161</v>
      </c>
      <c r="L580" s="2" t="s">
        <v>169</v>
      </c>
      <c r="M580" s="2" t="b">
        <v>1</v>
      </c>
      <c r="N580" s="2" t="b">
        <v>0</v>
      </c>
      <c r="O580" s="2">
        <v>8</v>
      </c>
      <c r="P580" s="2">
        <v>0.4</v>
      </c>
      <c r="Q580" s="2" t="s">
        <v>175</v>
      </c>
      <c r="R580" s="2" t="s">
        <v>171</v>
      </c>
      <c r="S580" s="2">
        <v>6</v>
      </c>
      <c r="T580" s="2">
        <v>14</v>
      </c>
      <c r="U580" s="2" t="b">
        <v>0</v>
      </c>
      <c r="V580" s="2">
        <v>1</v>
      </c>
      <c r="W580" s="2">
        <v>1</v>
      </c>
      <c r="X580" s="2">
        <v>18</v>
      </c>
      <c r="Y580" s="2">
        <v>30.286458333333329</v>
      </c>
    </row>
    <row r="581" spans="1:25" hidden="1">
      <c r="A581" s="2" t="s">
        <v>842</v>
      </c>
      <c r="B581" s="2" t="s">
        <v>142</v>
      </c>
      <c r="C581" s="2" t="s">
        <v>317</v>
      </c>
      <c r="D581" s="3">
        <v>45794.791666666657</v>
      </c>
      <c r="E581" s="3">
        <v>45794.826388888891</v>
      </c>
      <c r="F581" s="2">
        <v>50</v>
      </c>
      <c r="G581" s="2" t="s">
        <v>151</v>
      </c>
      <c r="H581" s="2" t="s">
        <v>152</v>
      </c>
      <c r="I581" s="2">
        <v>4</v>
      </c>
      <c r="J581" s="2">
        <v>10</v>
      </c>
      <c r="K581" s="2" t="s">
        <v>153</v>
      </c>
      <c r="L581" s="2" t="s">
        <v>342</v>
      </c>
      <c r="M581" s="2" t="b">
        <v>1</v>
      </c>
      <c r="N581" s="2" t="b">
        <v>1</v>
      </c>
      <c r="O581" s="2">
        <v>5</v>
      </c>
      <c r="P581" s="2">
        <v>0.4</v>
      </c>
      <c r="Q581" s="2" t="s">
        <v>175</v>
      </c>
      <c r="R581" s="2" t="s">
        <v>171</v>
      </c>
      <c r="S581" s="2">
        <v>24</v>
      </c>
      <c r="T581" s="2">
        <v>26</v>
      </c>
      <c r="U581" s="2" t="b">
        <v>1</v>
      </c>
      <c r="V581" s="2">
        <v>12</v>
      </c>
      <c r="W581" s="2">
        <v>3</v>
      </c>
      <c r="X581" s="2">
        <v>19</v>
      </c>
      <c r="Y581" s="2">
        <v>30.259433962264151</v>
      </c>
    </row>
    <row r="582" spans="1:25" hidden="1">
      <c r="A582" s="2" t="s">
        <v>843</v>
      </c>
      <c r="B582" s="2" t="s">
        <v>149</v>
      </c>
      <c r="C582" s="2" t="s">
        <v>321</v>
      </c>
      <c r="D582" s="3">
        <v>45795.833333333343</v>
      </c>
      <c r="E582" s="3">
        <v>45795.857638888891</v>
      </c>
      <c r="F582" s="2">
        <v>35</v>
      </c>
      <c r="G582" s="2" t="s">
        <v>143</v>
      </c>
      <c r="H582" s="2" t="s">
        <v>591</v>
      </c>
      <c r="I582" s="2">
        <v>3</v>
      </c>
      <c r="J582" s="2">
        <v>5.5</v>
      </c>
      <c r="K582" s="2" t="s">
        <v>143</v>
      </c>
      <c r="L582" s="2" t="s">
        <v>154</v>
      </c>
      <c r="M582" s="2" t="b">
        <v>1</v>
      </c>
      <c r="N582" s="2" t="b">
        <v>1</v>
      </c>
      <c r="O582" s="2">
        <v>6.3636363636363633</v>
      </c>
      <c r="P582" s="2">
        <v>0.54545454545454541</v>
      </c>
      <c r="Q582" s="2" t="s">
        <v>175</v>
      </c>
      <c r="R582" s="2" t="s">
        <v>147</v>
      </c>
      <c r="S582" s="2">
        <v>13.2</v>
      </c>
      <c r="T582" s="2">
        <v>21.8</v>
      </c>
      <c r="U582" s="2" t="b">
        <v>1</v>
      </c>
      <c r="V582" s="2">
        <v>6</v>
      </c>
      <c r="W582" s="2">
        <v>2</v>
      </c>
      <c r="X582" s="2">
        <v>20</v>
      </c>
      <c r="Y582" s="2">
        <v>28.186274509803919</v>
      </c>
    </row>
    <row r="583" spans="1:25" hidden="1">
      <c r="A583" s="2" t="s">
        <v>844</v>
      </c>
      <c r="B583" s="2" t="s">
        <v>165</v>
      </c>
      <c r="C583" s="2" t="s">
        <v>323</v>
      </c>
      <c r="D583" s="3">
        <v>45796.770833333343</v>
      </c>
      <c r="E583" s="3">
        <v>45796.784722222219</v>
      </c>
      <c r="F583" s="2">
        <v>20</v>
      </c>
      <c r="G583" s="2" t="s">
        <v>159</v>
      </c>
      <c r="H583" s="2" t="s">
        <v>160</v>
      </c>
      <c r="I583" s="2">
        <v>2</v>
      </c>
      <c r="J583" s="2">
        <v>2</v>
      </c>
      <c r="K583" s="2" t="s">
        <v>161</v>
      </c>
      <c r="L583" s="2" t="s">
        <v>162</v>
      </c>
      <c r="M583" s="2" t="b">
        <v>1</v>
      </c>
      <c r="N583" s="2" t="b">
        <v>0</v>
      </c>
      <c r="O583" s="2">
        <v>10</v>
      </c>
      <c r="P583" s="2">
        <v>1</v>
      </c>
      <c r="Q583" s="2" t="s">
        <v>175</v>
      </c>
      <c r="R583" s="2" t="s">
        <v>147</v>
      </c>
      <c r="S583" s="2">
        <v>4.8</v>
      </c>
      <c r="T583" s="2">
        <v>15.2</v>
      </c>
      <c r="U583" s="2" t="b">
        <v>0</v>
      </c>
      <c r="V583" s="2">
        <v>2</v>
      </c>
      <c r="W583" s="2">
        <v>1</v>
      </c>
      <c r="X583" s="2">
        <v>18</v>
      </c>
      <c r="Y583" s="2">
        <v>29.948453608247419</v>
      </c>
    </row>
    <row r="584" spans="1:25" hidden="1">
      <c r="A584" s="2" t="s">
        <v>845</v>
      </c>
      <c r="B584" s="2" t="s">
        <v>157</v>
      </c>
      <c r="C584" s="2" t="s">
        <v>325</v>
      </c>
      <c r="D584" s="3">
        <v>45797.822916666657</v>
      </c>
      <c r="E584" s="3">
        <v>45797.850694444453</v>
      </c>
      <c r="F584" s="2">
        <v>40</v>
      </c>
      <c r="G584" s="2" t="s">
        <v>167</v>
      </c>
      <c r="H584" s="2" t="s">
        <v>594</v>
      </c>
      <c r="I584" s="2">
        <v>5</v>
      </c>
      <c r="J584" s="2">
        <v>7.5</v>
      </c>
      <c r="K584" s="2" t="s">
        <v>153</v>
      </c>
      <c r="L584" s="2" t="s">
        <v>145</v>
      </c>
      <c r="M584" s="2" t="b">
        <v>1</v>
      </c>
      <c r="N584" s="2" t="b">
        <v>0</v>
      </c>
      <c r="O584" s="2">
        <v>5.333333333333333</v>
      </c>
      <c r="P584" s="2">
        <v>0.66666666666666663</v>
      </c>
      <c r="Q584" s="2" t="s">
        <v>175</v>
      </c>
      <c r="R584" s="2" t="s">
        <v>147</v>
      </c>
      <c r="S584" s="2">
        <v>18</v>
      </c>
      <c r="T584" s="2">
        <v>22</v>
      </c>
      <c r="U584" s="2" t="b">
        <v>1</v>
      </c>
      <c r="V584" s="2">
        <v>20</v>
      </c>
      <c r="W584" s="2">
        <v>3</v>
      </c>
      <c r="X584" s="2">
        <v>19</v>
      </c>
      <c r="Y584" s="2">
        <v>28.844221105527641</v>
      </c>
    </row>
    <row r="585" spans="1:25" hidden="1">
      <c r="A585" s="2" t="s">
        <v>846</v>
      </c>
      <c r="B585" s="2" t="s">
        <v>173</v>
      </c>
      <c r="C585" s="2" t="s">
        <v>327</v>
      </c>
      <c r="D585" s="3">
        <v>45798.75</v>
      </c>
      <c r="E585" s="3">
        <v>45798.770833333343</v>
      </c>
      <c r="F585" s="2">
        <v>30</v>
      </c>
      <c r="G585" s="2" t="s">
        <v>143</v>
      </c>
      <c r="H585" s="2" t="s">
        <v>152</v>
      </c>
      <c r="I585" s="2">
        <v>3</v>
      </c>
      <c r="J585" s="2">
        <v>4</v>
      </c>
      <c r="K585" s="2" t="s">
        <v>143</v>
      </c>
      <c r="L585" s="2" t="s">
        <v>162</v>
      </c>
      <c r="M585" s="2" t="b">
        <v>1</v>
      </c>
      <c r="N585" s="2" t="b">
        <v>0</v>
      </c>
      <c r="O585" s="2">
        <v>7.5</v>
      </c>
      <c r="P585" s="2">
        <v>0.75</v>
      </c>
      <c r="Q585" s="2" t="s">
        <v>175</v>
      </c>
      <c r="R585" s="2" t="s">
        <v>147</v>
      </c>
      <c r="S585" s="2">
        <v>9.6</v>
      </c>
      <c r="T585" s="2">
        <v>20.399999999999999</v>
      </c>
      <c r="U585" s="2" t="b">
        <v>0</v>
      </c>
      <c r="V585" s="2">
        <v>6</v>
      </c>
      <c r="W585" s="2">
        <v>2</v>
      </c>
      <c r="X585" s="2">
        <v>18</v>
      </c>
      <c r="Y585" s="2">
        <v>30.286458333333329</v>
      </c>
    </row>
    <row r="586" spans="1:25" hidden="1">
      <c r="A586" s="2" t="s">
        <v>847</v>
      </c>
      <c r="B586" s="2" t="s">
        <v>142</v>
      </c>
      <c r="C586" s="2" t="s">
        <v>182</v>
      </c>
      <c r="D586" s="3">
        <v>45799.84375</v>
      </c>
      <c r="E586" s="3">
        <v>45799.875</v>
      </c>
      <c r="F586" s="2">
        <v>45</v>
      </c>
      <c r="G586" s="2" t="s">
        <v>151</v>
      </c>
      <c r="H586" s="2" t="s">
        <v>144</v>
      </c>
      <c r="I586" s="2">
        <v>4</v>
      </c>
      <c r="J586" s="2">
        <v>9</v>
      </c>
      <c r="K586" s="2" t="s">
        <v>153</v>
      </c>
      <c r="L586" s="2" t="s">
        <v>169</v>
      </c>
      <c r="M586" s="2" t="b">
        <v>1</v>
      </c>
      <c r="N586" s="2" t="b">
        <v>0</v>
      </c>
      <c r="O586" s="2">
        <v>5</v>
      </c>
      <c r="P586" s="2">
        <v>0.44444444444444442</v>
      </c>
      <c r="Q586" s="2" t="s">
        <v>175</v>
      </c>
      <c r="R586" s="2" t="s">
        <v>171</v>
      </c>
      <c r="S586" s="2">
        <v>21.6</v>
      </c>
      <c r="T586" s="2">
        <v>23.4</v>
      </c>
      <c r="U586" s="2" t="b">
        <v>1</v>
      </c>
      <c r="V586" s="2">
        <v>12</v>
      </c>
      <c r="W586" s="2">
        <v>3</v>
      </c>
      <c r="X586" s="2">
        <v>20</v>
      </c>
      <c r="Y586" s="2">
        <v>30.259433962264151</v>
      </c>
    </row>
    <row r="587" spans="1:25" hidden="1">
      <c r="A587" s="2" t="s">
        <v>848</v>
      </c>
      <c r="B587" s="2" t="s">
        <v>149</v>
      </c>
      <c r="C587" s="2" t="s">
        <v>329</v>
      </c>
      <c r="D587" s="3">
        <v>45800.75</v>
      </c>
      <c r="E587" s="3">
        <v>45800.763888888891</v>
      </c>
      <c r="F587" s="2">
        <v>20</v>
      </c>
      <c r="G587" s="2" t="s">
        <v>143</v>
      </c>
      <c r="H587" s="2" t="s">
        <v>144</v>
      </c>
      <c r="I587" s="2">
        <v>2</v>
      </c>
      <c r="J587" s="2">
        <v>3</v>
      </c>
      <c r="K587" s="2" t="s">
        <v>161</v>
      </c>
      <c r="L587" s="2" t="s">
        <v>145</v>
      </c>
      <c r="M587" s="2" t="b">
        <v>1</v>
      </c>
      <c r="N587" s="2" t="b">
        <v>0</v>
      </c>
      <c r="O587" s="2">
        <v>6.666666666666667</v>
      </c>
      <c r="P587" s="2">
        <v>0.66666666666666663</v>
      </c>
      <c r="Q587" s="2" t="s">
        <v>175</v>
      </c>
      <c r="R587" s="2" t="s">
        <v>147</v>
      </c>
      <c r="S587" s="2">
        <v>7.1999999999999993</v>
      </c>
      <c r="T587" s="2">
        <v>12.8</v>
      </c>
      <c r="U587" s="2" t="b">
        <v>0</v>
      </c>
      <c r="V587" s="2">
        <v>4</v>
      </c>
      <c r="W587" s="2">
        <v>1</v>
      </c>
      <c r="X587" s="2">
        <v>18</v>
      </c>
      <c r="Y587" s="2">
        <v>28.186274509803919</v>
      </c>
    </row>
    <row r="588" spans="1:25" hidden="1">
      <c r="A588" s="2" t="s">
        <v>849</v>
      </c>
      <c r="B588" s="2" t="s">
        <v>165</v>
      </c>
      <c r="C588" s="2" t="s">
        <v>190</v>
      </c>
      <c r="D588" s="3">
        <v>45801.802083333343</v>
      </c>
      <c r="E588" s="3">
        <v>45801.822916666657</v>
      </c>
      <c r="F588" s="2">
        <v>30</v>
      </c>
      <c r="G588" s="2" t="s">
        <v>151</v>
      </c>
      <c r="H588" s="2" t="s">
        <v>152</v>
      </c>
      <c r="I588" s="2">
        <v>4</v>
      </c>
      <c r="J588" s="2">
        <v>6</v>
      </c>
      <c r="K588" s="2" t="s">
        <v>143</v>
      </c>
      <c r="L588" s="2" t="s">
        <v>154</v>
      </c>
      <c r="M588" s="2" t="b">
        <v>1</v>
      </c>
      <c r="N588" s="2" t="b">
        <v>1</v>
      </c>
      <c r="O588" s="2">
        <v>5</v>
      </c>
      <c r="P588" s="2">
        <v>0.66666666666666663</v>
      </c>
      <c r="Q588" s="2" t="s">
        <v>175</v>
      </c>
      <c r="R588" s="2" t="s">
        <v>147</v>
      </c>
      <c r="S588" s="2">
        <v>14.4</v>
      </c>
      <c r="T588" s="2">
        <v>15.6</v>
      </c>
      <c r="U588" s="2" t="b">
        <v>0</v>
      </c>
      <c r="V588" s="2">
        <v>12</v>
      </c>
      <c r="W588" s="2">
        <v>2</v>
      </c>
      <c r="X588" s="2">
        <v>19</v>
      </c>
      <c r="Y588" s="2">
        <v>29.948453608247419</v>
      </c>
    </row>
    <row r="589" spans="1:25" hidden="1">
      <c r="A589" s="2" t="s">
        <v>850</v>
      </c>
      <c r="B589" s="2" t="s">
        <v>157</v>
      </c>
      <c r="C589" s="2" t="s">
        <v>192</v>
      </c>
      <c r="D589" s="3">
        <v>45802.854166666657</v>
      </c>
      <c r="E589" s="3">
        <v>45802.881944444453</v>
      </c>
      <c r="F589" s="2">
        <v>40</v>
      </c>
      <c r="G589" s="2" t="s">
        <v>167</v>
      </c>
      <c r="H589" s="2" t="s">
        <v>168</v>
      </c>
      <c r="I589" s="2">
        <v>5</v>
      </c>
      <c r="J589" s="2">
        <v>8</v>
      </c>
      <c r="K589" s="2" t="s">
        <v>153</v>
      </c>
      <c r="L589" s="2" t="s">
        <v>145</v>
      </c>
      <c r="M589" s="2" t="b">
        <v>1</v>
      </c>
      <c r="N589" s="2" t="b">
        <v>1</v>
      </c>
      <c r="O589" s="2">
        <v>5</v>
      </c>
      <c r="P589" s="2">
        <v>0.625</v>
      </c>
      <c r="Q589" s="2" t="s">
        <v>175</v>
      </c>
      <c r="R589" s="2" t="s">
        <v>147</v>
      </c>
      <c r="S589" s="2">
        <v>19.2</v>
      </c>
      <c r="T589" s="2">
        <v>20.8</v>
      </c>
      <c r="U589" s="2" t="b">
        <v>1</v>
      </c>
      <c r="V589" s="2">
        <v>20</v>
      </c>
      <c r="W589" s="2">
        <v>3</v>
      </c>
      <c r="X589" s="2">
        <v>20</v>
      </c>
      <c r="Y589" s="2">
        <v>28.844221105527641</v>
      </c>
    </row>
    <row r="590" spans="1:25" hidden="1">
      <c r="A590" s="2" t="s">
        <v>851</v>
      </c>
      <c r="B590" s="2" t="s">
        <v>173</v>
      </c>
      <c r="C590" s="2" t="s">
        <v>687</v>
      </c>
      <c r="D590" s="3">
        <v>45803.78125</v>
      </c>
      <c r="E590" s="3">
        <v>45803.795138888891</v>
      </c>
      <c r="F590" s="2">
        <v>20</v>
      </c>
      <c r="G590" s="2" t="s">
        <v>159</v>
      </c>
      <c r="H590" s="2" t="s">
        <v>160</v>
      </c>
      <c r="I590" s="2">
        <v>1</v>
      </c>
      <c r="J590" s="2">
        <v>2.5</v>
      </c>
      <c r="K590" s="2" t="s">
        <v>161</v>
      </c>
      <c r="L590" s="2" t="s">
        <v>169</v>
      </c>
      <c r="M590" s="2" t="b">
        <v>1</v>
      </c>
      <c r="N590" s="2" t="b">
        <v>0</v>
      </c>
      <c r="O590" s="2">
        <v>8</v>
      </c>
      <c r="P590" s="2">
        <v>0.4</v>
      </c>
      <c r="Q590" s="2" t="s">
        <v>175</v>
      </c>
      <c r="R590" s="2" t="s">
        <v>171</v>
      </c>
      <c r="S590" s="2">
        <v>6</v>
      </c>
      <c r="T590" s="2">
        <v>14</v>
      </c>
      <c r="U590" s="2" t="b">
        <v>0</v>
      </c>
      <c r="V590" s="2">
        <v>1</v>
      </c>
      <c r="W590" s="2">
        <v>1</v>
      </c>
      <c r="X590" s="2">
        <v>18</v>
      </c>
      <c r="Y590" s="2">
        <v>30.286458333333329</v>
      </c>
    </row>
    <row r="591" spans="1:25" hidden="1">
      <c r="A591" s="2" t="s">
        <v>852</v>
      </c>
      <c r="B591" s="2" t="s">
        <v>142</v>
      </c>
      <c r="C591" s="2" t="s">
        <v>194</v>
      </c>
      <c r="D591" s="3">
        <v>45804.791666666657</v>
      </c>
      <c r="E591" s="3">
        <v>45804.826388888891</v>
      </c>
      <c r="F591" s="2">
        <v>50</v>
      </c>
      <c r="G591" s="2" t="s">
        <v>151</v>
      </c>
      <c r="H591" s="2" t="s">
        <v>152</v>
      </c>
      <c r="I591" s="2">
        <v>4</v>
      </c>
      <c r="J591" s="2">
        <v>10</v>
      </c>
      <c r="K591" s="2" t="s">
        <v>153</v>
      </c>
      <c r="L591" s="2" t="s">
        <v>145</v>
      </c>
      <c r="M591" s="2" t="b">
        <v>1</v>
      </c>
      <c r="N591" s="2" t="b">
        <v>0</v>
      </c>
      <c r="O591" s="2">
        <v>5</v>
      </c>
      <c r="P591" s="2">
        <v>0.4</v>
      </c>
      <c r="Q591" s="2" t="s">
        <v>175</v>
      </c>
      <c r="R591" s="2" t="s">
        <v>147</v>
      </c>
      <c r="S591" s="2">
        <v>24</v>
      </c>
      <c r="T591" s="2">
        <v>26</v>
      </c>
      <c r="U591" s="2" t="b">
        <v>1</v>
      </c>
      <c r="V591" s="2">
        <v>12</v>
      </c>
      <c r="W591" s="2">
        <v>3</v>
      </c>
      <c r="X591" s="2">
        <v>19</v>
      </c>
      <c r="Y591" s="2">
        <v>30.259433962264151</v>
      </c>
    </row>
    <row r="592" spans="1:25" hidden="1">
      <c r="A592" s="2" t="s">
        <v>853</v>
      </c>
      <c r="B592" s="2" t="s">
        <v>149</v>
      </c>
      <c r="C592" s="2" t="s">
        <v>335</v>
      </c>
      <c r="D592" s="3">
        <v>45805.833333333343</v>
      </c>
      <c r="E592" s="3">
        <v>45805.857638888891</v>
      </c>
      <c r="F592" s="2">
        <v>35</v>
      </c>
      <c r="G592" s="2" t="s">
        <v>143</v>
      </c>
      <c r="H592" s="2" t="s">
        <v>591</v>
      </c>
      <c r="I592" s="2">
        <v>3</v>
      </c>
      <c r="J592" s="2">
        <v>5.5</v>
      </c>
      <c r="K592" s="2" t="s">
        <v>143</v>
      </c>
      <c r="L592" s="2" t="s">
        <v>154</v>
      </c>
      <c r="M592" s="2" t="b">
        <v>1</v>
      </c>
      <c r="N592" s="2" t="b">
        <v>0</v>
      </c>
      <c r="O592" s="2">
        <v>6.3636363636363633</v>
      </c>
      <c r="P592" s="2">
        <v>0.54545454545454541</v>
      </c>
      <c r="Q592" s="2" t="s">
        <v>175</v>
      </c>
      <c r="R592" s="2" t="s">
        <v>147</v>
      </c>
      <c r="S592" s="2">
        <v>13.2</v>
      </c>
      <c r="T592" s="2">
        <v>21.8</v>
      </c>
      <c r="U592" s="2" t="b">
        <v>1</v>
      </c>
      <c r="V592" s="2">
        <v>6</v>
      </c>
      <c r="W592" s="2">
        <v>2</v>
      </c>
      <c r="X592" s="2">
        <v>20</v>
      </c>
      <c r="Y592" s="2">
        <v>28.186274509803919</v>
      </c>
    </row>
    <row r="593" spans="1:25" hidden="1">
      <c r="A593" s="2" t="s">
        <v>854</v>
      </c>
      <c r="B593" s="2" t="s">
        <v>165</v>
      </c>
      <c r="C593" s="2" t="s">
        <v>333</v>
      </c>
      <c r="D593" s="3">
        <v>45806.770833333343</v>
      </c>
      <c r="E593" s="3">
        <v>45806.784722222219</v>
      </c>
      <c r="F593" s="2">
        <v>20</v>
      </c>
      <c r="G593" s="2" t="s">
        <v>159</v>
      </c>
      <c r="H593" s="2" t="s">
        <v>160</v>
      </c>
      <c r="I593" s="2">
        <v>2</v>
      </c>
      <c r="J593" s="2">
        <v>2</v>
      </c>
      <c r="K593" s="2" t="s">
        <v>161</v>
      </c>
      <c r="L593" s="2" t="s">
        <v>162</v>
      </c>
      <c r="M593" s="2" t="b">
        <v>1</v>
      </c>
      <c r="N593" s="2" t="b">
        <v>0</v>
      </c>
      <c r="O593" s="2">
        <v>10</v>
      </c>
      <c r="P593" s="2">
        <v>1</v>
      </c>
      <c r="Q593" s="2" t="s">
        <v>175</v>
      </c>
      <c r="R593" s="2" t="s">
        <v>147</v>
      </c>
      <c r="S593" s="2">
        <v>4.8</v>
      </c>
      <c r="T593" s="2">
        <v>15.2</v>
      </c>
      <c r="U593" s="2" t="b">
        <v>0</v>
      </c>
      <c r="V593" s="2">
        <v>2</v>
      </c>
      <c r="W593" s="2">
        <v>1</v>
      </c>
      <c r="X593" s="2">
        <v>18</v>
      </c>
      <c r="Y593" s="2">
        <v>29.948453608247419</v>
      </c>
    </row>
    <row r="594" spans="1:25" hidden="1">
      <c r="A594" s="2" t="s">
        <v>855</v>
      </c>
      <c r="B594" s="2" t="s">
        <v>157</v>
      </c>
      <c r="C594" s="2" t="s">
        <v>690</v>
      </c>
      <c r="D594" s="3">
        <v>45807.822916666657</v>
      </c>
      <c r="E594" s="3">
        <v>45807.850694444453</v>
      </c>
      <c r="F594" s="2">
        <v>40</v>
      </c>
      <c r="G594" s="2" t="s">
        <v>167</v>
      </c>
      <c r="H594" s="2" t="s">
        <v>594</v>
      </c>
      <c r="I594" s="2">
        <v>5</v>
      </c>
      <c r="J594" s="2">
        <v>7.5</v>
      </c>
      <c r="K594" s="2" t="s">
        <v>153</v>
      </c>
      <c r="L594" s="2" t="s">
        <v>145</v>
      </c>
      <c r="M594" s="2" t="b">
        <v>1</v>
      </c>
      <c r="N594" s="2" t="b">
        <v>0</v>
      </c>
      <c r="O594" s="2">
        <v>5.333333333333333</v>
      </c>
      <c r="P594" s="2">
        <v>0.66666666666666663</v>
      </c>
      <c r="Q594" s="2" t="s">
        <v>175</v>
      </c>
      <c r="R594" s="2" t="s">
        <v>147</v>
      </c>
      <c r="S594" s="2">
        <v>18</v>
      </c>
      <c r="T594" s="2">
        <v>22</v>
      </c>
      <c r="U594" s="2" t="b">
        <v>1</v>
      </c>
      <c r="V594" s="2">
        <v>20</v>
      </c>
      <c r="W594" s="2">
        <v>3</v>
      </c>
      <c r="X594" s="2">
        <v>19</v>
      </c>
      <c r="Y594" s="2">
        <v>28.844221105527641</v>
      </c>
    </row>
    <row r="595" spans="1:25" hidden="1">
      <c r="A595" s="2" t="s">
        <v>856</v>
      </c>
      <c r="B595" s="2" t="s">
        <v>173</v>
      </c>
      <c r="C595" s="2" t="s">
        <v>337</v>
      </c>
      <c r="D595" s="3">
        <v>45808.75</v>
      </c>
      <c r="E595" s="3">
        <v>45808.770833333343</v>
      </c>
      <c r="F595" s="2">
        <v>30</v>
      </c>
      <c r="G595" s="2" t="s">
        <v>143</v>
      </c>
      <c r="H595" s="2" t="s">
        <v>152</v>
      </c>
      <c r="I595" s="2">
        <v>3</v>
      </c>
      <c r="J595" s="2">
        <v>4</v>
      </c>
      <c r="K595" s="2" t="s">
        <v>143</v>
      </c>
      <c r="L595" s="2" t="s">
        <v>162</v>
      </c>
      <c r="M595" s="2" t="b">
        <v>1</v>
      </c>
      <c r="N595" s="2" t="b">
        <v>1</v>
      </c>
      <c r="O595" s="2">
        <v>7.5</v>
      </c>
      <c r="P595" s="2">
        <v>0.75</v>
      </c>
      <c r="Q595" s="2" t="s">
        <v>175</v>
      </c>
      <c r="R595" s="2" t="s">
        <v>147</v>
      </c>
      <c r="S595" s="2">
        <v>9.6</v>
      </c>
      <c r="T595" s="2">
        <v>20.399999999999999</v>
      </c>
      <c r="U595" s="2" t="b">
        <v>0</v>
      </c>
      <c r="V595" s="2">
        <v>6</v>
      </c>
      <c r="W595" s="2">
        <v>2</v>
      </c>
      <c r="X595" s="2">
        <v>18</v>
      </c>
      <c r="Y595" s="2">
        <v>30.286458333333329</v>
      </c>
    </row>
    <row r="596" spans="1:25" hidden="1">
      <c r="A596" s="2" t="s">
        <v>857</v>
      </c>
      <c r="B596" s="2" t="s">
        <v>142</v>
      </c>
      <c r="C596" s="2" t="s">
        <v>807</v>
      </c>
      <c r="D596" s="3">
        <v>45809.84375</v>
      </c>
      <c r="E596" s="3">
        <v>45809.875</v>
      </c>
      <c r="F596" s="2">
        <v>45</v>
      </c>
      <c r="G596" s="2" t="s">
        <v>151</v>
      </c>
      <c r="H596" s="2" t="s">
        <v>144</v>
      </c>
      <c r="I596" s="2">
        <v>4</v>
      </c>
      <c r="J596" s="2">
        <v>9</v>
      </c>
      <c r="K596" s="2" t="s">
        <v>153</v>
      </c>
      <c r="L596" s="2" t="s">
        <v>169</v>
      </c>
      <c r="M596" s="2" t="b">
        <v>1</v>
      </c>
      <c r="N596" s="2" t="b">
        <v>1</v>
      </c>
      <c r="O596" s="2">
        <v>5</v>
      </c>
      <c r="P596" s="2">
        <v>0.44444444444444442</v>
      </c>
      <c r="Q596" s="2" t="s">
        <v>367</v>
      </c>
      <c r="R596" s="2" t="s">
        <v>171</v>
      </c>
      <c r="S596" s="2">
        <v>21.6</v>
      </c>
      <c r="T596" s="2">
        <v>23.4</v>
      </c>
      <c r="U596" s="2" t="b">
        <v>1</v>
      </c>
      <c r="V596" s="2">
        <v>12</v>
      </c>
      <c r="W596" s="2">
        <v>3</v>
      </c>
      <c r="X596" s="2">
        <v>20</v>
      </c>
      <c r="Y596" s="2">
        <v>30.259433962264151</v>
      </c>
    </row>
    <row r="597" spans="1:25" hidden="1">
      <c r="A597" s="2" t="s">
        <v>858</v>
      </c>
      <c r="B597" s="2" t="s">
        <v>149</v>
      </c>
      <c r="C597" s="2" t="s">
        <v>817</v>
      </c>
      <c r="D597" s="3">
        <v>45810.75</v>
      </c>
      <c r="E597" s="3">
        <v>45810.763888888891</v>
      </c>
      <c r="F597" s="2">
        <v>20</v>
      </c>
      <c r="G597" s="2" t="s">
        <v>143</v>
      </c>
      <c r="H597" s="2" t="s">
        <v>144</v>
      </c>
      <c r="I597" s="2">
        <v>2</v>
      </c>
      <c r="J597" s="2">
        <v>3</v>
      </c>
      <c r="K597" s="2" t="s">
        <v>161</v>
      </c>
      <c r="L597" s="2" t="s">
        <v>145</v>
      </c>
      <c r="M597" s="2" t="b">
        <v>1</v>
      </c>
      <c r="N597" s="2" t="b">
        <v>0</v>
      </c>
      <c r="O597" s="2">
        <v>6.666666666666667</v>
      </c>
      <c r="P597" s="2">
        <v>0.66666666666666663</v>
      </c>
      <c r="Q597" s="2" t="s">
        <v>367</v>
      </c>
      <c r="R597" s="2" t="s">
        <v>147</v>
      </c>
      <c r="S597" s="2">
        <v>7.1999999999999993</v>
      </c>
      <c r="T597" s="2">
        <v>12.8</v>
      </c>
      <c r="U597" s="2" t="b">
        <v>0</v>
      </c>
      <c r="V597" s="2">
        <v>4</v>
      </c>
      <c r="W597" s="2">
        <v>1</v>
      </c>
      <c r="X597" s="2">
        <v>18</v>
      </c>
      <c r="Y597" s="2">
        <v>28.186274509803919</v>
      </c>
    </row>
    <row r="598" spans="1:25" hidden="1">
      <c r="A598" s="2" t="s">
        <v>859</v>
      </c>
      <c r="B598" s="2" t="s">
        <v>165</v>
      </c>
      <c r="C598" s="2" t="s">
        <v>819</v>
      </c>
      <c r="D598" s="3">
        <v>45811.802083333343</v>
      </c>
      <c r="E598" s="3">
        <v>45811.822916666657</v>
      </c>
      <c r="F598" s="2">
        <v>30</v>
      </c>
      <c r="G598" s="2" t="s">
        <v>151</v>
      </c>
      <c r="H598" s="2" t="s">
        <v>152</v>
      </c>
      <c r="I598" s="2">
        <v>4</v>
      </c>
      <c r="J598" s="2">
        <v>6</v>
      </c>
      <c r="K598" s="2" t="s">
        <v>143</v>
      </c>
      <c r="L598" s="2" t="s">
        <v>154</v>
      </c>
      <c r="M598" s="2" t="b">
        <v>1</v>
      </c>
      <c r="N598" s="2" t="b">
        <v>0</v>
      </c>
      <c r="O598" s="2">
        <v>5</v>
      </c>
      <c r="P598" s="2">
        <v>0.66666666666666663</v>
      </c>
      <c r="Q598" s="2" t="s">
        <v>367</v>
      </c>
      <c r="R598" s="2" t="s">
        <v>147</v>
      </c>
      <c r="S598" s="2">
        <v>14.4</v>
      </c>
      <c r="T598" s="2">
        <v>15.6</v>
      </c>
      <c r="U598" s="2" t="b">
        <v>0</v>
      </c>
      <c r="V598" s="2">
        <v>12</v>
      </c>
      <c r="W598" s="2">
        <v>2</v>
      </c>
      <c r="X598" s="2">
        <v>19</v>
      </c>
      <c r="Y598" s="2">
        <v>29.948453608247419</v>
      </c>
    </row>
    <row r="599" spans="1:25" hidden="1">
      <c r="A599" s="2" t="s">
        <v>860</v>
      </c>
      <c r="B599" s="2" t="s">
        <v>157</v>
      </c>
      <c r="C599" s="2" t="s">
        <v>188</v>
      </c>
      <c r="D599" s="3">
        <v>45812.854166666657</v>
      </c>
      <c r="E599" s="3">
        <v>45812.881944444453</v>
      </c>
      <c r="F599" s="2">
        <v>40</v>
      </c>
      <c r="G599" s="2" t="s">
        <v>167</v>
      </c>
      <c r="H599" s="2" t="s">
        <v>168</v>
      </c>
      <c r="I599" s="2">
        <v>5</v>
      </c>
      <c r="J599" s="2">
        <v>8</v>
      </c>
      <c r="K599" s="2" t="s">
        <v>153</v>
      </c>
      <c r="L599" s="2" t="s">
        <v>145</v>
      </c>
      <c r="M599" s="2" t="b">
        <v>1</v>
      </c>
      <c r="N599" s="2" t="b">
        <v>0</v>
      </c>
      <c r="O599" s="2">
        <v>5</v>
      </c>
      <c r="P599" s="2">
        <v>0.625</v>
      </c>
      <c r="Q599" s="2" t="s">
        <v>367</v>
      </c>
      <c r="R599" s="2" t="s">
        <v>147</v>
      </c>
      <c r="S599" s="2">
        <v>19.2</v>
      </c>
      <c r="T599" s="2">
        <v>20.8</v>
      </c>
      <c r="U599" s="2" t="b">
        <v>1</v>
      </c>
      <c r="V599" s="2">
        <v>20</v>
      </c>
      <c r="W599" s="2">
        <v>3</v>
      </c>
      <c r="X599" s="2">
        <v>20</v>
      </c>
      <c r="Y599" s="2">
        <v>28.844221105527641</v>
      </c>
    </row>
    <row r="600" spans="1:25" hidden="1">
      <c r="A600" s="2" t="s">
        <v>861</v>
      </c>
      <c r="B600" s="2" t="s">
        <v>173</v>
      </c>
      <c r="C600" s="2" t="s">
        <v>166</v>
      </c>
      <c r="D600" s="3">
        <v>45813.78125</v>
      </c>
      <c r="E600" s="3">
        <v>45813.795138888891</v>
      </c>
      <c r="F600" s="2">
        <v>20</v>
      </c>
      <c r="G600" s="2" t="s">
        <v>159</v>
      </c>
      <c r="H600" s="2" t="s">
        <v>160</v>
      </c>
      <c r="I600" s="2">
        <v>1</v>
      </c>
      <c r="J600" s="2">
        <v>2.5</v>
      </c>
      <c r="K600" s="2" t="s">
        <v>161</v>
      </c>
      <c r="L600" s="2" t="s">
        <v>169</v>
      </c>
      <c r="M600" s="2" t="b">
        <v>1</v>
      </c>
      <c r="N600" s="2" t="b">
        <v>0</v>
      </c>
      <c r="O600" s="2">
        <v>8</v>
      </c>
      <c r="P600" s="2">
        <v>0.4</v>
      </c>
      <c r="Q600" s="2" t="s">
        <v>367</v>
      </c>
      <c r="R600" s="2" t="s">
        <v>171</v>
      </c>
      <c r="S600" s="2">
        <v>6</v>
      </c>
      <c r="T600" s="2">
        <v>14</v>
      </c>
      <c r="U600" s="2" t="b">
        <v>0</v>
      </c>
      <c r="V600" s="2">
        <v>1</v>
      </c>
      <c r="W600" s="2">
        <v>1</v>
      </c>
      <c r="X600" s="2">
        <v>18</v>
      </c>
      <c r="Y600" s="2">
        <v>30.286458333333329</v>
      </c>
    </row>
    <row r="601" spans="1:25" hidden="1">
      <c r="A601" s="2" t="s">
        <v>862</v>
      </c>
      <c r="B601" s="2" t="s">
        <v>142</v>
      </c>
      <c r="C601" s="2" t="s">
        <v>40</v>
      </c>
      <c r="D601" s="3">
        <v>45814.791666666657</v>
      </c>
      <c r="E601" s="3">
        <v>45814.822916666657</v>
      </c>
      <c r="F601" s="2">
        <v>45</v>
      </c>
      <c r="G601" s="2" t="s">
        <v>151</v>
      </c>
      <c r="H601" s="2" t="s">
        <v>655</v>
      </c>
      <c r="I601" s="2">
        <v>4</v>
      </c>
      <c r="J601" s="2">
        <v>7</v>
      </c>
      <c r="K601" s="2" t="s">
        <v>143</v>
      </c>
      <c r="L601" s="2" t="s">
        <v>145</v>
      </c>
      <c r="M601" s="2" t="b">
        <v>1</v>
      </c>
      <c r="N601" s="2" t="b">
        <v>0</v>
      </c>
      <c r="O601" s="2">
        <v>6.4285714285714288</v>
      </c>
      <c r="P601" s="2">
        <v>0.5714285714285714</v>
      </c>
      <c r="Q601" s="2" t="s">
        <v>367</v>
      </c>
      <c r="R601" s="2" t="s">
        <v>147</v>
      </c>
      <c r="S601" s="2">
        <v>16.8</v>
      </c>
      <c r="T601" s="2">
        <v>28.2</v>
      </c>
      <c r="U601" s="2" t="b">
        <v>1</v>
      </c>
      <c r="V601" s="2">
        <v>12</v>
      </c>
      <c r="W601" s="2">
        <v>2</v>
      </c>
      <c r="X601" s="2">
        <v>19</v>
      </c>
      <c r="Y601" s="2">
        <v>30.259433962264151</v>
      </c>
    </row>
    <row r="602" spans="1:25" hidden="1">
      <c r="A602" s="2" t="s">
        <v>863</v>
      </c>
      <c r="B602" s="2" t="s">
        <v>149</v>
      </c>
      <c r="C602" s="2" t="s">
        <v>150</v>
      </c>
      <c r="D602" s="3">
        <v>45815.84375</v>
      </c>
      <c r="E602" s="3">
        <v>45815.871527777781</v>
      </c>
      <c r="F602" s="2">
        <v>40</v>
      </c>
      <c r="G602" s="2" t="s">
        <v>143</v>
      </c>
      <c r="H602" s="2" t="s">
        <v>657</v>
      </c>
      <c r="I602" s="2">
        <v>3</v>
      </c>
      <c r="J602" s="2">
        <v>6.5</v>
      </c>
      <c r="K602" s="2" t="s">
        <v>153</v>
      </c>
      <c r="L602" s="2" t="s">
        <v>154</v>
      </c>
      <c r="M602" s="2" t="b">
        <v>1</v>
      </c>
      <c r="N602" s="2" t="b">
        <v>1</v>
      </c>
      <c r="O602" s="2">
        <v>6.1538461538461542</v>
      </c>
      <c r="P602" s="2">
        <v>0.46153846153846162</v>
      </c>
      <c r="Q602" s="2" t="s">
        <v>367</v>
      </c>
      <c r="R602" s="2" t="s">
        <v>147</v>
      </c>
      <c r="S602" s="2">
        <v>15.6</v>
      </c>
      <c r="T602" s="2">
        <v>24.4</v>
      </c>
      <c r="U602" s="2" t="b">
        <v>1</v>
      </c>
      <c r="V602" s="2">
        <v>6</v>
      </c>
      <c r="W602" s="2">
        <v>3</v>
      </c>
      <c r="X602" s="2">
        <v>20</v>
      </c>
      <c r="Y602" s="2">
        <v>28.186274509803919</v>
      </c>
    </row>
    <row r="603" spans="1:25" hidden="1">
      <c r="A603" s="2" t="s">
        <v>864</v>
      </c>
      <c r="B603" s="2" t="s">
        <v>165</v>
      </c>
      <c r="C603" s="2" t="s">
        <v>158</v>
      </c>
      <c r="D603" s="3">
        <v>45816.78125</v>
      </c>
      <c r="E603" s="3">
        <v>45816.795138888891</v>
      </c>
      <c r="F603" s="2">
        <v>20</v>
      </c>
      <c r="G603" s="2" t="s">
        <v>159</v>
      </c>
      <c r="H603" s="2" t="s">
        <v>160</v>
      </c>
      <c r="I603" s="2">
        <v>1</v>
      </c>
      <c r="J603" s="2">
        <v>2.5</v>
      </c>
      <c r="K603" s="2" t="s">
        <v>161</v>
      </c>
      <c r="L603" s="2" t="s">
        <v>169</v>
      </c>
      <c r="M603" s="2" t="b">
        <v>1</v>
      </c>
      <c r="N603" s="2" t="b">
        <v>1</v>
      </c>
      <c r="O603" s="2">
        <v>8</v>
      </c>
      <c r="P603" s="2">
        <v>0.4</v>
      </c>
      <c r="Q603" s="2" t="s">
        <v>367</v>
      </c>
      <c r="R603" s="2" t="s">
        <v>171</v>
      </c>
      <c r="S603" s="2">
        <v>6</v>
      </c>
      <c r="T603" s="2">
        <v>14</v>
      </c>
      <c r="U603" s="2" t="b">
        <v>0</v>
      </c>
      <c r="V603" s="2">
        <v>1</v>
      </c>
      <c r="W603" s="2">
        <v>1</v>
      </c>
      <c r="X603" s="2">
        <v>18</v>
      </c>
      <c r="Y603" s="2">
        <v>29.948453608247419</v>
      </c>
    </row>
    <row r="604" spans="1:25" hidden="1">
      <c r="A604" s="2" t="s">
        <v>865</v>
      </c>
      <c r="B604" s="2" t="s">
        <v>157</v>
      </c>
      <c r="C604" s="2" t="s">
        <v>184</v>
      </c>
      <c r="D604" s="3">
        <v>45817.8125</v>
      </c>
      <c r="E604" s="3">
        <v>45817.840277777781</v>
      </c>
      <c r="F604" s="2">
        <v>40</v>
      </c>
      <c r="G604" s="2" t="s">
        <v>167</v>
      </c>
      <c r="H604" s="2" t="s">
        <v>168</v>
      </c>
      <c r="I604" s="2">
        <v>5</v>
      </c>
      <c r="J604" s="2">
        <v>8</v>
      </c>
      <c r="K604" s="2" t="s">
        <v>153</v>
      </c>
      <c r="L604" s="2" t="s">
        <v>145</v>
      </c>
      <c r="M604" s="2" t="b">
        <v>1</v>
      </c>
      <c r="N604" s="2" t="b">
        <v>0</v>
      </c>
      <c r="O604" s="2">
        <v>5</v>
      </c>
      <c r="P604" s="2">
        <v>0.625</v>
      </c>
      <c r="Q604" s="2" t="s">
        <v>367</v>
      </c>
      <c r="R604" s="2" t="s">
        <v>147</v>
      </c>
      <c r="S604" s="2">
        <v>19.2</v>
      </c>
      <c r="T604" s="2">
        <v>20.8</v>
      </c>
      <c r="U604" s="2" t="b">
        <v>1</v>
      </c>
      <c r="V604" s="2">
        <v>20</v>
      </c>
      <c r="W604" s="2">
        <v>3</v>
      </c>
      <c r="X604" s="2">
        <v>19</v>
      </c>
      <c r="Y604" s="2">
        <v>28.844221105527641</v>
      </c>
    </row>
    <row r="605" spans="1:25" hidden="1">
      <c r="A605" s="2" t="s">
        <v>866</v>
      </c>
      <c r="B605" s="2" t="s">
        <v>173</v>
      </c>
      <c r="C605" s="2" t="s">
        <v>186</v>
      </c>
      <c r="D605" s="3">
        <v>45818.75</v>
      </c>
      <c r="E605" s="3">
        <v>45818.770833333343</v>
      </c>
      <c r="F605" s="2">
        <v>30</v>
      </c>
      <c r="G605" s="2" t="s">
        <v>143</v>
      </c>
      <c r="H605" s="2" t="s">
        <v>152</v>
      </c>
      <c r="I605" s="2">
        <v>3</v>
      </c>
      <c r="J605" s="2">
        <v>4</v>
      </c>
      <c r="K605" s="2" t="s">
        <v>143</v>
      </c>
      <c r="L605" s="2" t="s">
        <v>162</v>
      </c>
      <c r="M605" s="2" t="b">
        <v>1</v>
      </c>
      <c r="N605" s="2" t="b">
        <v>0</v>
      </c>
      <c r="O605" s="2">
        <v>7.5</v>
      </c>
      <c r="P605" s="2">
        <v>0.75</v>
      </c>
      <c r="Q605" s="2" t="s">
        <v>367</v>
      </c>
      <c r="R605" s="2" t="s">
        <v>147</v>
      </c>
      <c r="S605" s="2">
        <v>9.6</v>
      </c>
      <c r="T605" s="2">
        <v>20.399999999999999</v>
      </c>
      <c r="U605" s="2" t="b">
        <v>0</v>
      </c>
      <c r="V605" s="2">
        <v>6</v>
      </c>
      <c r="W605" s="2">
        <v>2</v>
      </c>
      <c r="X605" s="2">
        <v>18</v>
      </c>
      <c r="Y605" s="2">
        <v>30.286458333333329</v>
      </c>
    </row>
    <row r="606" spans="1:25" hidden="1">
      <c r="A606" s="2" t="s">
        <v>867</v>
      </c>
      <c r="B606" s="2" t="s">
        <v>142</v>
      </c>
      <c r="C606" s="2" t="s">
        <v>671</v>
      </c>
      <c r="D606" s="3">
        <v>45819.84375</v>
      </c>
      <c r="E606" s="3">
        <v>45819.875</v>
      </c>
      <c r="F606" s="2">
        <v>45</v>
      </c>
      <c r="G606" s="2" t="s">
        <v>151</v>
      </c>
      <c r="H606" s="2" t="s">
        <v>144</v>
      </c>
      <c r="I606" s="2">
        <v>4</v>
      </c>
      <c r="J606" s="2">
        <v>9</v>
      </c>
      <c r="K606" s="2" t="s">
        <v>153</v>
      </c>
      <c r="L606" s="2" t="s">
        <v>169</v>
      </c>
      <c r="M606" s="2" t="b">
        <v>1</v>
      </c>
      <c r="N606" s="2" t="b">
        <v>0</v>
      </c>
      <c r="O606" s="2">
        <v>5</v>
      </c>
      <c r="P606" s="2">
        <v>0.44444444444444442</v>
      </c>
      <c r="Q606" s="2" t="s">
        <v>367</v>
      </c>
      <c r="R606" s="2" t="s">
        <v>171</v>
      </c>
      <c r="S606" s="2">
        <v>21.6</v>
      </c>
      <c r="T606" s="2">
        <v>23.4</v>
      </c>
      <c r="U606" s="2" t="b">
        <v>1</v>
      </c>
      <c r="V606" s="2">
        <v>12</v>
      </c>
      <c r="W606" s="2">
        <v>3</v>
      </c>
      <c r="X606" s="2">
        <v>20</v>
      </c>
      <c r="Y606" s="2">
        <v>30.259433962264151</v>
      </c>
    </row>
    <row r="607" spans="1:25" hidden="1">
      <c r="A607" s="2" t="s">
        <v>868</v>
      </c>
      <c r="B607" s="2" t="s">
        <v>149</v>
      </c>
      <c r="C607" s="2" t="s">
        <v>673</v>
      </c>
      <c r="D607" s="3">
        <v>45820.75</v>
      </c>
      <c r="E607" s="3">
        <v>45820.763888888891</v>
      </c>
      <c r="F607" s="2">
        <v>20</v>
      </c>
      <c r="G607" s="2" t="s">
        <v>143</v>
      </c>
      <c r="H607" s="2" t="s">
        <v>144</v>
      </c>
      <c r="I607" s="2">
        <v>2</v>
      </c>
      <c r="J607" s="2">
        <v>3</v>
      </c>
      <c r="K607" s="2" t="s">
        <v>161</v>
      </c>
      <c r="L607" s="2" t="s">
        <v>145</v>
      </c>
      <c r="M607" s="2" t="b">
        <v>1</v>
      </c>
      <c r="N607" s="2" t="b">
        <v>0</v>
      </c>
      <c r="O607" s="2">
        <v>6.666666666666667</v>
      </c>
      <c r="P607" s="2">
        <v>0.66666666666666663</v>
      </c>
      <c r="Q607" s="2" t="s">
        <v>367</v>
      </c>
      <c r="R607" s="2" t="s">
        <v>147</v>
      </c>
      <c r="S607" s="2">
        <v>7.1999999999999993</v>
      </c>
      <c r="T607" s="2">
        <v>12.8</v>
      </c>
      <c r="U607" s="2" t="b">
        <v>0</v>
      </c>
      <c r="V607" s="2">
        <v>4</v>
      </c>
      <c r="W607" s="2">
        <v>1</v>
      </c>
      <c r="X607" s="2">
        <v>18</v>
      </c>
      <c r="Y607" s="2">
        <v>28.186274509803919</v>
      </c>
    </row>
    <row r="608" spans="1:25" hidden="1">
      <c r="A608" s="2" t="s">
        <v>869</v>
      </c>
      <c r="B608" s="2" t="s">
        <v>165</v>
      </c>
      <c r="C608" s="2" t="s">
        <v>319</v>
      </c>
      <c r="D608" s="3">
        <v>45821.802083333343</v>
      </c>
      <c r="E608" s="3">
        <v>45821.822916666657</v>
      </c>
      <c r="F608" s="2">
        <v>30</v>
      </c>
      <c r="G608" s="2" t="s">
        <v>151</v>
      </c>
      <c r="H608" s="2" t="s">
        <v>152</v>
      </c>
      <c r="I608" s="2">
        <v>4</v>
      </c>
      <c r="J608" s="2">
        <v>6</v>
      </c>
      <c r="K608" s="2" t="s">
        <v>143</v>
      </c>
      <c r="L608" s="2" t="s">
        <v>154</v>
      </c>
      <c r="M608" s="2" t="b">
        <v>1</v>
      </c>
      <c r="N608" s="2" t="b">
        <v>0</v>
      </c>
      <c r="O608" s="2">
        <v>5</v>
      </c>
      <c r="P608" s="2">
        <v>0.66666666666666663</v>
      </c>
      <c r="Q608" s="2" t="s">
        <v>367</v>
      </c>
      <c r="R608" s="2" t="s">
        <v>147</v>
      </c>
      <c r="S608" s="2">
        <v>14.4</v>
      </c>
      <c r="T608" s="2">
        <v>15.6</v>
      </c>
      <c r="U608" s="2" t="b">
        <v>0</v>
      </c>
      <c r="V608" s="2">
        <v>12</v>
      </c>
      <c r="W608" s="2">
        <v>2</v>
      </c>
      <c r="X608" s="2">
        <v>19</v>
      </c>
      <c r="Y608" s="2">
        <v>29.948453608247419</v>
      </c>
    </row>
    <row r="609" spans="1:25" hidden="1">
      <c r="A609" s="2" t="s">
        <v>870</v>
      </c>
      <c r="B609" s="2" t="s">
        <v>157</v>
      </c>
      <c r="C609" s="2" t="s">
        <v>174</v>
      </c>
      <c r="D609" s="3">
        <v>45822.854166666657</v>
      </c>
      <c r="E609" s="3">
        <v>45822.881944444453</v>
      </c>
      <c r="F609" s="2">
        <v>40</v>
      </c>
      <c r="G609" s="2" t="s">
        <v>167</v>
      </c>
      <c r="H609" s="2" t="s">
        <v>168</v>
      </c>
      <c r="I609" s="2">
        <v>5</v>
      </c>
      <c r="J609" s="2">
        <v>8</v>
      </c>
      <c r="K609" s="2" t="s">
        <v>153</v>
      </c>
      <c r="L609" s="2" t="s">
        <v>145</v>
      </c>
      <c r="M609" s="2" t="b">
        <v>1</v>
      </c>
      <c r="N609" s="2" t="b">
        <v>1</v>
      </c>
      <c r="O609" s="2">
        <v>5</v>
      </c>
      <c r="P609" s="2">
        <v>0.625</v>
      </c>
      <c r="Q609" s="2" t="s">
        <v>367</v>
      </c>
      <c r="R609" s="2" t="s">
        <v>147</v>
      </c>
      <c r="S609" s="2">
        <v>19.2</v>
      </c>
      <c r="T609" s="2">
        <v>20.8</v>
      </c>
      <c r="U609" s="2" t="b">
        <v>1</v>
      </c>
      <c r="V609" s="2">
        <v>20</v>
      </c>
      <c r="W609" s="2">
        <v>3</v>
      </c>
      <c r="X609" s="2">
        <v>20</v>
      </c>
      <c r="Y609" s="2">
        <v>28.844221105527641</v>
      </c>
    </row>
    <row r="610" spans="1:25" hidden="1">
      <c r="A610" s="2" t="s">
        <v>871</v>
      </c>
      <c r="B610" s="2" t="s">
        <v>173</v>
      </c>
      <c r="C610" s="2" t="s">
        <v>315</v>
      </c>
      <c r="D610" s="3">
        <v>45823.78125</v>
      </c>
      <c r="E610" s="3">
        <v>45823.795138888891</v>
      </c>
      <c r="F610" s="2">
        <v>20</v>
      </c>
      <c r="G610" s="2" t="s">
        <v>159</v>
      </c>
      <c r="H610" s="2" t="s">
        <v>160</v>
      </c>
      <c r="I610" s="2">
        <v>1</v>
      </c>
      <c r="J610" s="2">
        <v>2.5</v>
      </c>
      <c r="K610" s="2" t="s">
        <v>161</v>
      </c>
      <c r="L610" s="2" t="s">
        <v>169</v>
      </c>
      <c r="M610" s="2" t="b">
        <v>1</v>
      </c>
      <c r="N610" s="2" t="b">
        <v>1</v>
      </c>
      <c r="O610" s="2">
        <v>8</v>
      </c>
      <c r="P610" s="2">
        <v>0.4</v>
      </c>
      <c r="Q610" s="2" t="s">
        <v>367</v>
      </c>
      <c r="R610" s="2" t="s">
        <v>171</v>
      </c>
      <c r="S610" s="2">
        <v>6</v>
      </c>
      <c r="T610" s="2">
        <v>14</v>
      </c>
      <c r="U610" s="2" t="b">
        <v>0</v>
      </c>
      <c r="V610" s="2">
        <v>1</v>
      </c>
      <c r="W610" s="2">
        <v>1</v>
      </c>
      <c r="X610" s="2">
        <v>18</v>
      </c>
      <c r="Y610" s="2">
        <v>30.286458333333329</v>
      </c>
    </row>
    <row r="611" spans="1:25" hidden="1">
      <c r="A611" s="2" t="s">
        <v>872</v>
      </c>
      <c r="B611" s="2" t="s">
        <v>142</v>
      </c>
      <c r="C611" s="2" t="s">
        <v>317</v>
      </c>
      <c r="D611" s="3">
        <v>45824.791666666657</v>
      </c>
      <c r="E611" s="3">
        <v>45824.826388888891</v>
      </c>
      <c r="F611" s="2">
        <v>50</v>
      </c>
      <c r="G611" s="2" t="s">
        <v>151</v>
      </c>
      <c r="H611" s="2" t="s">
        <v>152</v>
      </c>
      <c r="I611" s="2">
        <v>4</v>
      </c>
      <c r="J611" s="2">
        <v>10</v>
      </c>
      <c r="K611" s="2" t="s">
        <v>153</v>
      </c>
      <c r="L611" s="2" t="s">
        <v>342</v>
      </c>
      <c r="M611" s="2" t="b">
        <v>1</v>
      </c>
      <c r="N611" s="2" t="b">
        <v>0</v>
      </c>
      <c r="O611" s="2">
        <v>5</v>
      </c>
      <c r="P611" s="2">
        <v>0.4</v>
      </c>
      <c r="Q611" s="2" t="s">
        <v>367</v>
      </c>
      <c r="R611" s="2" t="s">
        <v>171</v>
      </c>
      <c r="S611" s="2">
        <v>24</v>
      </c>
      <c r="T611" s="2">
        <v>26</v>
      </c>
      <c r="U611" s="2" t="b">
        <v>1</v>
      </c>
      <c r="V611" s="2">
        <v>12</v>
      </c>
      <c r="W611" s="2">
        <v>3</v>
      </c>
      <c r="X611" s="2">
        <v>19</v>
      </c>
      <c r="Y611" s="2">
        <v>30.259433962264151</v>
      </c>
    </row>
    <row r="612" spans="1:25" hidden="1">
      <c r="A612" s="2" t="s">
        <v>873</v>
      </c>
      <c r="B612" s="2" t="s">
        <v>149</v>
      </c>
      <c r="C612" s="2" t="s">
        <v>321</v>
      </c>
      <c r="D612" s="3">
        <v>45825.833333333343</v>
      </c>
      <c r="E612" s="3">
        <v>45825.857638888891</v>
      </c>
      <c r="F612" s="2">
        <v>35</v>
      </c>
      <c r="G612" s="2" t="s">
        <v>143</v>
      </c>
      <c r="H612" s="2" t="s">
        <v>591</v>
      </c>
      <c r="I612" s="2">
        <v>3</v>
      </c>
      <c r="J612" s="2">
        <v>5.5</v>
      </c>
      <c r="K612" s="2" t="s">
        <v>143</v>
      </c>
      <c r="L612" s="2" t="s">
        <v>154</v>
      </c>
      <c r="M612" s="2" t="b">
        <v>1</v>
      </c>
      <c r="N612" s="2" t="b">
        <v>0</v>
      </c>
      <c r="O612" s="2">
        <v>6.3636363636363633</v>
      </c>
      <c r="P612" s="2">
        <v>0.54545454545454541</v>
      </c>
      <c r="Q612" s="2" t="s">
        <v>367</v>
      </c>
      <c r="R612" s="2" t="s">
        <v>147</v>
      </c>
      <c r="S612" s="2">
        <v>13.2</v>
      </c>
      <c r="T612" s="2">
        <v>21.8</v>
      </c>
      <c r="U612" s="2" t="b">
        <v>1</v>
      </c>
      <c r="V612" s="2">
        <v>6</v>
      </c>
      <c r="W612" s="2">
        <v>2</v>
      </c>
      <c r="X612" s="2">
        <v>20</v>
      </c>
      <c r="Y612" s="2">
        <v>28.186274509803919</v>
      </c>
    </row>
    <row r="613" spans="1:25" hidden="1">
      <c r="A613" s="2" t="s">
        <v>874</v>
      </c>
      <c r="B613" s="2" t="s">
        <v>165</v>
      </c>
      <c r="C613" s="2" t="s">
        <v>323</v>
      </c>
      <c r="D613" s="3">
        <v>45826.770833333343</v>
      </c>
      <c r="E613" s="3">
        <v>45826.784722222219</v>
      </c>
      <c r="F613" s="2">
        <v>20</v>
      </c>
      <c r="G613" s="2" t="s">
        <v>159</v>
      </c>
      <c r="H613" s="2" t="s">
        <v>160</v>
      </c>
      <c r="I613" s="2">
        <v>2</v>
      </c>
      <c r="J613" s="2">
        <v>2</v>
      </c>
      <c r="K613" s="2" t="s">
        <v>161</v>
      </c>
      <c r="L613" s="2" t="s">
        <v>162</v>
      </c>
      <c r="M613" s="2" t="b">
        <v>1</v>
      </c>
      <c r="N613" s="2" t="b">
        <v>0</v>
      </c>
      <c r="O613" s="2">
        <v>10</v>
      </c>
      <c r="P613" s="2">
        <v>1</v>
      </c>
      <c r="Q613" s="2" t="s">
        <v>367</v>
      </c>
      <c r="R613" s="2" t="s">
        <v>147</v>
      </c>
      <c r="S613" s="2">
        <v>4.8</v>
      </c>
      <c r="T613" s="2">
        <v>15.2</v>
      </c>
      <c r="U613" s="2" t="b">
        <v>0</v>
      </c>
      <c r="V613" s="2">
        <v>2</v>
      </c>
      <c r="W613" s="2">
        <v>1</v>
      </c>
      <c r="X613" s="2">
        <v>18</v>
      </c>
      <c r="Y613" s="2">
        <v>29.948453608247419</v>
      </c>
    </row>
    <row r="614" spans="1:25" hidden="1">
      <c r="A614" s="2" t="s">
        <v>875</v>
      </c>
      <c r="B614" s="2" t="s">
        <v>157</v>
      </c>
      <c r="C614" s="2" t="s">
        <v>325</v>
      </c>
      <c r="D614" s="3">
        <v>45827.822916666657</v>
      </c>
      <c r="E614" s="3">
        <v>45827.850694444453</v>
      </c>
      <c r="F614" s="2">
        <v>40</v>
      </c>
      <c r="G614" s="2" t="s">
        <v>167</v>
      </c>
      <c r="H614" s="2" t="s">
        <v>594</v>
      </c>
      <c r="I614" s="2">
        <v>5</v>
      </c>
      <c r="J614" s="2">
        <v>7.5</v>
      </c>
      <c r="K614" s="2" t="s">
        <v>153</v>
      </c>
      <c r="L614" s="2" t="s">
        <v>145</v>
      </c>
      <c r="M614" s="2" t="b">
        <v>1</v>
      </c>
      <c r="N614" s="2" t="b">
        <v>0</v>
      </c>
      <c r="O614" s="2">
        <v>5.333333333333333</v>
      </c>
      <c r="P614" s="2">
        <v>0.66666666666666663</v>
      </c>
      <c r="Q614" s="2" t="s">
        <v>367</v>
      </c>
      <c r="R614" s="2" t="s">
        <v>147</v>
      </c>
      <c r="S614" s="2">
        <v>18</v>
      </c>
      <c r="T614" s="2">
        <v>22</v>
      </c>
      <c r="U614" s="2" t="b">
        <v>1</v>
      </c>
      <c r="V614" s="2">
        <v>20</v>
      </c>
      <c r="W614" s="2">
        <v>3</v>
      </c>
      <c r="X614" s="2">
        <v>19</v>
      </c>
      <c r="Y614" s="2">
        <v>28.844221105527641</v>
      </c>
    </row>
    <row r="615" spans="1:25" hidden="1">
      <c r="A615" s="2" t="s">
        <v>876</v>
      </c>
      <c r="B615" s="2" t="s">
        <v>173</v>
      </c>
      <c r="C615" s="2" t="s">
        <v>327</v>
      </c>
      <c r="D615" s="3">
        <v>45828.75</v>
      </c>
      <c r="E615" s="3">
        <v>45828.770833333343</v>
      </c>
      <c r="F615" s="2">
        <v>30</v>
      </c>
      <c r="G615" s="2" t="s">
        <v>143</v>
      </c>
      <c r="H615" s="2" t="s">
        <v>152</v>
      </c>
      <c r="I615" s="2">
        <v>3</v>
      </c>
      <c r="J615" s="2">
        <v>4</v>
      </c>
      <c r="K615" s="2" t="s">
        <v>143</v>
      </c>
      <c r="L615" s="2" t="s">
        <v>162</v>
      </c>
      <c r="M615" s="2" t="b">
        <v>1</v>
      </c>
      <c r="N615" s="2" t="b">
        <v>0</v>
      </c>
      <c r="O615" s="2">
        <v>7.5</v>
      </c>
      <c r="P615" s="2">
        <v>0.75</v>
      </c>
      <c r="Q615" s="2" t="s">
        <v>367</v>
      </c>
      <c r="R615" s="2" t="s">
        <v>147</v>
      </c>
      <c r="S615" s="2">
        <v>9.6</v>
      </c>
      <c r="T615" s="2">
        <v>20.399999999999999</v>
      </c>
      <c r="U615" s="2" t="b">
        <v>0</v>
      </c>
      <c r="V615" s="2">
        <v>6</v>
      </c>
      <c r="W615" s="2">
        <v>2</v>
      </c>
      <c r="X615" s="2">
        <v>18</v>
      </c>
      <c r="Y615" s="2">
        <v>30.286458333333329</v>
      </c>
    </row>
    <row r="616" spans="1:25" hidden="1">
      <c r="A616" s="2" t="s">
        <v>877</v>
      </c>
      <c r="B616" s="2" t="s">
        <v>142</v>
      </c>
      <c r="C616" s="2" t="s">
        <v>182</v>
      </c>
      <c r="D616" s="3">
        <v>45829.84375</v>
      </c>
      <c r="E616" s="3">
        <v>45829.875</v>
      </c>
      <c r="F616" s="2">
        <v>45</v>
      </c>
      <c r="G616" s="2" t="s">
        <v>151</v>
      </c>
      <c r="H616" s="2" t="s">
        <v>144</v>
      </c>
      <c r="I616" s="2">
        <v>4</v>
      </c>
      <c r="J616" s="2">
        <v>9</v>
      </c>
      <c r="K616" s="2" t="s">
        <v>153</v>
      </c>
      <c r="L616" s="2" t="s">
        <v>169</v>
      </c>
      <c r="M616" s="2" t="b">
        <v>1</v>
      </c>
      <c r="N616" s="2" t="b">
        <v>1</v>
      </c>
      <c r="O616" s="2">
        <v>5</v>
      </c>
      <c r="P616" s="2">
        <v>0.44444444444444442</v>
      </c>
      <c r="Q616" s="2" t="s">
        <v>367</v>
      </c>
      <c r="R616" s="2" t="s">
        <v>171</v>
      </c>
      <c r="S616" s="2">
        <v>21.6</v>
      </c>
      <c r="T616" s="2">
        <v>23.4</v>
      </c>
      <c r="U616" s="2" t="b">
        <v>1</v>
      </c>
      <c r="V616" s="2">
        <v>12</v>
      </c>
      <c r="W616" s="2">
        <v>3</v>
      </c>
      <c r="X616" s="2">
        <v>20</v>
      </c>
      <c r="Y616" s="2">
        <v>30.259433962264151</v>
      </c>
    </row>
    <row r="617" spans="1:25" hidden="1">
      <c r="A617" s="2" t="s">
        <v>878</v>
      </c>
      <c r="B617" s="2" t="s">
        <v>149</v>
      </c>
      <c r="C617" s="2" t="s">
        <v>329</v>
      </c>
      <c r="D617" s="3">
        <v>45830.75</v>
      </c>
      <c r="E617" s="3">
        <v>45830.763888888891</v>
      </c>
      <c r="F617" s="2">
        <v>20</v>
      </c>
      <c r="G617" s="2" t="s">
        <v>143</v>
      </c>
      <c r="H617" s="2" t="s">
        <v>144</v>
      </c>
      <c r="I617" s="2">
        <v>2</v>
      </c>
      <c r="J617" s="2">
        <v>3</v>
      </c>
      <c r="K617" s="2" t="s">
        <v>161</v>
      </c>
      <c r="L617" s="2" t="s">
        <v>145</v>
      </c>
      <c r="M617" s="2" t="b">
        <v>1</v>
      </c>
      <c r="N617" s="2" t="b">
        <v>1</v>
      </c>
      <c r="O617" s="2">
        <v>6.666666666666667</v>
      </c>
      <c r="P617" s="2">
        <v>0.66666666666666663</v>
      </c>
      <c r="Q617" s="2" t="s">
        <v>367</v>
      </c>
      <c r="R617" s="2" t="s">
        <v>147</v>
      </c>
      <c r="S617" s="2">
        <v>7.1999999999999993</v>
      </c>
      <c r="T617" s="2">
        <v>12.8</v>
      </c>
      <c r="U617" s="2" t="b">
        <v>0</v>
      </c>
      <c r="V617" s="2">
        <v>4</v>
      </c>
      <c r="W617" s="2">
        <v>1</v>
      </c>
      <c r="X617" s="2">
        <v>18</v>
      </c>
      <c r="Y617" s="2">
        <v>28.186274509803919</v>
      </c>
    </row>
    <row r="618" spans="1:25" hidden="1">
      <c r="A618" s="2" t="s">
        <v>879</v>
      </c>
      <c r="B618" s="2" t="s">
        <v>165</v>
      </c>
      <c r="C618" s="2" t="s">
        <v>190</v>
      </c>
      <c r="D618" s="3">
        <v>45831.802083333343</v>
      </c>
      <c r="E618" s="3">
        <v>45831.822916666657</v>
      </c>
      <c r="F618" s="2">
        <v>30</v>
      </c>
      <c r="G618" s="2" t="s">
        <v>151</v>
      </c>
      <c r="H618" s="2" t="s">
        <v>152</v>
      </c>
      <c r="I618" s="2">
        <v>4</v>
      </c>
      <c r="J618" s="2">
        <v>6</v>
      </c>
      <c r="K618" s="2" t="s">
        <v>143</v>
      </c>
      <c r="L618" s="2" t="s">
        <v>154</v>
      </c>
      <c r="M618" s="2" t="b">
        <v>1</v>
      </c>
      <c r="N618" s="2" t="b">
        <v>0</v>
      </c>
      <c r="O618" s="2">
        <v>5</v>
      </c>
      <c r="P618" s="2">
        <v>0.66666666666666663</v>
      </c>
      <c r="Q618" s="2" t="s">
        <v>367</v>
      </c>
      <c r="R618" s="2" t="s">
        <v>147</v>
      </c>
      <c r="S618" s="2">
        <v>14.4</v>
      </c>
      <c r="T618" s="2">
        <v>15.6</v>
      </c>
      <c r="U618" s="2" t="b">
        <v>0</v>
      </c>
      <c r="V618" s="2">
        <v>12</v>
      </c>
      <c r="W618" s="2">
        <v>2</v>
      </c>
      <c r="X618" s="2">
        <v>19</v>
      </c>
      <c r="Y618" s="2">
        <v>29.948453608247419</v>
      </c>
    </row>
    <row r="619" spans="1:25" hidden="1">
      <c r="A619" s="2" t="s">
        <v>880</v>
      </c>
      <c r="B619" s="2" t="s">
        <v>157</v>
      </c>
      <c r="C619" s="2" t="s">
        <v>192</v>
      </c>
      <c r="D619" s="3">
        <v>45832.854166666657</v>
      </c>
      <c r="E619" s="3">
        <v>45832.881944444453</v>
      </c>
      <c r="F619" s="2">
        <v>40</v>
      </c>
      <c r="G619" s="2" t="s">
        <v>167</v>
      </c>
      <c r="H619" s="2" t="s">
        <v>168</v>
      </c>
      <c r="I619" s="2">
        <v>5</v>
      </c>
      <c r="J619" s="2">
        <v>8</v>
      </c>
      <c r="K619" s="2" t="s">
        <v>153</v>
      </c>
      <c r="L619" s="2" t="s">
        <v>145</v>
      </c>
      <c r="M619" s="2" t="b">
        <v>1</v>
      </c>
      <c r="N619" s="2" t="b">
        <v>0</v>
      </c>
      <c r="O619" s="2">
        <v>5</v>
      </c>
      <c r="P619" s="2">
        <v>0.625</v>
      </c>
      <c r="Q619" s="2" t="s">
        <v>367</v>
      </c>
      <c r="R619" s="2" t="s">
        <v>147</v>
      </c>
      <c r="S619" s="2">
        <v>19.2</v>
      </c>
      <c r="T619" s="2">
        <v>20.8</v>
      </c>
      <c r="U619" s="2" t="b">
        <v>1</v>
      </c>
      <c r="V619" s="2">
        <v>20</v>
      </c>
      <c r="W619" s="2">
        <v>3</v>
      </c>
      <c r="X619" s="2">
        <v>20</v>
      </c>
      <c r="Y619" s="2">
        <v>28.844221105527641</v>
      </c>
    </row>
    <row r="620" spans="1:25" hidden="1">
      <c r="A620" s="2" t="s">
        <v>881</v>
      </c>
      <c r="B620" s="2" t="s">
        <v>173</v>
      </c>
      <c r="C620" s="2" t="s">
        <v>687</v>
      </c>
      <c r="D620" s="3">
        <v>45833.78125</v>
      </c>
      <c r="E620" s="3">
        <v>45833.795138888891</v>
      </c>
      <c r="F620" s="2">
        <v>20</v>
      </c>
      <c r="G620" s="2" t="s">
        <v>159</v>
      </c>
      <c r="H620" s="2" t="s">
        <v>160</v>
      </c>
      <c r="I620" s="2">
        <v>1</v>
      </c>
      <c r="J620" s="2">
        <v>2.5</v>
      </c>
      <c r="K620" s="2" t="s">
        <v>161</v>
      </c>
      <c r="L620" s="2" t="s">
        <v>169</v>
      </c>
      <c r="M620" s="2" t="b">
        <v>1</v>
      </c>
      <c r="N620" s="2" t="b">
        <v>0</v>
      </c>
      <c r="O620" s="2">
        <v>8</v>
      </c>
      <c r="P620" s="2">
        <v>0.4</v>
      </c>
      <c r="Q620" s="2" t="s">
        <v>367</v>
      </c>
      <c r="R620" s="2" t="s">
        <v>171</v>
      </c>
      <c r="S620" s="2">
        <v>6</v>
      </c>
      <c r="T620" s="2">
        <v>14</v>
      </c>
      <c r="U620" s="2" t="b">
        <v>0</v>
      </c>
      <c r="V620" s="2">
        <v>1</v>
      </c>
      <c r="W620" s="2">
        <v>1</v>
      </c>
      <c r="X620" s="2">
        <v>18</v>
      </c>
      <c r="Y620" s="2">
        <v>30.286458333333329</v>
      </c>
    </row>
    <row r="621" spans="1:25" hidden="1">
      <c r="A621" s="2" t="s">
        <v>882</v>
      </c>
      <c r="B621" s="2" t="s">
        <v>142</v>
      </c>
      <c r="C621" s="2" t="s">
        <v>194</v>
      </c>
      <c r="D621" s="3">
        <v>45834.791666666657</v>
      </c>
      <c r="E621" s="3">
        <v>45834.826388888891</v>
      </c>
      <c r="F621" s="2">
        <v>50</v>
      </c>
      <c r="G621" s="2" t="s">
        <v>151</v>
      </c>
      <c r="H621" s="2" t="s">
        <v>152</v>
      </c>
      <c r="I621" s="2">
        <v>4</v>
      </c>
      <c r="J621" s="2">
        <v>10</v>
      </c>
      <c r="K621" s="2" t="s">
        <v>153</v>
      </c>
      <c r="L621" s="2" t="s">
        <v>145</v>
      </c>
      <c r="M621" s="2" t="b">
        <v>1</v>
      </c>
      <c r="N621" s="2" t="b">
        <v>0</v>
      </c>
      <c r="O621" s="2">
        <v>5</v>
      </c>
      <c r="P621" s="2">
        <v>0.4</v>
      </c>
      <c r="Q621" s="2" t="s">
        <v>367</v>
      </c>
      <c r="R621" s="2" t="s">
        <v>147</v>
      </c>
      <c r="S621" s="2">
        <v>24</v>
      </c>
      <c r="T621" s="2">
        <v>26</v>
      </c>
      <c r="U621" s="2" t="b">
        <v>1</v>
      </c>
      <c r="V621" s="2">
        <v>12</v>
      </c>
      <c r="W621" s="2">
        <v>3</v>
      </c>
      <c r="X621" s="2">
        <v>19</v>
      </c>
      <c r="Y621" s="2">
        <v>30.259433962264151</v>
      </c>
    </row>
    <row r="622" spans="1:25" hidden="1">
      <c r="A622" s="2" t="s">
        <v>883</v>
      </c>
      <c r="B622" s="2" t="s">
        <v>149</v>
      </c>
      <c r="C622" s="2" t="s">
        <v>335</v>
      </c>
      <c r="D622" s="3">
        <v>45835.833333333343</v>
      </c>
      <c r="E622" s="3">
        <v>45835.857638888891</v>
      </c>
      <c r="F622" s="2">
        <v>35</v>
      </c>
      <c r="G622" s="2" t="s">
        <v>143</v>
      </c>
      <c r="H622" s="2" t="s">
        <v>591</v>
      </c>
      <c r="I622" s="2">
        <v>3</v>
      </c>
      <c r="J622" s="2">
        <v>5.5</v>
      </c>
      <c r="K622" s="2" t="s">
        <v>143</v>
      </c>
      <c r="L622" s="2" t="s">
        <v>154</v>
      </c>
      <c r="M622" s="2" t="b">
        <v>1</v>
      </c>
      <c r="N622" s="2" t="b">
        <v>0</v>
      </c>
      <c r="O622" s="2">
        <v>6.3636363636363633</v>
      </c>
      <c r="P622" s="2">
        <v>0.54545454545454541</v>
      </c>
      <c r="Q622" s="2" t="s">
        <v>367</v>
      </c>
      <c r="R622" s="2" t="s">
        <v>147</v>
      </c>
      <c r="S622" s="2">
        <v>13.2</v>
      </c>
      <c r="T622" s="2">
        <v>21.8</v>
      </c>
      <c r="U622" s="2" t="b">
        <v>1</v>
      </c>
      <c r="V622" s="2">
        <v>6</v>
      </c>
      <c r="W622" s="2">
        <v>2</v>
      </c>
      <c r="X622" s="2">
        <v>20</v>
      </c>
      <c r="Y622" s="2">
        <v>28.186274509803919</v>
      </c>
    </row>
    <row r="623" spans="1:25" hidden="1">
      <c r="A623" s="2" t="s">
        <v>884</v>
      </c>
      <c r="B623" s="2" t="s">
        <v>165</v>
      </c>
      <c r="C623" s="2" t="s">
        <v>333</v>
      </c>
      <c r="D623" s="3">
        <v>45836.770833333343</v>
      </c>
      <c r="E623" s="3">
        <v>45836.784722222219</v>
      </c>
      <c r="F623" s="2">
        <v>20</v>
      </c>
      <c r="G623" s="2" t="s">
        <v>159</v>
      </c>
      <c r="H623" s="2" t="s">
        <v>160</v>
      </c>
      <c r="I623" s="2">
        <v>2</v>
      </c>
      <c r="J623" s="2">
        <v>2</v>
      </c>
      <c r="K623" s="2" t="s">
        <v>161</v>
      </c>
      <c r="L623" s="2" t="s">
        <v>162</v>
      </c>
      <c r="M623" s="2" t="b">
        <v>1</v>
      </c>
      <c r="N623" s="2" t="b">
        <v>1</v>
      </c>
      <c r="O623" s="2">
        <v>10</v>
      </c>
      <c r="P623" s="2">
        <v>1</v>
      </c>
      <c r="Q623" s="2" t="s">
        <v>367</v>
      </c>
      <c r="R623" s="2" t="s">
        <v>147</v>
      </c>
      <c r="S623" s="2">
        <v>4.8</v>
      </c>
      <c r="T623" s="2">
        <v>15.2</v>
      </c>
      <c r="U623" s="2" t="b">
        <v>0</v>
      </c>
      <c r="V623" s="2">
        <v>2</v>
      </c>
      <c r="W623" s="2">
        <v>1</v>
      </c>
      <c r="X623" s="2">
        <v>18</v>
      </c>
      <c r="Y623" s="2">
        <v>29.948453608247419</v>
      </c>
    </row>
    <row r="624" spans="1:25" hidden="1">
      <c r="A624" s="2" t="s">
        <v>885</v>
      </c>
      <c r="B624" s="2" t="s">
        <v>157</v>
      </c>
      <c r="C624" s="2" t="s">
        <v>690</v>
      </c>
      <c r="D624" s="3">
        <v>45837.822916666657</v>
      </c>
      <c r="E624" s="3">
        <v>45837.850694444453</v>
      </c>
      <c r="F624" s="2">
        <v>40</v>
      </c>
      <c r="G624" s="2" t="s">
        <v>167</v>
      </c>
      <c r="H624" s="2" t="s">
        <v>594</v>
      </c>
      <c r="I624" s="2">
        <v>5</v>
      </c>
      <c r="J624" s="2">
        <v>7.5</v>
      </c>
      <c r="K624" s="2" t="s">
        <v>153</v>
      </c>
      <c r="L624" s="2" t="s">
        <v>145</v>
      </c>
      <c r="M624" s="2" t="b">
        <v>1</v>
      </c>
      <c r="N624" s="2" t="b">
        <v>1</v>
      </c>
      <c r="O624" s="2">
        <v>5.333333333333333</v>
      </c>
      <c r="P624" s="2">
        <v>0.66666666666666663</v>
      </c>
      <c r="Q624" s="2" t="s">
        <v>367</v>
      </c>
      <c r="R624" s="2" t="s">
        <v>147</v>
      </c>
      <c r="S624" s="2">
        <v>18</v>
      </c>
      <c r="T624" s="2">
        <v>22</v>
      </c>
      <c r="U624" s="2" t="b">
        <v>1</v>
      </c>
      <c r="V624" s="2">
        <v>20</v>
      </c>
      <c r="W624" s="2">
        <v>3</v>
      </c>
      <c r="X624" s="2">
        <v>19</v>
      </c>
      <c r="Y624" s="2">
        <v>28.844221105527641</v>
      </c>
    </row>
    <row r="625" spans="1:25" hidden="1">
      <c r="A625" s="2" t="s">
        <v>886</v>
      </c>
      <c r="B625" s="2" t="s">
        <v>142</v>
      </c>
      <c r="C625" s="2" t="s">
        <v>317</v>
      </c>
      <c r="D625" s="3">
        <v>45823.805555555547</v>
      </c>
      <c r="E625" s="3">
        <v>45823.829861111109</v>
      </c>
      <c r="F625" s="2">
        <v>35</v>
      </c>
      <c r="G625" s="2" t="s">
        <v>151</v>
      </c>
      <c r="H625" s="2" t="s">
        <v>168</v>
      </c>
      <c r="I625" s="2">
        <v>4</v>
      </c>
      <c r="J625" s="2">
        <v>5.4</v>
      </c>
      <c r="K625" s="2" t="s">
        <v>143</v>
      </c>
      <c r="L625" s="2" t="s">
        <v>145</v>
      </c>
      <c r="M625" s="2" t="b">
        <v>1</v>
      </c>
      <c r="N625" s="2" t="b">
        <v>1</v>
      </c>
      <c r="O625" s="2">
        <v>6.481481481481481</v>
      </c>
      <c r="P625" s="2">
        <v>0.7407407407407407</v>
      </c>
      <c r="Q625" s="2" t="s">
        <v>367</v>
      </c>
      <c r="R625" s="2" t="s">
        <v>147</v>
      </c>
      <c r="S625" s="2">
        <v>12.96</v>
      </c>
      <c r="T625" s="2">
        <v>22.04</v>
      </c>
      <c r="U625" s="2" t="b">
        <v>1</v>
      </c>
      <c r="V625" s="2">
        <v>12</v>
      </c>
      <c r="W625" s="2">
        <v>2</v>
      </c>
      <c r="X625" s="2">
        <v>19</v>
      </c>
      <c r="Y625" s="2">
        <v>30.259433962264151</v>
      </c>
    </row>
    <row r="626" spans="1:25" hidden="1">
      <c r="A626" s="2" t="s">
        <v>887</v>
      </c>
      <c r="B626" s="2" t="s">
        <v>165</v>
      </c>
      <c r="C626" s="2" t="s">
        <v>166</v>
      </c>
      <c r="D626" s="3">
        <v>45823.833333333343</v>
      </c>
      <c r="E626" s="3">
        <v>45823.854166666657</v>
      </c>
      <c r="F626" s="2">
        <v>30</v>
      </c>
      <c r="G626" s="2" t="s">
        <v>143</v>
      </c>
      <c r="H626" s="2" t="s">
        <v>144</v>
      </c>
      <c r="I626" s="2">
        <v>2</v>
      </c>
      <c r="J626" s="2">
        <v>4.0999999999999996</v>
      </c>
      <c r="K626" s="2" t="s">
        <v>161</v>
      </c>
      <c r="L626" s="2" t="s">
        <v>154</v>
      </c>
      <c r="M626" s="2" t="b">
        <v>1</v>
      </c>
      <c r="N626" s="2" t="b">
        <v>1</v>
      </c>
      <c r="O626" s="2">
        <v>7.3170731707317076</v>
      </c>
      <c r="P626" s="2">
        <v>0.48780487804878048</v>
      </c>
      <c r="Q626" s="2" t="s">
        <v>367</v>
      </c>
      <c r="R626" s="2" t="s">
        <v>147</v>
      </c>
      <c r="S626" s="2">
        <v>9.8399999999999981</v>
      </c>
      <c r="T626" s="2">
        <v>20.16</v>
      </c>
      <c r="U626" s="2" t="b">
        <v>0</v>
      </c>
      <c r="V626" s="2">
        <v>4</v>
      </c>
      <c r="W626" s="2">
        <v>1</v>
      </c>
      <c r="X626" s="2">
        <v>20</v>
      </c>
      <c r="Y626" s="2">
        <v>29.948453608247419</v>
      </c>
    </row>
    <row r="627" spans="1:25" hidden="1">
      <c r="A627" s="2" t="s">
        <v>888</v>
      </c>
      <c r="B627" s="2" t="s">
        <v>157</v>
      </c>
      <c r="C627" s="2" t="s">
        <v>188</v>
      </c>
      <c r="D627" s="3">
        <v>45823.836805555547</v>
      </c>
      <c r="E627" s="3">
        <v>45823.871527777781</v>
      </c>
      <c r="F627" s="2">
        <v>50</v>
      </c>
      <c r="G627" s="2" t="s">
        <v>167</v>
      </c>
      <c r="H627" s="2" t="s">
        <v>152</v>
      </c>
      <c r="I627" s="2">
        <v>5</v>
      </c>
      <c r="J627" s="2">
        <v>8.6999999999999993</v>
      </c>
      <c r="K627" s="2" t="s">
        <v>153</v>
      </c>
      <c r="L627" s="2" t="s">
        <v>169</v>
      </c>
      <c r="M627" s="2" t="b">
        <v>1</v>
      </c>
      <c r="N627" s="2" t="b">
        <v>1</v>
      </c>
      <c r="O627" s="2">
        <v>5.7471264367816097</v>
      </c>
      <c r="P627" s="2">
        <v>0.57471264367816099</v>
      </c>
      <c r="Q627" s="2" t="s">
        <v>367</v>
      </c>
      <c r="R627" s="2" t="s">
        <v>171</v>
      </c>
      <c r="S627" s="2">
        <v>20.88</v>
      </c>
      <c r="T627" s="2">
        <v>29.12</v>
      </c>
      <c r="U627" s="2" t="b">
        <v>1</v>
      </c>
      <c r="V627" s="2">
        <v>20</v>
      </c>
      <c r="W627" s="2">
        <v>3</v>
      </c>
      <c r="X627" s="2">
        <v>20</v>
      </c>
      <c r="Y627" s="2">
        <v>28.844221105527641</v>
      </c>
    </row>
    <row r="628" spans="1:25" hidden="1">
      <c r="A628" s="2" t="s">
        <v>889</v>
      </c>
      <c r="B628" s="2" t="s">
        <v>142</v>
      </c>
      <c r="C628" s="2" t="s">
        <v>317</v>
      </c>
      <c r="D628" s="3">
        <v>45823.875</v>
      </c>
      <c r="E628" s="3">
        <v>45823.899305555547</v>
      </c>
      <c r="F628" s="2">
        <v>35</v>
      </c>
      <c r="G628" s="2" t="s">
        <v>151</v>
      </c>
      <c r="H628" s="2" t="s">
        <v>168</v>
      </c>
      <c r="I628" s="2">
        <v>4</v>
      </c>
      <c r="J628" s="2">
        <v>5.4</v>
      </c>
      <c r="K628" s="2" t="s">
        <v>143</v>
      </c>
      <c r="L628" s="2" t="s">
        <v>145</v>
      </c>
      <c r="M628" s="2" t="b">
        <v>1</v>
      </c>
      <c r="N628" s="2" t="b">
        <v>1</v>
      </c>
      <c r="O628" s="2">
        <v>6.481481481481481</v>
      </c>
      <c r="P628" s="2">
        <v>0.7407407407407407</v>
      </c>
      <c r="Q628" s="2" t="s">
        <v>367</v>
      </c>
      <c r="R628" s="2" t="s">
        <v>147</v>
      </c>
      <c r="S628" s="2">
        <v>12.96</v>
      </c>
      <c r="T628" s="2">
        <v>22.04</v>
      </c>
      <c r="U628" s="2" t="b">
        <v>1</v>
      </c>
      <c r="V628" s="2">
        <v>12</v>
      </c>
      <c r="W628" s="2">
        <v>2</v>
      </c>
      <c r="X628" s="2">
        <v>21</v>
      </c>
      <c r="Y628" s="2">
        <v>30.259433962264151</v>
      </c>
    </row>
    <row r="629" spans="1:25" hidden="1">
      <c r="A629" s="2" t="s">
        <v>890</v>
      </c>
      <c r="B629" s="2" t="s">
        <v>149</v>
      </c>
      <c r="C629" s="2" t="s">
        <v>190</v>
      </c>
      <c r="D629" s="3">
        <v>45824.739583333343</v>
      </c>
      <c r="E629" s="3">
        <v>45824.756944444453</v>
      </c>
      <c r="F629" s="2">
        <v>25</v>
      </c>
      <c r="G629" s="2" t="s">
        <v>143</v>
      </c>
      <c r="H629" s="2" t="s">
        <v>591</v>
      </c>
      <c r="I629" s="2">
        <v>3</v>
      </c>
      <c r="J629" s="2">
        <v>3.9</v>
      </c>
      <c r="K629" s="2" t="s">
        <v>161</v>
      </c>
      <c r="L629" s="2" t="s">
        <v>162</v>
      </c>
      <c r="M629" s="2" t="b">
        <v>0</v>
      </c>
      <c r="N629" s="2" t="b">
        <v>0</v>
      </c>
      <c r="O629" s="2">
        <v>6.4102564102564106</v>
      </c>
      <c r="P629" s="2">
        <v>0.76923076923076927</v>
      </c>
      <c r="Q629" s="2" t="s">
        <v>367</v>
      </c>
      <c r="R629" s="2" t="s">
        <v>147</v>
      </c>
      <c r="S629" s="2">
        <v>9.36</v>
      </c>
      <c r="T629" s="2">
        <v>15.64</v>
      </c>
      <c r="U629" s="2" t="b">
        <v>0</v>
      </c>
      <c r="V629" s="2">
        <v>6</v>
      </c>
      <c r="W629" s="2">
        <v>1</v>
      </c>
      <c r="X629" s="2">
        <v>17</v>
      </c>
      <c r="Y629" s="2">
        <v>28.186274509803919</v>
      </c>
    </row>
    <row r="630" spans="1:25" hidden="1">
      <c r="A630" s="2" t="s">
        <v>891</v>
      </c>
      <c r="B630" s="2" t="s">
        <v>165</v>
      </c>
      <c r="C630" s="2" t="s">
        <v>166</v>
      </c>
      <c r="D630" s="3">
        <v>45824.770833333343</v>
      </c>
      <c r="E630" s="3">
        <v>45824.798611111109</v>
      </c>
      <c r="F630" s="2">
        <v>40</v>
      </c>
      <c r="G630" s="2" t="s">
        <v>151</v>
      </c>
      <c r="H630" s="2" t="s">
        <v>594</v>
      </c>
      <c r="I630" s="2">
        <v>5</v>
      </c>
      <c r="J630" s="2">
        <v>6</v>
      </c>
      <c r="K630" s="2" t="s">
        <v>143</v>
      </c>
      <c r="L630" s="2" t="s">
        <v>154</v>
      </c>
      <c r="M630" s="2" t="b">
        <v>1</v>
      </c>
      <c r="N630" s="2" t="b">
        <v>0</v>
      </c>
      <c r="O630" s="2">
        <v>6.666666666666667</v>
      </c>
      <c r="P630" s="2">
        <v>0.83333333333333337</v>
      </c>
      <c r="Q630" s="2" t="s">
        <v>367</v>
      </c>
      <c r="R630" s="2" t="s">
        <v>147</v>
      </c>
      <c r="S630" s="2">
        <v>14.4</v>
      </c>
      <c r="T630" s="2">
        <v>25.6</v>
      </c>
      <c r="U630" s="2" t="b">
        <v>1</v>
      </c>
      <c r="V630" s="2">
        <v>15</v>
      </c>
      <c r="W630" s="2">
        <v>2</v>
      </c>
      <c r="X630" s="2">
        <v>18</v>
      </c>
      <c r="Y630" s="2">
        <v>29.948453608247419</v>
      </c>
    </row>
    <row r="631" spans="1:25" hidden="1">
      <c r="A631" s="2" t="s">
        <v>892</v>
      </c>
      <c r="B631" s="2" t="s">
        <v>142</v>
      </c>
      <c r="C631" s="2" t="s">
        <v>186</v>
      </c>
      <c r="D631" s="3">
        <v>45824.791666666657</v>
      </c>
      <c r="E631" s="3">
        <v>45824.815972222219</v>
      </c>
      <c r="F631" s="2">
        <v>35</v>
      </c>
      <c r="G631" s="2" t="s">
        <v>143</v>
      </c>
      <c r="H631" s="2" t="s">
        <v>144</v>
      </c>
      <c r="I631" s="2">
        <v>2</v>
      </c>
      <c r="J631" s="2">
        <v>4.5</v>
      </c>
      <c r="K631" s="2" t="s">
        <v>143</v>
      </c>
      <c r="L631" s="2" t="s">
        <v>504</v>
      </c>
      <c r="M631" s="2" t="b">
        <v>1</v>
      </c>
      <c r="N631" s="2" t="b">
        <v>0</v>
      </c>
      <c r="O631" s="2">
        <v>7.7777777777777777</v>
      </c>
      <c r="P631" s="2">
        <v>0.44444444444444442</v>
      </c>
      <c r="Q631" s="2" t="s">
        <v>367</v>
      </c>
      <c r="R631" s="2" t="s">
        <v>171</v>
      </c>
      <c r="S631" s="2">
        <v>10.8</v>
      </c>
      <c r="T631" s="2">
        <v>24.2</v>
      </c>
      <c r="U631" s="2" t="b">
        <v>1</v>
      </c>
      <c r="V631" s="2">
        <v>4</v>
      </c>
      <c r="W631" s="2">
        <v>2</v>
      </c>
      <c r="X631" s="2">
        <v>19</v>
      </c>
      <c r="Y631" s="2">
        <v>30.259433962264151</v>
      </c>
    </row>
    <row r="632" spans="1:25" hidden="1">
      <c r="A632" s="2" t="s">
        <v>893</v>
      </c>
      <c r="B632" s="2" t="s">
        <v>165</v>
      </c>
      <c r="C632" s="2" t="s">
        <v>174</v>
      </c>
      <c r="D632" s="3">
        <v>45824.84375</v>
      </c>
      <c r="E632" s="3">
        <v>45824.875</v>
      </c>
      <c r="F632" s="2">
        <v>45</v>
      </c>
      <c r="G632" s="2" t="s">
        <v>151</v>
      </c>
      <c r="H632" s="2" t="s">
        <v>168</v>
      </c>
      <c r="I632" s="2">
        <v>4</v>
      </c>
      <c r="J632" s="2">
        <v>7.2</v>
      </c>
      <c r="K632" s="2" t="s">
        <v>153</v>
      </c>
      <c r="L632" s="2" t="s">
        <v>145</v>
      </c>
      <c r="M632" s="2" t="b">
        <v>1</v>
      </c>
      <c r="N632" s="2" t="b">
        <v>0</v>
      </c>
      <c r="O632" s="2">
        <v>6.25</v>
      </c>
      <c r="P632" s="2">
        <v>0.55555555555555558</v>
      </c>
      <c r="Q632" s="2" t="s">
        <v>367</v>
      </c>
      <c r="R632" s="2" t="s">
        <v>147</v>
      </c>
      <c r="S632" s="2">
        <v>17.28</v>
      </c>
      <c r="T632" s="2">
        <v>27.72</v>
      </c>
      <c r="U632" s="2" t="b">
        <v>1</v>
      </c>
      <c r="V632" s="2">
        <v>12</v>
      </c>
      <c r="W632" s="2">
        <v>3</v>
      </c>
      <c r="X632" s="2">
        <v>20</v>
      </c>
      <c r="Y632" s="2">
        <v>29.948453608247419</v>
      </c>
    </row>
    <row r="633" spans="1:25" hidden="1">
      <c r="A633" s="2" t="s">
        <v>894</v>
      </c>
      <c r="B633" s="2" t="s">
        <v>142</v>
      </c>
      <c r="C633" s="2" t="s">
        <v>317</v>
      </c>
      <c r="D633" s="3">
        <v>45824.881944444453</v>
      </c>
      <c r="E633" s="3">
        <v>45824.902777777781</v>
      </c>
      <c r="F633" s="2">
        <v>30</v>
      </c>
      <c r="G633" s="2" t="s">
        <v>151</v>
      </c>
      <c r="H633" s="2" t="s">
        <v>168</v>
      </c>
      <c r="I633" s="2">
        <v>4</v>
      </c>
      <c r="J633" s="2">
        <v>5.4</v>
      </c>
      <c r="K633" s="2" t="s">
        <v>143</v>
      </c>
      <c r="L633" s="2" t="s">
        <v>169</v>
      </c>
      <c r="M633" s="2" t="b">
        <v>1</v>
      </c>
      <c r="N633" s="2" t="b">
        <v>0</v>
      </c>
      <c r="O633" s="2">
        <v>5.5555555555555554</v>
      </c>
      <c r="P633" s="2">
        <v>0.7407407407407407</v>
      </c>
      <c r="Q633" s="2" t="s">
        <v>367</v>
      </c>
      <c r="R633" s="2" t="s">
        <v>171</v>
      </c>
      <c r="S633" s="2">
        <v>12.96</v>
      </c>
      <c r="T633" s="2">
        <v>17.04</v>
      </c>
      <c r="U633" s="2" t="b">
        <v>0</v>
      </c>
      <c r="V633" s="2">
        <v>12</v>
      </c>
      <c r="W633" s="2">
        <v>2</v>
      </c>
      <c r="X633" s="2">
        <v>21</v>
      </c>
      <c r="Y633" s="2">
        <v>30.259433962264151</v>
      </c>
    </row>
    <row r="634" spans="1:25" hidden="1">
      <c r="A634" s="2" t="s">
        <v>895</v>
      </c>
      <c r="B634" s="2" t="s">
        <v>157</v>
      </c>
      <c r="C634" s="2" t="s">
        <v>158</v>
      </c>
      <c r="D634" s="3">
        <v>45825.756944444453</v>
      </c>
      <c r="E634" s="3">
        <v>45825.784722222219</v>
      </c>
      <c r="F634" s="2">
        <v>40</v>
      </c>
      <c r="G634" s="2" t="s">
        <v>167</v>
      </c>
      <c r="H634" s="2" t="s">
        <v>657</v>
      </c>
      <c r="I634" s="2">
        <v>5</v>
      </c>
      <c r="J634" s="2">
        <v>7.8</v>
      </c>
      <c r="K634" s="2" t="s">
        <v>153</v>
      </c>
      <c r="L634" s="2" t="s">
        <v>162</v>
      </c>
      <c r="M634" s="2" t="b">
        <v>1</v>
      </c>
      <c r="N634" s="2" t="b">
        <v>0</v>
      </c>
      <c r="O634" s="2">
        <v>5.1282051282051286</v>
      </c>
      <c r="P634" s="2">
        <v>0.64102564102564108</v>
      </c>
      <c r="Q634" s="2" t="s">
        <v>367</v>
      </c>
      <c r="R634" s="2" t="s">
        <v>147</v>
      </c>
      <c r="S634" s="2">
        <v>18.72</v>
      </c>
      <c r="T634" s="2">
        <v>21.28</v>
      </c>
      <c r="U634" s="2" t="b">
        <v>1</v>
      </c>
      <c r="V634" s="2">
        <v>20</v>
      </c>
      <c r="W634" s="2">
        <v>3</v>
      </c>
      <c r="X634" s="2">
        <v>18</v>
      </c>
      <c r="Y634" s="2">
        <v>28.844221105527641</v>
      </c>
    </row>
    <row r="635" spans="1:25">
      <c r="A635" s="2" t="s">
        <v>896</v>
      </c>
      <c r="B635" s="2" t="s">
        <v>1615</v>
      </c>
      <c r="C635" s="2" t="s">
        <v>729</v>
      </c>
      <c r="D635" s="3">
        <v>45825.802083333343</v>
      </c>
      <c r="E635" s="3">
        <v>45825.819444444453</v>
      </c>
      <c r="F635" s="2">
        <v>25</v>
      </c>
      <c r="G635" s="2" t="s">
        <v>159</v>
      </c>
      <c r="H635" s="2" t="s">
        <v>655</v>
      </c>
      <c r="I635" s="2">
        <v>3</v>
      </c>
      <c r="J635" s="2">
        <v>3.2</v>
      </c>
      <c r="K635" s="2" t="s">
        <v>143</v>
      </c>
      <c r="L635" s="2" t="s">
        <v>145</v>
      </c>
      <c r="M635" s="2" t="b">
        <v>1</v>
      </c>
      <c r="N635" s="2" t="b">
        <v>0</v>
      </c>
      <c r="O635" s="2">
        <v>7.8125</v>
      </c>
      <c r="P635" s="2">
        <v>0.9375</v>
      </c>
      <c r="Q635" s="2" t="s">
        <v>367</v>
      </c>
      <c r="R635" s="2" t="s">
        <v>147</v>
      </c>
      <c r="S635" s="2">
        <v>7.68</v>
      </c>
      <c r="T635" s="2">
        <v>17.32</v>
      </c>
      <c r="U635" s="2" t="b">
        <v>0</v>
      </c>
      <c r="V635" s="2">
        <v>3</v>
      </c>
      <c r="W635" s="2">
        <v>2</v>
      </c>
      <c r="X635" s="2">
        <v>19</v>
      </c>
      <c r="Y635" s="2">
        <v>26.666666666666671</v>
      </c>
    </row>
    <row r="636" spans="1:25" hidden="1">
      <c r="A636" s="2" t="s">
        <v>897</v>
      </c>
      <c r="B636" s="2" t="s">
        <v>165</v>
      </c>
      <c r="C636" s="2" t="s">
        <v>166</v>
      </c>
      <c r="D636" s="3">
        <v>45825.833333333343</v>
      </c>
      <c r="E636" s="3">
        <v>45825.854166666657</v>
      </c>
      <c r="F636" s="2">
        <v>30</v>
      </c>
      <c r="G636" s="2" t="s">
        <v>143</v>
      </c>
      <c r="H636" s="2" t="s">
        <v>144</v>
      </c>
      <c r="I636" s="2">
        <v>2</v>
      </c>
      <c r="J636" s="2">
        <v>4.0999999999999996</v>
      </c>
      <c r="K636" s="2" t="s">
        <v>161</v>
      </c>
      <c r="L636" s="2" t="s">
        <v>154</v>
      </c>
      <c r="M636" s="2" t="b">
        <v>1</v>
      </c>
      <c r="N636" s="2" t="b">
        <v>0</v>
      </c>
      <c r="O636" s="2">
        <v>7.3170731707317076</v>
      </c>
      <c r="P636" s="2">
        <v>0.48780487804878048</v>
      </c>
      <c r="Q636" s="2" t="s">
        <v>367</v>
      </c>
      <c r="R636" s="2" t="s">
        <v>147</v>
      </c>
      <c r="S636" s="2">
        <v>9.8399999999999981</v>
      </c>
      <c r="T636" s="2">
        <v>20.16</v>
      </c>
      <c r="U636" s="2" t="b">
        <v>0</v>
      </c>
      <c r="V636" s="2">
        <v>4</v>
      </c>
      <c r="W636" s="2">
        <v>1</v>
      </c>
      <c r="X636" s="2">
        <v>20</v>
      </c>
      <c r="Y636" s="2">
        <v>29.948453608247419</v>
      </c>
    </row>
    <row r="637" spans="1:25" hidden="1">
      <c r="A637" s="2" t="s">
        <v>898</v>
      </c>
      <c r="B637" s="2" t="s">
        <v>149</v>
      </c>
      <c r="C637" s="2" t="s">
        <v>319</v>
      </c>
      <c r="D637" s="3">
        <v>45826.739583333343</v>
      </c>
      <c r="E637" s="3">
        <v>45826.774305555547</v>
      </c>
      <c r="F637" s="2">
        <v>50</v>
      </c>
      <c r="G637" s="2" t="s">
        <v>151</v>
      </c>
      <c r="H637" s="2" t="s">
        <v>152</v>
      </c>
      <c r="I637" s="2">
        <v>4</v>
      </c>
      <c r="J637" s="2">
        <v>8.3000000000000007</v>
      </c>
      <c r="K637" s="2" t="s">
        <v>153</v>
      </c>
      <c r="L637" s="2" t="s">
        <v>145</v>
      </c>
      <c r="M637" s="2" t="b">
        <v>0</v>
      </c>
      <c r="N637" s="2" t="b">
        <v>0</v>
      </c>
      <c r="O637" s="2">
        <v>6.0240963855421681</v>
      </c>
      <c r="P637" s="2">
        <v>0.48192771084337338</v>
      </c>
      <c r="Q637" s="2" t="s">
        <v>367</v>
      </c>
      <c r="R637" s="2" t="s">
        <v>147</v>
      </c>
      <c r="S637" s="2">
        <v>19.920000000000002</v>
      </c>
      <c r="T637" s="2">
        <v>30.08</v>
      </c>
      <c r="U637" s="2" t="b">
        <v>1</v>
      </c>
      <c r="V637" s="2">
        <v>12</v>
      </c>
      <c r="W637" s="2">
        <v>3</v>
      </c>
      <c r="X637" s="2">
        <v>17</v>
      </c>
      <c r="Y637" s="2">
        <v>28.186274509803919</v>
      </c>
    </row>
    <row r="638" spans="1:25" hidden="1">
      <c r="A638" s="2" t="s">
        <v>899</v>
      </c>
      <c r="B638" s="2" t="s">
        <v>142</v>
      </c>
      <c r="C638" s="2" t="s">
        <v>317</v>
      </c>
      <c r="D638" s="3">
        <v>45826.795138888891</v>
      </c>
      <c r="E638" s="3">
        <v>45826.819444444453</v>
      </c>
      <c r="F638" s="2">
        <v>35</v>
      </c>
      <c r="G638" s="2" t="s">
        <v>151</v>
      </c>
      <c r="H638" s="2" t="s">
        <v>168</v>
      </c>
      <c r="I638" s="2">
        <v>4</v>
      </c>
      <c r="J638" s="2">
        <v>5.4</v>
      </c>
      <c r="K638" s="2" t="s">
        <v>143</v>
      </c>
      <c r="L638" s="2" t="s">
        <v>162</v>
      </c>
      <c r="M638" s="2" t="b">
        <v>1</v>
      </c>
      <c r="N638" s="2" t="b">
        <v>0</v>
      </c>
      <c r="O638" s="2">
        <v>6.481481481481481</v>
      </c>
      <c r="P638" s="2">
        <v>0.7407407407407407</v>
      </c>
      <c r="Q638" s="2" t="s">
        <v>367</v>
      </c>
      <c r="R638" s="2" t="s">
        <v>147</v>
      </c>
      <c r="S638" s="2">
        <v>12.96</v>
      </c>
      <c r="T638" s="2">
        <v>22.04</v>
      </c>
      <c r="U638" s="2" t="b">
        <v>1</v>
      </c>
      <c r="V638" s="2">
        <v>12</v>
      </c>
      <c r="W638" s="2">
        <v>2</v>
      </c>
      <c r="X638" s="2">
        <v>19</v>
      </c>
      <c r="Y638" s="2">
        <v>30.259433962264151</v>
      </c>
    </row>
    <row r="639" spans="1:25">
      <c r="A639" s="2" t="s">
        <v>900</v>
      </c>
      <c r="B639" s="2" t="s">
        <v>1615</v>
      </c>
      <c r="C639" s="2" t="s">
        <v>327</v>
      </c>
      <c r="D639" s="3">
        <v>45826.833333333343</v>
      </c>
      <c r="E639" s="3">
        <v>45826.850694444453</v>
      </c>
      <c r="F639" s="2">
        <v>25</v>
      </c>
      <c r="G639" s="2" t="s">
        <v>143</v>
      </c>
      <c r="H639" s="2" t="s">
        <v>152</v>
      </c>
      <c r="I639" s="2">
        <v>3</v>
      </c>
      <c r="J639" s="2">
        <v>4</v>
      </c>
      <c r="K639" s="2" t="s">
        <v>161</v>
      </c>
      <c r="L639" s="2" t="s">
        <v>154</v>
      </c>
      <c r="M639" s="2" t="b">
        <v>1</v>
      </c>
      <c r="N639" s="2" t="b">
        <v>0</v>
      </c>
      <c r="O639" s="2">
        <v>6.25</v>
      </c>
      <c r="P639" s="2">
        <v>0.75</v>
      </c>
      <c r="Q639" s="2" t="s">
        <v>367</v>
      </c>
      <c r="R639" s="2" t="s">
        <v>147</v>
      </c>
      <c r="S639" s="2">
        <v>9.6</v>
      </c>
      <c r="T639" s="2">
        <v>15.4</v>
      </c>
      <c r="U639" s="2" t="b">
        <v>0</v>
      </c>
      <c r="V639" s="2">
        <v>6</v>
      </c>
      <c r="W639" s="2">
        <v>1</v>
      </c>
      <c r="X639" s="2">
        <v>20</v>
      </c>
      <c r="Y639" s="2">
        <v>26.666666666666671</v>
      </c>
    </row>
    <row r="640" spans="1:25" hidden="1">
      <c r="A640" s="2" t="s">
        <v>901</v>
      </c>
      <c r="B640" s="2" t="s">
        <v>165</v>
      </c>
      <c r="C640" s="2" t="s">
        <v>166</v>
      </c>
      <c r="D640" s="3">
        <v>45826.875</v>
      </c>
      <c r="E640" s="3">
        <v>45826.895833333343</v>
      </c>
      <c r="F640" s="2">
        <v>30</v>
      </c>
      <c r="G640" s="2" t="s">
        <v>143</v>
      </c>
      <c r="H640" s="2" t="s">
        <v>144</v>
      </c>
      <c r="I640" s="2">
        <v>2</v>
      </c>
      <c r="J640" s="2">
        <v>4.0999999999999996</v>
      </c>
      <c r="K640" s="2" t="s">
        <v>161</v>
      </c>
      <c r="L640" s="2" t="s">
        <v>145</v>
      </c>
      <c r="M640" s="2" t="b">
        <v>1</v>
      </c>
      <c r="N640" s="2" t="b">
        <v>0</v>
      </c>
      <c r="O640" s="2">
        <v>7.3170731707317076</v>
      </c>
      <c r="P640" s="2">
        <v>0.48780487804878048</v>
      </c>
      <c r="Q640" s="2" t="s">
        <v>367</v>
      </c>
      <c r="R640" s="2" t="s">
        <v>147</v>
      </c>
      <c r="S640" s="2">
        <v>9.8399999999999981</v>
      </c>
      <c r="T640" s="2">
        <v>20.16</v>
      </c>
      <c r="U640" s="2" t="b">
        <v>0</v>
      </c>
      <c r="V640" s="2">
        <v>4</v>
      </c>
      <c r="W640" s="2">
        <v>1</v>
      </c>
      <c r="X640" s="2">
        <v>21</v>
      </c>
      <c r="Y640" s="2">
        <v>29.948453608247419</v>
      </c>
    </row>
    <row r="641" spans="1:25" hidden="1">
      <c r="A641" s="2" t="s">
        <v>902</v>
      </c>
      <c r="B641" s="2" t="s">
        <v>142</v>
      </c>
      <c r="C641" s="2" t="s">
        <v>150</v>
      </c>
      <c r="D641" s="3">
        <v>45827.760416666657</v>
      </c>
      <c r="E641" s="3">
        <v>45827.788194444453</v>
      </c>
      <c r="F641" s="2">
        <v>40</v>
      </c>
      <c r="G641" s="2" t="s">
        <v>151</v>
      </c>
      <c r="H641" s="2" t="s">
        <v>168</v>
      </c>
      <c r="I641" s="2">
        <v>5</v>
      </c>
      <c r="J641" s="2">
        <v>6.3</v>
      </c>
      <c r="K641" s="2" t="s">
        <v>143</v>
      </c>
      <c r="L641" s="2" t="s">
        <v>169</v>
      </c>
      <c r="M641" s="2" t="b">
        <v>1</v>
      </c>
      <c r="N641" s="2" t="b">
        <v>0</v>
      </c>
      <c r="O641" s="2">
        <v>6.3492063492063497</v>
      </c>
      <c r="P641" s="2">
        <v>0.79365079365079372</v>
      </c>
      <c r="Q641" s="2" t="s">
        <v>367</v>
      </c>
      <c r="R641" s="2" t="s">
        <v>171</v>
      </c>
      <c r="S641" s="2">
        <v>15.12</v>
      </c>
      <c r="T641" s="2">
        <v>24.88</v>
      </c>
      <c r="U641" s="2" t="b">
        <v>1</v>
      </c>
      <c r="V641" s="2">
        <v>15</v>
      </c>
      <c r="W641" s="2">
        <v>2</v>
      </c>
      <c r="X641" s="2">
        <v>18</v>
      </c>
      <c r="Y641" s="2">
        <v>30.259433962264151</v>
      </c>
    </row>
    <row r="642" spans="1:25" hidden="1">
      <c r="A642" s="2" t="s">
        <v>903</v>
      </c>
      <c r="B642" s="2" t="s">
        <v>157</v>
      </c>
      <c r="C642" s="2" t="s">
        <v>192</v>
      </c>
      <c r="D642" s="3">
        <v>45827.798611111109</v>
      </c>
      <c r="E642" s="3">
        <v>45827.829861111109</v>
      </c>
      <c r="F642" s="2">
        <v>45</v>
      </c>
      <c r="G642" s="2" t="s">
        <v>167</v>
      </c>
      <c r="H642" s="2" t="s">
        <v>160</v>
      </c>
      <c r="I642" s="2">
        <v>2</v>
      </c>
      <c r="J642" s="2">
        <v>7</v>
      </c>
      <c r="K642" s="2" t="s">
        <v>153</v>
      </c>
      <c r="L642" s="2" t="s">
        <v>154</v>
      </c>
      <c r="M642" s="2" t="b">
        <v>1</v>
      </c>
      <c r="N642" s="2" t="b">
        <v>0</v>
      </c>
      <c r="O642" s="2">
        <v>6.4285714285714288</v>
      </c>
      <c r="P642" s="2">
        <v>0.2857142857142857</v>
      </c>
      <c r="Q642" s="2" t="s">
        <v>367</v>
      </c>
      <c r="R642" s="2" t="s">
        <v>147</v>
      </c>
      <c r="S642" s="2">
        <v>16.8</v>
      </c>
      <c r="T642" s="2">
        <v>28.2</v>
      </c>
      <c r="U642" s="2" t="b">
        <v>1</v>
      </c>
      <c r="V642" s="2">
        <v>8</v>
      </c>
      <c r="W642" s="2">
        <v>3</v>
      </c>
      <c r="X642" s="2">
        <v>19</v>
      </c>
      <c r="Y642" s="2">
        <v>28.844221105527641</v>
      </c>
    </row>
    <row r="643" spans="1:25" hidden="1">
      <c r="A643" s="2" t="s">
        <v>904</v>
      </c>
      <c r="B643" s="2" t="s">
        <v>142</v>
      </c>
      <c r="C643" s="2" t="s">
        <v>317</v>
      </c>
      <c r="D643" s="3">
        <v>45827.833333333343</v>
      </c>
      <c r="E643" s="3">
        <v>45827.854166666657</v>
      </c>
      <c r="F643" s="2">
        <v>30</v>
      </c>
      <c r="G643" s="2" t="s">
        <v>151</v>
      </c>
      <c r="H643" s="2" t="s">
        <v>168</v>
      </c>
      <c r="I643" s="2">
        <v>4</v>
      </c>
      <c r="J643" s="2">
        <v>5.4</v>
      </c>
      <c r="K643" s="2" t="s">
        <v>143</v>
      </c>
      <c r="L643" s="2" t="s">
        <v>145</v>
      </c>
      <c r="M643" s="2" t="b">
        <v>1</v>
      </c>
      <c r="N643" s="2" t="b">
        <v>0</v>
      </c>
      <c r="O643" s="2">
        <v>5.5555555555555554</v>
      </c>
      <c r="P643" s="2">
        <v>0.7407407407407407</v>
      </c>
      <c r="Q643" s="2" t="s">
        <v>367</v>
      </c>
      <c r="R643" s="2" t="s">
        <v>147</v>
      </c>
      <c r="S643" s="2">
        <v>12.96</v>
      </c>
      <c r="T643" s="2">
        <v>17.04</v>
      </c>
      <c r="U643" s="2" t="b">
        <v>0</v>
      </c>
      <c r="V643" s="2">
        <v>12</v>
      </c>
      <c r="W643" s="2">
        <v>2</v>
      </c>
      <c r="X643" s="2">
        <v>20</v>
      </c>
      <c r="Y643" s="2">
        <v>30.259433962264151</v>
      </c>
    </row>
    <row r="644" spans="1:25">
      <c r="A644" s="2" t="s">
        <v>905</v>
      </c>
      <c r="B644" s="2" t="s">
        <v>1615</v>
      </c>
      <c r="C644" s="2" t="s">
        <v>729</v>
      </c>
      <c r="D644" s="3">
        <v>45828.756944444453</v>
      </c>
      <c r="E644" s="3">
        <v>45828.777777777781</v>
      </c>
      <c r="F644" s="2">
        <v>30</v>
      </c>
      <c r="G644" s="2" t="s">
        <v>159</v>
      </c>
      <c r="H644" s="2" t="s">
        <v>655</v>
      </c>
      <c r="I644" s="2">
        <v>3</v>
      </c>
      <c r="J644" s="2">
        <v>3.2</v>
      </c>
      <c r="K644" s="2" t="s">
        <v>143</v>
      </c>
      <c r="L644" s="2" t="s">
        <v>169</v>
      </c>
      <c r="M644" s="2" t="b">
        <v>1</v>
      </c>
      <c r="N644" s="2" t="b">
        <v>0</v>
      </c>
      <c r="O644" s="2">
        <v>9.375</v>
      </c>
      <c r="P644" s="2">
        <v>0.9375</v>
      </c>
      <c r="Q644" s="2" t="s">
        <v>367</v>
      </c>
      <c r="R644" s="2" t="s">
        <v>171</v>
      </c>
      <c r="S644" s="2">
        <v>7.68</v>
      </c>
      <c r="T644" s="2">
        <v>22.32</v>
      </c>
      <c r="U644" s="2" t="b">
        <v>0</v>
      </c>
      <c r="V644" s="2">
        <v>3</v>
      </c>
      <c r="W644" s="2">
        <v>2</v>
      </c>
      <c r="X644" s="2">
        <v>18</v>
      </c>
      <c r="Y644" s="2">
        <v>26.666666666666671</v>
      </c>
    </row>
    <row r="645" spans="1:25" hidden="1">
      <c r="A645" s="2" t="s">
        <v>906</v>
      </c>
      <c r="B645" s="2" t="s">
        <v>165</v>
      </c>
      <c r="C645" s="2" t="s">
        <v>174</v>
      </c>
      <c r="D645" s="3">
        <v>45828.791666666657</v>
      </c>
      <c r="E645" s="3">
        <v>45828.8125</v>
      </c>
      <c r="F645" s="2">
        <v>30</v>
      </c>
      <c r="G645" s="2" t="s">
        <v>143</v>
      </c>
      <c r="H645" s="2" t="s">
        <v>594</v>
      </c>
      <c r="I645" s="2">
        <v>4</v>
      </c>
      <c r="J645" s="2">
        <v>5.8</v>
      </c>
      <c r="K645" s="2" t="s">
        <v>143</v>
      </c>
      <c r="L645" s="2" t="s">
        <v>145</v>
      </c>
      <c r="M645" s="2" t="b">
        <v>1</v>
      </c>
      <c r="N645" s="2" t="b">
        <v>0</v>
      </c>
      <c r="O645" s="2">
        <v>5.1724137931034484</v>
      </c>
      <c r="P645" s="2">
        <v>0.68965517241379315</v>
      </c>
      <c r="Q645" s="2" t="s">
        <v>367</v>
      </c>
      <c r="R645" s="2" t="s">
        <v>147</v>
      </c>
      <c r="S645" s="2">
        <v>13.92</v>
      </c>
      <c r="T645" s="2">
        <v>16.079999999999998</v>
      </c>
      <c r="U645" s="2" t="b">
        <v>0</v>
      </c>
      <c r="V645" s="2">
        <v>8</v>
      </c>
      <c r="W645" s="2">
        <v>2</v>
      </c>
      <c r="X645" s="2">
        <v>19</v>
      </c>
      <c r="Y645" s="2">
        <v>29.948453608247419</v>
      </c>
    </row>
    <row r="646" spans="1:25" hidden="1">
      <c r="A646" s="2" t="s">
        <v>907</v>
      </c>
      <c r="B646" s="2" t="s">
        <v>142</v>
      </c>
      <c r="C646" s="2" t="s">
        <v>182</v>
      </c>
      <c r="D646" s="3">
        <v>45859.791666666657</v>
      </c>
      <c r="E646" s="3">
        <v>45859.826388888891</v>
      </c>
      <c r="F646" s="2">
        <v>50</v>
      </c>
      <c r="G646" s="2" t="s">
        <v>151</v>
      </c>
      <c r="H646" s="2" t="s">
        <v>152</v>
      </c>
      <c r="I646" s="2">
        <v>4</v>
      </c>
      <c r="J646" s="2">
        <v>10</v>
      </c>
      <c r="K646" s="2" t="s">
        <v>153</v>
      </c>
      <c r="L646" s="2" t="s">
        <v>145</v>
      </c>
      <c r="M646" s="2" t="b">
        <v>1</v>
      </c>
      <c r="N646" s="2" t="b">
        <v>0</v>
      </c>
      <c r="O646" s="2">
        <v>5</v>
      </c>
      <c r="P646" s="2">
        <v>0.4</v>
      </c>
      <c r="Q646" s="2" t="s">
        <v>379</v>
      </c>
      <c r="R646" s="2" t="s">
        <v>147</v>
      </c>
      <c r="S646" s="2">
        <v>24</v>
      </c>
      <c r="T646" s="2">
        <v>26</v>
      </c>
      <c r="U646" s="2" t="b">
        <v>1</v>
      </c>
      <c r="V646" s="2">
        <v>12</v>
      </c>
      <c r="W646" s="2">
        <v>3</v>
      </c>
      <c r="X646" s="2">
        <v>19</v>
      </c>
      <c r="Y646" s="2">
        <v>30.259433962264151</v>
      </c>
    </row>
    <row r="647" spans="1:25" hidden="1">
      <c r="A647" s="2" t="s">
        <v>908</v>
      </c>
      <c r="B647" s="2" t="s">
        <v>149</v>
      </c>
      <c r="C647" s="2" t="s">
        <v>329</v>
      </c>
      <c r="D647" s="3">
        <v>45860.833333333343</v>
      </c>
      <c r="E647" s="3">
        <v>45860.857638888891</v>
      </c>
      <c r="F647" s="2">
        <v>35</v>
      </c>
      <c r="G647" s="2" t="s">
        <v>143</v>
      </c>
      <c r="H647" s="2" t="s">
        <v>591</v>
      </c>
      <c r="I647" s="2">
        <v>3</v>
      </c>
      <c r="J647" s="2">
        <v>5.5</v>
      </c>
      <c r="K647" s="2" t="s">
        <v>143</v>
      </c>
      <c r="L647" s="2" t="s">
        <v>154</v>
      </c>
      <c r="M647" s="2" t="b">
        <v>1</v>
      </c>
      <c r="N647" s="2" t="b">
        <v>0</v>
      </c>
      <c r="O647" s="2">
        <v>6.3636363636363633</v>
      </c>
      <c r="P647" s="2">
        <v>0.54545454545454541</v>
      </c>
      <c r="Q647" s="2" t="s">
        <v>379</v>
      </c>
      <c r="R647" s="2" t="s">
        <v>147</v>
      </c>
      <c r="S647" s="2">
        <v>13.2</v>
      </c>
      <c r="T647" s="2">
        <v>21.8</v>
      </c>
      <c r="U647" s="2" t="b">
        <v>1</v>
      </c>
      <c r="V647" s="2">
        <v>6</v>
      </c>
      <c r="W647" s="2">
        <v>2</v>
      </c>
      <c r="X647" s="2">
        <v>20</v>
      </c>
      <c r="Y647" s="2">
        <v>28.186274509803919</v>
      </c>
    </row>
    <row r="648" spans="1:25" hidden="1">
      <c r="A648" s="2" t="s">
        <v>909</v>
      </c>
      <c r="B648" s="2" t="s">
        <v>165</v>
      </c>
      <c r="C648" s="2" t="s">
        <v>190</v>
      </c>
      <c r="D648" s="3">
        <v>45861.770833333343</v>
      </c>
      <c r="E648" s="3">
        <v>45861.784722222219</v>
      </c>
      <c r="F648" s="2">
        <v>20</v>
      </c>
      <c r="G648" s="2" t="s">
        <v>159</v>
      </c>
      <c r="H648" s="2" t="s">
        <v>160</v>
      </c>
      <c r="I648" s="2">
        <v>2</v>
      </c>
      <c r="J648" s="2">
        <v>2</v>
      </c>
      <c r="K648" s="2" t="s">
        <v>161</v>
      </c>
      <c r="L648" s="2" t="s">
        <v>162</v>
      </c>
      <c r="M648" s="2" t="b">
        <v>1</v>
      </c>
      <c r="N648" s="2" t="b">
        <v>0</v>
      </c>
      <c r="O648" s="2">
        <v>10</v>
      </c>
      <c r="P648" s="2">
        <v>1</v>
      </c>
      <c r="Q648" s="2" t="s">
        <v>379</v>
      </c>
      <c r="R648" s="2" t="s">
        <v>147</v>
      </c>
      <c r="S648" s="2">
        <v>4.8</v>
      </c>
      <c r="T648" s="2">
        <v>15.2</v>
      </c>
      <c r="U648" s="2" t="b">
        <v>0</v>
      </c>
      <c r="V648" s="2">
        <v>2</v>
      </c>
      <c r="W648" s="2">
        <v>1</v>
      </c>
      <c r="X648" s="2">
        <v>18</v>
      </c>
      <c r="Y648" s="2">
        <v>29.948453608247419</v>
      </c>
    </row>
    <row r="649" spans="1:25" hidden="1">
      <c r="A649" s="2" t="s">
        <v>910</v>
      </c>
      <c r="B649" s="2" t="s">
        <v>157</v>
      </c>
      <c r="C649" s="2" t="s">
        <v>192</v>
      </c>
      <c r="D649" s="3">
        <v>45862.822916666657</v>
      </c>
      <c r="E649" s="3">
        <v>45862.850694444453</v>
      </c>
      <c r="F649" s="2">
        <v>40</v>
      </c>
      <c r="G649" s="2" t="s">
        <v>167</v>
      </c>
      <c r="H649" s="2" t="s">
        <v>168</v>
      </c>
      <c r="I649" s="2">
        <v>5</v>
      </c>
      <c r="J649" s="2">
        <v>8</v>
      </c>
      <c r="K649" s="2" t="s">
        <v>153</v>
      </c>
      <c r="L649" s="2" t="s">
        <v>145</v>
      </c>
      <c r="M649" s="2" t="b">
        <v>1</v>
      </c>
      <c r="N649" s="2" t="b">
        <v>0</v>
      </c>
      <c r="O649" s="2">
        <v>5</v>
      </c>
      <c r="P649" s="2">
        <v>0.625</v>
      </c>
      <c r="Q649" s="2" t="s">
        <v>379</v>
      </c>
      <c r="R649" s="2" t="s">
        <v>147</v>
      </c>
      <c r="S649" s="2">
        <v>19.2</v>
      </c>
      <c r="T649" s="2">
        <v>20.8</v>
      </c>
      <c r="U649" s="2" t="b">
        <v>1</v>
      </c>
      <c r="V649" s="2">
        <v>20</v>
      </c>
      <c r="W649" s="2">
        <v>3</v>
      </c>
      <c r="X649" s="2">
        <v>19</v>
      </c>
      <c r="Y649" s="2">
        <v>28.844221105527641</v>
      </c>
    </row>
    <row r="650" spans="1:25" hidden="1">
      <c r="A650" s="2" t="s">
        <v>911</v>
      </c>
      <c r="B650" s="2" t="s">
        <v>173</v>
      </c>
      <c r="C650" s="2" t="s">
        <v>194</v>
      </c>
      <c r="D650" s="3">
        <v>45863.760416666657</v>
      </c>
      <c r="E650" s="3">
        <v>45863.78125</v>
      </c>
      <c r="F650" s="2">
        <v>30</v>
      </c>
      <c r="G650" s="2" t="s">
        <v>143</v>
      </c>
      <c r="H650" s="2" t="s">
        <v>655</v>
      </c>
      <c r="I650" s="2">
        <v>3</v>
      </c>
      <c r="J650" s="2">
        <v>4</v>
      </c>
      <c r="K650" s="2" t="s">
        <v>143</v>
      </c>
      <c r="L650" s="2" t="s">
        <v>162</v>
      </c>
      <c r="M650" s="2" t="b">
        <v>1</v>
      </c>
      <c r="N650" s="2" t="b">
        <v>0</v>
      </c>
      <c r="O650" s="2">
        <v>7.5</v>
      </c>
      <c r="P650" s="2">
        <v>0.75</v>
      </c>
      <c r="Q650" s="2" t="s">
        <v>379</v>
      </c>
      <c r="R650" s="2" t="s">
        <v>147</v>
      </c>
      <c r="S650" s="2">
        <v>9.6</v>
      </c>
      <c r="T650" s="2">
        <v>20.399999999999999</v>
      </c>
      <c r="U650" s="2" t="b">
        <v>0</v>
      </c>
      <c r="V650" s="2">
        <v>6</v>
      </c>
      <c r="W650" s="2">
        <v>2</v>
      </c>
      <c r="X650" s="2">
        <v>18</v>
      </c>
      <c r="Y650" s="2">
        <v>30.286458333333329</v>
      </c>
    </row>
    <row r="651" spans="1:25" hidden="1">
      <c r="A651" s="2" t="s">
        <v>912</v>
      </c>
      <c r="B651" s="2" t="s">
        <v>142</v>
      </c>
      <c r="C651" s="2" t="s">
        <v>690</v>
      </c>
      <c r="D651" s="3">
        <v>45864.8125</v>
      </c>
      <c r="E651" s="3">
        <v>45864.840277777781</v>
      </c>
      <c r="F651" s="2">
        <v>40</v>
      </c>
      <c r="G651" s="2" t="s">
        <v>151</v>
      </c>
      <c r="H651" s="2" t="s">
        <v>657</v>
      </c>
      <c r="I651" s="2">
        <v>4</v>
      </c>
      <c r="J651" s="2">
        <v>6.5</v>
      </c>
      <c r="K651" s="2" t="s">
        <v>153</v>
      </c>
      <c r="L651" s="2" t="s">
        <v>169</v>
      </c>
      <c r="M651" s="2" t="b">
        <v>1</v>
      </c>
      <c r="N651" s="2" t="b">
        <v>1</v>
      </c>
      <c r="O651" s="2">
        <v>6.1538461538461542</v>
      </c>
      <c r="P651" s="2">
        <v>0.61538461538461542</v>
      </c>
      <c r="Q651" s="2" t="s">
        <v>379</v>
      </c>
      <c r="R651" s="2" t="s">
        <v>171</v>
      </c>
      <c r="S651" s="2">
        <v>15.6</v>
      </c>
      <c r="T651" s="2">
        <v>24.4</v>
      </c>
      <c r="U651" s="2" t="b">
        <v>1</v>
      </c>
      <c r="V651" s="2">
        <v>12</v>
      </c>
      <c r="W651" s="2">
        <v>3</v>
      </c>
      <c r="X651" s="2">
        <v>19</v>
      </c>
      <c r="Y651" s="2">
        <v>30.259433962264151</v>
      </c>
    </row>
    <row r="652" spans="1:25" hidden="1">
      <c r="A652" s="2" t="s">
        <v>913</v>
      </c>
      <c r="B652" s="2" t="s">
        <v>149</v>
      </c>
      <c r="C652" s="2" t="s">
        <v>333</v>
      </c>
      <c r="D652" s="3">
        <v>45865.864583333343</v>
      </c>
      <c r="E652" s="3">
        <v>45865.885416666657</v>
      </c>
      <c r="F652" s="2">
        <v>30</v>
      </c>
      <c r="G652" s="2" t="s">
        <v>143</v>
      </c>
      <c r="H652" s="2" t="s">
        <v>144</v>
      </c>
      <c r="I652" s="2">
        <v>2</v>
      </c>
      <c r="J652" s="2">
        <v>3.5</v>
      </c>
      <c r="K652" s="2" t="s">
        <v>161</v>
      </c>
      <c r="L652" s="2" t="s">
        <v>145</v>
      </c>
      <c r="M652" s="2" t="b">
        <v>1</v>
      </c>
      <c r="N652" s="2" t="b">
        <v>1</v>
      </c>
      <c r="O652" s="2">
        <v>8.5714285714285712</v>
      </c>
      <c r="P652" s="2">
        <v>0.5714285714285714</v>
      </c>
      <c r="Q652" s="2" t="s">
        <v>379</v>
      </c>
      <c r="R652" s="2" t="s">
        <v>147</v>
      </c>
      <c r="S652" s="2">
        <v>8.4</v>
      </c>
      <c r="T652" s="2">
        <v>21.6</v>
      </c>
      <c r="U652" s="2" t="b">
        <v>0</v>
      </c>
      <c r="V652" s="2">
        <v>4</v>
      </c>
      <c r="W652" s="2">
        <v>1</v>
      </c>
      <c r="X652" s="2">
        <v>20</v>
      </c>
      <c r="Y652" s="2">
        <v>28.186274509803919</v>
      </c>
    </row>
    <row r="653" spans="1:25" hidden="1">
      <c r="A653" s="2" t="s">
        <v>914</v>
      </c>
      <c r="B653" s="2" t="s">
        <v>165</v>
      </c>
      <c r="C653" s="2" t="s">
        <v>335</v>
      </c>
      <c r="D653" s="3">
        <v>45866.75</v>
      </c>
      <c r="E653" s="3">
        <v>45866.770833333343</v>
      </c>
      <c r="F653" s="2">
        <v>30</v>
      </c>
      <c r="G653" s="2" t="s">
        <v>151</v>
      </c>
      <c r="H653" s="2" t="s">
        <v>152</v>
      </c>
      <c r="I653" s="2">
        <v>4</v>
      </c>
      <c r="J653" s="2">
        <v>5</v>
      </c>
      <c r="K653" s="2" t="s">
        <v>143</v>
      </c>
      <c r="L653" s="2" t="s">
        <v>154</v>
      </c>
      <c r="M653" s="2" t="b">
        <v>1</v>
      </c>
      <c r="N653" s="2" t="b">
        <v>0</v>
      </c>
      <c r="O653" s="2">
        <v>6</v>
      </c>
      <c r="P653" s="2">
        <v>0.8</v>
      </c>
      <c r="Q653" s="2" t="s">
        <v>379</v>
      </c>
      <c r="R653" s="2" t="s">
        <v>147</v>
      </c>
      <c r="S653" s="2">
        <v>12</v>
      </c>
      <c r="T653" s="2">
        <v>18</v>
      </c>
      <c r="U653" s="2" t="b">
        <v>0</v>
      </c>
      <c r="V653" s="2">
        <v>12</v>
      </c>
      <c r="W653" s="2">
        <v>2</v>
      </c>
      <c r="X653" s="2">
        <v>18</v>
      </c>
      <c r="Y653" s="2">
        <v>29.948453608247419</v>
      </c>
    </row>
    <row r="654" spans="1:25" hidden="1">
      <c r="A654" s="2" t="s">
        <v>915</v>
      </c>
      <c r="B654" s="2" t="s">
        <v>157</v>
      </c>
      <c r="C654" s="2" t="s">
        <v>687</v>
      </c>
      <c r="D654" s="3">
        <v>45867.802083333343</v>
      </c>
      <c r="E654" s="3">
        <v>45867.829861111109</v>
      </c>
      <c r="F654" s="2">
        <v>40</v>
      </c>
      <c r="G654" s="2" t="s">
        <v>167</v>
      </c>
      <c r="H654" s="2" t="s">
        <v>168</v>
      </c>
      <c r="I654" s="2">
        <v>5</v>
      </c>
      <c r="J654" s="2">
        <v>7</v>
      </c>
      <c r="K654" s="2" t="s">
        <v>153</v>
      </c>
      <c r="L654" s="2" t="s">
        <v>145</v>
      </c>
      <c r="M654" s="2" t="b">
        <v>1</v>
      </c>
      <c r="N654" s="2" t="b">
        <v>0</v>
      </c>
      <c r="O654" s="2">
        <v>5.7142857142857144</v>
      </c>
      <c r="P654" s="2">
        <v>0.7142857142857143</v>
      </c>
      <c r="Q654" s="2" t="s">
        <v>379</v>
      </c>
      <c r="R654" s="2" t="s">
        <v>147</v>
      </c>
      <c r="S654" s="2">
        <v>16.8</v>
      </c>
      <c r="T654" s="2">
        <v>23.2</v>
      </c>
      <c r="U654" s="2" t="b">
        <v>1</v>
      </c>
      <c r="V654" s="2">
        <v>20</v>
      </c>
      <c r="W654" s="2">
        <v>3</v>
      </c>
      <c r="X654" s="2">
        <v>19</v>
      </c>
      <c r="Y654" s="2">
        <v>28.844221105527641</v>
      </c>
    </row>
    <row r="655" spans="1:25" hidden="1">
      <c r="A655" s="2" t="s">
        <v>916</v>
      </c>
      <c r="B655" s="2" t="s">
        <v>173</v>
      </c>
      <c r="C655" s="2" t="s">
        <v>819</v>
      </c>
      <c r="D655" s="3">
        <v>45868.854166666657</v>
      </c>
      <c r="E655" s="3">
        <v>45868.875</v>
      </c>
      <c r="F655" s="2">
        <v>30</v>
      </c>
      <c r="G655" s="2" t="s">
        <v>143</v>
      </c>
      <c r="H655" s="2" t="s">
        <v>160</v>
      </c>
      <c r="I655" s="2">
        <v>2</v>
      </c>
      <c r="J655" s="2">
        <v>4</v>
      </c>
      <c r="K655" s="2" t="s">
        <v>143</v>
      </c>
      <c r="L655" s="2" t="s">
        <v>162</v>
      </c>
      <c r="M655" s="2" t="b">
        <v>1</v>
      </c>
      <c r="N655" s="2" t="b">
        <v>0</v>
      </c>
      <c r="O655" s="2">
        <v>7.5</v>
      </c>
      <c r="P655" s="2">
        <v>0.5</v>
      </c>
      <c r="Q655" s="2" t="s">
        <v>379</v>
      </c>
      <c r="R655" s="2" t="s">
        <v>147</v>
      </c>
      <c r="S655" s="2">
        <v>9.6</v>
      </c>
      <c r="T655" s="2">
        <v>20.399999999999999</v>
      </c>
      <c r="U655" s="2" t="b">
        <v>0</v>
      </c>
      <c r="V655" s="2">
        <v>4</v>
      </c>
      <c r="W655" s="2">
        <v>2</v>
      </c>
      <c r="X655" s="2">
        <v>20</v>
      </c>
      <c r="Y655" s="2">
        <v>30.286458333333329</v>
      </c>
    </row>
    <row r="656" spans="1:25" hidden="1">
      <c r="A656" s="2" t="s">
        <v>917</v>
      </c>
      <c r="B656" s="2" t="s">
        <v>142</v>
      </c>
      <c r="C656" s="2" t="s">
        <v>693</v>
      </c>
      <c r="D656" s="3">
        <v>45869.78125</v>
      </c>
      <c r="E656" s="3">
        <v>45869.809027777781</v>
      </c>
      <c r="F656" s="2">
        <v>40</v>
      </c>
      <c r="G656" s="2" t="s">
        <v>151</v>
      </c>
      <c r="H656" s="2" t="s">
        <v>152</v>
      </c>
      <c r="I656" s="2">
        <v>4</v>
      </c>
      <c r="J656" s="2">
        <v>6</v>
      </c>
      <c r="K656" s="2" t="s">
        <v>153</v>
      </c>
      <c r="L656" s="2" t="s">
        <v>342</v>
      </c>
      <c r="M656" s="2" t="b">
        <v>1</v>
      </c>
      <c r="N656" s="2" t="b">
        <v>0</v>
      </c>
      <c r="O656" s="2">
        <v>6.666666666666667</v>
      </c>
      <c r="P656" s="2">
        <v>0.66666666666666663</v>
      </c>
      <c r="Q656" s="2" t="s">
        <v>379</v>
      </c>
      <c r="R656" s="2" t="s">
        <v>171</v>
      </c>
      <c r="S656" s="2">
        <v>14.4</v>
      </c>
      <c r="T656" s="2">
        <v>25.6</v>
      </c>
      <c r="U656" s="2" t="b">
        <v>1</v>
      </c>
      <c r="V656" s="2">
        <v>12</v>
      </c>
      <c r="W656" s="2">
        <v>3</v>
      </c>
      <c r="X656" s="2">
        <v>18</v>
      </c>
      <c r="Y656" s="2">
        <v>30.259433962264151</v>
      </c>
    </row>
    <row r="657" spans="1:25" hidden="1">
      <c r="A657" s="2" t="s">
        <v>918</v>
      </c>
      <c r="B657" s="2" t="s">
        <v>149</v>
      </c>
      <c r="C657" s="2" t="s">
        <v>339</v>
      </c>
      <c r="D657" s="3">
        <v>45870.833333333343</v>
      </c>
      <c r="E657" s="3">
        <v>45870.854166666657</v>
      </c>
      <c r="F657" s="2">
        <v>30</v>
      </c>
      <c r="G657" s="2" t="s">
        <v>143</v>
      </c>
      <c r="H657" s="2" t="s">
        <v>591</v>
      </c>
      <c r="I657" s="2">
        <v>3</v>
      </c>
      <c r="J657" s="2">
        <v>5</v>
      </c>
      <c r="K657" s="2" t="s">
        <v>143</v>
      </c>
      <c r="L657" s="2" t="s">
        <v>154</v>
      </c>
      <c r="M657" s="2" t="b">
        <v>1</v>
      </c>
      <c r="N657" s="2" t="b">
        <v>0</v>
      </c>
      <c r="O657" s="2">
        <v>6</v>
      </c>
      <c r="P657" s="2">
        <v>0.6</v>
      </c>
      <c r="Q657" s="2" t="s">
        <v>304</v>
      </c>
      <c r="R657" s="2" t="s">
        <v>147</v>
      </c>
      <c r="S657" s="2">
        <v>12</v>
      </c>
      <c r="T657" s="2">
        <v>18</v>
      </c>
      <c r="U657" s="2" t="b">
        <v>0</v>
      </c>
      <c r="V657" s="2">
        <v>6</v>
      </c>
      <c r="W657" s="2">
        <v>2</v>
      </c>
      <c r="X657" s="2">
        <v>20</v>
      </c>
      <c r="Y657" s="2">
        <v>28.186274509803919</v>
      </c>
    </row>
    <row r="658" spans="1:25" hidden="1">
      <c r="A658" s="2" t="s">
        <v>919</v>
      </c>
      <c r="B658" s="2" t="s">
        <v>165</v>
      </c>
      <c r="C658" s="2" t="s">
        <v>695</v>
      </c>
      <c r="D658" s="3">
        <v>45871.770833333343</v>
      </c>
      <c r="E658" s="3">
        <v>45871.791666666657</v>
      </c>
      <c r="F658" s="2">
        <v>30</v>
      </c>
      <c r="G658" s="2" t="s">
        <v>159</v>
      </c>
      <c r="H658" s="2" t="s">
        <v>160</v>
      </c>
      <c r="I658" s="2">
        <v>2</v>
      </c>
      <c r="J658" s="2">
        <v>3</v>
      </c>
      <c r="K658" s="2" t="s">
        <v>161</v>
      </c>
      <c r="L658" s="2" t="s">
        <v>162</v>
      </c>
      <c r="M658" s="2" t="b">
        <v>1</v>
      </c>
      <c r="N658" s="2" t="b">
        <v>1</v>
      </c>
      <c r="O658" s="2">
        <v>10</v>
      </c>
      <c r="P658" s="2">
        <v>0.66666666666666663</v>
      </c>
      <c r="Q658" s="2" t="s">
        <v>304</v>
      </c>
      <c r="R658" s="2" t="s">
        <v>147</v>
      </c>
      <c r="S658" s="2">
        <v>7.1999999999999993</v>
      </c>
      <c r="T658" s="2">
        <v>22.8</v>
      </c>
      <c r="U658" s="2" t="b">
        <v>0</v>
      </c>
      <c r="V658" s="2">
        <v>2</v>
      </c>
      <c r="W658" s="2">
        <v>1</v>
      </c>
      <c r="X658" s="2">
        <v>18</v>
      </c>
      <c r="Y658" s="2">
        <v>29.948453608247419</v>
      </c>
    </row>
    <row r="659" spans="1:25" hidden="1">
      <c r="A659" s="2" t="s">
        <v>920</v>
      </c>
      <c r="B659" s="2" t="s">
        <v>157</v>
      </c>
      <c r="C659" s="2" t="s">
        <v>697</v>
      </c>
      <c r="D659" s="3">
        <v>45872.822916666657</v>
      </c>
      <c r="E659" s="3">
        <v>45872.850694444453</v>
      </c>
      <c r="F659" s="2">
        <v>40</v>
      </c>
      <c r="G659" s="2" t="s">
        <v>167</v>
      </c>
      <c r="H659" s="2" t="s">
        <v>594</v>
      </c>
      <c r="I659" s="2">
        <v>5</v>
      </c>
      <c r="J659" s="2">
        <v>8</v>
      </c>
      <c r="K659" s="2" t="s">
        <v>153</v>
      </c>
      <c r="L659" s="2" t="s">
        <v>145</v>
      </c>
      <c r="M659" s="2" t="b">
        <v>1</v>
      </c>
      <c r="N659" s="2" t="b">
        <v>1</v>
      </c>
      <c r="O659" s="2">
        <v>5</v>
      </c>
      <c r="P659" s="2">
        <v>0.625</v>
      </c>
      <c r="Q659" s="2" t="s">
        <v>304</v>
      </c>
      <c r="R659" s="2" t="s">
        <v>147</v>
      </c>
      <c r="S659" s="2">
        <v>19.2</v>
      </c>
      <c r="T659" s="2">
        <v>20.8</v>
      </c>
      <c r="U659" s="2" t="b">
        <v>1</v>
      </c>
      <c r="V659" s="2">
        <v>20</v>
      </c>
      <c r="W659" s="2">
        <v>3</v>
      </c>
      <c r="X659" s="2">
        <v>19</v>
      </c>
      <c r="Y659" s="2">
        <v>28.844221105527641</v>
      </c>
    </row>
    <row r="660" spans="1:25" hidden="1">
      <c r="A660" s="2" t="s">
        <v>921</v>
      </c>
      <c r="B660" s="2" t="s">
        <v>173</v>
      </c>
      <c r="C660" s="2" t="s">
        <v>699</v>
      </c>
      <c r="D660" s="3">
        <v>45873.75</v>
      </c>
      <c r="E660" s="3">
        <v>45873.770833333343</v>
      </c>
      <c r="F660" s="2">
        <v>30</v>
      </c>
      <c r="G660" s="2" t="s">
        <v>143</v>
      </c>
      <c r="H660" s="2" t="s">
        <v>152</v>
      </c>
      <c r="I660" s="2">
        <v>3</v>
      </c>
      <c r="J660" s="2">
        <v>4</v>
      </c>
      <c r="K660" s="2" t="s">
        <v>143</v>
      </c>
      <c r="L660" s="2" t="s">
        <v>162</v>
      </c>
      <c r="M660" s="2" t="b">
        <v>1</v>
      </c>
      <c r="N660" s="2" t="b">
        <v>0</v>
      </c>
      <c r="O660" s="2">
        <v>7.5</v>
      </c>
      <c r="P660" s="2">
        <v>0.75</v>
      </c>
      <c r="Q660" s="2" t="s">
        <v>304</v>
      </c>
      <c r="R660" s="2" t="s">
        <v>147</v>
      </c>
      <c r="S660" s="2">
        <v>9.6</v>
      </c>
      <c r="T660" s="2">
        <v>20.399999999999999</v>
      </c>
      <c r="U660" s="2" t="b">
        <v>0</v>
      </c>
      <c r="V660" s="2">
        <v>6</v>
      </c>
      <c r="W660" s="2">
        <v>2</v>
      </c>
      <c r="X660" s="2">
        <v>18</v>
      </c>
      <c r="Y660" s="2">
        <v>30.286458333333329</v>
      </c>
    </row>
    <row r="661" spans="1:25" hidden="1">
      <c r="A661" s="2" t="s">
        <v>922</v>
      </c>
      <c r="B661" s="2" t="s">
        <v>142</v>
      </c>
      <c r="C661" s="2" t="s">
        <v>701</v>
      </c>
      <c r="D661" s="3">
        <v>45874.802083333343</v>
      </c>
      <c r="E661" s="3">
        <v>45874.829861111109</v>
      </c>
      <c r="F661" s="2">
        <v>40</v>
      </c>
      <c r="G661" s="2" t="s">
        <v>151</v>
      </c>
      <c r="H661" s="2" t="s">
        <v>144</v>
      </c>
      <c r="I661" s="2">
        <v>4</v>
      </c>
      <c r="J661" s="2">
        <v>6</v>
      </c>
      <c r="K661" s="2" t="s">
        <v>153</v>
      </c>
      <c r="L661" s="2" t="s">
        <v>169</v>
      </c>
      <c r="M661" s="2" t="b">
        <v>1</v>
      </c>
      <c r="N661" s="2" t="b">
        <v>0</v>
      </c>
      <c r="O661" s="2">
        <v>6.666666666666667</v>
      </c>
      <c r="P661" s="2">
        <v>0.66666666666666663</v>
      </c>
      <c r="Q661" s="2" t="s">
        <v>304</v>
      </c>
      <c r="R661" s="2" t="s">
        <v>171</v>
      </c>
      <c r="S661" s="2">
        <v>14.4</v>
      </c>
      <c r="T661" s="2">
        <v>25.6</v>
      </c>
      <c r="U661" s="2" t="b">
        <v>1</v>
      </c>
      <c r="V661" s="2">
        <v>12</v>
      </c>
      <c r="W661" s="2">
        <v>3</v>
      </c>
      <c r="X661" s="2">
        <v>19</v>
      </c>
      <c r="Y661" s="2">
        <v>30.259433962264151</v>
      </c>
    </row>
    <row r="662" spans="1:25" hidden="1">
      <c r="A662" s="2" t="s">
        <v>923</v>
      </c>
      <c r="B662" s="2" t="s">
        <v>149</v>
      </c>
      <c r="C662" s="2" t="s">
        <v>703</v>
      </c>
      <c r="D662" s="3">
        <v>45875.854166666657</v>
      </c>
      <c r="E662" s="3">
        <v>45875.875</v>
      </c>
      <c r="F662" s="2">
        <v>30</v>
      </c>
      <c r="G662" s="2" t="s">
        <v>143</v>
      </c>
      <c r="H662" s="2" t="s">
        <v>144</v>
      </c>
      <c r="I662" s="2">
        <v>2</v>
      </c>
      <c r="J662" s="2">
        <v>3.5</v>
      </c>
      <c r="K662" s="2" t="s">
        <v>161</v>
      </c>
      <c r="L662" s="2" t="s">
        <v>145</v>
      </c>
      <c r="M662" s="2" t="b">
        <v>1</v>
      </c>
      <c r="N662" s="2" t="b">
        <v>0</v>
      </c>
      <c r="O662" s="2">
        <v>8.5714285714285712</v>
      </c>
      <c r="P662" s="2">
        <v>0.5714285714285714</v>
      </c>
      <c r="Q662" s="2" t="s">
        <v>304</v>
      </c>
      <c r="R662" s="2" t="s">
        <v>147</v>
      </c>
      <c r="S662" s="2">
        <v>8.4</v>
      </c>
      <c r="T662" s="2">
        <v>21.6</v>
      </c>
      <c r="U662" s="2" t="b">
        <v>0</v>
      </c>
      <c r="V662" s="2">
        <v>4</v>
      </c>
      <c r="W662" s="2">
        <v>1</v>
      </c>
      <c r="X662" s="2">
        <v>20</v>
      </c>
      <c r="Y662" s="2">
        <v>28.186274509803919</v>
      </c>
    </row>
    <row r="663" spans="1:25" hidden="1">
      <c r="A663" s="2" t="s">
        <v>924</v>
      </c>
      <c r="B663" s="2" t="s">
        <v>165</v>
      </c>
      <c r="C663" s="2" t="s">
        <v>705</v>
      </c>
      <c r="D663" s="3">
        <v>45876.78125</v>
      </c>
      <c r="E663" s="3">
        <v>45876.802083333343</v>
      </c>
      <c r="F663" s="2">
        <v>30</v>
      </c>
      <c r="G663" s="2" t="s">
        <v>151</v>
      </c>
      <c r="H663" s="2" t="s">
        <v>152</v>
      </c>
      <c r="I663" s="2">
        <v>4</v>
      </c>
      <c r="J663" s="2">
        <v>5.5</v>
      </c>
      <c r="K663" s="2" t="s">
        <v>143</v>
      </c>
      <c r="L663" s="2" t="s">
        <v>154</v>
      </c>
      <c r="M663" s="2" t="b">
        <v>1</v>
      </c>
      <c r="N663" s="2" t="b">
        <v>0</v>
      </c>
      <c r="O663" s="2">
        <v>5.4545454545454541</v>
      </c>
      <c r="P663" s="2">
        <v>0.72727272727272729</v>
      </c>
      <c r="Q663" s="2" t="s">
        <v>304</v>
      </c>
      <c r="R663" s="2" t="s">
        <v>147</v>
      </c>
      <c r="S663" s="2">
        <v>13.2</v>
      </c>
      <c r="T663" s="2">
        <v>16.8</v>
      </c>
      <c r="U663" s="2" t="b">
        <v>0</v>
      </c>
      <c r="V663" s="2">
        <v>12</v>
      </c>
      <c r="W663" s="2">
        <v>2</v>
      </c>
      <c r="X663" s="2">
        <v>18</v>
      </c>
      <c r="Y663" s="2">
        <v>29.948453608247419</v>
      </c>
    </row>
    <row r="664" spans="1:25" hidden="1">
      <c r="A664" s="2" t="s">
        <v>925</v>
      </c>
      <c r="B664" s="2" t="s">
        <v>157</v>
      </c>
      <c r="C664" s="2" t="s">
        <v>709</v>
      </c>
      <c r="D664" s="3">
        <v>45877.833333333343</v>
      </c>
      <c r="E664" s="3">
        <v>45877.861111111109</v>
      </c>
      <c r="F664" s="2">
        <v>40</v>
      </c>
      <c r="G664" s="2" t="s">
        <v>167</v>
      </c>
      <c r="H664" s="2" t="s">
        <v>168</v>
      </c>
      <c r="I664" s="2">
        <v>5</v>
      </c>
      <c r="J664" s="2">
        <v>7.5</v>
      </c>
      <c r="K664" s="2" t="s">
        <v>153</v>
      </c>
      <c r="L664" s="2" t="s">
        <v>145</v>
      </c>
      <c r="M664" s="2" t="b">
        <v>1</v>
      </c>
      <c r="N664" s="2" t="b">
        <v>0</v>
      </c>
      <c r="O664" s="2">
        <v>5.333333333333333</v>
      </c>
      <c r="P664" s="2">
        <v>0.66666666666666663</v>
      </c>
      <c r="Q664" s="2" t="s">
        <v>304</v>
      </c>
      <c r="R664" s="2" t="s">
        <v>147</v>
      </c>
      <c r="S664" s="2">
        <v>18</v>
      </c>
      <c r="T664" s="2">
        <v>22</v>
      </c>
      <c r="U664" s="2" t="b">
        <v>1</v>
      </c>
      <c r="V664" s="2">
        <v>20</v>
      </c>
      <c r="W664" s="2">
        <v>3</v>
      </c>
      <c r="X664" s="2">
        <v>20</v>
      </c>
      <c r="Y664" s="2">
        <v>28.844221105527641</v>
      </c>
    </row>
    <row r="665" spans="1:25" hidden="1">
      <c r="A665" s="2" t="s">
        <v>926</v>
      </c>
      <c r="B665" s="2" t="s">
        <v>173</v>
      </c>
      <c r="C665" s="2" t="s">
        <v>188</v>
      </c>
      <c r="D665" s="3">
        <v>45878.760416666657</v>
      </c>
      <c r="E665" s="3">
        <v>45878.78125</v>
      </c>
      <c r="F665" s="2">
        <v>30</v>
      </c>
      <c r="G665" s="2" t="s">
        <v>159</v>
      </c>
      <c r="H665" s="2" t="s">
        <v>160</v>
      </c>
      <c r="I665" s="2">
        <v>1</v>
      </c>
      <c r="J665" s="2">
        <v>2.5</v>
      </c>
      <c r="K665" s="2" t="s">
        <v>161</v>
      </c>
      <c r="L665" s="2" t="s">
        <v>169</v>
      </c>
      <c r="M665" s="2" t="b">
        <v>1</v>
      </c>
      <c r="N665" s="2" t="b">
        <v>1</v>
      </c>
      <c r="O665" s="2">
        <v>12</v>
      </c>
      <c r="P665" s="2">
        <v>0.4</v>
      </c>
      <c r="Q665" s="2" t="s">
        <v>304</v>
      </c>
      <c r="R665" s="2" t="s">
        <v>171</v>
      </c>
      <c r="S665" s="2">
        <v>6</v>
      </c>
      <c r="T665" s="2">
        <v>24</v>
      </c>
      <c r="U665" s="2" t="b">
        <v>0</v>
      </c>
      <c r="V665" s="2">
        <v>1</v>
      </c>
      <c r="W665" s="2">
        <v>1</v>
      </c>
      <c r="X665" s="2">
        <v>18</v>
      </c>
      <c r="Y665" s="2">
        <v>30.286458333333329</v>
      </c>
    </row>
    <row r="666" spans="1:25" hidden="1">
      <c r="A666" s="2" t="s">
        <v>927</v>
      </c>
      <c r="B666" s="2" t="s">
        <v>142</v>
      </c>
      <c r="C666" s="2" t="s">
        <v>712</v>
      </c>
      <c r="D666" s="3">
        <v>45879.8125</v>
      </c>
      <c r="E666" s="3">
        <v>45879.840277777781</v>
      </c>
      <c r="F666" s="2">
        <v>40</v>
      </c>
      <c r="G666" s="2" t="s">
        <v>151</v>
      </c>
      <c r="H666" s="2" t="s">
        <v>152</v>
      </c>
      <c r="I666" s="2">
        <v>4</v>
      </c>
      <c r="J666" s="2">
        <v>6.5</v>
      </c>
      <c r="K666" s="2" t="s">
        <v>153</v>
      </c>
      <c r="L666" s="2" t="s">
        <v>145</v>
      </c>
      <c r="M666" s="2" t="b">
        <v>1</v>
      </c>
      <c r="N666" s="2" t="b">
        <v>1</v>
      </c>
      <c r="O666" s="2">
        <v>6.1538461538461542</v>
      </c>
      <c r="P666" s="2">
        <v>0.61538461538461542</v>
      </c>
      <c r="Q666" s="2" t="s">
        <v>304</v>
      </c>
      <c r="R666" s="2" t="s">
        <v>147</v>
      </c>
      <c r="S666" s="2">
        <v>15.6</v>
      </c>
      <c r="T666" s="2">
        <v>24.4</v>
      </c>
      <c r="U666" s="2" t="b">
        <v>1</v>
      </c>
      <c r="V666" s="2">
        <v>12</v>
      </c>
      <c r="W666" s="2">
        <v>3</v>
      </c>
      <c r="X666" s="2">
        <v>19</v>
      </c>
      <c r="Y666" s="2">
        <v>30.259433962264151</v>
      </c>
    </row>
    <row r="667" spans="1:25" hidden="1">
      <c r="A667" s="2" t="s">
        <v>928</v>
      </c>
      <c r="B667" s="2" t="s">
        <v>149</v>
      </c>
      <c r="C667" s="2" t="s">
        <v>714</v>
      </c>
      <c r="D667" s="3">
        <v>45880.864583333343</v>
      </c>
      <c r="E667" s="3">
        <v>45880.885416666657</v>
      </c>
      <c r="F667" s="2">
        <v>30</v>
      </c>
      <c r="G667" s="2" t="s">
        <v>143</v>
      </c>
      <c r="H667" s="2" t="s">
        <v>591</v>
      </c>
      <c r="I667" s="2">
        <v>3</v>
      </c>
      <c r="J667" s="2">
        <v>5</v>
      </c>
      <c r="K667" s="2" t="s">
        <v>143</v>
      </c>
      <c r="L667" s="2" t="s">
        <v>154</v>
      </c>
      <c r="M667" s="2" t="b">
        <v>1</v>
      </c>
      <c r="N667" s="2" t="b">
        <v>0</v>
      </c>
      <c r="O667" s="2">
        <v>6</v>
      </c>
      <c r="P667" s="2">
        <v>0.6</v>
      </c>
      <c r="Q667" s="2" t="s">
        <v>304</v>
      </c>
      <c r="R667" s="2" t="s">
        <v>147</v>
      </c>
      <c r="S667" s="2">
        <v>12</v>
      </c>
      <c r="T667" s="2">
        <v>18</v>
      </c>
      <c r="U667" s="2" t="b">
        <v>0</v>
      </c>
      <c r="V667" s="2">
        <v>6</v>
      </c>
      <c r="W667" s="2">
        <v>2</v>
      </c>
      <c r="X667" s="2">
        <v>20</v>
      </c>
      <c r="Y667" s="2">
        <v>28.186274509803919</v>
      </c>
    </row>
    <row r="668" spans="1:25" hidden="1">
      <c r="A668" s="2" t="s">
        <v>929</v>
      </c>
      <c r="B668" s="2" t="s">
        <v>165</v>
      </c>
      <c r="C668" s="2" t="s">
        <v>707</v>
      </c>
      <c r="D668" s="3">
        <v>45881.75</v>
      </c>
      <c r="E668" s="3">
        <v>45881.770833333343</v>
      </c>
      <c r="F668" s="2">
        <v>30</v>
      </c>
      <c r="G668" s="2" t="s">
        <v>159</v>
      </c>
      <c r="H668" s="2" t="s">
        <v>160</v>
      </c>
      <c r="I668" s="2">
        <v>2</v>
      </c>
      <c r="J668" s="2">
        <v>3</v>
      </c>
      <c r="K668" s="2" t="s">
        <v>161</v>
      </c>
      <c r="L668" s="2" t="s">
        <v>162</v>
      </c>
      <c r="M668" s="2" t="b">
        <v>1</v>
      </c>
      <c r="N668" s="2" t="b">
        <v>0</v>
      </c>
      <c r="O668" s="2">
        <v>10</v>
      </c>
      <c r="P668" s="2">
        <v>0.66666666666666663</v>
      </c>
      <c r="Q668" s="2" t="s">
        <v>304</v>
      </c>
      <c r="R668" s="2" t="s">
        <v>147</v>
      </c>
      <c r="S668" s="2">
        <v>7.1999999999999993</v>
      </c>
      <c r="T668" s="2">
        <v>22.8</v>
      </c>
      <c r="U668" s="2" t="b">
        <v>0</v>
      </c>
      <c r="V668" s="2">
        <v>2</v>
      </c>
      <c r="W668" s="2">
        <v>1</v>
      </c>
      <c r="X668" s="2">
        <v>18</v>
      </c>
      <c r="Y668" s="2">
        <v>29.948453608247419</v>
      </c>
    </row>
    <row r="669" spans="1:25" hidden="1">
      <c r="A669" s="2" t="s">
        <v>930</v>
      </c>
      <c r="B669" s="2" t="s">
        <v>157</v>
      </c>
      <c r="C669" s="2" t="s">
        <v>931</v>
      </c>
      <c r="D669" s="3">
        <v>45882.802083333343</v>
      </c>
      <c r="E669" s="3">
        <v>45882.829861111109</v>
      </c>
      <c r="F669" s="2">
        <v>40</v>
      </c>
      <c r="G669" s="2" t="s">
        <v>167</v>
      </c>
      <c r="H669" s="2" t="s">
        <v>168</v>
      </c>
      <c r="I669" s="2">
        <v>5</v>
      </c>
      <c r="J669" s="2">
        <v>7</v>
      </c>
      <c r="K669" s="2" t="s">
        <v>153</v>
      </c>
      <c r="L669" s="2" t="s">
        <v>145</v>
      </c>
      <c r="M669" s="2" t="b">
        <v>1</v>
      </c>
      <c r="N669" s="2" t="b">
        <v>0</v>
      </c>
      <c r="O669" s="2">
        <v>5.7142857142857144</v>
      </c>
      <c r="P669" s="2">
        <v>0.7142857142857143</v>
      </c>
      <c r="Q669" s="2" t="s">
        <v>304</v>
      </c>
      <c r="R669" s="2" t="s">
        <v>147</v>
      </c>
      <c r="S669" s="2">
        <v>16.8</v>
      </c>
      <c r="T669" s="2">
        <v>23.2</v>
      </c>
      <c r="U669" s="2" t="b">
        <v>1</v>
      </c>
      <c r="V669" s="2">
        <v>20</v>
      </c>
      <c r="W669" s="2">
        <v>3</v>
      </c>
      <c r="X669" s="2">
        <v>19</v>
      </c>
      <c r="Y669" s="2">
        <v>28.844221105527641</v>
      </c>
    </row>
    <row r="670" spans="1:25" hidden="1">
      <c r="A670" s="2" t="s">
        <v>932</v>
      </c>
      <c r="B670" s="2" t="s">
        <v>173</v>
      </c>
      <c r="C670" s="2" t="s">
        <v>933</v>
      </c>
      <c r="D670" s="3">
        <v>45883.854166666657</v>
      </c>
      <c r="E670" s="3">
        <v>45883.875</v>
      </c>
      <c r="F670" s="2">
        <v>30</v>
      </c>
      <c r="G670" s="2" t="s">
        <v>143</v>
      </c>
      <c r="H670" s="2" t="s">
        <v>152</v>
      </c>
      <c r="I670" s="2">
        <v>3</v>
      </c>
      <c r="J670" s="2">
        <v>4</v>
      </c>
      <c r="K670" s="2" t="s">
        <v>143</v>
      </c>
      <c r="L670" s="2" t="s">
        <v>162</v>
      </c>
      <c r="M670" s="2" t="b">
        <v>1</v>
      </c>
      <c r="N670" s="2" t="b">
        <v>0</v>
      </c>
      <c r="O670" s="2">
        <v>7.5</v>
      </c>
      <c r="P670" s="2">
        <v>0.75</v>
      </c>
      <c r="Q670" s="2" t="s">
        <v>304</v>
      </c>
      <c r="R670" s="2" t="s">
        <v>147</v>
      </c>
      <c r="S670" s="2">
        <v>9.6</v>
      </c>
      <c r="T670" s="2">
        <v>20.399999999999999</v>
      </c>
      <c r="U670" s="2" t="b">
        <v>0</v>
      </c>
      <c r="V670" s="2">
        <v>6</v>
      </c>
      <c r="W670" s="2">
        <v>2</v>
      </c>
      <c r="X670" s="2">
        <v>20</v>
      </c>
      <c r="Y670" s="2">
        <v>30.286458333333329</v>
      </c>
    </row>
    <row r="671" spans="1:25" hidden="1">
      <c r="A671" s="2" t="s">
        <v>934</v>
      </c>
      <c r="B671" s="2" t="s">
        <v>142</v>
      </c>
      <c r="C671" s="2" t="s">
        <v>315</v>
      </c>
      <c r="D671" s="3">
        <v>45884.791666666657</v>
      </c>
      <c r="E671" s="3">
        <v>45884.815972222219</v>
      </c>
      <c r="F671" s="2">
        <v>35</v>
      </c>
      <c r="G671" s="2" t="s">
        <v>151</v>
      </c>
      <c r="H671" s="2" t="s">
        <v>168</v>
      </c>
      <c r="I671" s="2">
        <v>4</v>
      </c>
      <c r="J671" s="2">
        <v>5</v>
      </c>
      <c r="K671" s="2" t="s">
        <v>143</v>
      </c>
      <c r="L671" s="2" t="s">
        <v>145</v>
      </c>
      <c r="M671" s="2" t="b">
        <v>1</v>
      </c>
      <c r="N671" s="2" t="b">
        <v>0</v>
      </c>
      <c r="O671" s="2">
        <v>7</v>
      </c>
      <c r="P671" s="2">
        <v>0.8</v>
      </c>
      <c r="Q671" s="2" t="s">
        <v>304</v>
      </c>
      <c r="R671" s="2" t="s">
        <v>147</v>
      </c>
      <c r="S671" s="2">
        <v>12</v>
      </c>
      <c r="T671" s="2">
        <v>23</v>
      </c>
      <c r="U671" s="2" t="b">
        <v>1</v>
      </c>
      <c r="V671" s="2">
        <v>12</v>
      </c>
      <c r="W671" s="2">
        <v>2</v>
      </c>
      <c r="X671" s="2">
        <v>19</v>
      </c>
      <c r="Y671" s="2">
        <v>30.259433962264151</v>
      </c>
    </row>
    <row r="672" spans="1:25" hidden="1">
      <c r="A672" s="2" t="s">
        <v>935</v>
      </c>
      <c r="B672" s="2" t="s">
        <v>165</v>
      </c>
      <c r="C672" s="2" t="s">
        <v>317</v>
      </c>
      <c r="D672" s="3">
        <v>45885.770833333343</v>
      </c>
      <c r="E672" s="3">
        <v>45885.798611111109</v>
      </c>
      <c r="F672" s="2">
        <v>40</v>
      </c>
      <c r="G672" s="2" t="s">
        <v>143</v>
      </c>
      <c r="H672" s="2" t="s">
        <v>144</v>
      </c>
      <c r="I672" s="2">
        <v>2</v>
      </c>
      <c r="J672" s="2">
        <v>6</v>
      </c>
      <c r="K672" s="2" t="s">
        <v>153</v>
      </c>
      <c r="L672" s="2" t="s">
        <v>154</v>
      </c>
      <c r="M672" s="2" t="b">
        <v>1</v>
      </c>
      <c r="N672" s="2" t="b">
        <v>1</v>
      </c>
      <c r="O672" s="2">
        <v>6.666666666666667</v>
      </c>
      <c r="P672" s="2">
        <v>0.33333333333333331</v>
      </c>
      <c r="Q672" s="2" t="s">
        <v>304</v>
      </c>
      <c r="R672" s="2" t="s">
        <v>147</v>
      </c>
      <c r="S672" s="2">
        <v>14.4</v>
      </c>
      <c r="T672" s="2">
        <v>25.6</v>
      </c>
      <c r="U672" s="2" t="b">
        <v>1</v>
      </c>
      <c r="V672" s="2">
        <v>4</v>
      </c>
      <c r="W672" s="2">
        <v>3</v>
      </c>
      <c r="X672" s="2">
        <v>18</v>
      </c>
      <c r="Y672" s="2">
        <v>29.948453608247419</v>
      </c>
    </row>
    <row r="673" spans="1:25" hidden="1">
      <c r="A673" s="2" t="s">
        <v>936</v>
      </c>
      <c r="B673" s="2" t="s">
        <v>149</v>
      </c>
      <c r="C673" s="2" t="s">
        <v>325</v>
      </c>
      <c r="D673" s="3">
        <v>45886.833333333343</v>
      </c>
      <c r="E673" s="3">
        <v>45886.850694444453</v>
      </c>
      <c r="F673" s="2">
        <v>25</v>
      </c>
      <c r="G673" s="2" t="s">
        <v>143</v>
      </c>
      <c r="H673" s="2" t="s">
        <v>591</v>
      </c>
      <c r="I673" s="2">
        <v>3</v>
      </c>
      <c r="J673" s="2">
        <v>3.5</v>
      </c>
      <c r="K673" s="2" t="s">
        <v>161</v>
      </c>
      <c r="L673" s="2" t="s">
        <v>162</v>
      </c>
      <c r="M673" s="2" t="b">
        <v>1</v>
      </c>
      <c r="N673" s="2" t="b">
        <v>1</v>
      </c>
      <c r="O673" s="2">
        <v>7.1428571428571432</v>
      </c>
      <c r="P673" s="2">
        <v>0.8571428571428571</v>
      </c>
      <c r="Q673" s="2" t="s">
        <v>304</v>
      </c>
      <c r="R673" s="2" t="s">
        <v>147</v>
      </c>
      <c r="S673" s="2">
        <v>8.4</v>
      </c>
      <c r="T673" s="2">
        <v>16.600000000000001</v>
      </c>
      <c r="U673" s="2" t="b">
        <v>0</v>
      </c>
      <c r="V673" s="2">
        <v>6</v>
      </c>
      <c r="W673" s="2">
        <v>1</v>
      </c>
      <c r="X673" s="2">
        <v>20</v>
      </c>
      <c r="Y673" s="2">
        <v>28.186274509803919</v>
      </c>
    </row>
    <row r="674" spans="1:25" hidden="1">
      <c r="A674" s="2" t="s">
        <v>937</v>
      </c>
      <c r="B674" s="2" t="s">
        <v>157</v>
      </c>
      <c r="C674" s="2" t="s">
        <v>323</v>
      </c>
      <c r="D674" s="3">
        <v>45887.802083333343</v>
      </c>
      <c r="E674" s="3">
        <v>45887.829861111109</v>
      </c>
      <c r="F674" s="2">
        <v>40</v>
      </c>
      <c r="G674" s="2" t="s">
        <v>167</v>
      </c>
      <c r="H674" s="2" t="s">
        <v>152</v>
      </c>
      <c r="I674" s="2">
        <v>5</v>
      </c>
      <c r="J674" s="2">
        <v>7</v>
      </c>
      <c r="K674" s="2" t="s">
        <v>153</v>
      </c>
      <c r="L674" s="2" t="s">
        <v>169</v>
      </c>
      <c r="M674" s="2" t="b">
        <v>1</v>
      </c>
      <c r="N674" s="2" t="b">
        <v>0</v>
      </c>
      <c r="O674" s="2">
        <v>5.7142857142857144</v>
      </c>
      <c r="P674" s="2">
        <v>0.7142857142857143</v>
      </c>
      <c r="Q674" s="2" t="s">
        <v>304</v>
      </c>
      <c r="R674" s="2" t="s">
        <v>171</v>
      </c>
      <c r="S674" s="2">
        <v>16.8</v>
      </c>
      <c r="T674" s="2">
        <v>23.2</v>
      </c>
      <c r="U674" s="2" t="b">
        <v>1</v>
      </c>
      <c r="V674" s="2">
        <v>20</v>
      </c>
      <c r="W674" s="2">
        <v>3</v>
      </c>
      <c r="X674" s="2">
        <v>19</v>
      </c>
      <c r="Y674" s="2">
        <v>28.844221105527641</v>
      </c>
    </row>
    <row r="675" spans="1:25" hidden="1">
      <c r="A675" s="2" t="s">
        <v>938</v>
      </c>
      <c r="B675" s="2" t="s">
        <v>173</v>
      </c>
      <c r="C675" s="2" t="s">
        <v>321</v>
      </c>
      <c r="D675" s="3">
        <v>45888.78125</v>
      </c>
      <c r="E675" s="3">
        <v>45888.802083333343</v>
      </c>
      <c r="F675" s="2">
        <v>30</v>
      </c>
      <c r="G675" s="2" t="s">
        <v>143</v>
      </c>
      <c r="H675" s="2" t="s">
        <v>655</v>
      </c>
      <c r="I675" s="2">
        <v>3</v>
      </c>
      <c r="J675" s="2">
        <v>4</v>
      </c>
      <c r="K675" s="2" t="s">
        <v>143</v>
      </c>
      <c r="L675" s="2" t="s">
        <v>145</v>
      </c>
      <c r="M675" s="2" t="b">
        <v>1</v>
      </c>
      <c r="N675" s="2" t="b">
        <v>0</v>
      </c>
      <c r="O675" s="2">
        <v>7.5</v>
      </c>
      <c r="P675" s="2">
        <v>0.75</v>
      </c>
      <c r="Q675" s="2" t="s">
        <v>304</v>
      </c>
      <c r="R675" s="2" t="s">
        <v>147</v>
      </c>
      <c r="S675" s="2">
        <v>9.6</v>
      </c>
      <c r="T675" s="2">
        <v>20.399999999999999</v>
      </c>
      <c r="U675" s="2" t="b">
        <v>0</v>
      </c>
      <c r="V675" s="2">
        <v>6</v>
      </c>
      <c r="W675" s="2">
        <v>2</v>
      </c>
      <c r="X675" s="2">
        <v>18</v>
      </c>
      <c r="Y675" s="2">
        <v>30.286458333333329</v>
      </c>
    </row>
    <row r="676" spans="1:25" hidden="1">
      <c r="A676" s="2" t="s">
        <v>939</v>
      </c>
      <c r="B676" s="2" t="s">
        <v>142</v>
      </c>
      <c r="C676" s="2" t="s">
        <v>329</v>
      </c>
      <c r="D676" s="3">
        <v>45889.854166666657</v>
      </c>
      <c r="E676" s="3">
        <v>45889.875</v>
      </c>
      <c r="F676" s="2">
        <v>30</v>
      </c>
      <c r="G676" s="2" t="s">
        <v>151</v>
      </c>
      <c r="H676" s="2" t="s">
        <v>657</v>
      </c>
      <c r="I676" s="2">
        <v>4</v>
      </c>
      <c r="J676" s="2">
        <v>5.5</v>
      </c>
      <c r="K676" s="2" t="s">
        <v>143</v>
      </c>
      <c r="L676" s="2" t="s">
        <v>162</v>
      </c>
      <c r="M676" s="2" t="b">
        <v>1</v>
      </c>
      <c r="N676" s="2" t="b">
        <v>0</v>
      </c>
      <c r="O676" s="2">
        <v>5.4545454545454541</v>
      </c>
      <c r="P676" s="2">
        <v>0.72727272727272729</v>
      </c>
      <c r="Q676" s="2" t="s">
        <v>304</v>
      </c>
      <c r="R676" s="2" t="s">
        <v>147</v>
      </c>
      <c r="S676" s="2">
        <v>13.2</v>
      </c>
      <c r="T676" s="2">
        <v>16.8</v>
      </c>
      <c r="U676" s="2" t="b">
        <v>0</v>
      </c>
      <c r="V676" s="2">
        <v>12</v>
      </c>
      <c r="W676" s="2">
        <v>2</v>
      </c>
      <c r="X676" s="2">
        <v>20</v>
      </c>
      <c r="Y676" s="2">
        <v>30.259433962264151</v>
      </c>
    </row>
    <row r="677" spans="1:25" hidden="1">
      <c r="A677" s="2" t="s">
        <v>940</v>
      </c>
      <c r="B677" s="2" t="s">
        <v>165</v>
      </c>
      <c r="C677" s="2" t="s">
        <v>327</v>
      </c>
      <c r="D677" s="3">
        <v>45890.791666666657</v>
      </c>
      <c r="E677" s="3">
        <v>45890.8125</v>
      </c>
      <c r="F677" s="2">
        <v>30</v>
      </c>
      <c r="G677" s="2" t="s">
        <v>143</v>
      </c>
      <c r="H677" s="2" t="s">
        <v>144</v>
      </c>
      <c r="I677" s="2">
        <v>2</v>
      </c>
      <c r="J677" s="2">
        <v>4</v>
      </c>
      <c r="K677" s="2" t="s">
        <v>161</v>
      </c>
      <c r="L677" s="2" t="s">
        <v>154</v>
      </c>
      <c r="M677" s="2" t="b">
        <v>1</v>
      </c>
      <c r="N677" s="2" t="b">
        <v>0</v>
      </c>
      <c r="O677" s="2">
        <v>7.5</v>
      </c>
      <c r="P677" s="2">
        <v>0.5</v>
      </c>
      <c r="Q677" s="2" t="s">
        <v>304</v>
      </c>
      <c r="R677" s="2" t="s">
        <v>147</v>
      </c>
      <c r="S677" s="2">
        <v>9.6</v>
      </c>
      <c r="T677" s="2">
        <v>20.399999999999999</v>
      </c>
      <c r="U677" s="2" t="b">
        <v>0</v>
      </c>
      <c r="V677" s="2">
        <v>4</v>
      </c>
      <c r="W677" s="2">
        <v>1</v>
      </c>
      <c r="X677" s="2">
        <v>19</v>
      </c>
      <c r="Y677" s="2">
        <v>29.948453608247419</v>
      </c>
    </row>
    <row r="678" spans="1:25" hidden="1">
      <c r="A678" s="2" t="s">
        <v>941</v>
      </c>
      <c r="B678" s="2" t="s">
        <v>149</v>
      </c>
      <c r="C678" s="2" t="s">
        <v>182</v>
      </c>
      <c r="D678" s="3">
        <v>45891.760416666657</v>
      </c>
      <c r="E678" s="3">
        <v>45891.784722222219</v>
      </c>
      <c r="F678" s="2">
        <v>35</v>
      </c>
      <c r="G678" s="2" t="s">
        <v>143</v>
      </c>
      <c r="H678" s="2" t="s">
        <v>591</v>
      </c>
      <c r="I678" s="2">
        <v>3</v>
      </c>
      <c r="J678" s="2">
        <v>5</v>
      </c>
      <c r="K678" s="2" t="s">
        <v>143</v>
      </c>
      <c r="L678" s="2" t="s">
        <v>145</v>
      </c>
      <c r="M678" s="2" t="b">
        <v>1</v>
      </c>
      <c r="N678" s="2" t="b">
        <v>0</v>
      </c>
      <c r="O678" s="2">
        <v>7</v>
      </c>
      <c r="P678" s="2">
        <v>0.6</v>
      </c>
      <c r="Q678" s="2" t="s">
        <v>304</v>
      </c>
      <c r="R678" s="2" t="s">
        <v>147</v>
      </c>
      <c r="S678" s="2">
        <v>12</v>
      </c>
      <c r="T678" s="2">
        <v>23</v>
      </c>
      <c r="U678" s="2" t="b">
        <v>1</v>
      </c>
      <c r="V678" s="2">
        <v>6</v>
      </c>
      <c r="W678" s="2">
        <v>2</v>
      </c>
      <c r="X678" s="2">
        <v>18</v>
      </c>
      <c r="Y678" s="2">
        <v>28.186274509803919</v>
      </c>
    </row>
    <row r="679" spans="1:25" hidden="1">
      <c r="A679" s="2" t="s">
        <v>942</v>
      </c>
      <c r="B679" s="2" t="s">
        <v>157</v>
      </c>
      <c r="C679" s="2" t="s">
        <v>192</v>
      </c>
      <c r="D679" s="3">
        <v>45892.833333333343</v>
      </c>
      <c r="E679" s="3">
        <v>45892.864583333343</v>
      </c>
      <c r="F679" s="2">
        <v>45</v>
      </c>
      <c r="G679" s="2" t="s">
        <v>167</v>
      </c>
      <c r="H679" s="2" t="s">
        <v>168</v>
      </c>
      <c r="I679" s="2">
        <v>5</v>
      </c>
      <c r="J679" s="2">
        <v>8</v>
      </c>
      <c r="K679" s="2" t="s">
        <v>153</v>
      </c>
      <c r="L679" s="2" t="s">
        <v>169</v>
      </c>
      <c r="M679" s="2" t="b">
        <v>1</v>
      </c>
      <c r="N679" s="2" t="b">
        <v>1</v>
      </c>
      <c r="O679" s="2">
        <v>5.625</v>
      </c>
      <c r="P679" s="2">
        <v>0.625</v>
      </c>
      <c r="Q679" s="2" t="s">
        <v>304</v>
      </c>
      <c r="R679" s="2" t="s">
        <v>171</v>
      </c>
      <c r="S679" s="2">
        <v>19.2</v>
      </c>
      <c r="T679" s="2">
        <v>25.8</v>
      </c>
      <c r="U679" s="2" t="b">
        <v>1</v>
      </c>
      <c r="V679" s="2">
        <v>20</v>
      </c>
      <c r="W679" s="2">
        <v>3</v>
      </c>
      <c r="X679" s="2">
        <v>20</v>
      </c>
      <c r="Y679" s="2">
        <v>28.844221105527641</v>
      </c>
    </row>
    <row r="680" spans="1:25" hidden="1">
      <c r="A680" s="2" t="s">
        <v>943</v>
      </c>
      <c r="B680" s="2" t="s">
        <v>173</v>
      </c>
      <c r="C680" s="2" t="s">
        <v>190</v>
      </c>
      <c r="D680" s="3">
        <v>45893.8125</v>
      </c>
      <c r="E680" s="3">
        <v>45893.833333333343</v>
      </c>
      <c r="F680" s="2">
        <v>30</v>
      </c>
      <c r="G680" s="2" t="s">
        <v>143</v>
      </c>
      <c r="H680" s="2" t="s">
        <v>655</v>
      </c>
      <c r="I680" s="2">
        <v>3</v>
      </c>
      <c r="J680" s="2">
        <v>4.5</v>
      </c>
      <c r="K680" s="2" t="s">
        <v>143</v>
      </c>
      <c r="L680" s="2" t="s">
        <v>162</v>
      </c>
      <c r="M680" s="2" t="b">
        <v>1</v>
      </c>
      <c r="N680" s="2" t="b">
        <v>1</v>
      </c>
      <c r="O680" s="2">
        <v>6.666666666666667</v>
      </c>
      <c r="P680" s="2">
        <v>0.66666666666666663</v>
      </c>
      <c r="Q680" s="2" t="s">
        <v>304</v>
      </c>
      <c r="R680" s="2" t="s">
        <v>147</v>
      </c>
      <c r="S680" s="2">
        <v>10.8</v>
      </c>
      <c r="T680" s="2">
        <v>19.2</v>
      </c>
      <c r="U680" s="2" t="b">
        <v>0</v>
      </c>
      <c r="V680" s="2">
        <v>6</v>
      </c>
      <c r="W680" s="2">
        <v>2</v>
      </c>
      <c r="X680" s="2">
        <v>19</v>
      </c>
      <c r="Y680" s="2">
        <v>30.286458333333329</v>
      </c>
    </row>
    <row r="681" spans="1:25" hidden="1">
      <c r="A681" s="2" t="s">
        <v>944</v>
      </c>
      <c r="B681" s="2" t="s">
        <v>142</v>
      </c>
      <c r="C681" s="2" t="s">
        <v>194</v>
      </c>
      <c r="D681" s="3">
        <v>45894.75</v>
      </c>
      <c r="E681" s="3">
        <v>45894.774305555547</v>
      </c>
      <c r="F681" s="2">
        <v>35</v>
      </c>
      <c r="G681" s="2" t="s">
        <v>151</v>
      </c>
      <c r="H681" s="2" t="s">
        <v>152</v>
      </c>
      <c r="I681" s="2">
        <v>4</v>
      </c>
      <c r="J681" s="2">
        <v>6</v>
      </c>
      <c r="K681" s="2" t="s">
        <v>143</v>
      </c>
      <c r="L681" s="2" t="s">
        <v>145</v>
      </c>
      <c r="M681" s="2" t="b">
        <v>1</v>
      </c>
      <c r="N681" s="2" t="b">
        <v>0</v>
      </c>
      <c r="O681" s="2">
        <v>5.833333333333333</v>
      </c>
      <c r="P681" s="2">
        <v>0.66666666666666663</v>
      </c>
      <c r="Q681" s="2" t="s">
        <v>304</v>
      </c>
      <c r="R681" s="2" t="s">
        <v>147</v>
      </c>
      <c r="S681" s="2">
        <v>14.4</v>
      </c>
      <c r="T681" s="2">
        <v>20.6</v>
      </c>
      <c r="U681" s="2" t="b">
        <v>1</v>
      </c>
      <c r="V681" s="2">
        <v>12</v>
      </c>
      <c r="W681" s="2">
        <v>2</v>
      </c>
      <c r="X681" s="2">
        <v>18</v>
      </c>
      <c r="Y681" s="2">
        <v>30.259433962264151</v>
      </c>
    </row>
    <row r="682" spans="1:25" hidden="1">
      <c r="A682" s="2" t="s">
        <v>945</v>
      </c>
      <c r="B682" s="2" t="s">
        <v>165</v>
      </c>
      <c r="C682" s="2" t="s">
        <v>333</v>
      </c>
      <c r="D682" s="3">
        <v>45895.802083333343</v>
      </c>
      <c r="E682" s="3">
        <v>45895.822916666657</v>
      </c>
      <c r="F682" s="2">
        <v>30</v>
      </c>
      <c r="G682" s="2" t="s">
        <v>143</v>
      </c>
      <c r="H682" s="2" t="s">
        <v>144</v>
      </c>
      <c r="I682" s="2">
        <v>2</v>
      </c>
      <c r="J682" s="2">
        <v>4</v>
      </c>
      <c r="K682" s="2" t="s">
        <v>161</v>
      </c>
      <c r="L682" s="2" t="s">
        <v>154</v>
      </c>
      <c r="M682" s="2" t="b">
        <v>1</v>
      </c>
      <c r="N682" s="2" t="b">
        <v>0</v>
      </c>
      <c r="O682" s="2">
        <v>7.5</v>
      </c>
      <c r="P682" s="2">
        <v>0.5</v>
      </c>
      <c r="Q682" s="2" t="s">
        <v>304</v>
      </c>
      <c r="R682" s="2" t="s">
        <v>147</v>
      </c>
      <c r="S682" s="2">
        <v>9.6</v>
      </c>
      <c r="T682" s="2">
        <v>20.399999999999999</v>
      </c>
      <c r="U682" s="2" t="b">
        <v>0</v>
      </c>
      <c r="V682" s="2">
        <v>4</v>
      </c>
      <c r="W682" s="2">
        <v>1</v>
      </c>
      <c r="X682" s="2">
        <v>19</v>
      </c>
      <c r="Y682" s="2">
        <v>29.948453608247419</v>
      </c>
    </row>
    <row r="683" spans="1:25" hidden="1">
      <c r="A683" s="2" t="s">
        <v>946</v>
      </c>
      <c r="B683" s="2" t="s">
        <v>149</v>
      </c>
      <c r="C683" s="2" t="s">
        <v>337</v>
      </c>
      <c r="D683" s="3">
        <v>45896.854166666657</v>
      </c>
      <c r="E683" s="3">
        <v>45896.875</v>
      </c>
      <c r="F683" s="2">
        <v>30</v>
      </c>
      <c r="G683" s="2" t="s">
        <v>143</v>
      </c>
      <c r="H683" s="2" t="s">
        <v>591</v>
      </c>
      <c r="I683" s="2">
        <v>3</v>
      </c>
      <c r="J683" s="2">
        <v>5</v>
      </c>
      <c r="K683" s="2" t="s">
        <v>143</v>
      </c>
      <c r="L683" s="2" t="s">
        <v>162</v>
      </c>
      <c r="M683" s="2" t="b">
        <v>1</v>
      </c>
      <c r="N683" s="2" t="b">
        <v>0</v>
      </c>
      <c r="O683" s="2">
        <v>6</v>
      </c>
      <c r="P683" s="2">
        <v>0.6</v>
      </c>
      <c r="Q683" s="2" t="s">
        <v>304</v>
      </c>
      <c r="R683" s="2" t="s">
        <v>147</v>
      </c>
      <c r="S683" s="2">
        <v>12</v>
      </c>
      <c r="T683" s="2">
        <v>18</v>
      </c>
      <c r="U683" s="2" t="b">
        <v>0</v>
      </c>
      <c r="V683" s="2">
        <v>6</v>
      </c>
      <c r="W683" s="2">
        <v>2</v>
      </c>
      <c r="X683" s="2">
        <v>20</v>
      </c>
      <c r="Y683" s="2">
        <v>28.186274509803919</v>
      </c>
    </row>
    <row r="684" spans="1:25" hidden="1">
      <c r="A684" s="2" t="s">
        <v>947</v>
      </c>
      <c r="B684" s="2" t="s">
        <v>157</v>
      </c>
      <c r="C684" s="2" t="s">
        <v>339</v>
      </c>
      <c r="D684" s="3">
        <v>45897.78125</v>
      </c>
      <c r="E684" s="3">
        <v>45897.809027777781</v>
      </c>
      <c r="F684" s="2">
        <v>40</v>
      </c>
      <c r="G684" s="2" t="s">
        <v>167</v>
      </c>
      <c r="H684" s="2" t="s">
        <v>168</v>
      </c>
      <c r="I684" s="2">
        <v>5</v>
      </c>
      <c r="J684" s="2">
        <v>7.5</v>
      </c>
      <c r="K684" s="2" t="s">
        <v>153</v>
      </c>
      <c r="L684" s="2" t="s">
        <v>145</v>
      </c>
      <c r="M684" s="2" t="b">
        <v>1</v>
      </c>
      <c r="N684" s="2" t="b">
        <v>0</v>
      </c>
      <c r="O684" s="2">
        <v>5.333333333333333</v>
      </c>
      <c r="P684" s="2">
        <v>0.66666666666666663</v>
      </c>
      <c r="Q684" s="2" t="s">
        <v>304</v>
      </c>
      <c r="R684" s="2" t="s">
        <v>147</v>
      </c>
      <c r="S684" s="2">
        <v>18</v>
      </c>
      <c r="T684" s="2">
        <v>22</v>
      </c>
      <c r="U684" s="2" t="b">
        <v>1</v>
      </c>
      <c r="V684" s="2">
        <v>20</v>
      </c>
      <c r="W684" s="2">
        <v>3</v>
      </c>
      <c r="X684" s="2">
        <v>18</v>
      </c>
      <c r="Y684" s="2">
        <v>28.844221105527641</v>
      </c>
    </row>
    <row r="685" spans="1:25" hidden="1">
      <c r="A685" s="2" t="s">
        <v>948</v>
      </c>
      <c r="B685" s="2" t="s">
        <v>173</v>
      </c>
      <c r="C685" s="2" t="s">
        <v>690</v>
      </c>
      <c r="D685" s="3">
        <v>45898.791666666657</v>
      </c>
      <c r="E685" s="3">
        <v>45898.8125</v>
      </c>
      <c r="F685" s="2">
        <v>30</v>
      </c>
      <c r="G685" s="2" t="s">
        <v>143</v>
      </c>
      <c r="H685" s="2" t="s">
        <v>655</v>
      </c>
      <c r="I685" s="2">
        <v>3</v>
      </c>
      <c r="J685" s="2">
        <v>4</v>
      </c>
      <c r="K685" s="2" t="s">
        <v>143</v>
      </c>
      <c r="L685" s="2" t="s">
        <v>169</v>
      </c>
      <c r="M685" s="2" t="b">
        <v>1</v>
      </c>
      <c r="N685" s="2" t="b">
        <v>0</v>
      </c>
      <c r="O685" s="2">
        <v>7.5</v>
      </c>
      <c r="P685" s="2">
        <v>0.75</v>
      </c>
      <c r="Q685" s="2" t="s">
        <v>304</v>
      </c>
      <c r="R685" s="2" t="s">
        <v>171</v>
      </c>
      <c r="S685" s="2">
        <v>9.6</v>
      </c>
      <c r="T685" s="2">
        <v>20.399999999999999</v>
      </c>
      <c r="U685" s="2" t="b">
        <v>0</v>
      </c>
      <c r="V685" s="2">
        <v>6</v>
      </c>
      <c r="W685" s="2">
        <v>2</v>
      </c>
      <c r="X685" s="2">
        <v>19</v>
      </c>
      <c r="Y685" s="2">
        <v>30.286458333333329</v>
      </c>
    </row>
    <row r="686" spans="1:25" hidden="1">
      <c r="A686" s="2" t="s">
        <v>949</v>
      </c>
      <c r="B686" s="2" t="s">
        <v>142</v>
      </c>
      <c r="C686" s="2" t="s">
        <v>807</v>
      </c>
      <c r="D686" s="3">
        <v>45899.84375</v>
      </c>
      <c r="E686" s="3">
        <v>45899.864583333343</v>
      </c>
      <c r="F686" s="2">
        <v>30</v>
      </c>
      <c r="G686" s="2" t="s">
        <v>151</v>
      </c>
      <c r="H686" s="2" t="s">
        <v>657</v>
      </c>
      <c r="I686" s="2">
        <v>4</v>
      </c>
      <c r="J686" s="2">
        <v>5.5</v>
      </c>
      <c r="K686" s="2" t="s">
        <v>143</v>
      </c>
      <c r="L686" s="2" t="s">
        <v>162</v>
      </c>
      <c r="M686" s="2" t="b">
        <v>1</v>
      </c>
      <c r="N686" s="2" t="b">
        <v>1</v>
      </c>
      <c r="O686" s="2">
        <v>5.4545454545454541</v>
      </c>
      <c r="P686" s="2">
        <v>0.72727272727272729</v>
      </c>
      <c r="Q686" s="2" t="s">
        <v>304</v>
      </c>
      <c r="R686" s="2" t="s">
        <v>147</v>
      </c>
      <c r="S686" s="2">
        <v>13.2</v>
      </c>
      <c r="T686" s="2">
        <v>16.8</v>
      </c>
      <c r="U686" s="2" t="b">
        <v>0</v>
      </c>
      <c r="V686" s="2">
        <v>12</v>
      </c>
      <c r="W686" s="2">
        <v>2</v>
      </c>
      <c r="X686" s="2">
        <v>20</v>
      </c>
      <c r="Y686" s="2">
        <v>30.259433962264151</v>
      </c>
    </row>
    <row r="687" spans="1:25" hidden="1">
      <c r="A687" s="2" t="s">
        <v>950</v>
      </c>
      <c r="B687" s="2" t="s">
        <v>165</v>
      </c>
      <c r="C687" s="2" t="s">
        <v>817</v>
      </c>
      <c r="D687" s="3">
        <v>45900.770833333343</v>
      </c>
      <c r="E687" s="3">
        <v>45900.791666666657</v>
      </c>
      <c r="F687" s="2">
        <v>30</v>
      </c>
      <c r="G687" s="2" t="s">
        <v>143</v>
      </c>
      <c r="H687" s="2" t="s">
        <v>144</v>
      </c>
      <c r="I687" s="2">
        <v>2</v>
      </c>
      <c r="J687" s="2">
        <v>4</v>
      </c>
      <c r="K687" s="2" t="s">
        <v>161</v>
      </c>
      <c r="L687" s="2" t="s">
        <v>154</v>
      </c>
      <c r="M687" s="2" t="b">
        <v>1</v>
      </c>
      <c r="N687" s="2" t="b">
        <v>1</v>
      </c>
      <c r="O687" s="2">
        <v>7.5</v>
      </c>
      <c r="P687" s="2">
        <v>0.5</v>
      </c>
      <c r="Q687" s="2" t="s">
        <v>304</v>
      </c>
      <c r="R687" s="2" t="s">
        <v>147</v>
      </c>
      <c r="S687" s="2">
        <v>9.6</v>
      </c>
      <c r="T687" s="2">
        <v>20.399999999999999</v>
      </c>
      <c r="U687" s="2" t="b">
        <v>0</v>
      </c>
      <c r="V687" s="2">
        <v>4</v>
      </c>
      <c r="W687" s="2">
        <v>1</v>
      </c>
      <c r="X687" s="2">
        <v>18</v>
      </c>
      <c r="Y687" s="2">
        <v>29.948453608247419</v>
      </c>
    </row>
    <row r="688" spans="1:25" hidden="1">
      <c r="A688" s="2" t="s">
        <v>951</v>
      </c>
      <c r="B688" s="2" t="s">
        <v>149</v>
      </c>
      <c r="C688" s="2" t="s">
        <v>819</v>
      </c>
      <c r="D688" s="3">
        <v>45901.822916666657</v>
      </c>
      <c r="E688" s="3">
        <v>45901.84375</v>
      </c>
      <c r="F688" s="2">
        <v>30</v>
      </c>
      <c r="G688" s="2" t="s">
        <v>143</v>
      </c>
      <c r="H688" s="2" t="s">
        <v>591</v>
      </c>
      <c r="I688" s="2">
        <v>3</v>
      </c>
      <c r="J688" s="2">
        <v>5</v>
      </c>
      <c r="K688" s="2" t="s">
        <v>143</v>
      </c>
      <c r="L688" s="2" t="s">
        <v>145</v>
      </c>
      <c r="M688" s="2" t="b">
        <v>1</v>
      </c>
      <c r="N688" s="2" t="b">
        <v>0</v>
      </c>
      <c r="O688" s="2">
        <v>6</v>
      </c>
      <c r="P688" s="2">
        <v>0.6</v>
      </c>
      <c r="Q688" s="2" t="s">
        <v>442</v>
      </c>
      <c r="R688" s="2" t="s">
        <v>147</v>
      </c>
      <c r="S688" s="2">
        <v>12</v>
      </c>
      <c r="T688" s="2">
        <v>18</v>
      </c>
      <c r="U688" s="2" t="b">
        <v>0</v>
      </c>
      <c r="V688" s="2">
        <v>6</v>
      </c>
      <c r="W688" s="2">
        <v>2</v>
      </c>
      <c r="X688" s="2">
        <v>19</v>
      </c>
      <c r="Y688" s="2">
        <v>28.186274509803919</v>
      </c>
    </row>
    <row r="689" spans="1:25" hidden="1">
      <c r="A689" s="2" t="s">
        <v>952</v>
      </c>
      <c r="B689" s="2" t="s">
        <v>157</v>
      </c>
      <c r="C689" s="2" t="s">
        <v>693</v>
      </c>
      <c r="D689" s="3">
        <v>45902.833333333343</v>
      </c>
      <c r="E689" s="3">
        <v>45902.861111111109</v>
      </c>
      <c r="F689" s="2">
        <v>40</v>
      </c>
      <c r="G689" s="2" t="s">
        <v>167</v>
      </c>
      <c r="H689" s="2" t="s">
        <v>168</v>
      </c>
      <c r="I689" s="2">
        <v>5</v>
      </c>
      <c r="J689" s="2">
        <v>8</v>
      </c>
      <c r="K689" s="2" t="s">
        <v>153</v>
      </c>
      <c r="L689" s="2" t="s">
        <v>162</v>
      </c>
      <c r="M689" s="2" t="b">
        <v>1</v>
      </c>
      <c r="N689" s="2" t="b">
        <v>0</v>
      </c>
      <c r="O689" s="2">
        <v>5</v>
      </c>
      <c r="P689" s="2">
        <v>0.625</v>
      </c>
      <c r="Q689" s="2" t="s">
        <v>442</v>
      </c>
      <c r="R689" s="2" t="s">
        <v>147</v>
      </c>
      <c r="S689" s="2">
        <v>19.2</v>
      </c>
      <c r="T689" s="2">
        <v>20.8</v>
      </c>
      <c r="U689" s="2" t="b">
        <v>1</v>
      </c>
      <c r="V689" s="2">
        <v>20</v>
      </c>
      <c r="W689" s="2">
        <v>3</v>
      </c>
      <c r="X689" s="2">
        <v>20</v>
      </c>
      <c r="Y689" s="2">
        <v>28.844221105527641</v>
      </c>
    </row>
    <row r="690" spans="1:25" hidden="1">
      <c r="A690" s="2" t="s">
        <v>953</v>
      </c>
      <c r="B690" s="2" t="s">
        <v>173</v>
      </c>
      <c r="C690" s="2" t="s">
        <v>695</v>
      </c>
      <c r="D690" s="3">
        <v>45903.760416666657</v>
      </c>
      <c r="E690" s="3">
        <v>45903.78125</v>
      </c>
      <c r="F690" s="2">
        <v>30</v>
      </c>
      <c r="G690" s="2" t="s">
        <v>143</v>
      </c>
      <c r="H690" s="2" t="s">
        <v>655</v>
      </c>
      <c r="I690" s="2">
        <v>3</v>
      </c>
      <c r="J690" s="2">
        <v>4</v>
      </c>
      <c r="K690" s="2" t="s">
        <v>143</v>
      </c>
      <c r="L690" s="2" t="s">
        <v>145</v>
      </c>
      <c r="M690" s="2" t="b">
        <v>1</v>
      </c>
      <c r="N690" s="2" t="b">
        <v>0</v>
      </c>
      <c r="O690" s="2">
        <v>7.5</v>
      </c>
      <c r="P690" s="2">
        <v>0.75</v>
      </c>
      <c r="Q690" s="2" t="s">
        <v>442</v>
      </c>
      <c r="R690" s="2" t="s">
        <v>147</v>
      </c>
      <c r="S690" s="2">
        <v>9.6</v>
      </c>
      <c r="T690" s="2">
        <v>20.399999999999999</v>
      </c>
      <c r="U690" s="2" t="b">
        <v>0</v>
      </c>
      <c r="V690" s="2">
        <v>6</v>
      </c>
      <c r="W690" s="2">
        <v>2</v>
      </c>
      <c r="X690" s="2">
        <v>18</v>
      </c>
      <c r="Y690" s="2">
        <v>30.286458333333329</v>
      </c>
    </row>
    <row r="691" spans="1:25" hidden="1">
      <c r="A691" s="2" t="s">
        <v>954</v>
      </c>
      <c r="B691" s="2" t="s">
        <v>142</v>
      </c>
      <c r="C691" s="2" t="s">
        <v>697</v>
      </c>
      <c r="D691" s="3">
        <v>45904.8125</v>
      </c>
      <c r="E691" s="3">
        <v>45904.833333333343</v>
      </c>
      <c r="F691" s="2">
        <v>30</v>
      </c>
      <c r="G691" s="2" t="s">
        <v>151</v>
      </c>
      <c r="H691" s="2" t="s">
        <v>152</v>
      </c>
      <c r="I691" s="2">
        <v>4</v>
      </c>
      <c r="J691" s="2">
        <v>6</v>
      </c>
      <c r="K691" s="2" t="s">
        <v>143</v>
      </c>
      <c r="L691" s="2" t="s">
        <v>169</v>
      </c>
      <c r="M691" s="2" t="b">
        <v>1</v>
      </c>
      <c r="N691" s="2" t="b">
        <v>0</v>
      </c>
      <c r="O691" s="2">
        <v>5</v>
      </c>
      <c r="P691" s="2">
        <v>0.66666666666666663</v>
      </c>
      <c r="Q691" s="2" t="s">
        <v>442</v>
      </c>
      <c r="R691" s="2" t="s">
        <v>171</v>
      </c>
      <c r="S691" s="2">
        <v>14.4</v>
      </c>
      <c r="T691" s="2">
        <v>15.6</v>
      </c>
      <c r="U691" s="2" t="b">
        <v>0</v>
      </c>
      <c r="V691" s="2">
        <v>12</v>
      </c>
      <c r="W691" s="2">
        <v>2</v>
      </c>
      <c r="X691" s="2">
        <v>19</v>
      </c>
      <c r="Y691" s="2">
        <v>30.259433962264151</v>
      </c>
    </row>
    <row r="692" spans="1:25" hidden="1">
      <c r="A692" s="2" t="s">
        <v>955</v>
      </c>
      <c r="B692" s="2" t="s">
        <v>165</v>
      </c>
      <c r="C692" s="2" t="s">
        <v>699</v>
      </c>
      <c r="D692" s="3">
        <v>45905.864583333343</v>
      </c>
      <c r="E692" s="3">
        <v>45905.885416666657</v>
      </c>
      <c r="F692" s="2">
        <v>30</v>
      </c>
      <c r="G692" s="2" t="s">
        <v>143</v>
      </c>
      <c r="H692" s="2" t="s">
        <v>144</v>
      </c>
      <c r="I692" s="2">
        <v>2</v>
      </c>
      <c r="J692" s="2">
        <v>4</v>
      </c>
      <c r="K692" s="2" t="s">
        <v>161</v>
      </c>
      <c r="L692" s="2" t="s">
        <v>154</v>
      </c>
      <c r="M692" s="2" t="b">
        <v>1</v>
      </c>
      <c r="N692" s="2" t="b">
        <v>0</v>
      </c>
      <c r="O692" s="2">
        <v>7.5</v>
      </c>
      <c r="P692" s="2">
        <v>0.5</v>
      </c>
      <c r="Q692" s="2" t="s">
        <v>442</v>
      </c>
      <c r="R692" s="2" t="s">
        <v>147</v>
      </c>
      <c r="S692" s="2">
        <v>9.6</v>
      </c>
      <c r="T692" s="2">
        <v>20.399999999999999</v>
      </c>
      <c r="U692" s="2" t="b">
        <v>0</v>
      </c>
      <c r="V692" s="2">
        <v>4</v>
      </c>
      <c r="W692" s="2">
        <v>1</v>
      </c>
      <c r="X692" s="2">
        <v>20</v>
      </c>
      <c r="Y692" s="2">
        <v>29.948453608247419</v>
      </c>
    </row>
    <row r="693" spans="1:25" hidden="1">
      <c r="A693" s="2" t="s">
        <v>956</v>
      </c>
      <c r="B693" s="2" t="s">
        <v>149</v>
      </c>
      <c r="C693" s="2" t="s">
        <v>701</v>
      </c>
      <c r="D693" s="3">
        <v>45906.75</v>
      </c>
      <c r="E693" s="3">
        <v>45906.770833333343</v>
      </c>
      <c r="F693" s="2">
        <v>30</v>
      </c>
      <c r="G693" s="2" t="s">
        <v>143</v>
      </c>
      <c r="H693" s="2" t="s">
        <v>591</v>
      </c>
      <c r="I693" s="2">
        <v>3</v>
      </c>
      <c r="J693" s="2">
        <v>5</v>
      </c>
      <c r="K693" s="2" t="s">
        <v>143</v>
      </c>
      <c r="L693" s="2" t="s">
        <v>162</v>
      </c>
      <c r="M693" s="2" t="b">
        <v>1</v>
      </c>
      <c r="N693" s="2" t="b">
        <v>1</v>
      </c>
      <c r="O693" s="2">
        <v>6</v>
      </c>
      <c r="P693" s="2">
        <v>0.6</v>
      </c>
      <c r="Q693" s="2" t="s">
        <v>442</v>
      </c>
      <c r="R693" s="2" t="s">
        <v>147</v>
      </c>
      <c r="S693" s="2">
        <v>12</v>
      </c>
      <c r="T693" s="2">
        <v>18</v>
      </c>
      <c r="U693" s="2" t="b">
        <v>0</v>
      </c>
      <c r="V693" s="2">
        <v>6</v>
      </c>
      <c r="W693" s="2">
        <v>2</v>
      </c>
      <c r="X693" s="2">
        <v>18</v>
      </c>
      <c r="Y693" s="2">
        <v>28.186274509803919</v>
      </c>
    </row>
    <row r="694" spans="1:25" hidden="1">
      <c r="A694" s="2" t="s">
        <v>957</v>
      </c>
      <c r="B694" s="2" t="s">
        <v>157</v>
      </c>
      <c r="C694" s="2" t="s">
        <v>703</v>
      </c>
      <c r="D694" s="3">
        <v>45907.802083333343</v>
      </c>
      <c r="E694" s="3">
        <v>45907.829861111109</v>
      </c>
      <c r="F694" s="2">
        <v>40</v>
      </c>
      <c r="G694" s="2" t="s">
        <v>167</v>
      </c>
      <c r="H694" s="2" t="s">
        <v>168</v>
      </c>
      <c r="I694" s="2">
        <v>5</v>
      </c>
      <c r="J694" s="2">
        <v>7</v>
      </c>
      <c r="K694" s="2" t="s">
        <v>153</v>
      </c>
      <c r="L694" s="2" t="s">
        <v>145</v>
      </c>
      <c r="M694" s="2" t="b">
        <v>1</v>
      </c>
      <c r="N694" s="2" t="b">
        <v>1</v>
      </c>
      <c r="O694" s="2">
        <v>5.7142857142857144</v>
      </c>
      <c r="P694" s="2">
        <v>0.7142857142857143</v>
      </c>
      <c r="Q694" s="2" t="s">
        <v>442</v>
      </c>
      <c r="R694" s="2" t="s">
        <v>147</v>
      </c>
      <c r="S694" s="2">
        <v>16.8</v>
      </c>
      <c r="T694" s="2">
        <v>23.2</v>
      </c>
      <c r="U694" s="2" t="b">
        <v>1</v>
      </c>
      <c r="V694" s="2">
        <v>20</v>
      </c>
      <c r="W694" s="2">
        <v>3</v>
      </c>
      <c r="X694" s="2">
        <v>19</v>
      </c>
      <c r="Y694" s="2">
        <v>28.844221105527641</v>
      </c>
    </row>
    <row r="695" spans="1:25" hidden="1">
      <c r="A695" s="2" t="s">
        <v>958</v>
      </c>
      <c r="B695" s="2" t="s">
        <v>173</v>
      </c>
      <c r="C695" s="2" t="s">
        <v>705</v>
      </c>
      <c r="D695" s="3">
        <v>45908.854166666657</v>
      </c>
      <c r="E695" s="3">
        <v>45908.875</v>
      </c>
      <c r="F695" s="2">
        <v>30</v>
      </c>
      <c r="G695" s="2" t="s">
        <v>143</v>
      </c>
      <c r="H695" s="2" t="s">
        <v>655</v>
      </c>
      <c r="I695" s="2">
        <v>3</v>
      </c>
      <c r="J695" s="2">
        <v>4.5</v>
      </c>
      <c r="K695" s="2" t="s">
        <v>143</v>
      </c>
      <c r="L695" s="2" t="s">
        <v>169</v>
      </c>
      <c r="M695" s="2" t="b">
        <v>1</v>
      </c>
      <c r="N695" s="2" t="b">
        <v>0</v>
      </c>
      <c r="O695" s="2">
        <v>6.666666666666667</v>
      </c>
      <c r="P695" s="2">
        <v>0.66666666666666663</v>
      </c>
      <c r="Q695" s="2" t="s">
        <v>442</v>
      </c>
      <c r="R695" s="2" t="s">
        <v>171</v>
      </c>
      <c r="S695" s="2">
        <v>10.8</v>
      </c>
      <c r="T695" s="2">
        <v>19.2</v>
      </c>
      <c r="U695" s="2" t="b">
        <v>0</v>
      </c>
      <c r="V695" s="2">
        <v>6</v>
      </c>
      <c r="W695" s="2">
        <v>2</v>
      </c>
      <c r="X695" s="2">
        <v>20</v>
      </c>
      <c r="Y695" s="2">
        <v>30.286458333333329</v>
      </c>
    </row>
    <row r="696" spans="1:25" hidden="1">
      <c r="A696" s="2" t="s">
        <v>959</v>
      </c>
      <c r="B696" s="2" t="s">
        <v>142</v>
      </c>
      <c r="C696" s="2" t="s">
        <v>709</v>
      </c>
      <c r="D696" s="3">
        <v>45909.78125</v>
      </c>
      <c r="E696" s="3">
        <v>45909.802083333343</v>
      </c>
      <c r="F696" s="2">
        <v>30</v>
      </c>
      <c r="G696" s="2" t="s">
        <v>151</v>
      </c>
      <c r="H696" s="2" t="s">
        <v>657</v>
      </c>
      <c r="I696" s="2">
        <v>4</v>
      </c>
      <c r="J696" s="2">
        <v>5.5</v>
      </c>
      <c r="K696" s="2" t="s">
        <v>143</v>
      </c>
      <c r="L696" s="2" t="s">
        <v>162</v>
      </c>
      <c r="M696" s="2" t="b">
        <v>1</v>
      </c>
      <c r="N696" s="2" t="b">
        <v>0</v>
      </c>
      <c r="O696" s="2">
        <v>5.4545454545454541</v>
      </c>
      <c r="P696" s="2">
        <v>0.72727272727272729</v>
      </c>
      <c r="Q696" s="2" t="s">
        <v>442</v>
      </c>
      <c r="R696" s="2" t="s">
        <v>147</v>
      </c>
      <c r="S696" s="2">
        <v>13.2</v>
      </c>
      <c r="T696" s="2">
        <v>16.8</v>
      </c>
      <c r="U696" s="2" t="b">
        <v>0</v>
      </c>
      <c r="V696" s="2">
        <v>12</v>
      </c>
      <c r="W696" s="2">
        <v>2</v>
      </c>
      <c r="X696" s="2">
        <v>18</v>
      </c>
      <c r="Y696" s="2">
        <v>30.259433962264151</v>
      </c>
    </row>
    <row r="697" spans="1:25" hidden="1">
      <c r="A697" s="2" t="s">
        <v>960</v>
      </c>
      <c r="B697" s="2" t="s">
        <v>165</v>
      </c>
      <c r="C697" s="2" t="s">
        <v>188</v>
      </c>
      <c r="D697" s="3">
        <v>45910.791666666657</v>
      </c>
      <c r="E697" s="3">
        <v>45910.8125</v>
      </c>
      <c r="F697" s="2">
        <v>30</v>
      </c>
      <c r="G697" s="2" t="s">
        <v>143</v>
      </c>
      <c r="H697" s="2" t="s">
        <v>144</v>
      </c>
      <c r="I697" s="2">
        <v>2</v>
      </c>
      <c r="J697" s="2">
        <v>4</v>
      </c>
      <c r="K697" s="2" t="s">
        <v>161</v>
      </c>
      <c r="L697" s="2" t="s">
        <v>154</v>
      </c>
      <c r="M697" s="2" t="b">
        <v>1</v>
      </c>
      <c r="N697" s="2" t="b">
        <v>0</v>
      </c>
      <c r="O697" s="2">
        <v>7.5</v>
      </c>
      <c r="P697" s="2">
        <v>0.5</v>
      </c>
      <c r="Q697" s="2" t="s">
        <v>442</v>
      </c>
      <c r="R697" s="2" t="s">
        <v>147</v>
      </c>
      <c r="S697" s="2">
        <v>9.6</v>
      </c>
      <c r="T697" s="2">
        <v>20.399999999999999</v>
      </c>
      <c r="U697" s="2" t="b">
        <v>0</v>
      </c>
      <c r="V697" s="2">
        <v>4</v>
      </c>
      <c r="W697" s="2">
        <v>1</v>
      </c>
      <c r="X697" s="2">
        <v>19</v>
      </c>
      <c r="Y697" s="2">
        <v>29.948453608247419</v>
      </c>
    </row>
    <row r="698" spans="1:25" hidden="1">
      <c r="A698" s="2" t="s">
        <v>961</v>
      </c>
      <c r="B698" s="2" t="s">
        <v>149</v>
      </c>
      <c r="C698" s="2" t="s">
        <v>712</v>
      </c>
      <c r="D698" s="3">
        <v>45911.84375</v>
      </c>
      <c r="E698" s="3">
        <v>45911.864583333343</v>
      </c>
      <c r="F698" s="2">
        <v>30</v>
      </c>
      <c r="G698" s="2" t="s">
        <v>143</v>
      </c>
      <c r="H698" s="2" t="s">
        <v>591</v>
      </c>
      <c r="I698" s="2">
        <v>3</v>
      </c>
      <c r="J698" s="2">
        <v>5</v>
      </c>
      <c r="K698" s="2" t="s">
        <v>143</v>
      </c>
      <c r="L698" s="2" t="s">
        <v>162</v>
      </c>
      <c r="M698" s="2" t="b">
        <v>1</v>
      </c>
      <c r="N698" s="2" t="b">
        <v>0</v>
      </c>
      <c r="O698" s="2">
        <v>6</v>
      </c>
      <c r="P698" s="2">
        <v>0.6</v>
      </c>
      <c r="Q698" s="2" t="s">
        <v>442</v>
      </c>
      <c r="R698" s="2" t="s">
        <v>147</v>
      </c>
      <c r="S698" s="2">
        <v>12</v>
      </c>
      <c r="T698" s="2">
        <v>18</v>
      </c>
      <c r="U698" s="2" t="b">
        <v>0</v>
      </c>
      <c r="V698" s="2">
        <v>6</v>
      </c>
      <c r="W698" s="2">
        <v>2</v>
      </c>
      <c r="X698" s="2">
        <v>20</v>
      </c>
      <c r="Y698" s="2">
        <v>28.186274509803919</v>
      </c>
    </row>
    <row r="699" spans="1:25" hidden="1">
      <c r="A699" s="2" t="s">
        <v>962</v>
      </c>
      <c r="B699" s="2" t="s">
        <v>157</v>
      </c>
      <c r="C699" s="2" t="s">
        <v>693</v>
      </c>
      <c r="D699" s="3">
        <v>45912.8125</v>
      </c>
      <c r="E699" s="3">
        <v>45912.833333333343</v>
      </c>
      <c r="F699" s="2">
        <v>30</v>
      </c>
      <c r="G699" s="2" t="s">
        <v>167</v>
      </c>
      <c r="H699" s="2" t="s">
        <v>168</v>
      </c>
      <c r="I699" s="2">
        <v>5</v>
      </c>
      <c r="J699" s="2">
        <v>6</v>
      </c>
      <c r="K699" s="2" t="s">
        <v>153</v>
      </c>
      <c r="L699" s="2" t="s">
        <v>145</v>
      </c>
      <c r="M699" s="2" t="b">
        <v>1</v>
      </c>
      <c r="N699" s="2" t="b">
        <v>0</v>
      </c>
      <c r="O699" s="2">
        <v>5</v>
      </c>
      <c r="P699" s="2">
        <v>0.83333333333333337</v>
      </c>
      <c r="Q699" s="2" t="s">
        <v>442</v>
      </c>
      <c r="R699" s="2" t="s">
        <v>147</v>
      </c>
      <c r="S699" s="2">
        <v>14.4</v>
      </c>
      <c r="T699" s="2">
        <v>15.6</v>
      </c>
      <c r="U699" s="2" t="b">
        <v>0</v>
      </c>
      <c r="V699" s="2">
        <v>20</v>
      </c>
      <c r="W699" s="2">
        <v>3</v>
      </c>
      <c r="X699" s="2">
        <v>19</v>
      </c>
      <c r="Y699" s="2">
        <v>28.844221105527641</v>
      </c>
    </row>
    <row r="700" spans="1:25" hidden="1">
      <c r="A700" s="2" t="s">
        <v>963</v>
      </c>
      <c r="B700" s="2" t="s">
        <v>173</v>
      </c>
      <c r="C700" s="2" t="s">
        <v>695</v>
      </c>
      <c r="D700" s="3">
        <v>45913.78125</v>
      </c>
      <c r="E700" s="3">
        <v>45913.802083333343</v>
      </c>
      <c r="F700" s="2">
        <v>30</v>
      </c>
      <c r="G700" s="2" t="s">
        <v>143</v>
      </c>
      <c r="H700" s="2" t="s">
        <v>655</v>
      </c>
      <c r="I700" s="2">
        <v>3</v>
      </c>
      <c r="J700" s="2">
        <v>4.5</v>
      </c>
      <c r="K700" s="2" t="s">
        <v>143</v>
      </c>
      <c r="L700" s="2" t="s">
        <v>169</v>
      </c>
      <c r="M700" s="2" t="b">
        <v>1</v>
      </c>
      <c r="N700" s="2" t="b">
        <v>1</v>
      </c>
      <c r="O700" s="2">
        <v>6.666666666666667</v>
      </c>
      <c r="P700" s="2">
        <v>0.66666666666666663</v>
      </c>
      <c r="Q700" s="2" t="s">
        <v>442</v>
      </c>
      <c r="R700" s="2" t="s">
        <v>171</v>
      </c>
      <c r="S700" s="2">
        <v>10.8</v>
      </c>
      <c r="T700" s="2">
        <v>19.2</v>
      </c>
      <c r="U700" s="2" t="b">
        <v>0</v>
      </c>
      <c r="V700" s="2">
        <v>6</v>
      </c>
      <c r="W700" s="2">
        <v>2</v>
      </c>
      <c r="X700" s="2">
        <v>18</v>
      </c>
      <c r="Y700" s="2">
        <v>30.286458333333329</v>
      </c>
    </row>
    <row r="701" spans="1:25" hidden="1">
      <c r="A701" s="2" t="s">
        <v>964</v>
      </c>
      <c r="B701" s="2" t="s">
        <v>142</v>
      </c>
      <c r="C701" s="2" t="s">
        <v>697</v>
      </c>
      <c r="D701" s="3">
        <v>45914.833333333343</v>
      </c>
      <c r="E701" s="3">
        <v>45914.854166666657</v>
      </c>
      <c r="F701" s="2">
        <v>30</v>
      </c>
      <c r="G701" s="2" t="s">
        <v>151</v>
      </c>
      <c r="H701" s="2" t="s">
        <v>657</v>
      </c>
      <c r="I701" s="2">
        <v>4</v>
      </c>
      <c r="J701" s="2">
        <v>5.5</v>
      </c>
      <c r="K701" s="2" t="s">
        <v>143</v>
      </c>
      <c r="L701" s="2" t="s">
        <v>162</v>
      </c>
      <c r="M701" s="2" t="b">
        <v>1</v>
      </c>
      <c r="N701" s="2" t="b">
        <v>1</v>
      </c>
      <c r="O701" s="2">
        <v>5.4545454545454541</v>
      </c>
      <c r="P701" s="2">
        <v>0.72727272727272729</v>
      </c>
      <c r="Q701" s="2" t="s">
        <v>442</v>
      </c>
      <c r="R701" s="2" t="s">
        <v>147</v>
      </c>
      <c r="S701" s="2">
        <v>13.2</v>
      </c>
      <c r="T701" s="2">
        <v>16.8</v>
      </c>
      <c r="U701" s="2" t="b">
        <v>0</v>
      </c>
      <c r="V701" s="2">
        <v>12</v>
      </c>
      <c r="W701" s="2">
        <v>2</v>
      </c>
      <c r="X701" s="2">
        <v>20</v>
      </c>
      <c r="Y701" s="2">
        <v>30.259433962264151</v>
      </c>
    </row>
    <row r="702" spans="1:25" hidden="1">
      <c r="A702" s="2" t="s">
        <v>965</v>
      </c>
      <c r="B702" s="2" t="s">
        <v>165</v>
      </c>
      <c r="C702" s="2" t="s">
        <v>188</v>
      </c>
      <c r="D702" s="3">
        <v>45915.802083333343</v>
      </c>
      <c r="E702" s="3">
        <v>45915.822916666657</v>
      </c>
      <c r="F702" s="2">
        <v>30</v>
      </c>
      <c r="G702" s="2" t="s">
        <v>143</v>
      </c>
      <c r="H702" s="2" t="s">
        <v>144</v>
      </c>
      <c r="I702" s="2">
        <v>2</v>
      </c>
      <c r="J702" s="2">
        <v>4</v>
      </c>
      <c r="K702" s="2" t="s">
        <v>161</v>
      </c>
      <c r="L702" s="2" t="s">
        <v>154</v>
      </c>
      <c r="M702" s="2" t="b">
        <v>1</v>
      </c>
      <c r="N702" s="2" t="b">
        <v>0</v>
      </c>
      <c r="O702" s="2">
        <v>7.5</v>
      </c>
      <c r="P702" s="2">
        <v>0.5</v>
      </c>
      <c r="Q702" s="2" t="s">
        <v>442</v>
      </c>
      <c r="R702" s="2" t="s">
        <v>147</v>
      </c>
      <c r="S702" s="2">
        <v>9.6</v>
      </c>
      <c r="T702" s="2">
        <v>20.399999999999999</v>
      </c>
      <c r="U702" s="2" t="b">
        <v>0</v>
      </c>
      <c r="V702" s="2">
        <v>4</v>
      </c>
      <c r="W702" s="2">
        <v>1</v>
      </c>
      <c r="X702" s="2">
        <v>19</v>
      </c>
      <c r="Y702" s="2">
        <v>29.948453608247419</v>
      </c>
    </row>
    <row r="703" spans="1:25" hidden="1">
      <c r="A703" s="2" t="s">
        <v>966</v>
      </c>
      <c r="B703" s="2" t="s">
        <v>149</v>
      </c>
      <c r="C703" s="2" t="s">
        <v>712</v>
      </c>
      <c r="D703" s="3">
        <v>45916.854166666657</v>
      </c>
      <c r="E703" s="3">
        <v>45916.875</v>
      </c>
      <c r="F703" s="2">
        <v>30</v>
      </c>
      <c r="G703" s="2" t="s">
        <v>143</v>
      </c>
      <c r="H703" s="2" t="s">
        <v>591</v>
      </c>
      <c r="I703" s="2">
        <v>3</v>
      </c>
      <c r="J703" s="2">
        <v>5</v>
      </c>
      <c r="K703" s="2" t="s">
        <v>143</v>
      </c>
      <c r="L703" s="2" t="s">
        <v>145</v>
      </c>
      <c r="M703" s="2" t="b">
        <v>1</v>
      </c>
      <c r="N703" s="2" t="b">
        <v>0</v>
      </c>
      <c r="O703" s="2">
        <v>6</v>
      </c>
      <c r="P703" s="2">
        <v>0.6</v>
      </c>
      <c r="Q703" s="2" t="s">
        <v>442</v>
      </c>
      <c r="R703" s="2" t="s">
        <v>147</v>
      </c>
      <c r="S703" s="2">
        <v>12</v>
      </c>
      <c r="T703" s="2">
        <v>18</v>
      </c>
      <c r="U703" s="2" t="b">
        <v>0</v>
      </c>
      <c r="V703" s="2">
        <v>6</v>
      </c>
      <c r="W703" s="2">
        <v>2</v>
      </c>
      <c r="X703" s="2">
        <v>20</v>
      </c>
      <c r="Y703" s="2">
        <v>28.186274509803919</v>
      </c>
    </row>
    <row r="704" spans="1:25" hidden="1">
      <c r="A704" s="2" t="s">
        <v>967</v>
      </c>
      <c r="B704" s="2" t="s">
        <v>157</v>
      </c>
      <c r="C704" s="2" t="s">
        <v>693</v>
      </c>
      <c r="D704" s="3">
        <v>45917.822916666657</v>
      </c>
      <c r="E704" s="3">
        <v>45917.84375</v>
      </c>
      <c r="F704" s="2">
        <v>30</v>
      </c>
      <c r="G704" s="2" t="s">
        <v>167</v>
      </c>
      <c r="H704" s="2" t="s">
        <v>168</v>
      </c>
      <c r="I704" s="2">
        <v>5</v>
      </c>
      <c r="J704" s="2">
        <v>6</v>
      </c>
      <c r="K704" s="2" t="s">
        <v>153</v>
      </c>
      <c r="L704" s="2" t="s">
        <v>162</v>
      </c>
      <c r="M704" s="2" t="b">
        <v>1</v>
      </c>
      <c r="N704" s="2" t="b">
        <v>0</v>
      </c>
      <c r="O704" s="2">
        <v>5</v>
      </c>
      <c r="P704" s="2">
        <v>0.83333333333333337</v>
      </c>
      <c r="Q704" s="2" t="s">
        <v>442</v>
      </c>
      <c r="R704" s="2" t="s">
        <v>147</v>
      </c>
      <c r="S704" s="2">
        <v>14.4</v>
      </c>
      <c r="T704" s="2">
        <v>15.6</v>
      </c>
      <c r="U704" s="2" t="b">
        <v>0</v>
      </c>
      <c r="V704" s="2">
        <v>20</v>
      </c>
      <c r="W704" s="2">
        <v>3</v>
      </c>
      <c r="X704" s="2">
        <v>19</v>
      </c>
      <c r="Y704" s="2">
        <v>28.844221105527641</v>
      </c>
    </row>
    <row r="705" spans="1:25" hidden="1">
      <c r="A705" s="2" t="s">
        <v>968</v>
      </c>
      <c r="B705" s="2" t="s">
        <v>173</v>
      </c>
      <c r="C705" s="2" t="s">
        <v>695</v>
      </c>
      <c r="D705" s="3">
        <v>45918.75</v>
      </c>
      <c r="E705" s="3">
        <v>45918.770833333343</v>
      </c>
      <c r="F705" s="2">
        <v>30</v>
      </c>
      <c r="G705" s="2" t="s">
        <v>143</v>
      </c>
      <c r="H705" s="2" t="s">
        <v>655</v>
      </c>
      <c r="I705" s="2">
        <v>3</v>
      </c>
      <c r="J705" s="2">
        <v>4.5</v>
      </c>
      <c r="K705" s="2" t="s">
        <v>143</v>
      </c>
      <c r="L705" s="2" t="s">
        <v>169</v>
      </c>
      <c r="M705" s="2" t="b">
        <v>1</v>
      </c>
      <c r="N705" s="2" t="b">
        <v>0</v>
      </c>
      <c r="O705" s="2">
        <v>6.666666666666667</v>
      </c>
      <c r="P705" s="2">
        <v>0.66666666666666663</v>
      </c>
      <c r="Q705" s="2" t="s">
        <v>442</v>
      </c>
      <c r="R705" s="2" t="s">
        <v>171</v>
      </c>
      <c r="S705" s="2">
        <v>10.8</v>
      </c>
      <c r="T705" s="2">
        <v>19.2</v>
      </c>
      <c r="U705" s="2" t="b">
        <v>0</v>
      </c>
      <c r="V705" s="2">
        <v>6</v>
      </c>
      <c r="W705" s="2">
        <v>2</v>
      </c>
      <c r="X705" s="2">
        <v>18</v>
      </c>
      <c r="Y705" s="2">
        <v>30.286458333333329</v>
      </c>
    </row>
    <row r="706" spans="1:25" hidden="1">
      <c r="A706" s="2" t="s">
        <v>969</v>
      </c>
      <c r="B706" s="2" t="s">
        <v>142</v>
      </c>
      <c r="C706" s="2" t="s">
        <v>697</v>
      </c>
      <c r="D706" s="3">
        <v>45919.84375</v>
      </c>
      <c r="E706" s="3">
        <v>45919.864583333343</v>
      </c>
      <c r="F706" s="2">
        <v>30</v>
      </c>
      <c r="G706" s="2" t="s">
        <v>151</v>
      </c>
      <c r="H706" s="2" t="s">
        <v>657</v>
      </c>
      <c r="I706" s="2">
        <v>4</v>
      </c>
      <c r="J706" s="2">
        <v>5.5</v>
      </c>
      <c r="K706" s="2" t="s">
        <v>143</v>
      </c>
      <c r="L706" s="2" t="s">
        <v>162</v>
      </c>
      <c r="M706" s="2" t="b">
        <v>1</v>
      </c>
      <c r="N706" s="2" t="b">
        <v>0</v>
      </c>
      <c r="O706" s="2">
        <v>5.4545454545454541</v>
      </c>
      <c r="P706" s="2">
        <v>0.72727272727272729</v>
      </c>
      <c r="Q706" s="2" t="s">
        <v>442</v>
      </c>
      <c r="R706" s="2" t="s">
        <v>147</v>
      </c>
      <c r="S706" s="2">
        <v>13.2</v>
      </c>
      <c r="T706" s="2">
        <v>16.8</v>
      </c>
      <c r="U706" s="2" t="b">
        <v>0</v>
      </c>
      <c r="V706" s="2">
        <v>12</v>
      </c>
      <c r="W706" s="2">
        <v>2</v>
      </c>
      <c r="X706" s="2">
        <v>20</v>
      </c>
      <c r="Y706" s="2">
        <v>30.259433962264151</v>
      </c>
    </row>
    <row r="707" spans="1:25" hidden="1">
      <c r="A707" s="2" t="s">
        <v>970</v>
      </c>
      <c r="B707" s="2" t="s">
        <v>165</v>
      </c>
      <c r="C707" s="2" t="s">
        <v>188</v>
      </c>
      <c r="D707" s="3">
        <v>45920.8125</v>
      </c>
      <c r="E707" s="3">
        <v>45920.833333333343</v>
      </c>
      <c r="F707" s="2">
        <v>30</v>
      </c>
      <c r="G707" s="2" t="s">
        <v>143</v>
      </c>
      <c r="H707" s="2" t="s">
        <v>144</v>
      </c>
      <c r="I707" s="2">
        <v>2</v>
      </c>
      <c r="J707" s="2">
        <v>4</v>
      </c>
      <c r="K707" s="2" t="s">
        <v>161</v>
      </c>
      <c r="L707" s="2" t="s">
        <v>154</v>
      </c>
      <c r="M707" s="2" t="b">
        <v>1</v>
      </c>
      <c r="N707" s="2" t="b">
        <v>1</v>
      </c>
      <c r="O707" s="2">
        <v>7.5</v>
      </c>
      <c r="P707" s="2">
        <v>0.5</v>
      </c>
      <c r="Q707" s="2" t="s">
        <v>442</v>
      </c>
      <c r="R707" s="2" t="s">
        <v>147</v>
      </c>
      <c r="S707" s="2">
        <v>9.6</v>
      </c>
      <c r="T707" s="2">
        <v>20.399999999999999</v>
      </c>
      <c r="U707" s="2" t="b">
        <v>0</v>
      </c>
      <c r="V707" s="2">
        <v>4</v>
      </c>
      <c r="W707" s="2">
        <v>1</v>
      </c>
      <c r="X707" s="2">
        <v>19</v>
      </c>
      <c r="Y707" s="2">
        <v>29.948453608247419</v>
      </c>
    </row>
    <row r="708" spans="1:25" hidden="1">
      <c r="A708" s="2" t="s">
        <v>971</v>
      </c>
      <c r="B708" s="2" t="s">
        <v>149</v>
      </c>
      <c r="C708" s="2" t="s">
        <v>712</v>
      </c>
      <c r="D708" s="3">
        <v>45921.864583333343</v>
      </c>
      <c r="E708" s="3">
        <v>45921.885416666657</v>
      </c>
      <c r="F708" s="2">
        <v>30</v>
      </c>
      <c r="G708" s="2" t="s">
        <v>143</v>
      </c>
      <c r="H708" s="2" t="s">
        <v>591</v>
      </c>
      <c r="I708" s="2">
        <v>3</v>
      </c>
      <c r="J708" s="2">
        <v>5</v>
      </c>
      <c r="K708" s="2" t="s">
        <v>143</v>
      </c>
      <c r="L708" s="2" t="s">
        <v>145</v>
      </c>
      <c r="M708" s="2" t="b">
        <v>1</v>
      </c>
      <c r="N708" s="2" t="b">
        <v>1</v>
      </c>
      <c r="O708" s="2">
        <v>6</v>
      </c>
      <c r="P708" s="2">
        <v>0.6</v>
      </c>
      <c r="Q708" s="2" t="s">
        <v>442</v>
      </c>
      <c r="R708" s="2" t="s">
        <v>147</v>
      </c>
      <c r="S708" s="2">
        <v>12</v>
      </c>
      <c r="T708" s="2">
        <v>18</v>
      </c>
      <c r="U708" s="2" t="b">
        <v>0</v>
      </c>
      <c r="V708" s="2">
        <v>6</v>
      </c>
      <c r="W708" s="2">
        <v>2</v>
      </c>
      <c r="X708" s="2">
        <v>20</v>
      </c>
      <c r="Y708" s="2">
        <v>28.186274509803919</v>
      </c>
    </row>
    <row r="709" spans="1:25" hidden="1">
      <c r="A709" s="2" t="s">
        <v>972</v>
      </c>
      <c r="B709" s="2" t="s">
        <v>157</v>
      </c>
      <c r="C709" s="2" t="s">
        <v>693</v>
      </c>
      <c r="D709" s="3">
        <v>45922.791666666657</v>
      </c>
      <c r="E709" s="3">
        <v>45922.8125</v>
      </c>
      <c r="F709" s="2">
        <v>30</v>
      </c>
      <c r="G709" s="2" t="s">
        <v>167</v>
      </c>
      <c r="H709" s="2" t="s">
        <v>168</v>
      </c>
      <c r="I709" s="2">
        <v>5</v>
      </c>
      <c r="J709" s="2">
        <v>6</v>
      </c>
      <c r="K709" s="2" t="s">
        <v>153</v>
      </c>
      <c r="L709" s="2" t="s">
        <v>162</v>
      </c>
      <c r="M709" s="2" t="b">
        <v>1</v>
      </c>
      <c r="N709" s="2" t="b">
        <v>0</v>
      </c>
      <c r="O709" s="2">
        <v>5</v>
      </c>
      <c r="P709" s="2">
        <v>0.83333333333333337</v>
      </c>
      <c r="Q709" s="2" t="s">
        <v>442</v>
      </c>
      <c r="R709" s="2" t="s">
        <v>147</v>
      </c>
      <c r="S709" s="2">
        <v>14.4</v>
      </c>
      <c r="T709" s="2">
        <v>15.6</v>
      </c>
      <c r="U709" s="2" t="b">
        <v>0</v>
      </c>
      <c r="V709" s="2">
        <v>20</v>
      </c>
      <c r="W709" s="2">
        <v>3</v>
      </c>
      <c r="X709" s="2">
        <v>19</v>
      </c>
      <c r="Y709" s="2">
        <v>28.844221105527641</v>
      </c>
    </row>
    <row r="710" spans="1:25" hidden="1">
      <c r="A710" s="2" t="s">
        <v>973</v>
      </c>
      <c r="B710" s="2" t="s">
        <v>173</v>
      </c>
      <c r="C710" s="2" t="s">
        <v>695</v>
      </c>
      <c r="D710" s="3">
        <v>45923.760416666657</v>
      </c>
      <c r="E710" s="3">
        <v>45923.78125</v>
      </c>
      <c r="F710" s="2">
        <v>30</v>
      </c>
      <c r="G710" s="2" t="s">
        <v>143</v>
      </c>
      <c r="H710" s="2" t="s">
        <v>655</v>
      </c>
      <c r="I710" s="2">
        <v>3</v>
      </c>
      <c r="J710" s="2">
        <v>4.5</v>
      </c>
      <c r="K710" s="2" t="s">
        <v>143</v>
      </c>
      <c r="L710" s="2" t="s">
        <v>169</v>
      </c>
      <c r="M710" s="2" t="b">
        <v>1</v>
      </c>
      <c r="N710" s="2" t="b">
        <v>0</v>
      </c>
      <c r="O710" s="2">
        <v>6.666666666666667</v>
      </c>
      <c r="P710" s="2">
        <v>0.66666666666666663</v>
      </c>
      <c r="Q710" s="2" t="s">
        <v>442</v>
      </c>
      <c r="R710" s="2" t="s">
        <v>171</v>
      </c>
      <c r="S710" s="2">
        <v>10.8</v>
      </c>
      <c r="T710" s="2">
        <v>19.2</v>
      </c>
      <c r="U710" s="2" t="b">
        <v>0</v>
      </c>
      <c r="V710" s="2">
        <v>6</v>
      </c>
      <c r="W710" s="2">
        <v>2</v>
      </c>
      <c r="X710" s="2">
        <v>18</v>
      </c>
      <c r="Y710" s="2">
        <v>30.286458333333329</v>
      </c>
    </row>
    <row r="711" spans="1:25" hidden="1">
      <c r="A711" s="2" t="s">
        <v>974</v>
      </c>
      <c r="B711" s="2" t="s">
        <v>142</v>
      </c>
      <c r="C711" s="2" t="s">
        <v>697</v>
      </c>
      <c r="D711" s="3">
        <v>45924.8125</v>
      </c>
      <c r="E711" s="3">
        <v>45924.833333333343</v>
      </c>
      <c r="F711" s="2">
        <v>30</v>
      </c>
      <c r="G711" s="2" t="s">
        <v>151</v>
      </c>
      <c r="H711" s="2" t="s">
        <v>657</v>
      </c>
      <c r="I711" s="2">
        <v>4</v>
      </c>
      <c r="J711" s="2">
        <v>5.5</v>
      </c>
      <c r="K711" s="2" t="s">
        <v>143</v>
      </c>
      <c r="L711" s="2" t="s">
        <v>162</v>
      </c>
      <c r="M711" s="2" t="b">
        <v>1</v>
      </c>
      <c r="N711" s="2" t="b">
        <v>0</v>
      </c>
      <c r="O711" s="2">
        <v>5.4545454545454541</v>
      </c>
      <c r="P711" s="2">
        <v>0.72727272727272729</v>
      </c>
      <c r="Q711" s="2" t="s">
        <v>442</v>
      </c>
      <c r="R711" s="2" t="s">
        <v>147</v>
      </c>
      <c r="S711" s="2">
        <v>13.2</v>
      </c>
      <c r="T711" s="2">
        <v>16.8</v>
      </c>
      <c r="U711" s="2" t="b">
        <v>0</v>
      </c>
      <c r="V711" s="2">
        <v>12</v>
      </c>
      <c r="W711" s="2">
        <v>2</v>
      </c>
      <c r="X711" s="2">
        <v>19</v>
      </c>
      <c r="Y711" s="2">
        <v>30.259433962264151</v>
      </c>
    </row>
    <row r="712" spans="1:25" hidden="1">
      <c r="A712" s="2" t="s">
        <v>975</v>
      </c>
      <c r="B712" s="2" t="s">
        <v>165</v>
      </c>
      <c r="C712" s="2" t="s">
        <v>188</v>
      </c>
      <c r="D712" s="3">
        <v>45925.864583333343</v>
      </c>
      <c r="E712" s="3">
        <v>45925.885416666657</v>
      </c>
      <c r="F712" s="2">
        <v>30</v>
      </c>
      <c r="G712" s="2" t="s">
        <v>143</v>
      </c>
      <c r="H712" s="2" t="s">
        <v>144</v>
      </c>
      <c r="I712" s="2">
        <v>2</v>
      </c>
      <c r="J712" s="2">
        <v>4</v>
      </c>
      <c r="K712" s="2" t="s">
        <v>161</v>
      </c>
      <c r="L712" s="2" t="s">
        <v>154</v>
      </c>
      <c r="M712" s="2" t="b">
        <v>1</v>
      </c>
      <c r="N712" s="2" t="b">
        <v>0</v>
      </c>
      <c r="O712" s="2">
        <v>7.5</v>
      </c>
      <c r="P712" s="2">
        <v>0.5</v>
      </c>
      <c r="Q712" s="2" t="s">
        <v>442</v>
      </c>
      <c r="R712" s="2" t="s">
        <v>147</v>
      </c>
      <c r="S712" s="2">
        <v>9.6</v>
      </c>
      <c r="T712" s="2">
        <v>20.399999999999999</v>
      </c>
      <c r="U712" s="2" t="b">
        <v>0</v>
      </c>
      <c r="V712" s="2">
        <v>4</v>
      </c>
      <c r="W712" s="2">
        <v>1</v>
      </c>
      <c r="X712" s="2">
        <v>20</v>
      </c>
      <c r="Y712" s="2">
        <v>29.948453608247419</v>
      </c>
    </row>
    <row r="713" spans="1:25" hidden="1">
      <c r="A713" s="2" t="s">
        <v>976</v>
      </c>
      <c r="B713" s="2" t="s">
        <v>149</v>
      </c>
      <c r="C713" s="2" t="s">
        <v>712</v>
      </c>
      <c r="D713" s="3">
        <v>45926.75</v>
      </c>
      <c r="E713" s="3">
        <v>45926.770833333343</v>
      </c>
      <c r="F713" s="2">
        <v>30</v>
      </c>
      <c r="G713" s="2" t="s">
        <v>143</v>
      </c>
      <c r="H713" s="2" t="s">
        <v>591</v>
      </c>
      <c r="I713" s="2">
        <v>3</v>
      </c>
      <c r="J713" s="2">
        <v>5</v>
      </c>
      <c r="K713" s="2" t="s">
        <v>143</v>
      </c>
      <c r="L713" s="2" t="s">
        <v>145</v>
      </c>
      <c r="M713" s="2" t="b">
        <v>1</v>
      </c>
      <c r="N713" s="2" t="b">
        <v>0</v>
      </c>
      <c r="O713" s="2">
        <v>6</v>
      </c>
      <c r="P713" s="2">
        <v>0.6</v>
      </c>
      <c r="Q713" s="2" t="s">
        <v>442</v>
      </c>
      <c r="R713" s="2" t="s">
        <v>147</v>
      </c>
      <c r="S713" s="2">
        <v>12</v>
      </c>
      <c r="T713" s="2">
        <v>18</v>
      </c>
      <c r="U713" s="2" t="b">
        <v>0</v>
      </c>
      <c r="V713" s="2">
        <v>6</v>
      </c>
      <c r="W713" s="2">
        <v>2</v>
      </c>
      <c r="X713" s="2">
        <v>18</v>
      </c>
      <c r="Y713" s="2">
        <v>28.186274509803919</v>
      </c>
    </row>
    <row r="714" spans="1:25" hidden="1">
      <c r="A714" s="2" t="s">
        <v>977</v>
      </c>
      <c r="B714" s="2" t="s">
        <v>157</v>
      </c>
      <c r="C714" s="2" t="s">
        <v>693</v>
      </c>
      <c r="D714" s="3">
        <v>45927.802083333343</v>
      </c>
      <c r="E714" s="3">
        <v>45927.822916666657</v>
      </c>
      <c r="F714" s="2">
        <v>30</v>
      </c>
      <c r="G714" s="2" t="s">
        <v>167</v>
      </c>
      <c r="H714" s="2" t="s">
        <v>168</v>
      </c>
      <c r="I714" s="2">
        <v>5</v>
      </c>
      <c r="J714" s="2">
        <v>6</v>
      </c>
      <c r="K714" s="2" t="s">
        <v>153</v>
      </c>
      <c r="L714" s="2" t="s">
        <v>162</v>
      </c>
      <c r="M714" s="2" t="b">
        <v>1</v>
      </c>
      <c r="N714" s="2" t="b">
        <v>1</v>
      </c>
      <c r="O714" s="2">
        <v>5</v>
      </c>
      <c r="P714" s="2">
        <v>0.83333333333333337</v>
      </c>
      <c r="Q714" s="2" t="s">
        <v>442</v>
      </c>
      <c r="R714" s="2" t="s">
        <v>147</v>
      </c>
      <c r="S714" s="2">
        <v>14.4</v>
      </c>
      <c r="T714" s="2">
        <v>15.6</v>
      </c>
      <c r="U714" s="2" t="b">
        <v>0</v>
      </c>
      <c r="V714" s="2">
        <v>20</v>
      </c>
      <c r="W714" s="2">
        <v>3</v>
      </c>
      <c r="X714" s="2">
        <v>19</v>
      </c>
      <c r="Y714" s="2">
        <v>28.844221105527641</v>
      </c>
    </row>
    <row r="715" spans="1:25" hidden="1">
      <c r="A715" s="2" t="s">
        <v>978</v>
      </c>
      <c r="B715" s="2" t="s">
        <v>173</v>
      </c>
      <c r="C715" s="2" t="s">
        <v>695</v>
      </c>
      <c r="D715" s="3">
        <v>45928.854166666657</v>
      </c>
      <c r="E715" s="3">
        <v>45928.875</v>
      </c>
      <c r="F715" s="2">
        <v>30</v>
      </c>
      <c r="G715" s="2" t="s">
        <v>143</v>
      </c>
      <c r="H715" s="2" t="s">
        <v>655</v>
      </c>
      <c r="I715" s="2">
        <v>3</v>
      </c>
      <c r="J715" s="2">
        <v>4.5</v>
      </c>
      <c r="K715" s="2" t="s">
        <v>143</v>
      </c>
      <c r="L715" s="2" t="s">
        <v>169</v>
      </c>
      <c r="M715" s="2" t="b">
        <v>1</v>
      </c>
      <c r="N715" s="2" t="b">
        <v>1</v>
      </c>
      <c r="O715" s="2">
        <v>6.666666666666667</v>
      </c>
      <c r="P715" s="2">
        <v>0.66666666666666663</v>
      </c>
      <c r="Q715" s="2" t="s">
        <v>442</v>
      </c>
      <c r="R715" s="2" t="s">
        <v>171</v>
      </c>
      <c r="S715" s="2">
        <v>10.8</v>
      </c>
      <c r="T715" s="2">
        <v>19.2</v>
      </c>
      <c r="U715" s="2" t="b">
        <v>0</v>
      </c>
      <c r="V715" s="2">
        <v>6</v>
      </c>
      <c r="W715" s="2">
        <v>2</v>
      </c>
      <c r="X715" s="2">
        <v>20</v>
      </c>
      <c r="Y715" s="2">
        <v>30.286458333333329</v>
      </c>
    </row>
    <row r="716" spans="1:25" hidden="1">
      <c r="A716" s="2" t="s">
        <v>979</v>
      </c>
      <c r="B716" s="2" t="s">
        <v>142</v>
      </c>
      <c r="C716" s="2" t="s">
        <v>697</v>
      </c>
      <c r="D716" s="3">
        <v>45929.791666666657</v>
      </c>
      <c r="E716" s="3">
        <v>45929.8125</v>
      </c>
      <c r="F716" s="2">
        <v>30</v>
      </c>
      <c r="G716" s="2" t="s">
        <v>151</v>
      </c>
      <c r="H716" s="2" t="s">
        <v>657</v>
      </c>
      <c r="I716" s="2">
        <v>4</v>
      </c>
      <c r="J716" s="2">
        <v>5.5</v>
      </c>
      <c r="K716" s="2" t="s">
        <v>143</v>
      </c>
      <c r="L716" s="2" t="s">
        <v>162</v>
      </c>
      <c r="M716" s="2" t="b">
        <v>1</v>
      </c>
      <c r="N716" s="2" t="b">
        <v>0</v>
      </c>
      <c r="O716" s="2">
        <v>5.4545454545454541</v>
      </c>
      <c r="P716" s="2">
        <v>0.72727272727272729</v>
      </c>
      <c r="Q716" s="2" t="s">
        <v>442</v>
      </c>
      <c r="R716" s="2" t="s">
        <v>147</v>
      </c>
      <c r="S716" s="2">
        <v>13.2</v>
      </c>
      <c r="T716" s="2">
        <v>16.8</v>
      </c>
      <c r="U716" s="2" t="b">
        <v>0</v>
      </c>
      <c r="V716" s="2">
        <v>12</v>
      </c>
      <c r="W716" s="2">
        <v>2</v>
      </c>
      <c r="X716" s="2">
        <v>19</v>
      </c>
      <c r="Y716" s="2">
        <v>30.259433962264151</v>
      </c>
    </row>
    <row r="717" spans="1:25" hidden="1">
      <c r="A717" s="2" t="s">
        <v>980</v>
      </c>
      <c r="B717" s="2" t="s">
        <v>165</v>
      </c>
      <c r="C717" s="2" t="s">
        <v>188</v>
      </c>
      <c r="D717" s="3">
        <v>45930.84375</v>
      </c>
      <c r="E717" s="3">
        <v>45930.864583333343</v>
      </c>
      <c r="F717" s="2">
        <v>30</v>
      </c>
      <c r="G717" s="2" t="s">
        <v>143</v>
      </c>
      <c r="H717" s="2" t="s">
        <v>144</v>
      </c>
      <c r="I717" s="2">
        <v>2</v>
      </c>
      <c r="J717" s="2">
        <v>4</v>
      </c>
      <c r="K717" s="2" t="s">
        <v>161</v>
      </c>
      <c r="L717" s="2" t="s">
        <v>154</v>
      </c>
      <c r="M717" s="2" t="b">
        <v>1</v>
      </c>
      <c r="N717" s="2" t="b">
        <v>0</v>
      </c>
      <c r="O717" s="2">
        <v>7.5</v>
      </c>
      <c r="P717" s="2">
        <v>0.5</v>
      </c>
      <c r="Q717" s="2" t="s">
        <v>442</v>
      </c>
      <c r="R717" s="2" t="s">
        <v>147</v>
      </c>
      <c r="S717" s="2">
        <v>9.6</v>
      </c>
      <c r="T717" s="2">
        <v>20.399999999999999</v>
      </c>
      <c r="U717" s="2" t="b">
        <v>0</v>
      </c>
      <c r="V717" s="2">
        <v>4</v>
      </c>
      <c r="W717" s="2">
        <v>1</v>
      </c>
      <c r="X717" s="2">
        <v>20</v>
      </c>
      <c r="Y717" s="2">
        <v>29.948453608247419</v>
      </c>
    </row>
    <row r="718" spans="1:25" hidden="1">
      <c r="A718" s="2" t="s">
        <v>981</v>
      </c>
      <c r="B718" s="2" t="s">
        <v>149</v>
      </c>
      <c r="C718" s="2" t="s">
        <v>712</v>
      </c>
      <c r="D718" s="3">
        <v>45931.770833333343</v>
      </c>
      <c r="E718" s="3">
        <v>45931.791666666657</v>
      </c>
      <c r="F718" s="2">
        <v>30</v>
      </c>
      <c r="G718" s="2" t="s">
        <v>143</v>
      </c>
      <c r="H718" s="2" t="s">
        <v>591</v>
      </c>
      <c r="I718" s="2">
        <v>3</v>
      </c>
      <c r="J718" s="2">
        <v>5</v>
      </c>
      <c r="K718" s="2" t="s">
        <v>143</v>
      </c>
      <c r="L718" s="2" t="s">
        <v>145</v>
      </c>
      <c r="M718" s="2" t="b">
        <v>1</v>
      </c>
      <c r="N718" s="2" t="b">
        <v>0</v>
      </c>
      <c r="O718" s="2">
        <v>6</v>
      </c>
      <c r="P718" s="2">
        <v>0.6</v>
      </c>
      <c r="Q718" s="2" t="s">
        <v>488</v>
      </c>
      <c r="R718" s="2" t="s">
        <v>147</v>
      </c>
      <c r="S718" s="2">
        <v>12</v>
      </c>
      <c r="T718" s="2">
        <v>18</v>
      </c>
      <c r="U718" s="2" t="b">
        <v>0</v>
      </c>
      <c r="V718" s="2">
        <v>6</v>
      </c>
      <c r="W718" s="2">
        <v>2</v>
      </c>
      <c r="X718" s="2">
        <v>18</v>
      </c>
      <c r="Y718" s="2">
        <v>28.186274509803919</v>
      </c>
    </row>
    <row r="719" spans="1:25" hidden="1">
      <c r="A719" s="2" t="s">
        <v>982</v>
      </c>
      <c r="B719" s="2" t="s">
        <v>157</v>
      </c>
      <c r="C719" s="2" t="s">
        <v>693</v>
      </c>
      <c r="D719" s="3">
        <v>45932.822916666657</v>
      </c>
      <c r="E719" s="3">
        <v>45932.84375</v>
      </c>
      <c r="F719" s="2">
        <v>30</v>
      </c>
      <c r="G719" s="2" t="s">
        <v>167</v>
      </c>
      <c r="H719" s="2" t="s">
        <v>168</v>
      </c>
      <c r="I719" s="2">
        <v>5</v>
      </c>
      <c r="J719" s="2">
        <v>6</v>
      </c>
      <c r="K719" s="2" t="s">
        <v>153</v>
      </c>
      <c r="L719" s="2" t="s">
        <v>162</v>
      </c>
      <c r="M719" s="2" t="b">
        <v>1</v>
      </c>
      <c r="N719" s="2" t="b">
        <v>0</v>
      </c>
      <c r="O719" s="2">
        <v>5</v>
      </c>
      <c r="P719" s="2">
        <v>0.83333333333333337</v>
      </c>
      <c r="Q719" s="2" t="s">
        <v>488</v>
      </c>
      <c r="R719" s="2" t="s">
        <v>147</v>
      </c>
      <c r="S719" s="2">
        <v>14.4</v>
      </c>
      <c r="T719" s="2">
        <v>15.6</v>
      </c>
      <c r="U719" s="2" t="b">
        <v>0</v>
      </c>
      <c r="V719" s="2">
        <v>20</v>
      </c>
      <c r="W719" s="2">
        <v>3</v>
      </c>
      <c r="X719" s="2">
        <v>19</v>
      </c>
      <c r="Y719" s="2">
        <v>28.844221105527641</v>
      </c>
    </row>
    <row r="720" spans="1:25" hidden="1">
      <c r="A720" s="2" t="s">
        <v>983</v>
      </c>
      <c r="B720" s="2" t="s">
        <v>173</v>
      </c>
      <c r="C720" s="2" t="s">
        <v>695</v>
      </c>
      <c r="D720" s="3">
        <v>45933.75</v>
      </c>
      <c r="E720" s="3">
        <v>45933.770833333343</v>
      </c>
      <c r="F720" s="2">
        <v>30</v>
      </c>
      <c r="G720" s="2" t="s">
        <v>143</v>
      </c>
      <c r="H720" s="2" t="s">
        <v>655</v>
      </c>
      <c r="I720" s="2">
        <v>3</v>
      </c>
      <c r="J720" s="2">
        <v>4.5</v>
      </c>
      <c r="K720" s="2" t="s">
        <v>143</v>
      </c>
      <c r="L720" s="2" t="s">
        <v>169</v>
      </c>
      <c r="M720" s="2" t="b">
        <v>1</v>
      </c>
      <c r="N720" s="2" t="b">
        <v>0</v>
      </c>
      <c r="O720" s="2">
        <v>6.666666666666667</v>
      </c>
      <c r="P720" s="2">
        <v>0.66666666666666663</v>
      </c>
      <c r="Q720" s="2" t="s">
        <v>488</v>
      </c>
      <c r="R720" s="2" t="s">
        <v>171</v>
      </c>
      <c r="S720" s="2">
        <v>10.8</v>
      </c>
      <c r="T720" s="2">
        <v>19.2</v>
      </c>
      <c r="U720" s="2" t="b">
        <v>0</v>
      </c>
      <c r="V720" s="2">
        <v>6</v>
      </c>
      <c r="W720" s="2">
        <v>2</v>
      </c>
      <c r="X720" s="2">
        <v>18</v>
      </c>
      <c r="Y720" s="2">
        <v>30.286458333333329</v>
      </c>
    </row>
    <row r="721" spans="1:25" hidden="1">
      <c r="A721" s="2" t="s">
        <v>984</v>
      </c>
      <c r="B721" s="2" t="s">
        <v>142</v>
      </c>
      <c r="C721" s="2" t="s">
        <v>697</v>
      </c>
      <c r="D721" s="3">
        <v>45934.802083333343</v>
      </c>
      <c r="E721" s="3">
        <v>45934.822916666657</v>
      </c>
      <c r="F721" s="2">
        <v>30</v>
      </c>
      <c r="G721" s="2" t="s">
        <v>151</v>
      </c>
      <c r="H721" s="2" t="s">
        <v>657</v>
      </c>
      <c r="I721" s="2">
        <v>4</v>
      </c>
      <c r="J721" s="2">
        <v>5.5</v>
      </c>
      <c r="K721" s="2" t="s">
        <v>143</v>
      </c>
      <c r="L721" s="2" t="s">
        <v>162</v>
      </c>
      <c r="M721" s="2" t="b">
        <v>1</v>
      </c>
      <c r="N721" s="2" t="b">
        <v>1</v>
      </c>
      <c r="O721" s="2">
        <v>5.4545454545454541</v>
      </c>
      <c r="P721" s="2">
        <v>0.72727272727272729</v>
      </c>
      <c r="Q721" s="2" t="s">
        <v>488</v>
      </c>
      <c r="R721" s="2" t="s">
        <v>147</v>
      </c>
      <c r="S721" s="2">
        <v>13.2</v>
      </c>
      <c r="T721" s="2">
        <v>16.8</v>
      </c>
      <c r="U721" s="2" t="b">
        <v>0</v>
      </c>
      <c r="V721" s="2">
        <v>12</v>
      </c>
      <c r="W721" s="2">
        <v>2</v>
      </c>
      <c r="X721" s="2">
        <v>19</v>
      </c>
      <c r="Y721" s="2">
        <v>30.259433962264151</v>
      </c>
    </row>
    <row r="722" spans="1:25" hidden="1">
      <c r="A722" s="2" t="s">
        <v>985</v>
      </c>
      <c r="B722" s="2" t="s">
        <v>165</v>
      </c>
      <c r="C722" s="2" t="s">
        <v>188</v>
      </c>
      <c r="D722" s="3">
        <v>45935.854166666657</v>
      </c>
      <c r="E722" s="3">
        <v>45935.875</v>
      </c>
      <c r="F722" s="2">
        <v>30</v>
      </c>
      <c r="G722" s="2" t="s">
        <v>143</v>
      </c>
      <c r="H722" s="2" t="s">
        <v>144</v>
      </c>
      <c r="I722" s="2">
        <v>2</v>
      </c>
      <c r="J722" s="2">
        <v>4</v>
      </c>
      <c r="K722" s="2" t="s">
        <v>161</v>
      </c>
      <c r="L722" s="2" t="s">
        <v>154</v>
      </c>
      <c r="M722" s="2" t="b">
        <v>1</v>
      </c>
      <c r="N722" s="2" t="b">
        <v>1</v>
      </c>
      <c r="O722" s="2">
        <v>7.5</v>
      </c>
      <c r="P722" s="2">
        <v>0.5</v>
      </c>
      <c r="Q722" s="2" t="s">
        <v>488</v>
      </c>
      <c r="R722" s="2" t="s">
        <v>147</v>
      </c>
      <c r="S722" s="2">
        <v>9.6</v>
      </c>
      <c r="T722" s="2">
        <v>20.399999999999999</v>
      </c>
      <c r="U722" s="2" t="b">
        <v>0</v>
      </c>
      <c r="V722" s="2">
        <v>4</v>
      </c>
      <c r="W722" s="2">
        <v>1</v>
      </c>
      <c r="X722" s="2">
        <v>20</v>
      </c>
      <c r="Y722" s="2">
        <v>29.948453608247419</v>
      </c>
    </row>
    <row r="723" spans="1:25" hidden="1">
      <c r="A723" s="2" t="s">
        <v>986</v>
      </c>
      <c r="B723" s="2" t="s">
        <v>149</v>
      </c>
      <c r="C723" s="2" t="s">
        <v>712</v>
      </c>
      <c r="D723" s="3">
        <v>45936.78125</v>
      </c>
      <c r="E723" s="3">
        <v>45936.802083333343</v>
      </c>
      <c r="F723" s="2">
        <v>30</v>
      </c>
      <c r="G723" s="2" t="s">
        <v>143</v>
      </c>
      <c r="H723" s="2" t="s">
        <v>591</v>
      </c>
      <c r="I723" s="2">
        <v>3</v>
      </c>
      <c r="J723" s="2">
        <v>5</v>
      </c>
      <c r="K723" s="2" t="s">
        <v>143</v>
      </c>
      <c r="L723" s="2" t="s">
        <v>145</v>
      </c>
      <c r="M723" s="2" t="b">
        <v>1</v>
      </c>
      <c r="N723" s="2" t="b">
        <v>0</v>
      </c>
      <c r="O723" s="2">
        <v>6</v>
      </c>
      <c r="P723" s="2">
        <v>0.6</v>
      </c>
      <c r="Q723" s="2" t="s">
        <v>488</v>
      </c>
      <c r="R723" s="2" t="s">
        <v>147</v>
      </c>
      <c r="S723" s="2">
        <v>12</v>
      </c>
      <c r="T723" s="2">
        <v>18</v>
      </c>
      <c r="U723" s="2" t="b">
        <v>0</v>
      </c>
      <c r="V723" s="2">
        <v>6</v>
      </c>
      <c r="W723" s="2">
        <v>2</v>
      </c>
      <c r="X723" s="2">
        <v>18</v>
      </c>
      <c r="Y723" s="2">
        <v>28.186274509803919</v>
      </c>
    </row>
    <row r="724" spans="1:25" hidden="1">
      <c r="A724" s="2" t="s">
        <v>987</v>
      </c>
      <c r="B724" s="2" t="s">
        <v>157</v>
      </c>
      <c r="C724" s="2" t="s">
        <v>693</v>
      </c>
      <c r="D724" s="3">
        <v>45937.791666666657</v>
      </c>
      <c r="E724" s="3">
        <v>45937.8125</v>
      </c>
      <c r="F724" s="2">
        <v>30</v>
      </c>
      <c r="G724" s="2" t="s">
        <v>167</v>
      </c>
      <c r="H724" s="2" t="s">
        <v>168</v>
      </c>
      <c r="I724" s="2">
        <v>5</v>
      </c>
      <c r="J724" s="2">
        <v>6</v>
      </c>
      <c r="K724" s="2" t="s">
        <v>153</v>
      </c>
      <c r="L724" s="2" t="s">
        <v>162</v>
      </c>
      <c r="M724" s="2" t="b">
        <v>1</v>
      </c>
      <c r="N724" s="2" t="b">
        <v>0</v>
      </c>
      <c r="O724" s="2">
        <v>5</v>
      </c>
      <c r="P724" s="2">
        <v>0.83333333333333337</v>
      </c>
      <c r="Q724" s="2" t="s">
        <v>488</v>
      </c>
      <c r="R724" s="2" t="s">
        <v>147</v>
      </c>
      <c r="S724" s="2">
        <v>14.4</v>
      </c>
      <c r="T724" s="2">
        <v>15.6</v>
      </c>
      <c r="U724" s="2" t="b">
        <v>0</v>
      </c>
      <c r="V724" s="2">
        <v>20</v>
      </c>
      <c r="W724" s="2">
        <v>3</v>
      </c>
      <c r="X724" s="2">
        <v>19</v>
      </c>
      <c r="Y724" s="2">
        <v>28.844221105527641</v>
      </c>
    </row>
    <row r="725" spans="1:25" hidden="1">
      <c r="A725" s="2" t="s">
        <v>988</v>
      </c>
      <c r="B725" s="2" t="s">
        <v>173</v>
      </c>
      <c r="C725" s="2" t="s">
        <v>695</v>
      </c>
      <c r="D725" s="3">
        <v>45938.84375</v>
      </c>
      <c r="E725" s="3">
        <v>45938.864583333343</v>
      </c>
      <c r="F725" s="2">
        <v>30</v>
      </c>
      <c r="G725" s="2" t="s">
        <v>143</v>
      </c>
      <c r="H725" s="2" t="s">
        <v>655</v>
      </c>
      <c r="I725" s="2">
        <v>3</v>
      </c>
      <c r="J725" s="2">
        <v>4.5</v>
      </c>
      <c r="K725" s="2" t="s">
        <v>143</v>
      </c>
      <c r="L725" s="2" t="s">
        <v>162</v>
      </c>
      <c r="M725" s="2" t="b">
        <v>1</v>
      </c>
      <c r="N725" s="2" t="b">
        <v>0</v>
      </c>
      <c r="O725" s="2">
        <v>6.666666666666667</v>
      </c>
      <c r="P725" s="2">
        <v>0.66666666666666663</v>
      </c>
      <c r="Q725" s="2" t="s">
        <v>488</v>
      </c>
      <c r="R725" s="2" t="s">
        <v>147</v>
      </c>
      <c r="S725" s="2">
        <v>10.8</v>
      </c>
      <c r="T725" s="2">
        <v>19.2</v>
      </c>
      <c r="U725" s="2" t="b">
        <v>0</v>
      </c>
      <c r="V725" s="2">
        <v>6</v>
      </c>
      <c r="W725" s="2">
        <v>2</v>
      </c>
      <c r="X725" s="2">
        <v>20</v>
      </c>
      <c r="Y725" s="2">
        <v>30.286458333333329</v>
      </c>
    </row>
    <row r="726" spans="1:25" hidden="1">
      <c r="A726" s="2" t="s">
        <v>989</v>
      </c>
      <c r="B726" s="2" t="s">
        <v>149</v>
      </c>
      <c r="C726" s="2" t="s">
        <v>712</v>
      </c>
      <c r="D726" s="3">
        <v>45939.854166666657</v>
      </c>
      <c r="E726" s="3">
        <v>45939.875</v>
      </c>
      <c r="F726" s="2">
        <v>30</v>
      </c>
      <c r="G726" s="2" t="s">
        <v>143</v>
      </c>
      <c r="H726" s="2" t="s">
        <v>591</v>
      </c>
      <c r="I726" s="2">
        <v>3</v>
      </c>
      <c r="J726" s="2">
        <v>5</v>
      </c>
      <c r="K726" s="2" t="s">
        <v>143</v>
      </c>
      <c r="L726" s="2" t="s">
        <v>162</v>
      </c>
      <c r="M726" s="2" t="b">
        <v>1</v>
      </c>
      <c r="N726" s="2" t="b">
        <v>0</v>
      </c>
      <c r="O726" s="2">
        <v>6</v>
      </c>
      <c r="P726" s="2">
        <v>0.6</v>
      </c>
      <c r="Q726" s="2" t="s">
        <v>488</v>
      </c>
      <c r="R726" s="2" t="s">
        <v>147</v>
      </c>
      <c r="S726" s="2">
        <v>12</v>
      </c>
      <c r="T726" s="2">
        <v>18</v>
      </c>
      <c r="U726" s="2" t="b">
        <v>0</v>
      </c>
      <c r="V726" s="2">
        <v>6</v>
      </c>
      <c r="W726" s="2">
        <v>2</v>
      </c>
      <c r="X726" s="2">
        <v>20</v>
      </c>
      <c r="Y726" s="2">
        <v>28.186274509803919</v>
      </c>
    </row>
    <row r="727" spans="1:25" hidden="1">
      <c r="A727" s="2" t="s">
        <v>990</v>
      </c>
      <c r="B727" s="2" t="s">
        <v>157</v>
      </c>
      <c r="C727" s="2" t="s">
        <v>693</v>
      </c>
      <c r="D727" s="3">
        <v>45940.822916666657</v>
      </c>
      <c r="E727" s="3">
        <v>45940.84375</v>
      </c>
      <c r="F727" s="2">
        <v>30</v>
      </c>
      <c r="G727" s="2" t="s">
        <v>167</v>
      </c>
      <c r="H727" s="2" t="s">
        <v>168</v>
      </c>
      <c r="I727" s="2">
        <v>5</v>
      </c>
      <c r="J727" s="2">
        <v>6</v>
      </c>
      <c r="K727" s="2" t="s">
        <v>153</v>
      </c>
      <c r="L727" s="2" t="s">
        <v>145</v>
      </c>
      <c r="M727" s="2" t="b">
        <v>1</v>
      </c>
      <c r="N727" s="2" t="b">
        <v>0</v>
      </c>
      <c r="O727" s="2">
        <v>5</v>
      </c>
      <c r="P727" s="2">
        <v>0.83333333333333337</v>
      </c>
      <c r="Q727" s="2" t="s">
        <v>488</v>
      </c>
      <c r="R727" s="2" t="s">
        <v>147</v>
      </c>
      <c r="S727" s="2">
        <v>14.4</v>
      </c>
      <c r="T727" s="2">
        <v>15.6</v>
      </c>
      <c r="U727" s="2" t="b">
        <v>0</v>
      </c>
      <c r="V727" s="2">
        <v>20</v>
      </c>
      <c r="W727" s="2">
        <v>3</v>
      </c>
      <c r="X727" s="2">
        <v>19</v>
      </c>
      <c r="Y727" s="2">
        <v>28.844221105527641</v>
      </c>
    </row>
    <row r="728" spans="1:25" hidden="1">
      <c r="A728" s="2" t="s">
        <v>991</v>
      </c>
      <c r="B728" s="2" t="s">
        <v>173</v>
      </c>
      <c r="C728" s="2" t="s">
        <v>695</v>
      </c>
      <c r="D728" s="3">
        <v>45941.75</v>
      </c>
      <c r="E728" s="3">
        <v>45941.770833333343</v>
      </c>
      <c r="F728" s="2">
        <v>30</v>
      </c>
      <c r="G728" s="2" t="s">
        <v>143</v>
      </c>
      <c r="H728" s="2" t="s">
        <v>655</v>
      </c>
      <c r="I728" s="2">
        <v>3</v>
      </c>
      <c r="J728" s="2">
        <v>4.5</v>
      </c>
      <c r="K728" s="2" t="s">
        <v>143</v>
      </c>
      <c r="L728" s="2" t="s">
        <v>169</v>
      </c>
      <c r="M728" s="2" t="b">
        <v>1</v>
      </c>
      <c r="N728" s="2" t="b">
        <v>1</v>
      </c>
      <c r="O728" s="2">
        <v>6.666666666666667</v>
      </c>
      <c r="P728" s="2">
        <v>0.66666666666666663</v>
      </c>
      <c r="Q728" s="2" t="s">
        <v>488</v>
      </c>
      <c r="R728" s="2" t="s">
        <v>171</v>
      </c>
      <c r="S728" s="2">
        <v>10.8</v>
      </c>
      <c r="T728" s="2">
        <v>19.2</v>
      </c>
      <c r="U728" s="2" t="b">
        <v>0</v>
      </c>
      <c r="V728" s="2">
        <v>6</v>
      </c>
      <c r="W728" s="2">
        <v>2</v>
      </c>
      <c r="X728" s="2">
        <v>18</v>
      </c>
      <c r="Y728" s="2">
        <v>30.286458333333329</v>
      </c>
    </row>
    <row r="729" spans="1:25" hidden="1">
      <c r="A729" s="2" t="s">
        <v>992</v>
      </c>
      <c r="B729" s="2" t="s">
        <v>142</v>
      </c>
      <c r="C729" s="2" t="s">
        <v>697</v>
      </c>
      <c r="D729" s="3">
        <v>45942.802083333343</v>
      </c>
      <c r="E729" s="3">
        <v>45942.822916666657</v>
      </c>
      <c r="F729" s="2">
        <v>30</v>
      </c>
      <c r="G729" s="2" t="s">
        <v>151</v>
      </c>
      <c r="H729" s="2" t="s">
        <v>657</v>
      </c>
      <c r="I729" s="2">
        <v>4</v>
      </c>
      <c r="J729" s="2">
        <v>5.5</v>
      </c>
      <c r="K729" s="2" t="s">
        <v>143</v>
      </c>
      <c r="L729" s="2" t="s">
        <v>162</v>
      </c>
      <c r="M729" s="2" t="b">
        <v>1</v>
      </c>
      <c r="N729" s="2" t="b">
        <v>1</v>
      </c>
      <c r="O729" s="2">
        <v>5.4545454545454541</v>
      </c>
      <c r="P729" s="2">
        <v>0.72727272727272729</v>
      </c>
      <c r="Q729" s="2" t="s">
        <v>488</v>
      </c>
      <c r="R729" s="2" t="s">
        <v>147</v>
      </c>
      <c r="S729" s="2">
        <v>13.2</v>
      </c>
      <c r="T729" s="2">
        <v>16.8</v>
      </c>
      <c r="U729" s="2" t="b">
        <v>0</v>
      </c>
      <c r="V729" s="2">
        <v>12</v>
      </c>
      <c r="W729" s="2">
        <v>2</v>
      </c>
      <c r="X729" s="2">
        <v>19</v>
      </c>
      <c r="Y729" s="2">
        <v>30.259433962264151</v>
      </c>
    </row>
    <row r="730" spans="1:25" hidden="1">
      <c r="A730" s="2" t="s">
        <v>993</v>
      </c>
      <c r="B730" s="2" t="s">
        <v>165</v>
      </c>
      <c r="C730" s="2" t="s">
        <v>188</v>
      </c>
      <c r="D730" s="3">
        <v>45943.854166666657</v>
      </c>
      <c r="E730" s="3">
        <v>45943.875</v>
      </c>
      <c r="F730" s="2">
        <v>30</v>
      </c>
      <c r="G730" s="2" t="s">
        <v>143</v>
      </c>
      <c r="H730" s="2" t="s">
        <v>144</v>
      </c>
      <c r="I730" s="2">
        <v>2</v>
      </c>
      <c r="J730" s="2">
        <v>4</v>
      </c>
      <c r="K730" s="2" t="s">
        <v>161</v>
      </c>
      <c r="L730" s="2" t="s">
        <v>154</v>
      </c>
      <c r="M730" s="2" t="b">
        <v>1</v>
      </c>
      <c r="N730" s="2" t="b">
        <v>0</v>
      </c>
      <c r="O730" s="2">
        <v>7.5</v>
      </c>
      <c r="P730" s="2">
        <v>0.5</v>
      </c>
      <c r="Q730" s="2" t="s">
        <v>488</v>
      </c>
      <c r="R730" s="2" t="s">
        <v>147</v>
      </c>
      <c r="S730" s="2">
        <v>9.6</v>
      </c>
      <c r="T730" s="2">
        <v>20.399999999999999</v>
      </c>
      <c r="U730" s="2" t="b">
        <v>0</v>
      </c>
      <c r="V730" s="2">
        <v>4</v>
      </c>
      <c r="W730" s="2">
        <v>1</v>
      </c>
      <c r="X730" s="2">
        <v>20</v>
      </c>
      <c r="Y730" s="2">
        <v>29.948453608247419</v>
      </c>
    </row>
    <row r="731" spans="1:25" hidden="1">
      <c r="A731" s="2" t="s">
        <v>994</v>
      </c>
      <c r="B731" s="2" t="s">
        <v>149</v>
      </c>
      <c r="C731" s="2" t="s">
        <v>712</v>
      </c>
      <c r="D731" s="3">
        <v>45944.78125</v>
      </c>
      <c r="E731" s="3">
        <v>45944.802083333343</v>
      </c>
      <c r="F731" s="2">
        <v>30</v>
      </c>
      <c r="G731" s="2" t="s">
        <v>143</v>
      </c>
      <c r="H731" s="2" t="s">
        <v>591</v>
      </c>
      <c r="I731" s="2">
        <v>3</v>
      </c>
      <c r="J731" s="2">
        <v>5</v>
      </c>
      <c r="K731" s="2" t="s">
        <v>143</v>
      </c>
      <c r="L731" s="2" t="s">
        <v>145</v>
      </c>
      <c r="M731" s="2" t="b">
        <v>1</v>
      </c>
      <c r="N731" s="2" t="b">
        <v>0</v>
      </c>
      <c r="O731" s="2">
        <v>6</v>
      </c>
      <c r="P731" s="2">
        <v>0.6</v>
      </c>
      <c r="Q731" s="2" t="s">
        <v>488</v>
      </c>
      <c r="R731" s="2" t="s">
        <v>147</v>
      </c>
      <c r="S731" s="2">
        <v>12</v>
      </c>
      <c r="T731" s="2">
        <v>18</v>
      </c>
      <c r="U731" s="2" t="b">
        <v>0</v>
      </c>
      <c r="V731" s="2">
        <v>6</v>
      </c>
      <c r="W731" s="2">
        <v>2</v>
      </c>
      <c r="X731" s="2">
        <v>18</v>
      </c>
      <c r="Y731" s="2">
        <v>28.186274509803919</v>
      </c>
    </row>
    <row r="732" spans="1:25" hidden="1">
      <c r="A732" s="2" t="s">
        <v>995</v>
      </c>
      <c r="B732" s="2" t="s">
        <v>157</v>
      </c>
      <c r="C732" s="2" t="s">
        <v>693</v>
      </c>
      <c r="D732" s="3">
        <v>45945.791666666657</v>
      </c>
      <c r="E732" s="3">
        <v>45945.8125</v>
      </c>
      <c r="F732" s="2">
        <v>30</v>
      </c>
      <c r="G732" s="2" t="s">
        <v>167</v>
      </c>
      <c r="H732" s="2" t="s">
        <v>168</v>
      </c>
      <c r="I732" s="2">
        <v>5</v>
      </c>
      <c r="J732" s="2">
        <v>6</v>
      </c>
      <c r="K732" s="2" t="s">
        <v>153</v>
      </c>
      <c r="L732" s="2" t="s">
        <v>162</v>
      </c>
      <c r="M732" s="2" t="b">
        <v>1</v>
      </c>
      <c r="N732" s="2" t="b">
        <v>0</v>
      </c>
      <c r="O732" s="2">
        <v>5</v>
      </c>
      <c r="P732" s="2">
        <v>0.83333333333333337</v>
      </c>
      <c r="Q732" s="2" t="s">
        <v>488</v>
      </c>
      <c r="R732" s="2" t="s">
        <v>147</v>
      </c>
      <c r="S732" s="2">
        <v>14.4</v>
      </c>
      <c r="T732" s="2">
        <v>15.6</v>
      </c>
      <c r="U732" s="2" t="b">
        <v>0</v>
      </c>
      <c r="V732" s="2">
        <v>20</v>
      </c>
      <c r="W732" s="2">
        <v>3</v>
      </c>
      <c r="X732" s="2">
        <v>19</v>
      </c>
      <c r="Y732" s="2">
        <v>28.844221105527641</v>
      </c>
    </row>
    <row r="733" spans="1:25" hidden="1">
      <c r="A733" s="2" t="s">
        <v>996</v>
      </c>
      <c r="B733" s="2" t="s">
        <v>173</v>
      </c>
      <c r="C733" s="2" t="s">
        <v>695</v>
      </c>
      <c r="D733" s="3">
        <v>45946.84375</v>
      </c>
      <c r="E733" s="3">
        <v>45946.864583333343</v>
      </c>
      <c r="F733" s="2">
        <v>30</v>
      </c>
      <c r="G733" s="2" t="s">
        <v>143</v>
      </c>
      <c r="H733" s="2" t="s">
        <v>655</v>
      </c>
      <c r="I733" s="2">
        <v>3</v>
      </c>
      <c r="J733" s="2">
        <v>4.5</v>
      </c>
      <c r="K733" s="2" t="s">
        <v>143</v>
      </c>
      <c r="L733" s="2" t="s">
        <v>169</v>
      </c>
      <c r="M733" s="2" t="b">
        <v>1</v>
      </c>
      <c r="N733" s="2" t="b">
        <v>0</v>
      </c>
      <c r="O733" s="2">
        <v>6.666666666666667</v>
      </c>
      <c r="P733" s="2">
        <v>0.66666666666666663</v>
      </c>
      <c r="Q733" s="2" t="s">
        <v>488</v>
      </c>
      <c r="R733" s="2" t="s">
        <v>171</v>
      </c>
      <c r="S733" s="2">
        <v>10.8</v>
      </c>
      <c r="T733" s="2">
        <v>19.2</v>
      </c>
      <c r="U733" s="2" t="b">
        <v>0</v>
      </c>
      <c r="V733" s="2">
        <v>6</v>
      </c>
      <c r="W733" s="2">
        <v>2</v>
      </c>
      <c r="X733" s="2">
        <v>20</v>
      </c>
      <c r="Y733" s="2">
        <v>30.286458333333329</v>
      </c>
    </row>
    <row r="734" spans="1:25" hidden="1">
      <c r="A734" s="2" t="s">
        <v>997</v>
      </c>
      <c r="B734" s="2" t="s">
        <v>142</v>
      </c>
      <c r="C734" s="2" t="s">
        <v>697</v>
      </c>
      <c r="D734" s="3">
        <v>45947.8125</v>
      </c>
      <c r="E734" s="3">
        <v>45947.833333333343</v>
      </c>
      <c r="F734" s="2">
        <v>30</v>
      </c>
      <c r="G734" s="2" t="s">
        <v>151</v>
      </c>
      <c r="H734" s="2" t="s">
        <v>657</v>
      </c>
      <c r="I734" s="2">
        <v>4</v>
      </c>
      <c r="J734" s="2">
        <v>5.5</v>
      </c>
      <c r="K734" s="2" t="s">
        <v>143</v>
      </c>
      <c r="L734" s="2" t="s">
        <v>162</v>
      </c>
      <c r="M734" s="2" t="b">
        <v>1</v>
      </c>
      <c r="N734" s="2" t="b">
        <v>0</v>
      </c>
      <c r="O734" s="2">
        <v>5.4545454545454541</v>
      </c>
      <c r="P734" s="2">
        <v>0.72727272727272729</v>
      </c>
      <c r="Q734" s="2" t="s">
        <v>488</v>
      </c>
      <c r="R734" s="2" t="s">
        <v>147</v>
      </c>
      <c r="S734" s="2">
        <v>13.2</v>
      </c>
      <c r="T734" s="2">
        <v>16.8</v>
      </c>
      <c r="U734" s="2" t="b">
        <v>0</v>
      </c>
      <c r="V734" s="2">
        <v>12</v>
      </c>
      <c r="W734" s="2">
        <v>2</v>
      </c>
      <c r="X734" s="2">
        <v>19</v>
      </c>
      <c r="Y734" s="2">
        <v>30.259433962264151</v>
      </c>
    </row>
    <row r="735" spans="1:25" hidden="1">
      <c r="A735" s="2" t="s">
        <v>998</v>
      </c>
      <c r="B735" s="2" t="s">
        <v>165</v>
      </c>
      <c r="C735" s="2" t="s">
        <v>188</v>
      </c>
      <c r="D735" s="3">
        <v>45948.864583333343</v>
      </c>
      <c r="E735" s="3">
        <v>45948.885416666657</v>
      </c>
      <c r="F735" s="2">
        <v>30</v>
      </c>
      <c r="G735" s="2" t="s">
        <v>143</v>
      </c>
      <c r="H735" s="2" t="s">
        <v>144</v>
      </c>
      <c r="I735" s="2">
        <v>2</v>
      </c>
      <c r="J735" s="2">
        <v>4</v>
      </c>
      <c r="K735" s="2" t="s">
        <v>161</v>
      </c>
      <c r="L735" s="2" t="s">
        <v>154</v>
      </c>
      <c r="M735" s="2" t="b">
        <v>1</v>
      </c>
      <c r="N735" s="2" t="b">
        <v>1</v>
      </c>
      <c r="O735" s="2">
        <v>7.5</v>
      </c>
      <c r="P735" s="2">
        <v>0.5</v>
      </c>
      <c r="Q735" s="2" t="s">
        <v>488</v>
      </c>
      <c r="R735" s="2" t="s">
        <v>147</v>
      </c>
      <c r="S735" s="2">
        <v>9.6</v>
      </c>
      <c r="T735" s="2">
        <v>20.399999999999999</v>
      </c>
      <c r="U735" s="2" t="b">
        <v>0</v>
      </c>
      <c r="V735" s="2">
        <v>4</v>
      </c>
      <c r="W735" s="2">
        <v>1</v>
      </c>
      <c r="X735" s="2">
        <v>20</v>
      </c>
      <c r="Y735" s="2">
        <v>29.948453608247419</v>
      </c>
    </row>
    <row r="736" spans="1:25" hidden="1">
      <c r="A736" s="2" t="s">
        <v>999</v>
      </c>
      <c r="B736" s="2" t="s">
        <v>149</v>
      </c>
      <c r="C736" s="2" t="s">
        <v>712</v>
      </c>
      <c r="D736" s="3">
        <v>45949.75</v>
      </c>
      <c r="E736" s="3">
        <v>45949.770833333343</v>
      </c>
      <c r="F736" s="2">
        <v>30</v>
      </c>
      <c r="G736" s="2" t="s">
        <v>143</v>
      </c>
      <c r="H736" s="2" t="s">
        <v>591</v>
      </c>
      <c r="I736" s="2">
        <v>3</v>
      </c>
      <c r="J736" s="2">
        <v>5</v>
      </c>
      <c r="K736" s="2" t="s">
        <v>143</v>
      </c>
      <c r="L736" s="2" t="s">
        <v>145</v>
      </c>
      <c r="M736" s="2" t="b">
        <v>1</v>
      </c>
      <c r="N736" s="2" t="b">
        <v>1</v>
      </c>
      <c r="O736" s="2">
        <v>6</v>
      </c>
      <c r="P736" s="2">
        <v>0.6</v>
      </c>
      <c r="Q736" s="2" t="s">
        <v>488</v>
      </c>
      <c r="R736" s="2" t="s">
        <v>147</v>
      </c>
      <c r="S736" s="2">
        <v>12</v>
      </c>
      <c r="T736" s="2">
        <v>18</v>
      </c>
      <c r="U736" s="2" t="b">
        <v>0</v>
      </c>
      <c r="V736" s="2">
        <v>6</v>
      </c>
      <c r="W736" s="2">
        <v>2</v>
      </c>
      <c r="X736" s="2">
        <v>18</v>
      </c>
      <c r="Y736" s="2">
        <v>28.186274509803919</v>
      </c>
    </row>
    <row r="737" spans="1:25" hidden="1">
      <c r="A737" s="2" t="s">
        <v>1000</v>
      </c>
      <c r="B737" s="2" t="s">
        <v>157</v>
      </c>
      <c r="C737" s="2" t="s">
        <v>693</v>
      </c>
      <c r="D737" s="3">
        <v>45950.802083333343</v>
      </c>
      <c r="E737" s="3">
        <v>45950.822916666657</v>
      </c>
      <c r="F737" s="2">
        <v>30</v>
      </c>
      <c r="G737" s="2" t="s">
        <v>167</v>
      </c>
      <c r="H737" s="2" t="s">
        <v>168</v>
      </c>
      <c r="I737" s="2">
        <v>5</v>
      </c>
      <c r="J737" s="2">
        <v>6</v>
      </c>
      <c r="K737" s="2" t="s">
        <v>153</v>
      </c>
      <c r="L737" s="2" t="s">
        <v>162</v>
      </c>
      <c r="M737" s="2" t="b">
        <v>1</v>
      </c>
      <c r="N737" s="2" t="b">
        <v>0</v>
      </c>
      <c r="O737" s="2">
        <v>5</v>
      </c>
      <c r="P737" s="2">
        <v>0.83333333333333337</v>
      </c>
      <c r="Q737" s="2" t="s">
        <v>488</v>
      </c>
      <c r="R737" s="2" t="s">
        <v>147</v>
      </c>
      <c r="S737" s="2">
        <v>14.4</v>
      </c>
      <c r="T737" s="2">
        <v>15.6</v>
      </c>
      <c r="U737" s="2" t="b">
        <v>0</v>
      </c>
      <c r="V737" s="2">
        <v>20</v>
      </c>
      <c r="W737" s="2">
        <v>3</v>
      </c>
      <c r="X737" s="2">
        <v>19</v>
      </c>
      <c r="Y737" s="2">
        <v>28.844221105527641</v>
      </c>
    </row>
    <row r="738" spans="1:25" hidden="1">
      <c r="A738" s="2" t="s">
        <v>1001</v>
      </c>
      <c r="B738" s="2" t="s">
        <v>173</v>
      </c>
      <c r="C738" s="2" t="s">
        <v>695</v>
      </c>
      <c r="D738" s="3">
        <v>45951.854166666657</v>
      </c>
      <c r="E738" s="3">
        <v>45951.875</v>
      </c>
      <c r="F738" s="2">
        <v>30</v>
      </c>
      <c r="G738" s="2" t="s">
        <v>143</v>
      </c>
      <c r="H738" s="2" t="s">
        <v>655</v>
      </c>
      <c r="I738" s="2">
        <v>3</v>
      </c>
      <c r="J738" s="2">
        <v>4.5</v>
      </c>
      <c r="K738" s="2" t="s">
        <v>143</v>
      </c>
      <c r="L738" s="2" t="s">
        <v>169</v>
      </c>
      <c r="M738" s="2" t="b">
        <v>1</v>
      </c>
      <c r="N738" s="2" t="b">
        <v>0</v>
      </c>
      <c r="O738" s="2">
        <v>6.666666666666667</v>
      </c>
      <c r="P738" s="2">
        <v>0.66666666666666663</v>
      </c>
      <c r="Q738" s="2" t="s">
        <v>488</v>
      </c>
      <c r="R738" s="2" t="s">
        <v>171</v>
      </c>
      <c r="S738" s="2">
        <v>10.8</v>
      </c>
      <c r="T738" s="2">
        <v>19.2</v>
      </c>
      <c r="U738" s="2" t="b">
        <v>0</v>
      </c>
      <c r="V738" s="2">
        <v>6</v>
      </c>
      <c r="W738" s="2">
        <v>2</v>
      </c>
      <c r="X738" s="2">
        <v>20</v>
      </c>
      <c r="Y738" s="2">
        <v>30.286458333333329</v>
      </c>
    </row>
    <row r="739" spans="1:25" hidden="1">
      <c r="A739" s="2" t="s">
        <v>1002</v>
      </c>
      <c r="B739" s="2" t="s">
        <v>142</v>
      </c>
      <c r="C739" s="2" t="s">
        <v>697</v>
      </c>
      <c r="D739" s="3">
        <v>45952.791666666657</v>
      </c>
      <c r="E739" s="3">
        <v>45952.8125</v>
      </c>
      <c r="F739" s="2">
        <v>30</v>
      </c>
      <c r="G739" s="2" t="s">
        <v>151</v>
      </c>
      <c r="H739" s="2" t="s">
        <v>657</v>
      </c>
      <c r="I739" s="2">
        <v>4</v>
      </c>
      <c r="J739" s="2">
        <v>5.5</v>
      </c>
      <c r="K739" s="2" t="s">
        <v>143</v>
      </c>
      <c r="L739" s="2" t="s">
        <v>162</v>
      </c>
      <c r="M739" s="2" t="b">
        <v>1</v>
      </c>
      <c r="N739" s="2" t="b">
        <v>0</v>
      </c>
      <c r="O739" s="2">
        <v>5.4545454545454541</v>
      </c>
      <c r="P739" s="2">
        <v>0.72727272727272729</v>
      </c>
      <c r="Q739" s="2" t="s">
        <v>488</v>
      </c>
      <c r="R739" s="2" t="s">
        <v>147</v>
      </c>
      <c r="S739" s="2">
        <v>13.2</v>
      </c>
      <c r="T739" s="2">
        <v>16.8</v>
      </c>
      <c r="U739" s="2" t="b">
        <v>0</v>
      </c>
      <c r="V739" s="2">
        <v>12</v>
      </c>
      <c r="W739" s="2">
        <v>2</v>
      </c>
      <c r="X739" s="2">
        <v>19</v>
      </c>
      <c r="Y739" s="2">
        <v>30.259433962264151</v>
      </c>
    </row>
    <row r="740" spans="1:25" hidden="1">
      <c r="A740" s="2" t="s">
        <v>1003</v>
      </c>
      <c r="B740" s="2" t="s">
        <v>165</v>
      </c>
      <c r="C740" s="2" t="s">
        <v>188</v>
      </c>
      <c r="D740" s="3">
        <v>45953.84375</v>
      </c>
      <c r="E740" s="3">
        <v>45953.864583333343</v>
      </c>
      <c r="F740" s="2">
        <v>30</v>
      </c>
      <c r="G740" s="2" t="s">
        <v>143</v>
      </c>
      <c r="H740" s="2" t="s">
        <v>144</v>
      </c>
      <c r="I740" s="2">
        <v>2</v>
      </c>
      <c r="J740" s="2">
        <v>4</v>
      </c>
      <c r="K740" s="2" t="s">
        <v>161</v>
      </c>
      <c r="L740" s="2" t="s">
        <v>154</v>
      </c>
      <c r="M740" s="2" t="b">
        <v>1</v>
      </c>
      <c r="N740" s="2" t="b">
        <v>0</v>
      </c>
      <c r="O740" s="2">
        <v>7.5</v>
      </c>
      <c r="P740" s="2">
        <v>0.5</v>
      </c>
      <c r="Q740" s="2" t="s">
        <v>488</v>
      </c>
      <c r="R740" s="2" t="s">
        <v>147</v>
      </c>
      <c r="S740" s="2">
        <v>9.6</v>
      </c>
      <c r="T740" s="2">
        <v>20.399999999999999</v>
      </c>
      <c r="U740" s="2" t="b">
        <v>0</v>
      </c>
      <c r="V740" s="2">
        <v>4</v>
      </c>
      <c r="W740" s="2">
        <v>1</v>
      </c>
      <c r="X740" s="2">
        <v>20</v>
      </c>
      <c r="Y740" s="2">
        <v>29.948453608247419</v>
      </c>
    </row>
    <row r="741" spans="1:25" hidden="1">
      <c r="A741" s="2" t="s">
        <v>1004</v>
      </c>
      <c r="B741" s="2" t="s">
        <v>149</v>
      </c>
      <c r="C741" s="2" t="s">
        <v>712</v>
      </c>
      <c r="D741" s="3">
        <v>45954.770833333343</v>
      </c>
      <c r="E741" s="3">
        <v>45954.791666666657</v>
      </c>
      <c r="F741" s="2">
        <v>30</v>
      </c>
      <c r="G741" s="2" t="s">
        <v>143</v>
      </c>
      <c r="H741" s="2" t="s">
        <v>591</v>
      </c>
      <c r="I741" s="2">
        <v>3</v>
      </c>
      <c r="J741" s="2">
        <v>5</v>
      </c>
      <c r="K741" s="2" t="s">
        <v>143</v>
      </c>
      <c r="L741" s="2" t="s">
        <v>145</v>
      </c>
      <c r="M741" s="2" t="b">
        <v>1</v>
      </c>
      <c r="N741" s="2" t="b">
        <v>0</v>
      </c>
      <c r="O741" s="2">
        <v>6</v>
      </c>
      <c r="P741" s="2">
        <v>0.6</v>
      </c>
      <c r="Q741" s="2" t="s">
        <v>488</v>
      </c>
      <c r="R741" s="2" t="s">
        <v>147</v>
      </c>
      <c r="S741" s="2">
        <v>12</v>
      </c>
      <c r="T741" s="2">
        <v>18</v>
      </c>
      <c r="U741" s="2" t="b">
        <v>0</v>
      </c>
      <c r="V741" s="2">
        <v>6</v>
      </c>
      <c r="W741" s="2">
        <v>2</v>
      </c>
      <c r="X741" s="2">
        <v>18</v>
      </c>
      <c r="Y741" s="2">
        <v>28.186274509803919</v>
      </c>
    </row>
    <row r="742" spans="1:25" hidden="1">
      <c r="A742" s="2" t="s">
        <v>1005</v>
      </c>
      <c r="B742" s="2" t="s">
        <v>157</v>
      </c>
      <c r="C742" s="2" t="s">
        <v>693</v>
      </c>
      <c r="D742" s="3">
        <v>45955.822916666657</v>
      </c>
      <c r="E742" s="3">
        <v>45955.84375</v>
      </c>
      <c r="F742" s="2">
        <v>30</v>
      </c>
      <c r="G742" s="2" t="s">
        <v>167</v>
      </c>
      <c r="H742" s="2" t="s">
        <v>168</v>
      </c>
      <c r="I742" s="2">
        <v>5</v>
      </c>
      <c r="J742" s="2">
        <v>6</v>
      </c>
      <c r="K742" s="2" t="s">
        <v>153</v>
      </c>
      <c r="L742" s="2" t="s">
        <v>162</v>
      </c>
      <c r="M742" s="2" t="b">
        <v>1</v>
      </c>
      <c r="N742" s="2" t="b">
        <v>1</v>
      </c>
      <c r="O742" s="2">
        <v>5</v>
      </c>
      <c r="P742" s="2">
        <v>0.83333333333333337</v>
      </c>
      <c r="Q742" s="2" t="s">
        <v>488</v>
      </c>
      <c r="R742" s="2" t="s">
        <v>147</v>
      </c>
      <c r="S742" s="2">
        <v>14.4</v>
      </c>
      <c r="T742" s="2">
        <v>15.6</v>
      </c>
      <c r="U742" s="2" t="b">
        <v>0</v>
      </c>
      <c r="V742" s="2">
        <v>20</v>
      </c>
      <c r="W742" s="2">
        <v>3</v>
      </c>
      <c r="X742" s="2">
        <v>19</v>
      </c>
      <c r="Y742" s="2">
        <v>28.844221105527641</v>
      </c>
    </row>
    <row r="743" spans="1:25" hidden="1">
      <c r="A743" s="2" t="s">
        <v>1006</v>
      </c>
      <c r="B743" s="2" t="s">
        <v>173</v>
      </c>
      <c r="C743" s="2" t="s">
        <v>695</v>
      </c>
      <c r="D743" s="3">
        <v>45956.75</v>
      </c>
      <c r="E743" s="3">
        <v>45956.770833333343</v>
      </c>
      <c r="F743" s="2">
        <v>30</v>
      </c>
      <c r="G743" s="2" t="s">
        <v>143</v>
      </c>
      <c r="H743" s="2" t="s">
        <v>655</v>
      </c>
      <c r="I743" s="2">
        <v>3</v>
      </c>
      <c r="J743" s="2">
        <v>4.5</v>
      </c>
      <c r="K743" s="2" t="s">
        <v>143</v>
      </c>
      <c r="L743" s="2" t="s">
        <v>169</v>
      </c>
      <c r="M743" s="2" t="b">
        <v>1</v>
      </c>
      <c r="N743" s="2" t="b">
        <v>1</v>
      </c>
      <c r="O743" s="2">
        <v>6.666666666666667</v>
      </c>
      <c r="P743" s="2">
        <v>0.66666666666666663</v>
      </c>
      <c r="Q743" s="2" t="s">
        <v>488</v>
      </c>
      <c r="R743" s="2" t="s">
        <v>171</v>
      </c>
      <c r="S743" s="2">
        <v>10.8</v>
      </c>
      <c r="T743" s="2">
        <v>19.2</v>
      </c>
      <c r="U743" s="2" t="b">
        <v>0</v>
      </c>
      <c r="V743" s="2">
        <v>6</v>
      </c>
      <c r="W743" s="2">
        <v>2</v>
      </c>
      <c r="X743" s="2">
        <v>18</v>
      </c>
      <c r="Y743" s="2">
        <v>30.286458333333329</v>
      </c>
    </row>
    <row r="744" spans="1:25" hidden="1">
      <c r="A744" s="2" t="s">
        <v>1007</v>
      </c>
      <c r="B744" s="2" t="s">
        <v>142</v>
      </c>
      <c r="C744" s="2" t="s">
        <v>697</v>
      </c>
      <c r="D744" s="3">
        <v>45957.802083333343</v>
      </c>
      <c r="E744" s="3">
        <v>45957.822916666657</v>
      </c>
      <c r="F744" s="2">
        <v>30</v>
      </c>
      <c r="G744" s="2" t="s">
        <v>151</v>
      </c>
      <c r="H744" s="2" t="s">
        <v>657</v>
      </c>
      <c r="I744" s="2">
        <v>4</v>
      </c>
      <c r="J744" s="2">
        <v>5.5</v>
      </c>
      <c r="K744" s="2" t="s">
        <v>143</v>
      </c>
      <c r="L744" s="2" t="s">
        <v>162</v>
      </c>
      <c r="M744" s="2" t="b">
        <v>1</v>
      </c>
      <c r="N744" s="2" t="b">
        <v>0</v>
      </c>
      <c r="O744" s="2">
        <v>5.4545454545454541</v>
      </c>
      <c r="P744" s="2">
        <v>0.72727272727272729</v>
      </c>
      <c r="Q744" s="2" t="s">
        <v>488</v>
      </c>
      <c r="R744" s="2" t="s">
        <v>147</v>
      </c>
      <c r="S744" s="2">
        <v>13.2</v>
      </c>
      <c r="T744" s="2">
        <v>16.8</v>
      </c>
      <c r="U744" s="2" t="b">
        <v>0</v>
      </c>
      <c r="V744" s="2">
        <v>12</v>
      </c>
      <c r="W744" s="2">
        <v>2</v>
      </c>
      <c r="X744" s="2">
        <v>19</v>
      </c>
      <c r="Y744" s="2">
        <v>30.259433962264151</v>
      </c>
    </row>
    <row r="745" spans="1:25" hidden="1">
      <c r="A745" s="2" t="s">
        <v>1008</v>
      </c>
      <c r="B745" s="2" t="s">
        <v>165</v>
      </c>
      <c r="C745" s="2" t="s">
        <v>188</v>
      </c>
      <c r="D745" s="3">
        <v>45958.854166666657</v>
      </c>
      <c r="E745" s="3">
        <v>45958.875</v>
      </c>
      <c r="F745" s="2">
        <v>30</v>
      </c>
      <c r="G745" s="2" t="s">
        <v>143</v>
      </c>
      <c r="H745" s="2" t="s">
        <v>144</v>
      </c>
      <c r="I745" s="2">
        <v>2</v>
      </c>
      <c r="J745" s="2">
        <v>4</v>
      </c>
      <c r="K745" s="2" t="s">
        <v>161</v>
      </c>
      <c r="L745" s="2" t="s">
        <v>154</v>
      </c>
      <c r="M745" s="2" t="b">
        <v>1</v>
      </c>
      <c r="N745" s="2" t="b">
        <v>0</v>
      </c>
      <c r="O745" s="2">
        <v>7.5</v>
      </c>
      <c r="P745" s="2">
        <v>0.5</v>
      </c>
      <c r="Q745" s="2" t="s">
        <v>488</v>
      </c>
      <c r="R745" s="2" t="s">
        <v>147</v>
      </c>
      <c r="S745" s="2">
        <v>9.6</v>
      </c>
      <c r="T745" s="2">
        <v>20.399999999999999</v>
      </c>
      <c r="U745" s="2" t="b">
        <v>0</v>
      </c>
      <c r="V745" s="2">
        <v>4</v>
      </c>
      <c r="W745" s="2">
        <v>1</v>
      </c>
      <c r="X745" s="2">
        <v>20</v>
      </c>
      <c r="Y745" s="2">
        <v>29.948453608247419</v>
      </c>
    </row>
    <row r="746" spans="1:25" hidden="1">
      <c r="A746" s="2" t="s">
        <v>1009</v>
      </c>
      <c r="B746" s="2" t="s">
        <v>149</v>
      </c>
      <c r="C746" s="2" t="s">
        <v>712</v>
      </c>
      <c r="D746" s="3">
        <v>45959.78125</v>
      </c>
      <c r="E746" s="3">
        <v>45959.802083333343</v>
      </c>
      <c r="F746" s="2">
        <v>30</v>
      </c>
      <c r="G746" s="2" t="s">
        <v>143</v>
      </c>
      <c r="H746" s="2" t="s">
        <v>591</v>
      </c>
      <c r="I746" s="2">
        <v>3</v>
      </c>
      <c r="J746" s="2">
        <v>5</v>
      </c>
      <c r="K746" s="2" t="s">
        <v>143</v>
      </c>
      <c r="L746" s="2" t="s">
        <v>145</v>
      </c>
      <c r="M746" s="2" t="b">
        <v>1</v>
      </c>
      <c r="N746" s="2" t="b">
        <v>0</v>
      </c>
      <c r="O746" s="2">
        <v>6</v>
      </c>
      <c r="P746" s="2">
        <v>0.6</v>
      </c>
      <c r="Q746" s="2" t="s">
        <v>488</v>
      </c>
      <c r="R746" s="2" t="s">
        <v>147</v>
      </c>
      <c r="S746" s="2">
        <v>12</v>
      </c>
      <c r="T746" s="2">
        <v>18</v>
      </c>
      <c r="U746" s="2" t="b">
        <v>0</v>
      </c>
      <c r="V746" s="2">
        <v>6</v>
      </c>
      <c r="W746" s="2">
        <v>2</v>
      </c>
      <c r="X746" s="2">
        <v>18</v>
      </c>
      <c r="Y746" s="2">
        <v>28.186274509803919</v>
      </c>
    </row>
    <row r="747" spans="1:25" hidden="1">
      <c r="A747" s="2" t="s">
        <v>1010</v>
      </c>
      <c r="B747" s="2" t="s">
        <v>157</v>
      </c>
      <c r="C747" s="2" t="s">
        <v>693</v>
      </c>
      <c r="D747" s="3">
        <v>45960.791666666657</v>
      </c>
      <c r="E747" s="3">
        <v>45960.8125</v>
      </c>
      <c r="F747" s="2">
        <v>30</v>
      </c>
      <c r="G747" s="2" t="s">
        <v>167</v>
      </c>
      <c r="H747" s="2" t="s">
        <v>168</v>
      </c>
      <c r="I747" s="2">
        <v>5</v>
      </c>
      <c r="J747" s="2">
        <v>6</v>
      </c>
      <c r="K747" s="2" t="s">
        <v>153</v>
      </c>
      <c r="L747" s="2" t="s">
        <v>162</v>
      </c>
      <c r="M747" s="2" t="b">
        <v>1</v>
      </c>
      <c r="N747" s="2" t="b">
        <v>0</v>
      </c>
      <c r="O747" s="2">
        <v>5</v>
      </c>
      <c r="P747" s="2">
        <v>0.83333333333333337</v>
      </c>
      <c r="Q747" s="2" t="s">
        <v>488</v>
      </c>
      <c r="R747" s="2" t="s">
        <v>147</v>
      </c>
      <c r="S747" s="2">
        <v>14.4</v>
      </c>
      <c r="T747" s="2">
        <v>15.6</v>
      </c>
      <c r="U747" s="2" t="b">
        <v>0</v>
      </c>
      <c r="V747" s="2">
        <v>20</v>
      </c>
      <c r="W747" s="2">
        <v>3</v>
      </c>
      <c r="X747" s="2">
        <v>19</v>
      </c>
      <c r="Y747" s="2">
        <v>28.844221105527641</v>
      </c>
    </row>
    <row r="748" spans="1:25" hidden="1">
      <c r="A748" s="2" t="s">
        <v>1011</v>
      </c>
      <c r="B748" s="2" t="s">
        <v>173</v>
      </c>
      <c r="C748" s="2" t="s">
        <v>695</v>
      </c>
      <c r="D748" s="3">
        <v>45961.84375</v>
      </c>
      <c r="E748" s="3">
        <v>45961.864583333343</v>
      </c>
      <c r="F748" s="2">
        <v>30</v>
      </c>
      <c r="G748" s="2" t="s">
        <v>143</v>
      </c>
      <c r="H748" s="2" t="s">
        <v>655</v>
      </c>
      <c r="I748" s="2">
        <v>3</v>
      </c>
      <c r="J748" s="2">
        <v>4.5</v>
      </c>
      <c r="K748" s="2" t="s">
        <v>143</v>
      </c>
      <c r="L748" s="2" t="s">
        <v>169</v>
      </c>
      <c r="M748" s="2" t="b">
        <v>1</v>
      </c>
      <c r="N748" s="2" t="b">
        <v>0</v>
      </c>
      <c r="O748" s="2">
        <v>6.666666666666667</v>
      </c>
      <c r="P748" s="2">
        <v>0.66666666666666663</v>
      </c>
      <c r="Q748" s="2" t="s">
        <v>488</v>
      </c>
      <c r="R748" s="2" t="s">
        <v>171</v>
      </c>
      <c r="S748" s="2">
        <v>10.8</v>
      </c>
      <c r="T748" s="2">
        <v>19.2</v>
      </c>
      <c r="U748" s="2" t="b">
        <v>0</v>
      </c>
      <c r="V748" s="2">
        <v>6</v>
      </c>
      <c r="W748" s="2">
        <v>2</v>
      </c>
      <c r="X748" s="2">
        <v>20</v>
      </c>
      <c r="Y748" s="2">
        <v>30.286458333333329</v>
      </c>
    </row>
    <row r="749" spans="1:25" hidden="1">
      <c r="A749" s="2" t="s">
        <v>1012</v>
      </c>
      <c r="B749" s="2" t="s">
        <v>142</v>
      </c>
      <c r="C749" s="2" t="s">
        <v>697</v>
      </c>
      <c r="D749" s="3">
        <v>45962.8125</v>
      </c>
      <c r="E749" s="3">
        <v>45962.833333333343</v>
      </c>
      <c r="F749" s="2">
        <v>30</v>
      </c>
      <c r="G749" s="2" t="s">
        <v>151</v>
      </c>
      <c r="H749" s="2" t="s">
        <v>657</v>
      </c>
      <c r="I749" s="2">
        <v>4</v>
      </c>
      <c r="J749" s="2">
        <v>5.5</v>
      </c>
      <c r="K749" s="2" t="s">
        <v>143</v>
      </c>
      <c r="L749" s="2" t="s">
        <v>162</v>
      </c>
      <c r="M749" s="2" t="b">
        <v>1</v>
      </c>
      <c r="N749" s="2" t="b">
        <v>1</v>
      </c>
      <c r="O749" s="2">
        <v>5.4545454545454541</v>
      </c>
      <c r="P749" s="2">
        <v>0.72727272727272729</v>
      </c>
      <c r="Q749" s="2" t="s">
        <v>570</v>
      </c>
      <c r="R749" s="2" t="s">
        <v>147</v>
      </c>
      <c r="S749" s="2">
        <v>13.2</v>
      </c>
      <c r="T749" s="2">
        <v>16.8</v>
      </c>
      <c r="U749" s="2" t="b">
        <v>0</v>
      </c>
      <c r="V749" s="2">
        <v>12</v>
      </c>
      <c r="W749" s="2">
        <v>2</v>
      </c>
      <c r="X749" s="2">
        <v>19</v>
      </c>
      <c r="Y749" s="2">
        <v>30.259433962264151</v>
      </c>
    </row>
    <row r="750" spans="1:25" hidden="1">
      <c r="A750" s="2" t="s">
        <v>1013</v>
      </c>
      <c r="B750" s="2" t="s">
        <v>165</v>
      </c>
      <c r="C750" s="2" t="s">
        <v>188</v>
      </c>
      <c r="D750" s="3">
        <v>45963.864583333343</v>
      </c>
      <c r="E750" s="3">
        <v>45963.885416666657</v>
      </c>
      <c r="F750" s="2">
        <v>30</v>
      </c>
      <c r="G750" s="2" t="s">
        <v>143</v>
      </c>
      <c r="H750" s="2" t="s">
        <v>144</v>
      </c>
      <c r="I750" s="2">
        <v>2</v>
      </c>
      <c r="J750" s="2">
        <v>4</v>
      </c>
      <c r="K750" s="2" t="s">
        <v>161</v>
      </c>
      <c r="L750" s="2" t="s">
        <v>154</v>
      </c>
      <c r="M750" s="2" t="b">
        <v>1</v>
      </c>
      <c r="N750" s="2" t="b">
        <v>1</v>
      </c>
      <c r="O750" s="2">
        <v>7.5</v>
      </c>
      <c r="P750" s="2">
        <v>0.5</v>
      </c>
      <c r="Q750" s="2" t="s">
        <v>570</v>
      </c>
      <c r="R750" s="2" t="s">
        <v>147</v>
      </c>
      <c r="S750" s="2">
        <v>9.6</v>
      </c>
      <c r="T750" s="2">
        <v>20.399999999999999</v>
      </c>
      <c r="U750" s="2" t="b">
        <v>0</v>
      </c>
      <c r="V750" s="2">
        <v>4</v>
      </c>
      <c r="W750" s="2">
        <v>1</v>
      </c>
      <c r="X750" s="2">
        <v>20</v>
      </c>
      <c r="Y750" s="2">
        <v>29.948453608247419</v>
      </c>
    </row>
    <row r="751" spans="1:25" hidden="1">
      <c r="A751" s="2" t="s">
        <v>1014</v>
      </c>
      <c r="B751" s="2" t="s">
        <v>149</v>
      </c>
      <c r="C751" s="2" t="s">
        <v>712</v>
      </c>
      <c r="D751" s="3">
        <v>45964.75</v>
      </c>
      <c r="E751" s="3">
        <v>45964.770833333343</v>
      </c>
      <c r="F751" s="2">
        <v>30</v>
      </c>
      <c r="G751" s="2" t="s">
        <v>143</v>
      </c>
      <c r="H751" s="2" t="s">
        <v>591</v>
      </c>
      <c r="I751" s="2">
        <v>3</v>
      </c>
      <c r="J751" s="2">
        <v>5</v>
      </c>
      <c r="K751" s="2" t="s">
        <v>143</v>
      </c>
      <c r="L751" s="2" t="s">
        <v>145</v>
      </c>
      <c r="M751" s="2" t="b">
        <v>1</v>
      </c>
      <c r="N751" s="2" t="b">
        <v>0</v>
      </c>
      <c r="O751" s="2">
        <v>6</v>
      </c>
      <c r="P751" s="2">
        <v>0.6</v>
      </c>
      <c r="Q751" s="2" t="s">
        <v>570</v>
      </c>
      <c r="R751" s="2" t="s">
        <v>147</v>
      </c>
      <c r="S751" s="2">
        <v>12</v>
      </c>
      <c r="T751" s="2">
        <v>18</v>
      </c>
      <c r="U751" s="2" t="b">
        <v>0</v>
      </c>
      <c r="V751" s="2">
        <v>6</v>
      </c>
      <c r="W751" s="2">
        <v>2</v>
      </c>
      <c r="X751" s="2">
        <v>18</v>
      </c>
      <c r="Y751" s="2">
        <v>28.186274509803919</v>
      </c>
    </row>
    <row r="752" spans="1:25" hidden="1">
      <c r="A752" s="2" t="s">
        <v>1015</v>
      </c>
      <c r="B752" s="2" t="s">
        <v>157</v>
      </c>
      <c r="C752" s="2" t="s">
        <v>693</v>
      </c>
      <c r="D752" s="3">
        <v>45965.802083333343</v>
      </c>
      <c r="E752" s="3">
        <v>45965.822916666657</v>
      </c>
      <c r="F752" s="2">
        <v>30</v>
      </c>
      <c r="G752" s="2" t="s">
        <v>167</v>
      </c>
      <c r="H752" s="2" t="s">
        <v>168</v>
      </c>
      <c r="I752" s="2">
        <v>5</v>
      </c>
      <c r="J752" s="2">
        <v>6</v>
      </c>
      <c r="K752" s="2" t="s">
        <v>153</v>
      </c>
      <c r="L752" s="2" t="s">
        <v>162</v>
      </c>
      <c r="M752" s="2" t="b">
        <v>1</v>
      </c>
      <c r="N752" s="2" t="b">
        <v>0</v>
      </c>
      <c r="O752" s="2">
        <v>5</v>
      </c>
      <c r="P752" s="2">
        <v>0.83333333333333337</v>
      </c>
      <c r="Q752" s="2" t="s">
        <v>570</v>
      </c>
      <c r="R752" s="2" t="s">
        <v>147</v>
      </c>
      <c r="S752" s="2">
        <v>14.4</v>
      </c>
      <c r="T752" s="2">
        <v>15.6</v>
      </c>
      <c r="U752" s="2" t="b">
        <v>0</v>
      </c>
      <c r="V752" s="2">
        <v>20</v>
      </c>
      <c r="W752" s="2">
        <v>3</v>
      </c>
      <c r="X752" s="2">
        <v>19</v>
      </c>
      <c r="Y752" s="2">
        <v>28.844221105527641</v>
      </c>
    </row>
    <row r="753" spans="1:25" hidden="1">
      <c r="A753" s="2" t="s">
        <v>1016</v>
      </c>
      <c r="B753" s="2" t="s">
        <v>173</v>
      </c>
      <c r="C753" s="2" t="s">
        <v>695</v>
      </c>
      <c r="D753" s="3">
        <v>45966.854166666657</v>
      </c>
      <c r="E753" s="3">
        <v>45966.875</v>
      </c>
      <c r="F753" s="2">
        <v>30</v>
      </c>
      <c r="G753" s="2" t="s">
        <v>143</v>
      </c>
      <c r="H753" s="2" t="s">
        <v>655</v>
      </c>
      <c r="I753" s="2">
        <v>3</v>
      </c>
      <c r="J753" s="2">
        <v>4.5</v>
      </c>
      <c r="K753" s="2" t="s">
        <v>143</v>
      </c>
      <c r="L753" s="2" t="s">
        <v>162</v>
      </c>
      <c r="M753" s="2" t="b">
        <v>1</v>
      </c>
      <c r="N753" s="2" t="b">
        <v>0</v>
      </c>
      <c r="O753" s="2">
        <v>6.666666666666667</v>
      </c>
      <c r="P753" s="2">
        <v>0.66666666666666663</v>
      </c>
      <c r="Q753" s="2" t="s">
        <v>570</v>
      </c>
      <c r="R753" s="2" t="s">
        <v>147</v>
      </c>
      <c r="S753" s="2">
        <v>10.8</v>
      </c>
      <c r="T753" s="2">
        <v>19.2</v>
      </c>
      <c r="U753" s="2" t="b">
        <v>0</v>
      </c>
      <c r="V753" s="2">
        <v>6</v>
      </c>
      <c r="W753" s="2">
        <v>2</v>
      </c>
      <c r="X753" s="2">
        <v>20</v>
      </c>
      <c r="Y753" s="2">
        <v>30.286458333333329</v>
      </c>
    </row>
    <row r="754" spans="1:25" hidden="1">
      <c r="A754" s="2" t="s">
        <v>1017</v>
      </c>
      <c r="B754" s="2" t="s">
        <v>149</v>
      </c>
      <c r="C754" s="2" t="s">
        <v>712</v>
      </c>
      <c r="D754" s="3">
        <v>45967.78125</v>
      </c>
      <c r="E754" s="3">
        <v>45967.802083333343</v>
      </c>
      <c r="F754" s="2">
        <v>30</v>
      </c>
      <c r="G754" s="2" t="s">
        <v>143</v>
      </c>
      <c r="H754" s="2" t="s">
        <v>1018</v>
      </c>
      <c r="I754" s="2">
        <v>3</v>
      </c>
      <c r="J754" s="2">
        <v>5</v>
      </c>
      <c r="K754" s="2" t="s">
        <v>143</v>
      </c>
      <c r="L754" s="2" t="s">
        <v>162</v>
      </c>
      <c r="M754" s="2" t="b">
        <v>1</v>
      </c>
      <c r="N754" s="2" t="b">
        <v>0</v>
      </c>
      <c r="O754" s="2">
        <v>6</v>
      </c>
      <c r="P754" s="2">
        <v>0.6</v>
      </c>
      <c r="Q754" s="2" t="s">
        <v>570</v>
      </c>
      <c r="R754" s="2" t="s">
        <v>147</v>
      </c>
      <c r="S754" s="2">
        <v>12</v>
      </c>
      <c r="T754" s="2">
        <v>18</v>
      </c>
      <c r="U754" s="2" t="b">
        <v>0</v>
      </c>
      <c r="V754" s="2">
        <v>6</v>
      </c>
      <c r="W754" s="2">
        <v>2</v>
      </c>
      <c r="X754" s="2">
        <v>18</v>
      </c>
      <c r="Y754" s="2">
        <v>28.186274509803919</v>
      </c>
    </row>
    <row r="755" spans="1:25" hidden="1">
      <c r="A755" s="2" t="s">
        <v>1019</v>
      </c>
      <c r="B755" s="2" t="s">
        <v>157</v>
      </c>
      <c r="C755" s="2" t="s">
        <v>693</v>
      </c>
      <c r="D755" s="3">
        <v>45968.791666666657</v>
      </c>
      <c r="E755" s="3">
        <v>45968.8125</v>
      </c>
      <c r="F755" s="2">
        <v>30</v>
      </c>
      <c r="G755" s="2" t="s">
        <v>167</v>
      </c>
      <c r="H755" s="2" t="s">
        <v>168</v>
      </c>
      <c r="I755" s="2">
        <v>5</v>
      </c>
      <c r="J755" s="2">
        <v>6</v>
      </c>
      <c r="K755" s="2" t="s">
        <v>153</v>
      </c>
      <c r="L755" s="2" t="s">
        <v>145</v>
      </c>
      <c r="M755" s="2" t="b">
        <v>1</v>
      </c>
      <c r="N755" s="2" t="b">
        <v>0</v>
      </c>
      <c r="O755" s="2">
        <v>5</v>
      </c>
      <c r="P755" s="2">
        <v>0.83333333333333337</v>
      </c>
      <c r="Q755" s="2" t="s">
        <v>570</v>
      </c>
      <c r="R755" s="2" t="s">
        <v>147</v>
      </c>
      <c r="S755" s="2">
        <v>14.4</v>
      </c>
      <c r="T755" s="2">
        <v>15.6</v>
      </c>
      <c r="U755" s="2" t="b">
        <v>0</v>
      </c>
      <c r="V755" s="2">
        <v>20</v>
      </c>
      <c r="W755" s="2">
        <v>3</v>
      </c>
      <c r="X755" s="2">
        <v>19</v>
      </c>
      <c r="Y755" s="2">
        <v>28.844221105527641</v>
      </c>
    </row>
    <row r="756" spans="1:25" hidden="1">
      <c r="A756" s="2" t="s">
        <v>1020</v>
      </c>
      <c r="B756" s="2" t="s">
        <v>173</v>
      </c>
      <c r="C756" s="2" t="s">
        <v>695</v>
      </c>
      <c r="D756" s="3">
        <v>45969.84375</v>
      </c>
      <c r="E756" s="3">
        <v>45969.864583333343</v>
      </c>
      <c r="F756" s="2">
        <v>30</v>
      </c>
      <c r="G756" s="2" t="s">
        <v>143</v>
      </c>
      <c r="H756" s="2" t="s">
        <v>1021</v>
      </c>
      <c r="I756" s="2">
        <v>3</v>
      </c>
      <c r="J756" s="2">
        <v>4.5</v>
      </c>
      <c r="K756" s="2" t="s">
        <v>143</v>
      </c>
      <c r="L756" s="2" t="s">
        <v>169</v>
      </c>
      <c r="M756" s="2" t="b">
        <v>1</v>
      </c>
      <c r="N756" s="2" t="b">
        <v>1</v>
      </c>
      <c r="O756" s="2">
        <v>6.666666666666667</v>
      </c>
      <c r="P756" s="2">
        <v>0.66666666666666663</v>
      </c>
      <c r="Q756" s="2" t="s">
        <v>570</v>
      </c>
      <c r="R756" s="2" t="s">
        <v>171</v>
      </c>
      <c r="S756" s="2">
        <v>10.8</v>
      </c>
      <c r="T756" s="2">
        <v>19.2</v>
      </c>
      <c r="U756" s="2" t="b">
        <v>0</v>
      </c>
      <c r="V756" s="2">
        <v>6</v>
      </c>
      <c r="W756" s="2">
        <v>2</v>
      </c>
      <c r="X756" s="2">
        <v>20</v>
      </c>
      <c r="Y756" s="2">
        <v>30.286458333333329</v>
      </c>
    </row>
    <row r="757" spans="1:25" hidden="1">
      <c r="A757" s="2" t="s">
        <v>1022</v>
      </c>
      <c r="B757" s="2" t="s">
        <v>142</v>
      </c>
      <c r="C757" s="2" t="s">
        <v>697</v>
      </c>
      <c r="D757" s="3">
        <v>45970.8125</v>
      </c>
      <c r="E757" s="3">
        <v>45970.833333333343</v>
      </c>
      <c r="F757" s="2">
        <v>30</v>
      </c>
      <c r="G757" s="2" t="s">
        <v>151</v>
      </c>
      <c r="H757" s="2" t="s">
        <v>657</v>
      </c>
      <c r="I757" s="2">
        <v>4</v>
      </c>
      <c r="J757" s="2">
        <v>5.5</v>
      </c>
      <c r="K757" s="2" t="s">
        <v>143</v>
      </c>
      <c r="L757" s="2" t="s">
        <v>162</v>
      </c>
      <c r="M757" s="2" t="b">
        <v>1</v>
      </c>
      <c r="N757" s="2" t="b">
        <v>1</v>
      </c>
      <c r="O757" s="2">
        <v>5.4545454545454541</v>
      </c>
      <c r="P757" s="2">
        <v>0.72727272727272729</v>
      </c>
      <c r="Q757" s="2" t="s">
        <v>570</v>
      </c>
      <c r="R757" s="2" t="s">
        <v>147</v>
      </c>
      <c r="S757" s="2">
        <v>13.2</v>
      </c>
      <c r="T757" s="2">
        <v>16.8</v>
      </c>
      <c r="U757" s="2" t="b">
        <v>0</v>
      </c>
      <c r="V757" s="2">
        <v>12</v>
      </c>
      <c r="W757" s="2">
        <v>2</v>
      </c>
      <c r="X757" s="2">
        <v>19</v>
      </c>
      <c r="Y757" s="2">
        <v>30.259433962264151</v>
      </c>
    </row>
    <row r="758" spans="1:25" hidden="1">
      <c r="A758" s="2" t="s">
        <v>1023</v>
      </c>
      <c r="B758" s="2" t="s">
        <v>165</v>
      </c>
      <c r="C758" s="2" t="s">
        <v>188</v>
      </c>
      <c r="D758" s="3">
        <v>45971.864583333343</v>
      </c>
      <c r="E758" s="3">
        <v>45971.885416666657</v>
      </c>
      <c r="F758" s="2">
        <v>30</v>
      </c>
      <c r="G758" s="2" t="s">
        <v>143</v>
      </c>
      <c r="H758" s="2" t="s">
        <v>144</v>
      </c>
      <c r="I758" s="2">
        <v>2</v>
      </c>
      <c r="J758" s="2">
        <v>4</v>
      </c>
      <c r="K758" s="2" t="s">
        <v>161</v>
      </c>
      <c r="L758" s="2" t="s">
        <v>154</v>
      </c>
      <c r="M758" s="2" t="b">
        <v>1</v>
      </c>
      <c r="N758" s="2" t="b">
        <v>0</v>
      </c>
      <c r="O758" s="2">
        <v>7.5</v>
      </c>
      <c r="P758" s="2">
        <v>0.5</v>
      </c>
      <c r="Q758" s="2" t="s">
        <v>570</v>
      </c>
      <c r="R758" s="2" t="s">
        <v>147</v>
      </c>
      <c r="S758" s="2">
        <v>9.6</v>
      </c>
      <c r="T758" s="2">
        <v>20.399999999999999</v>
      </c>
      <c r="U758" s="2" t="b">
        <v>0</v>
      </c>
      <c r="V758" s="2">
        <v>4</v>
      </c>
      <c r="W758" s="2">
        <v>1</v>
      </c>
      <c r="X758" s="2">
        <v>20</v>
      </c>
      <c r="Y758" s="2">
        <v>29.948453608247419</v>
      </c>
    </row>
    <row r="759" spans="1:25" hidden="1">
      <c r="A759" s="2" t="s">
        <v>1024</v>
      </c>
      <c r="B759" s="2" t="s">
        <v>149</v>
      </c>
      <c r="C759" s="2" t="s">
        <v>712</v>
      </c>
      <c r="D759" s="3">
        <v>45972.75</v>
      </c>
      <c r="E759" s="3">
        <v>45972.770833333343</v>
      </c>
      <c r="F759" s="2">
        <v>30</v>
      </c>
      <c r="G759" s="2" t="s">
        <v>143</v>
      </c>
      <c r="H759" s="2" t="s">
        <v>1018</v>
      </c>
      <c r="I759" s="2">
        <v>3</v>
      </c>
      <c r="J759" s="2">
        <v>5</v>
      </c>
      <c r="K759" s="2" t="s">
        <v>143</v>
      </c>
      <c r="L759" s="2" t="s">
        <v>145</v>
      </c>
      <c r="M759" s="2" t="b">
        <v>1</v>
      </c>
      <c r="N759" s="2" t="b">
        <v>0</v>
      </c>
      <c r="O759" s="2">
        <v>6</v>
      </c>
      <c r="P759" s="2">
        <v>0.6</v>
      </c>
      <c r="Q759" s="2" t="s">
        <v>570</v>
      </c>
      <c r="R759" s="2" t="s">
        <v>147</v>
      </c>
      <c r="S759" s="2">
        <v>12</v>
      </c>
      <c r="T759" s="2">
        <v>18</v>
      </c>
      <c r="U759" s="2" t="b">
        <v>0</v>
      </c>
      <c r="V759" s="2">
        <v>6</v>
      </c>
      <c r="W759" s="2">
        <v>2</v>
      </c>
      <c r="X759" s="2">
        <v>18</v>
      </c>
      <c r="Y759" s="2">
        <v>28.186274509803919</v>
      </c>
    </row>
    <row r="760" spans="1:25" hidden="1">
      <c r="A760" s="2" t="s">
        <v>1025</v>
      </c>
      <c r="B760" s="2" t="s">
        <v>157</v>
      </c>
      <c r="C760" s="2" t="s">
        <v>693</v>
      </c>
      <c r="D760" s="3">
        <v>45973.802083333343</v>
      </c>
      <c r="E760" s="3">
        <v>45973.822916666657</v>
      </c>
      <c r="F760" s="2">
        <v>30</v>
      </c>
      <c r="G760" s="2" t="s">
        <v>167</v>
      </c>
      <c r="H760" s="2" t="s">
        <v>168</v>
      </c>
      <c r="I760" s="2">
        <v>5</v>
      </c>
      <c r="J760" s="2">
        <v>6</v>
      </c>
      <c r="K760" s="2" t="s">
        <v>153</v>
      </c>
      <c r="L760" s="2" t="s">
        <v>162</v>
      </c>
      <c r="M760" s="2" t="b">
        <v>1</v>
      </c>
      <c r="N760" s="2" t="b">
        <v>0</v>
      </c>
      <c r="O760" s="2">
        <v>5</v>
      </c>
      <c r="P760" s="2">
        <v>0.83333333333333337</v>
      </c>
      <c r="Q760" s="2" t="s">
        <v>570</v>
      </c>
      <c r="R760" s="2" t="s">
        <v>147</v>
      </c>
      <c r="S760" s="2">
        <v>14.4</v>
      </c>
      <c r="T760" s="2">
        <v>15.6</v>
      </c>
      <c r="U760" s="2" t="b">
        <v>0</v>
      </c>
      <c r="V760" s="2">
        <v>20</v>
      </c>
      <c r="W760" s="2">
        <v>3</v>
      </c>
      <c r="X760" s="2">
        <v>19</v>
      </c>
      <c r="Y760" s="2">
        <v>28.844221105527641</v>
      </c>
    </row>
    <row r="761" spans="1:25" hidden="1">
      <c r="A761" s="2" t="s">
        <v>1026</v>
      </c>
      <c r="B761" s="2" t="s">
        <v>173</v>
      </c>
      <c r="C761" s="2" t="s">
        <v>695</v>
      </c>
      <c r="D761" s="3">
        <v>45974.854166666657</v>
      </c>
      <c r="E761" s="3">
        <v>45974.875</v>
      </c>
      <c r="F761" s="2">
        <v>30</v>
      </c>
      <c r="G761" s="2" t="s">
        <v>143</v>
      </c>
      <c r="H761" s="2" t="s">
        <v>1021</v>
      </c>
      <c r="I761" s="2">
        <v>3</v>
      </c>
      <c r="J761" s="2">
        <v>4.5</v>
      </c>
      <c r="K761" s="2" t="s">
        <v>143</v>
      </c>
      <c r="L761" s="2" t="s">
        <v>169</v>
      </c>
      <c r="M761" s="2" t="b">
        <v>1</v>
      </c>
      <c r="N761" s="2" t="b">
        <v>0</v>
      </c>
      <c r="O761" s="2">
        <v>6.666666666666667</v>
      </c>
      <c r="P761" s="2">
        <v>0.66666666666666663</v>
      </c>
      <c r="Q761" s="2" t="s">
        <v>570</v>
      </c>
      <c r="R761" s="2" t="s">
        <v>171</v>
      </c>
      <c r="S761" s="2">
        <v>10.8</v>
      </c>
      <c r="T761" s="2">
        <v>19.2</v>
      </c>
      <c r="U761" s="2" t="b">
        <v>0</v>
      </c>
      <c r="V761" s="2">
        <v>6</v>
      </c>
      <c r="W761" s="2">
        <v>2</v>
      </c>
      <c r="X761" s="2">
        <v>20</v>
      </c>
      <c r="Y761" s="2">
        <v>30.286458333333329</v>
      </c>
    </row>
    <row r="762" spans="1:25" hidden="1">
      <c r="A762" s="2" t="s">
        <v>1027</v>
      </c>
      <c r="B762" s="2" t="s">
        <v>142</v>
      </c>
      <c r="C762" s="2" t="s">
        <v>697</v>
      </c>
      <c r="D762" s="3">
        <v>45975.791666666657</v>
      </c>
      <c r="E762" s="3">
        <v>45975.8125</v>
      </c>
      <c r="F762" s="2">
        <v>30</v>
      </c>
      <c r="G762" s="2" t="s">
        <v>151</v>
      </c>
      <c r="H762" s="2" t="s">
        <v>657</v>
      </c>
      <c r="I762" s="2">
        <v>4</v>
      </c>
      <c r="J762" s="2">
        <v>5.5</v>
      </c>
      <c r="K762" s="2" t="s">
        <v>143</v>
      </c>
      <c r="L762" s="2" t="s">
        <v>162</v>
      </c>
      <c r="M762" s="2" t="b">
        <v>1</v>
      </c>
      <c r="N762" s="2" t="b">
        <v>0</v>
      </c>
      <c r="O762" s="2">
        <v>5.4545454545454541</v>
      </c>
      <c r="P762" s="2">
        <v>0.72727272727272729</v>
      </c>
      <c r="Q762" s="2" t="s">
        <v>570</v>
      </c>
      <c r="R762" s="2" t="s">
        <v>147</v>
      </c>
      <c r="S762" s="2">
        <v>13.2</v>
      </c>
      <c r="T762" s="2">
        <v>16.8</v>
      </c>
      <c r="U762" s="2" t="b">
        <v>0</v>
      </c>
      <c r="V762" s="2">
        <v>12</v>
      </c>
      <c r="W762" s="2">
        <v>2</v>
      </c>
      <c r="X762" s="2">
        <v>19</v>
      </c>
      <c r="Y762" s="2">
        <v>30.259433962264151</v>
      </c>
    </row>
    <row r="763" spans="1:25" hidden="1">
      <c r="A763" s="2" t="s">
        <v>1028</v>
      </c>
      <c r="B763" s="2" t="s">
        <v>165</v>
      </c>
      <c r="C763" s="2" t="s">
        <v>188</v>
      </c>
      <c r="D763" s="3">
        <v>45976.84375</v>
      </c>
      <c r="E763" s="3">
        <v>45976.864583333343</v>
      </c>
      <c r="F763" s="2">
        <v>30</v>
      </c>
      <c r="G763" s="2" t="s">
        <v>143</v>
      </c>
      <c r="H763" s="2" t="s">
        <v>144</v>
      </c>
      <c r="I763" s="2">
        <v>2</v>
      </c>
      <c r="J763" s="2">
        <v>4</v>
      </c>
      <c r="K763" s="2" t="s">
        <v>161</v>
      </c>
      <c r="L763" s="2" t="s">
        <v>154</v>
      </c>
      <c r="M763" s="2" t="b">
        <v>1</v>
      </c>
      <c r="N763" s="2" t="b">
        <v>1</v>
      </c>
      <c r="O763" s="2">
        <v>7.5</v>
      </c>
      <c r="P763" s="2">
        <v>0.5</v>
      </c>
      <c r="Q763" s="2" t="s">
        <v>570</v>
      </c>
      <c r="R763" s="2" t="s">
        <v>147</v>
      </c>
      <c r="S763" s="2">
        <v>9.6</v>
      </c>
      <c r="T763" s="2">
        <v>20.399999999999999</v>
      </c>
      <c r="U763" s="2" t="b">
        <v>0</v>
      </c>
      <c r="V763" s="2">
        <v>4</v>
      </c>
      <c r="W763" s="2">
        <v>1</v>
      </c>
      <c r="X763" s="2">
        <v>20</v>
      </c>
      <c r="Y763" s="2">
        <v>29.948453608247419</v>
      </c>
    </row>
    <row r="764" spans="1:25" hidden="1">
      <c r="A764" s="2" t="s">
        <v>1029</v>
      </c>
      <c r="B764" s="2" t="s">
        <v>149</v>
      </c>
      <c r="C764" s="2" t="s">
        <v>712</v>
      </c>
      <c r="D764" s="3">
        <v>45977.770833333343</v>
      </c>
      <c r="E764" s="3">
        <v>45977.791666666657</v>
      </c>
      <c r="F764" s="2">
        <v>30</v>
      </c>
      <c r="G764" s="2" t="s">
        <v>143</v>
      </c>
      <c r="H764" s="2" t="s">
        <v>1018</v>
      </c>
      <c r="I764" s="2">
        <v>3</v>
      </c>
      <c r="J764" s="2">
        <v>5</v>
      </c>
      <c r="K764" s="2" t="s">
        <v>143</v>
      </c>
      <c r="L764" s="2" t="s">
        <v>145</v>
      </c>
      <c r="M764" s="2" t="b">
        <v>1</v>
      </c>
      <c r="N764" s="2" t="b">
        <v>1</v>
      </c>
      <c r="O764" s="2">
        <v>6</v>
      </c>
      <c r="P764" s="2">
        <v>0.6</v>
      </c>
      <c r="Q764" s="2" t="s">
        <v>570</v>
      </c>
      <c r="R764" s="2" t="s">
        <v>147</v>
      </c>
      <c r="S764" s="2">
        <v>12</v>
      </c>
      <c r="T764" s="2">
        <v>18</v>
      </c>
      <c r="U764" s="2" t="b">
        <v>0</v>
      </c>
      <c r="V764" s="2">
        <v>6</v>
      </c>
      <c r="W764" s="2">
        <v>2</v>
      </c>
      <c r="X764" s="2">
        <v>18</v>
      </c>
      <c r="Y764" s="2">
        <v>28.186274509803919</v>
      </c>
    </row>
    <row r="765" spans="1:25" hidden="1">
      <c r="A765" s="2" t="s">
        <v>1030</v>
      </c>
      <c r="B765" s="2" t="s">
        <v>157</v>
      </c>
      <c r="C765" s="2" t="s">
        <v>693</v>
      </c>
      <c r="D765" s="3">
        <v>45978.822916666657</v>
      </c>
      <c r="E765" s="3">
        <v>45978.84375</v>
      </c>
      <c r="F765" s="2">
        <v>30</v>
      </c>
      <c r="G765" s="2" t="s">
        <v>167</v>
      </c>
      <c r="H765" s="2" t="s">
        <v>168</v>
      </c>
      <c r="I765" s="2">
        <v>5</v>
      </c>
      <c r="J765" s="2">
        <v>6</v>
      </c>
      <c r="K765" s="2" t="s">
        <v>153</v>
      </c>
      <c r="L765" s="2" t="s">
        <v>162</v>
      </c>
      <c r="M765" s="2" t="b">
        <v>1</v>
      </c>
      <c r="N765" s="2" t="b">
        <v>0</v>
      </c>
      <c r="O765" s="2">
        <v>5</v>
      </c>
      <c r="P765" s="2">
        <v>0.83333333333333337</v>
      </c>
      <c r="Q765" s="2" t="s">
        <v>570</v>
      </c>
      <c r="R765" s="2" t="s">
        <v>147</v>
      </c>
      <c r="S765" s="2">
        <v>14.4</v>
      </c>
      <c r="T765" s="2">
        <v>15.6</v>
      </c>
      <c r="U765" s="2" t="b">
        <v>0</v>
      </c>
      <c r="V765" s="2">
        <v>20</v>
      </c>
      <c r="W765" s="2">
        <v>3</v>
      </c>
      <c r="X765" s="2">
        <v>19</v>
      </c>
      <c r="Y765" s="2">
        <v>28.844221105527641</v>
      </c>
    </row>
    <row r="766" spans="1:25" hidden="1">
      <c r="A766" s="2" t="s">
        <v>1031</v>
      </c>
      <c r="B766" s="2" t="s">
        <v>173</v>
      </c>
      <c r="C766" s="2" t="s">
        <v>695</v>
      </c>
      <c r="D766" s="3">
        <v>45979.833333333343</v>
      </c>
      <c r="E766" s="3">
        <v>45979.854166666657</v>
      </c>
      <c r="F766" s="2">
        <v>30</v>
      </c>
      <c r="G766" s="2" t="s">
        <v>143</v>
      </c>
      <c r="H766" s="2" t="s">
        <v>1021</v>
      </c>
      <c r="I766" s="2">
        <v>3</v>
      </c>
      <c r="J766" s="2">
        <v>4.5</v>
      </c>
      <c r="K766" s="2" t="s">
        <v>143</v>
      </c>
      <c r="L766" s="2" t="s">
        <v>169</v>
      </c>
      <c r="M766" s="2" t="b">
        <v>1</v>
      </c>
      <c r="N766" s="2" t="b">
        <v>0</v>
      </c>
      <c r="O766" s="2">
        <v>6.666666666666667</v>
      </c>
      <c r="P766" s="2">
        <v>0.66666666666666663</v>
      </c>
      <c r="Q766" s="2" t="s">
        <v>570</v>
      </c>
      <c r="R766" s="2" t="s">
        <v>171</v>
      </c>
      <c r="S766" s="2">
        <v>10.8</v>
      </c>
      <c r="T766" s="2">
        <v>19.2</v>
      </c>
      <c r="U766" s="2" t="b">
        <v>0</v>
      </c>
      <c r="V766" s="2">
        <v>6</v>
      </c>
      <c r="W766" s="2">
        <v>2</v>
      </c>
      <c r="X766" s="2">
        <v>20</v>
      </c>
      <c r="Y766" s="2">
        <v>30.286458333333329</v>
      </c>
    </row>
    <row r="767" spans="1:25" hidden="1">
      <c r="A767" s="2" t="s">
        <v>1032</v>
      </c>
      <c r="B767" s="2" t="s">
        <v>142</v>
      </c>
      <c r="C767" s="2" t="s">
        <v>697</v>
      </c>
      <c r="D767" s="3">
        <v>45980.802083333343</v>
      </c>
      <c r="E767" s="3">
        <v>45980.822916666657</v>
      </c>
      <c r="F767" s="2">
        <v>30</v>
      </c>
      <c r="G767" s="2" t="s">
        <v>151</v>
      </c>
      <c r="H767" s="2" t="s">
        <v>657</v>
      </c>
      <c r="I767" s="2">
        <v>4</v>
      </c>
      <c r="J767" s="2">
        <v>5.5</v>
      </c>
      <c r="K767" s="2" t="s">
        <v>143</v>
      </c>
      <c r="L767" s="2" t="s">
        <v>162</v>
      </c>
      <c r="M767" s="2" t="b">
        <v>1</v>
      </c>
      <c r="N767" s="2" t="b">
        <v>0</v>
      </c>
      <c r="O767" s="2">
        <v>5.4545454545454541</v>
      </c>
      <c r="P767" s="2">
        <v>0.72727272727272729</v>
      </c>
      <c r="Q767" s="2" t="s">
        <v>570</v>
      </c>
      <c r="R767" s="2" t="s">
        <v>147</v>
      </c>
      <c r="S767" s="2">
        <v>13.2</v>
      </c>
      <c r="T767" s="2">
        <v>16.8</v>
      </c>
      <c r="U767" s="2" t="b">
        <v>0</v>
      </c>
      <c r="V767" s="2">
        <v>12</v>
      </c>
      <c r="W767" s="2">
        <v>2</v>
      </c>
      <c r="X767" s="2">
        <v>19</v>
      </c>
      <c r="Y767" s="2">
        <v>30.259433962264151</v>
      </c>
    </row>
    <row r="768" spans="1:25" hidden="1">
      <c r="A768" s="2" t="s">
        <v>1033</v>
      </c>
      <c r="B768" s="2" t="s">
        <v>165</v>
      </c>
      <c r="C768" s="2" t="s">
        <v>188</v>
      </c>
      <c r="D768" s="3">
        <v>45981.854166666657</v>
      </c>
      <c r="E768" s="3">
        <v>45981.875</v>
      </c>
      <c r="F768" s="2">
        <v>30</v>
      </c>
      <c r="G768" s="2" t="s">
        <v>143</v>
      </c>
      <c r="H768" s="2" t="s">
        <v>144</v>
      </c>
      <c r="I768" s="2">
        <v>2</v>
      </c>
      <c r="J768" s="2">
        <v>4</v>
      </c>
      <c r="K768" s="2" t="s">
        <v>161</v>
      </c>
      <c r="L768" s="2" t="s">
        <v>154</v>
      </c>
      <c r="M768" s="2" t="b">
        <v>1</v>
      </c>
      <c r="N768" s="2" t="b">
        <v>0</v>
      </c>
      <c r="O768" s="2">
        <v>7.5</v>
      </c>
      <c r="P768" s="2">
        <v>0.5</v>
      </c>
      <c r="Q768" s="2" t="s">
        <v>570</v>
      </c>
      <c r="R768" s="2" t="s">
        <v>147</v>
      </c>
      <c r="S768" s="2">
        <v>9.6</v>
      </c>
      <c r="T768" s="2">
        <v>20.399999999999999</v>
      </c>
      <c r="U768" s="2" t="b">
        <v>0</v>
      </c>
      <c r="V768" s="2">
        <v>4</v>
      </c>
      <c r="W768" s="2">
        <v>1</v>
      </c>
      <c r="X768" s="2">
        <v>20</v>
      </c>
      <c r="Y768" s="2">
        <v>29.948453608247419</v>
      </c>
    </row>
    <row r="769" spans="1:25" hidden="1">
      <c r="A769" s="2" t="s">
        <v>1034</v>
      </c>
      <c r="B769" s="2" t="s">
        <v>149</v>
      </c>
      <c r="C769" s="2" t="s">
        <v>712</v>
      </c>
      <c r="D769" s="3">
        <v>45982.78125</v>
      </c>
      <c r="E769" s="3">
        <v>45982.802083333343</v>
      </c>
      <c r="F769" s="2">
        <v>30</v>
      </c>
      <c r="G769" s="2" t="s">
        <v>143</v>
      </c>
      <c r="H769" s="2" t="s">
        <v>1018</v>
      </c>
      <c r="I769" s="2">
        <v>3</v>
      </c>
      <c r="J769" s="2">
        <v>5</v>
      </c>
      <c r="K769" s="2" t="s">
        <v>143</v>
      </c>
      <c r="L769" s="2" t="s">
        <v>145</v>
      </c>
      <c r="M769" s="2" t="b">
        <v>1</v>
      </c>
      <c r="N769" s="2" t="b">
        <v>0</v>
      </c>
      <c r="O769" s="2">
        <v>6</v>
      </c>
      <c r="P769" s="2">
        <v>0.6</v>
      </c>
      <c r="Q769" s="2" t="s">
        <v>570</v>
      </c>
      <c r="R769" s="2" t="s">
        <v>147</v>
      </c>
      <c r="S769" s="2">
        <v>12</v>
      </c>
      <c r="T769" s="2">
        <v>18</v>
      </c>
      <c r="U769" s="2" t="b">
        <v>0</v>
      </c>
      <c r="V769" s="2">
        <v>6</v>
      </c>
      <c r="W769" s="2">
        <v>2</v>
      </c>
      <c r="X769" s="2">
        <v>18</v>
      </c>
      <c r="Y769" s="2">
        <v>28.186274509803919</v>
      </c>
    </row>
    <row r="770" spans="1:25" hidden="1">
      <c r="A770" s="2" t="s">
        <v>1035</v>
      </c>
      <c r="B770" s="2" t="s">
        <v>157</v>
      </c>
      <c r="C770" s="2" t="s">
        <v>693</v>
      </c>
      <c r="D770" s="3">
        <v>45983.791666666657</v>
      </c>
      <c r="E770" s="3">
        <v>45983.8125</v>
      </c>
      <c r="F770" s="2">
        <v>30</v>
      </c>
      <c r="G770" s="2" t="s">
        <v>167</v>
      </c>
      <c r="H770" s="2" t="s">
        <v>168</v>
      </c>
      <c r="I770" s="2">
        <v>5</v>
      </c>
      <c r="J770" s="2">
        <v>6</v>
      </c>
      <c r="K770" s="2" t="s">
        <v>153</v>
      </c>
      <c r="L770" s="2" t="s">
        <v>162</v>
      </c>
      <c r="M770" s="2" t="b">
        <v>1</v>
      </c>
      <c r="N770" s="2" t="b">
        <v>1</v>
      </c>
      <c r="O770" s="2">
        <v>5</v>
      </c>
      <c r="P770" s="2">
        <v>0.83333333333333337</v>
      </c>
      <c r="Q770" s="2" t="s">
        <v>570</v>
      </c>
      <c r="R770" s="2" t="s">
        <v>147</v>
      </c>
      <c r="S770" s="2">
        <v>14.4</v>
      </c>
      <c r="T770" s="2">
        <v>15.6</v>
      </c>
      <c r="U770" s="2" t="b">
        <v>0</v>
      </c>
      <c r="V770" s="2">
        <v>20</v>
      </c>
      <c r="W770" s="2">
        <v>3</v>
      </c>
      <c r="X770" s="2">
        <v>19</v>
      </c>
      <c r="Y770" s="2">
        <v>28.844221105527641</v>
      </c>
    </row>
    <row r="771" spans="1:25" hidden="1">
      <c r="A771" s="2" t="s">
        <v>1036</v>
      </c>
      <c r="B771" s="2" t="s">
        <v>173</v>
      </c>
      <c r="C771" s="2" t="s">
        <v>695</v>
      </c>
      <c r="D771" s="3">
        <v>45984.84375</v>
      </c>
      <c r="E771" s="3">
        <v>45984.864583333343</v>
      </c>
      <c r="F771" s="2">
        <v>30</v>
      </c>
      <c r="G771" s="2" t="s">
        <v>143</v>
      </c>
      <c r="H771" s="2" t="s">
        <v>1021</v>
      </c>
      <c r="I771" s="2">
        <v>3</v>
      </c>
      <c r="J771" s="2">
        <v>4.5</v>
      </c>
      <c r="K771" s="2" t="s">
        <v>143</v>
      </c>
      <c r="L771" s="2" t="s">
        <v>169</v>
      </c>
      <c r="M771" s="2" t="b">
        <v>1</v>
      </c>
      <c r="N771" s="2" t="b">
        <v>1</v>
      </c>
      <c r="O771" s="2">
        <v>6.666666666666667</v>
      </c>
      <c r="P771" s="2">
        <v>0.66666666666666663</v>
      </c>
      <c r="Q771" s="2" t="s">
        <v>570</v>
      </c>
      <c r="R771" s="2" t="s">
        <v>171</v>
      </c>
      <c r="S771" s="2">
        <v>10.8</v>
      </c>
      <c r="T771" s="2">
        <v>19.2</v>
      </c>
      <c r="U771" s="2" t="b">
        <v>0</v>
      </c>
      <c r="V771" s="2">
        <v>6</v>
      </c>
      <c r="W771" s="2">
        <v>2</v>
      </c>
      <c r="X771" s="2">
        <v>20</v>
      </c>
      <c r="Y771" s="2">
        <v>30.286458333333329</v>
      </c>
    </row>
    <row r="772" spans="1:25" hidden="1">
      <c r="A772" s="2" t="s">
        <v>1037</v>
      </c>
      <c r="B772" s="2" t="s">
        <v>142</v>
      </c>
      <c r="C772" s="2" t="s">
        <v>697</v>
      </c>
      <c r="D772" s="3">
        <v>45985.8125</v>
      </c>
      <c r="E772" s="3">
        <v>45985.833333333343</v>
      </c>
      <c r="F772" s="2">
        <v>30</v>
      </c>
      <c r="G772" s="2" t="s">
        <v>151</v>
      </c>
      <c r="H772" s="2" t="s">
        <v>657</v>
      </c>
      <c r="I772" s="2">
        <v>4</v>
      </c>
      <c r="J772" s="2">
        <v>5.5</v>
      </c>
      <c r="K772" s="2" t="s">
        <v>143</v>
      </c>
      <c r="L772" s="2" t="s">
        <v>162</v>
      </c>
      <c r="M772" s="2" t="b">
        <v>1</v>
      </c>
      <c r="N772" s="2" t="b">
        <v>0</v>
      </c>
      <c r="O772" s="2">
        <v>5.4545454545454541</v>
      </c>
      <c r="P772" s="2">
        <v>0.72727272727272729</v>
      </c>
      <c r="Q772" s="2" t="s">
        <v>570</v>
      </c>
      <c r="R772" s="2" t="s">
        <v>147</v>
      </c>
      <c r="S772" s="2">
        <v>13.2</v>
      </c>
      <c r="T772" s="2">
        <v>16.8</v>
      </c>
      <c r="U772" s="2" t="b">
        <v>0</v>
      </c>
      <c r="V772" s="2">
        <v>12</v>
      </c>
      <c r="W772" s="2">
        <v>2</v>
      </c>
      <c r="X772" s="2">
        <v>19</v>
      </c>
      <c r="Y772" s="2">
        <v>30.259433962264151</v>
      </c>
    </row>
    <row r="773" spans="1:25" hidden="1">
      <c r="A773" s="2" t="s">
        <v>1038</v>
      </c>
      <c r="B773" s="2" t="s">
        <v>165</v>
      </c>
      <c r="C773" s="2" t="s">
        <v>188</v>
      </c>
      <c r="D773" s="3">
        <v>45986.864583333343</v>
      </c>
      <c r="E773" s="3">
        <v>45986.885416666657</v>
      </c>
      <c r="F773" s="2">
        <v>30</v>
      </c>
      <c r="G773" s="2" t="s">
        <v>143</v>
      </c>
      <c r="H773" s="2" t="s">
        <v>144</v>
      </c>
      <c r="I773" s="2">
        <v>2</v>
      </c>
      <c r="J773" s="2">
        <v>4</v>
      </c>
      <c r="K773" s="2" t="s">
        <v>161</v>
      </c>
      <c r="L773" s="2" t="s">
        <v>154</v>
      </c>
      <c r="M773" s="2" t="b">
        <v>1</v>
      </c>
      <c r="N773" s="2" t="b">
        <v>0</v>
      </c>
      <c r="O773" s="2">
        <v>7.5</v>
      </c>
      <c r="P773" s="2">
        <v>0.5</v>
      </c>
      <c r="Q773" s="2" t="s">
        <v>570</v>
      </c>
      <c r="R773" s="2" t="s">
        <v>147</v>
      </c>
      <c r="S773" s="2">
        <v>9.6</v>
      </c>
      <c r="T773" s="2">
        <v>20.399999999999999</v>
      </c>
      <c r="U773" s="2" t="b">
        <v>0</v>
      </c>
      <c r="V773" s="2">
        <v>4</v>
      </c>
      <c r="W773" s="2">
        <v>1</v>
      </c>
      <c r="X773" s="2">
        <v>20</v>
      </c>
      <c r="Y773" s="2">
        <v>29.948453608247419</v>
      </c>
    </row>
    <row r="774" spans="1:25" hidden="1">
      <c r="A774" s="2" t="s">
        <v>1039</v>
      </c>
      <c r="B774" s="2" t="s">
        <v>149</v>
      </c>
      <c r="C774" s="2" t="s">
        <v>712</v>
      </c>
      <c r="D774" s="3">
        <v>45987.75</v>
      </c>
      <c r="E774" s="3">
        <v>45987.770833333343</v>
      </c>
      <c r="F774" s="2">
        <v>30</v>
      </c>
      <c r="G774" s="2" t="s">
        <v>143</v>
      </c>
      <c r="H774" s="2" t="s">
        <v>1018</v>
      </c>
      <c r="I774" s="2">
        <v>3</v>
      </c>
      <c r="J774" s="2">
        <v>5</v>
      </c>
      <c r="K774" s="2" t="s">
        <v>143</v>
      </c>
      <c r="L774" s="2" t="s">
        <v>145</v>
      </c>
      <c r="M774" s="2" t="b">
        <v>1</v>
      </c>
      <c r="N774" s="2" t="b">
        <v>0</v>
      </c>
      <c r="O774" s="2">
        <v>6</v>
      </c>
      <c r="P774" s="2">
        <v>0.6</v>
      </c>
      <c r="Q774" s="2" t="s">
        <v>570</v>
      </c>
      <c r="R774" s="2" t="s">
        <v>147</v>
      </c>
      <c r="S774" s="2">
        <v>12</v>
      </c>
      <c r="T774" s="2">
        <v>18</v>
      </c>
      <c r="U774" s="2" t="b">
        <v>0</v>
      </c>
      <c r="V774" s="2">
        <v>6</v>
      </c>
      <c r="W774" s="2">
        <v>2</v>
      </c>
      <c r="X774" s="2">
        <v>18</v>
      </c>
      <c r="Y774" s="2">
        <v>28.186274509803919</v>
      </c>
    </row>
    <row r="775" spans="1:25" hidden="1">
      <c r="A775" s="2" t="s">
        <v>1040</v>
      </c>
      <c r="B775" s="2" t="s">
        <v>157</v>
      </c>
      <c r="C775" s="2" t="s">
        <v>693</v>
      </c>
      <c r="D775" s="3">
        <v>45988.802083333343</v>
      </c>
      <c r="E775" s="3">
        <v>45988.822916666657</v>
      </c>
      <c r="F775" s="2">
        <v>30</v>
      </c>
      <c r="G775" s="2" t="s">
        <v>167</v>
      </c>
      <c r="H775" s="2" t="s">
        <v>168</v>
      </c>
      <c r="I775" s="2">
        <v>5</v>
      </c>
      <c r="J775" s="2">
        <v>6</v>
      </c>
      <c r="K775" s="2" t="s">
        <v>153</v>
      </c>
      <c r="L775" s="2" t="s">
        <v>162</v>
      </c>
      <c r="M775" s="2" t="b">
        <v>1</v>
      </c>
      <c r="N775" s="2" t="b">
        <v>0</v>
      </c>
      <c r="O775" s="2">
        <v>5</v>
      </c>
      <c r="P775" s="2">
        <v>0.83333333333333337</v>
      </c>
      <c r="Q775" s="2" t="s">
        <v>570</v>
      </c>
      <c r="R775" s="2" t="s">
        <v>147</v>
      </c>
      <c r="S775" s="2">
        <v>14.4</v>
      </c>
      <c r="T775" s="2">
        <v>15.6</v>
      </c>
      <c r="U775" s="2" t="b">
        <v>0</v>
      </c>
      <c r="V775" s="2">
        <v>20</v>
      </c>
      <c r="W775" s="2">
        <v>3</v>
      </c>
      <c r="X775" s="2">
        <v>19</v>
      </c>
      <c r="Y775" s="2">
        <v>28.844221105527641</v>
      </c>
    </row>
    <row r="776" spans="1:25" hidden="1">
      <c r="A776" s="2" t="s">
        <v>1041</v>
      </c>
      <c r="B776" s="2" t="s">
        <v>173</v>
      </c>
      <c r="C776" s="2" t="s">
        <v>695</v>
      </c>
      <c r="D776" s="3">
        <v>45989.854166666657</v>
      </c>
      <c r="E776" s="3">
        <v>45989.875</v>
      </c>
      <c r="F776" s="2">
        <v>30</v>
      </c>
      <c r="G776" s="2" t="s">
        <v>143</v>
      </c>
      <c r="H776" s="2" t="s">
        <v>1021</v>
      </c>
      <c r="I776" s="2">
        <v>3</v>
      </c>
      <c r="J776" s="2">
        <v>4.5</v>
      </c>
      <c r="K776" s="2" t="s">
        <v>143</v>
      </c>
      <c r="L776" s="2" t="s">
        <v>169</v>
      </c>
      <c r="M776" s="2" t="b">
        <v>1</v>
      </c>
      <c r="N776" s="2" t="b">
        <v>0</v>
      </c>
      <c r="O776" s="2">
        <v>6.666666666666667</v>
      </c>
      <c r="P776" s="2">
        <v>0.66666666666666663</v>
      </c>
      <c r="Q776" s="2" t="s">
        <v>570</v>
      </c>
      <c r="R776" s="2" t="s">
        <v>171</v>
      </c>
      <c r="S776" s="2">
        <v>10.8</v>
      </c>
      <c r="T776" s="2">
        <v>19.2</v>
      </c>
      <c r="U776" s="2" t="b">
        <v>0</v>
      </c>
      <c r="V776" s="2">
        <v>6</v>
      </c>
      <c r="W776" s="2">
        <v>2</v>
      </c>
      <c r="X776" s="2">
        <v>20</v>
      </c>
      <c r="Y776" s="2">
        <v>30.286458333333329</v>
      </c>
    </row>
    <row r="777" spans="1:25" hidden="1">
      <c r="A777" s="2" t="s">
        <v>1042</v>
      </c>
      <c r="B777" s="2" t="s">
        <v>142</v>
      </c>
      <c r="C777" s="2" t="s">
        <v>697</v>
      </c>
      <c r="D777" s="3">
        <v>45990.791666666657</v>
      </c>
      <c r="E777" s="3">
        <v>45990.8125</v>
      </c>
      <c r="F777" s="2">
        <v>30</v>
      </c>
      <c r="G777" s="2" t="s">
        <v>151</v>
      </c>
      <c r="H777" s="2" t="s">
        <v>657</v>
      </c>
      <c r="I777" s="2">
        <v>4</v>
      </c>
      <c r="J777" s="2">
        <v>5.5</v>
      </c>
      <c r="K777" s="2" t="s">
        <v>143</v>
      </c>
      <c r="L777" s="2" t="s">
        <v>162</v>
      </c>
      <c r="M777" s="2" t="b">
        <v>1</v>
      </c>
      <c r="N777" s="2" t="b">
        <v>1</v>
      </c>
      <c r="O777" s="2">
        <v>5.4545454545454541</v>
      </c>
      <c r="P777" s="2">
        <v>0.72727272727272729</v>
      </c>
      <c r="Q777" s="2" t="s">
        <v>570</v>
      </c>
      <c r="R777" s="2" t="s">
        <v>147</v>
      </c>
      <c r="S777" s="2">
        <v>13.2</v>
      </c>
      <c r="T777" s="2">
        <v>16.8</v>
      </c>
      <c r="U777" s="2" t="b">
        <v>0</v>
      </c>
      <c r="V777" s="2">
        <v>12</v>
      </c>
      <c r="W777" s="2">
        <v>2</v>
      </c>
      <c r="X777" s="2">
        <v>19</v>
      </c>
      <c r="Y777" s="2">
        <v>30.259433962264151</v>
      </c>
    </row>
    <row r="778" spans="1:25" hidden="1">
      <c r="A778" s="2" t="s">
        <v>1043</v>
      </c>
      <c r="B778" s="2" t="s">
        <v>165</v>
      </c>
      <c r="C778" s="2" t="s">
        <v>188</v>
      </c>
      <c r="D778" s="3">
        <v>45991.84375</v>
      </c>
      <c r="E778" s="3">
        <v>45991.864583333343</v>
      </c>
      <c r="F778" s="2">
        <v>30</v>
      </c>
      <c r="G778" s="2" t="s">
        <v>143</v>
      </c>
      <c r="H778" s="2" t="s">
        <v>144</v>
      </c>
      <c r="I778" s="2">
        <v>2</v>
      </c>
      <c r="J778" s="2">
        <v>4</v>
      </c>
      <c r="K778" s="2" t="s">
        <v>161</v>
      </c>
      <c r="L778" s="2" t="s">
        <v>154</v>
      </c>
      <c r="M778" s="2" t="b">
        <v>1</v>
      </c>
      <c r="N778" s="2" t="b">
        <v>1</v>
      </c>
      <c r="O778" s="2">
        <v>7.5</v>
      </c>
      <c r="P778" s="2">
        <v>0.5</v>
      </c>
      <c r="Q778" s="2" t="s">
        <v>570</v>
      </c>
      <c r="R778" s="2" t="s">
        <v>147</v>
      </c>
      <c r="S778" s="2">
        <v>9.6</v>
      </c>
      <c r="T778" s="2">
        <v>20.399999999999999</v>
      </c>
      <c r="U778" s="2" t="b">
        <v>0</v>
      </c>
      <c r="V778" s="2">
        <v>4</v>
      </c>
      <c r="W778" s="2">
        <v>1</v>
      </c>
      <c r="X778" s="2">
        <v>20</v>
      </c>
      <c r="Y778" s="2">
        <v>29.948453608247419</v>
      </c>
    </row>
    <row r="779" spans="1:25" hidden="1">
      <c r="A779" s="2" t="s">
        <v>1044</v>
      </c>
      <c r="B779" s="2" t="s">
        <v>149</v>
      </c>
      <c r="C779" s="2" t="s">
        <v>712</v>
      </c>
      <c r="D779" s="3">
        <v>45992.770833333343</v>
      </c>
      <c r="E779" s="3">
        <v>45992.791666666657</v>
      </c>
      <c r="F779" s="2">
        <v>30</v>
      </c>
      <c r="G779" s="2" t="s">
        <v>143</v>
      </c>
      <c r="H779" s="2" t="s">
        <v>1018</v>
      </c>
      <c r="I779" s="2">
        <v>3</v>
      </c>
      <c r="J779" s="2">
        <v>5</v>
      </c>
      <c r="K779" s="2" t="s">
        <v>143</v>
      </c>
      <c r="L779" s="2" t="s">
        <v>145</v>
      </c>
      <c r="M779" s="2" t="b">
        <v>1</v>
      </c>
      <c r="N779" s="2" t="b">
        <v>0</v>
      </c>
      <c r="O779" s="2">
        <v>6</v>
      </c>
      <c r="P779" s="2">
        <v>0.6</v>
      </c>
      <c r="Q779" s="2" t="s">
        <v>603</v>
      </c>
      <c r="R779" s="2" t="s">
        <v>147</v>
      </c>
      <c r="S779" s="2">
        <v>12</v>
      </c>
      <c r="T779" s="2">
        <v>18</v>
      </c>
      <c r="U779" s="2" t="b">
        <v>0</v>
      </c>
      <c r="V779" s="2">
        <v>6</v>
      </c>
      <c r="W779" s="2">
        <v>2</v>
      </c>
      <c r="X779" s="2">
        <v>18</v>
      </c>
      <c r="Y779" s="2">
        <v>28.186274509803919</v>
      </c>
    </row>
    <row r="780" spans="1:25" hidden="1">
      <c r="A780" s="2" t="s">
        <v>1045</v>
      </c>
      <c r="B780" s="2" t="s">
        <v>157</v>
      </c>
      <c r="C780" s="2" t="s">
        <v>693</v>
      </c>
      <c r="D780" s="3">
        <v>45993.822916666657</v>
      </c>
      <c r="E780" s="3">
        <v>45993.84375</v>
      </c>
      <c r="F780" s="2">
        <v>30</v>
      </c>
      <c r="G780" s="2" t="s">
        <v>167</v>
      </c>
      <c r="H780" s="2" t="s">
        <v>168</v>
      </c>
      <c r="I780" s="2">
        <v>5</v>
      </c>
      <c r="J780" s="2">
        <v>6</v>
      </c>
      <c r="K780" s="2" t="s">
        <v>153</v>
      </c>
      <c r="L780" s="2" t="s">
        <v>162</v>
      </c>
      <c r="M780" s="2" t="b">
        <v>1</v>
      </c>
      <c r="N780" s="2" t="b">
        <v>0</v>
      </c>
      <c r="O780" s="2">
        <v>5</v>
      </c>
      <c r="P780" s="2">
        <v>0.83333333333333337</v>
      </c>
      <c r="Q780" s="2" t="s">
        <v>603</v>
      </c>
      <c r="R780" s="2" t="s">
        <v>147</v>
      </c>
      <c r="S780" s="2">
        <v>14.4</v>
      </c>
      <c r="T780" s="2">
        <v>15.6</v>
      </c>
      <c r="U780" s="2" t="b">
        <v>0</v>
      </c>
      <c r="V780" s="2">
        <v>20</v>
      </c>
      <c r="W780" s="2">
        <v>3</v>
      </c>
      <c r="X780" s="2">
        <v>19</v>
      </c>
      <c r="Y780" s="2">
        <v>28.844221105527641</v>
      </c>
    </row>
    <row r="781" spans="1:25" hidden="1">
      <c r="A781" s="2" t="s">
        <v>1046</v>
      </c>
      <c r="B781" s="2" t="s">
        <v>173</v>
      </c>
      <c r="C781" s="2" t="s">
        <v>695</v>
      </c>
      <c r="D781" s="3">
        <v>45994.833333333343</v>
      </c>
      <c r="E781" s="3">
        <v>45994.854166666657</v>
      </c>
      <c r="F781" s="2">
        <v>30</v>
      </c>
      <c r="G781" s="2" t="s">
        <v>143</v>
      </c>
      <c r="H781" s="2" t="s">
        <v>1021</v>
      </c>
      <c r="I781" s="2">
        <v>3</v>
      </c>
      <c r="J781" s="2">
        <v>4.5</v>
      </c>
      <c r="K781" s="2" t="s">
        <v>143</v>
      </c>
      <c r="L781" s="2" t="s">
        <v>169</v>
      </c>
      <c r="M781" s="2" t="b">
        <v>1</v>
      </c>
      <c r="N781" s="2" t="b">
        <v>0</v>
      </c>
      <c r="O781" s="2">
        <v>6.666666666666667</v>
      </c>
      <c r="P781" s="2">
        <v>0.66666666666666663</v>
      </c>
      <c r="Q781" s="2" t="s">
        <v>603</v>
      </c>
      <c r="R781" s="2" t="s">
        <v>171</v>
      </c>
      <c r="S781" s="2">
        <v>10.8</v>
      </c>
      <c r="T781" s="2">
        <v>19.2</v>
      </c>
      <c r="U781" s="2" t="b">
        <v>0</v>
      </c>
      <c r="V781" s="2">
        <v>6</v>
      </c>
      <c r="W781" s="2">
        <v>2</v>
      </c>
      <c r="X781" s="2">
        <v>20</v>
      </c>
      <c r="Y781" s="2">
        <v>30.286458333333329</v>
      </c>
    </row>
    <row r="782" spans="1:25" hidden="1">
      <c r="A782" s="2" t="s">
        <v>1047</v>
      </c>
      <c r="B782" s="2" t="s">
        <v>149</v>
      </c>
      <c r="C782" s="2" t="s">
        <v>712</v>
      </c>
      <c r="D782" s="3">
        <v>45995.760416666657</v>
      </c>
      <c r="E782" s="3">
        <v>45995.78125</v>
      </c>
      <c r="F782" s="2">
        <v>30</v>
      </c>
      <c r="G782" s="2" t="s">
        <v>143</v>
      </c>
      <c r="H782" s="2" t="s">
        <v>1018</v>
      </c>
      <c r="I782" s="2">
        <v>3</v>
      </c>
      <c r="J782" s="2">
        <v>5</v>
      </c>
      <c r="K782" s="2" t="s">
        <v>143</v>
      </c>
      <c r="L782" s="2" t="s">
        <v>162</v>
      </c>
      <c r="M782" s="2" t="b">
        <v>1</v>
      </c>
      <c r="N782" s="2" t="b">
        <v>0</v>
      </c>
      <c r="O782" s="2">
        <v>6</v>
      </c>
      <c r="P782" s="2">
        <v>0.6</v>
      </c>
      <c r="Q782" s="2" t="s">
        <v>603</v>
      </c>
      <c r="R782" s="2" t="s">
        <v>147</v>
      </c>
      <c r="S782" s="2">
        <v>12</v>
      </c>
      <c r="T782" s="2">
        <v>18</v>
      </c>
      <c r="U782" s="2" t="b">
        <v>0</v>
      </c>
      <c r="V782" s="2">
        <v>6</v>
      </c>
      <c r="W782" s="2">
        <v>2</v>
      </c>
      <c r="X782" s="2">
        <v>18</v>
      </c>
      <c r="Y782" s="2">
        <v>28.186274509803919</v>
      </c>
    </row>
    <row r="783" spans="1:25" hidden="1">
      <c r="A783" s="2" t="s">
        <v>1048</v>
      </c>
      <c r="B783" s="2" t="s">
        <v>157</v>
      </c>
      <c r="C783" s="2" t="s">
        <v>693</v>
      </c>
      <c r="D783" s="3">
        <v>45996.8125</v>
      </c>
      <c r="E783" s="3">
        <v>45996.833333333343</v>
      </c>
      <c r="F783" s="2">
        <v>30</v>
      </c>
      <c r="G783" s="2" t="s">
        <v>167</v>
      </c>
      <c r="H783" s="2" t="s">
        <v>168</v>
      </c>
      <c r="I783" s="2">
        <v>5</v>
      </c>
      <c r="J783" s="2">
        <v>6</v>
      </c>
      <c r="K783" s="2" t="s">
        <v>153</v>
      </c>
      <c r="L783" s="2" t="s">
        <v>145</v>
      </c>
      <c r="M783" s="2" t="b">
        <v>1</v>
      </c>
      <c r="N783" s="2" t="b">
        <v>0</v>
      </c>
      <c r="O783" s="2">
        <v>5</v>
      </c>
      <c r="P783" s="2">
        <v>0.83333333333333337</v>
      </c>
      <c r="Q783" s="2" t="s">
        <v>603</v>
      </c>
      <c r="R783" s="2" t="s">
        <v>147</v>
      </c>
      <c r="S783" s="2">
        <v>14.4</v>
      </c>
      <c r="T783" s="2">
        <v>15.6</v>
      </c>
      <c r="U783" s="2" t="b">
        <v>0</v>
      </c>
      <c r="V783" s="2">
        <v>20</v>
      </c>
      <c r="W783" s="2">
        <v>3</v>
      </c>
      <c r="X783" s="2">
        <v>19</v>
      </c>
      <c r="Y783" s="2">
        <v>28.844221105527641</v>
      </c>
    </row>
    <row r="784" spans="1:25" hidden="1">
      <c r="A784" s="2" t="s">
        <v>1049</v>
      </c>
      <c r="B784" s="2" t="s">
        <v>173</v>
      </c>
      <c r="C784" s="2" t="s">
        <v>695</v>
      </c>
      <c r="D784" s="3">
        <v>45997.864583333343</v>
      </c>
      <c r="E784" s="3">
        <v>45997.885416666657</v>
      </c>
      <c r="F784" s="2">
        <v>30</v>
      </c>
      <c r="G784" s="2" t="s">
        <v>143</v>
      </c>
      <c r="H784" s="2" t="s">
        <v>1021</v>
      </c>
      <c r="I784" s="2">
        <v>3</v>
      </c>
      <c r="J784" s="2">
        <v>4.5</v>
      </c>
      <c r="K784" s="2" t="s">
        <v>143</v>
      </c>
      <c r="L784" s="2" t="s">
        <v>169</v>
      </c>
      <c r="M784" s="2" t="b">
        <v>1</v>
      </c>
      <c r="N784" s="2" t="b">
        <v>1</v>
      </c>
      <c r="O784" s="2">
        <v>6.666666666666667</v>
      </c>
      <c r="P784" s="2">
        <v>0.66666666666666663</v>
      </c>
      <c r="Q784" s="2" t="s">
        <v>603</v>
      </c>
      <c r="R784" s="2" t="s">
        <v>171</v>
      </c>
      <c r="S784" s="2">
        <v>10.8</v>
      </c>
      <c r="T784" s="2">
        <v>19.2</v>
      </c>
      <c r="U784" s="2" t="b">
        <v>0</v>
      </c>
      <c r="V784" s="2">
        <v>6</v>
      </c>
      <c r="W784" s="2">
        <v>2</v>
      </c>
      <c r="X784" s="2">
        <v>20</v>
      </c>
      <c r="Y784" s="2">
        <v>30.286458333333329</v>
      </c>
    </row>
    <row r="785" spans="1:25" hidden="1">
      <c r="A785" s="2" t="s">
        <v>1050</v>
      </c>
      <c r="B785" s="2" t="s">
        <v>142</v>
      </c>
      <c r="C785" s="2" t="s">
        <v>697</v>
      </c>
      <c r="D785" s="3">
        <v>45998.791666666657</v>
      </c>
      <c r="E785" s="3">
        <v>45998.8125</v>
      </c>
      <c r="F785" s="2">
        <v>30</v>
      </c>
      <c r="G785" s="2" t="s">
        <v>151</v>
      </c>
      <c r="H785" s="2" t="s">
        <v>657</v>
      </c>
      <c r="I785" s="2">
        <v>4</v>
      </c>
      <c r="J785" s="2">
        <v>5.5</v>
      </c>
      <c r="K785" s="2" t="s">
        <v>143</v>
      </c>
      <c r="L785" s="2" t="s">
        <v>162</v>
      </c>
      <c r="M785" s="2" t="b">
        <v>1</v>
      </c>
      <c r="N785" s="2" t="b">
        <v>1</v>
      </c>
      <c r="O785" s="2">
        <v>5.4545454545454541</v>
      </c>
      <c r="P785" s="2">
        <v>0.72727272727272729</v>
      </c>
      <c r="Q785" s="2" t="s">
        <v>603</v>
      </c>
      <c r="R785" s="2" t="s">
        <v>147</v>
      </c>
      <c r="S785" s="2">
        <v>13.2</v>
      </c>
      <c r="T785" s="2">
        <v>16.8</v>
      </c>
      <c r="U785" s="2" t="b">
        <v>0</v>
      </c>
      <c r="V785" s="2">
        <v>12</v>
      </c>
      <c r="W785" s="2">
        <v>2</v>
      </c>
      <c r="X785" s="2">
        <v>19</v>
      </c>
      <c r="Y785" s="2">
        <v>30.259433962264151</v>
      </c>
    </row>
    <row r="786" spans="1:25" hidden="1">
      <c r="A786" s="2" t="s">
        <v>1051</v>
      </c>
      <c r="B786" s="2" t="s">
        <v>165</v>
      </c>
      <c r="C786" s="2" t="s">
        <v>188</v>
      </c>
      <c r="D786" s="3">
        <v>45999.84375</v>
      </c>
      <c r="E786" s="3">
        <v>45999.864583333343</v>
      </c>
      <c r="F786" s="2">
        <v>30</v>
      </c>
      <c r="G786" s="2" t="s">
        <v>143</v>
      </c>
      <c r="H786" s="2" t="s">
        <v>144</v>
      </c>
      <c r="I786" s="2">
        <v>2</v>
      </c>
      <c r="J786" s="2">
        <v>4</v>
      </c>
      <c r="K786" s="2" t="s">
        <v>161</v>
      </c>
      <c r="L786" s="2" t="s">
        <v>154</v>
      </c>
      <c r="M786" s="2" t="b">
        <v>1</v>
      </c>
      <c r="N786" s="2" t="b">
        <v>0</v>
      </c>
      <c r="O786" s="2">
        <v>7.5</v>
      </c>
      <c r="P786" s="2">
        <v>0.5</v>
      </c>
      <c r="Q786" s="2" t="s">
        <v>603</v>
      </c>
      <c r="R786" s="2" t="s">
        <v>147</v>
      </c>
      <c r="S786" s="2">
        <v>9.6</v>
      </c>
      <c r="T786" s="2">
        <v>20.399999999999999</v>
      </c>
      <c r="U786" s="2" t="b">
        <v>0</v>
      </c>
      <c r="V786" s="2">
        <v>4</v>
      </c>
      <c r="W786" s="2">
        <v>1</v>
      </c>
      <c r="X786" s="2">
        <v>20</v>
      </c>
      <c r="Y786" s="2">
        <v>29.948453608247419</v>
      </c>
    </row>
    <row r="787" spans="1:25" hidden="1">
      <c r="A787" s="2" t="s">
        <v>1052</v>
      </c>
      <c r="B787" s="2" t="s">
        <v>149</v>
      </c>
      <c r="C787" s="2" t="s">
        <v>712</v>
      </c>
      <c r="D787" s="3">
        <v>46000.770833333343</v>
      </c>
      <c r="E787" s="3">
        <v>46000.791666666657</v>
      </c>
      <c r="F787" s="2">
        <v>30</v>
      </c>
      <c r="G787" s="2" t="s">
        <v>143</v>
      </c>
      <c r="H787" s="2" t="s">
        <v>1018</v>
      </c>
      <c r="I787" s="2">
        <v>3</v>
      </c>
      <c r="J787" s="2">
        <v>5</v>
      </c>
      <c r="K787" s="2" t="s">
        <v>143</v>
      </c>
      <c r="L787" s="2" t="s">
        <v>145</v>
      </c>
      <c r="M787" s="2" t="b">
        <v>1</v>
      </c>
      <c r="N787" s="2" t="b">
        <v>0</v>
      </c>
      <c r="O787" s="2">
        <v>6</v>
      </c>
      <c r="P787" s="2">
        <v>0.6</v>
      </c>
      <c r="Q787" s="2" t="s">
        <v>603</v>
      </c>
      <c r="R787" s="2" t="s">
        <v>147</v>
      </c>
      <c r="S787" s="2">
        <v>12</v>
      </c>
      <c r="T787" s="2">
        <v>18</v>
      </c>
      <c r="U787" s="2" t="b">
        <v>0</v>
      </c>
      <c r="V787" s="2">
        <v>6</v>
      </c>
      <c r="W787" s="2">
        <v>2</v>
      </c>
      <c r="X787" s="2">
        <v>18</v>
      </c>
      <c r="Y787" s="2">
        <v>28.186274509803919</v>
      </c>
    </row>
    <row r="788" spans="1:25" hidden="1">
      <c r="A788" s="2" t="s">
        <v>1053</v>
      </c>
      <c r="B788" s="2" t="s">
        <v>157</v>
      </c>
      <c r="C788" s="2" t="s">
        <v>693</v>
      </c>
      <c r="D788" s="3">
        <v>46001.822916666657</v>
      </c>
      <c r="E788" s="3">
        <v>46001.84375</v>
      </c>
      <c r="F788" s="2">
        <v>30</v>
      </c>
      <c r="G788" s="2" t="s">
        <v>167</v>
      </c>
      <c r="H788" s="2" t="s">
        <v>168</v>
      </c>
      <c r="I788" s="2">
        <v>5</v>
      </c>
      <c r="J788" s="2">
        <v>6</v>
      </c>
      <c r="K788" s="2" t="s">
        <v>153</v>
      </c>
      <c r="L788" s="2" t="s">
        <v>162</v>
      </c>
      <c r="M788" s="2" t="b">
        <v>1</v>
      </c>
      <c r="N788" s="2" t="b">
        <v>0</v>
      </c>
      <c r="O788" s="2">
        <v>5</v>
      </c>
      <c r="P788" s="2">
        <v>0.83333333333333337</v>
      </c>
      <c r="Q788" s="2" t="s">
        <v>603</v>
      </c>
      <c r="R788" s="2" t="s">
        <v>147</v>
      </c>
      <c r="S788" s="2">
        <v>14.4</v>
      </c>
      <c r="T788" s="2">
        <v>15.6</v>
      </c>
      <c r="U788" s="2" t="b">
        <v>0</v>
      </c>
      <c r="V788" s="2">
        <v>20</v>
      </c>
      <c r="W788" s="2">
        <v>3</v>
      </c>
      <c r="X788" s="2">
        <v>19</v>
      </c>
      <c r="Y788" s="2">
        <v>28.844221105527641</v>
      </c>
    </row>
    <row r="789" spans="1:25" hidden="1">
      <c r="A789" s="2" t="s">
        <v>1054</v>
      </c>
      <c r="B789" s="2" t="s">
        <v>173</v>
      </c>
      <c r="C789" s="2" t="s">
        <v>695</v>
      </c>
      <c r="D789" s="3">
        <v>46002.833333333343</v>
      </c>
      <c r="E789" s="3">
        <v>46002.854166666657</v>
      </c>
      <c r="F789" s="2">
        <v>30</v>
      </c>
      <c r="G789" s="2" t="s">
        <v>143</v>
      </c>
      <c r="H789" s="2" t="s">
        <v>1021</v>
      </c>
      <c r="I789" s="2">
        <v>3</v>
      </c>
      <c r="J789" s="2">
        <v>4.5</v>
      </c>
      <c r="K789" s="2" t="s">
        <v>143</v>
      </c>
      <c r="L789" s="2" t="s">
        <v>169</v>
      </c>
      <c r="M789" s="2" t="b">
        <v>1</v>
      </c>
      <c r="N789" s="2" t="b">
        <v>0</v>
      </c>
      <c r="O789" s="2">
        <v>6.666666666666667</v>
      </c>
      <c r="P789" s="2">
        <v>0.66666666666666663</v>
      </c>
      <c r="Q789" s="2" t="s">
        <v>603</v>
      </c>
      <c r="R789" s="2" t="s">
        <v>171</v>
      </c>
      <c r="S789" s="2">
        <v>10.8</v>
      </c>
      <c r="T789" s="2">
        <v>19.2</v>
      </c>
      <c r="U789" s="2" t="b">
        <v>0</v>
      </c>
      <c r="V789" s="2">
        <v>6</v>
      </c>
      <c r="W789" s="2">
        <v>2</v>
      </c>
      <c r="X789" s="2">
        <v>20</v>
      </c>
      <c r="Y789" s="2">
        <v>30.286458333333329</v>
      </c>
    </row>
    <row r="790" spans="1:25" hidden="1">
      <c r="A790" s="2" t="s">
        <v>1055</v>
      </c>
      <c r="B790" s="2" t="s">
        <v>142</v>
      </c>
      <c r="C790" s="2" t="s">
        <v>697</v>
      </c>
      <c r="D790" s="3">
        <v>46003.802083333343</v>
      </c>
      <c r="E790" s="3">
        <v>46003.822916666657</v>
      </c>
      <c r="F790" s="2">
        <v>30</v>
      </c>
      <c r="G790" s="2" t="s">
        <v>151</v>
      </c>
      <c r="H790" s="2" t="s">
        <v>657</v>
      </c>
      <c r="I790" s="2">
        <v>4</v>
      </c>
      <c r="J790" s="2">
        <v>5.5</v>
      </c>
      <c r="K790" s="2" t="s">
        <v>143</v>
      </c>
      <c r="L790" s="2" t="s">
        <v>162</v>
      </c>
      <c r="M790" s="2" t="b">
        <v>1</v>
      </c>
      <c r="N790" s="2" t="b">
        <v>0</v>
      </c>
      <c r="O790" s="2">
        <v>5.4545454545454541</v>
      </c>
      <c r="P790" s="2">
        <v>0.72727272727272729</v>
      </c>
      <c r="Q790" s="2" t="s">
        <v>603</v>
      </c>
      <c r="R790" s="2" t="s">
        <v>147</v>
      </c>
      <c r="S790" s="2">
        <v>13.2</v>
      </c>
      <c r="T790" s="2">
        <v>16.8</v>
      </c>
      <c r="U790" s="2" t="b">
        <v>0</v>
      </c>
      <c r="V790" s="2">
        <v>12</v>
      </c>
      <c r="W790" s="2">
        <v>2</v>
      </c>
      <c r="X790" s="2">
        <v>19</v>
      </c>
      <c r="Y790" s="2">
        <v>30.259433962264151</v>
      </c>
    </row>
    <row r="791" spans="1:25" hidden="1">
      <c r="A791" s="2" t="s">
        <v>1056</v>
      </c>
      <c r="B791" s="2" t="s">
        <v>165</v>
      </c>
      <c r="C791" s="2" t="s">
        <v>188</v>
      </c>
      <c r="D791" s="3">
        <v>46004.854166666657</v>
      </c>
      <c r="E791" s="3">
        <v>46004.875</v>
      </c>
      <c r="F791" s="2">
        <v>30</v>
      </c>
      <c r="G791" s="2" t="s">
        <v>143</v>
      </c>
      <c r="H791" s="2" t="s">
        <v>144</v>
      </c>
      <c r="I791" s="2">
        <v>2</v>
      </c>
      <c r="J791" s="2">
        <v>4</v>
      </c>
      <c r="K791" s="2" t="s">
        <v>161</v>
      </c>
      <c r="L791" s="2" t="s">
        <v>154</v>
      </c>
      <c r="M791" s="2" t="b">
        <v>1</v>
      </c>
      <c r="N791" s="2" t="b">
        <v>1</v>
      </c>
      <c r="O791" s="2">
        <v>7.5</v>
      </c>
      <c r="P791" s="2">
        <v>0.5</v>
      </c>
      <c r="Q791" s="2" t="s">
        <v>603</v>
      </c>
      <c r="R791" s="2" t="s">
        <v>147</v>
      </c>
      <c r="S791" s="2">
        <v>9.6</v>
      </c>
      <c r="T791" s="2">
        <v>20.399999999999999</v>
      </c>
      <c r="U791" s="2" t="b">
        <v>0</v>
      </c>
      <c r="V791" s="2">
        <v>4</v>
      </c>
      <c r="W791" s="2">
        <v>1</v>
      </c>
      <c r="X791" s="2">
        <v>20</v>
      </c>
      <c r="Y791" s="2">
        <v>29.948453608247419</v>
      </c>
    </row>
    <row r="792" spans="1:25" hidden="1">
      <c r="A792" s="2" t="s">
        <v>1057</v>
      </c>
      <c r="B792" s="2" t="s">
        <v>149</v>
      </c>
      <c r="C792" s="2" t="s">
        <v>712</v>
      </c>
      <c r="D792" s="3">
        <v>46005.78125</v>
      </c>
      <c r="E792" s="3">
        <v>46005.802083333343</v>
      </c>
      <c r="F792" s="2">
        <v>30</v>
      </c>
      <c r="G792" s="2" t="s">
        <v>143</v>
      </c>
      <c r="H792" s="2" t="s">
        <v>1018</v>
      </c>
      <c r="I792" s="2">
        <v>3</v>
      </c>
      <c r="J792" s="2">
        <v>5</v>
      </c>
      <c r="K792" s="2" t="s">
        <v>143</v>
      </c>
      <c r="L792" s="2" t="s">
        <v>145</v>
      </c>
      <c r="M792" s="2" t="b">
        <v>1</v>
      </c>
      <c r="N792" s="2" t="b">
        <v>1</v>
      </c>
      <c r="O792" s="2">
        <v>6</v>
      </c>
      <c r="P792" s="2">
        <v>0.6</v>
      </c>
      <c r="Q792" s="2" t="s">
        <v>603</v>
      </c>
      <c r="R792" s="2" t="s">
        <v>147</v>
      </c>
      <c r="S792" s="2">
        <v>12</v>
      </c>
      <c r="T792" s="2">
        <v>18</v>
      </c>
      <c r="U792" s="2" t="b">
        <v>0</v>
      </c>
      <c r="V792" s="2">
        <v>6</v>
      </c>
      <c r="W792" s="2">
        <v>2</v>
      </c>
      <c r="X792" s="2">
        <v>18</v>
      </c>
      <c r="Y792" s="2">
        <v>28.186274509803919</v>
      </c>
    </row>
    <row r="793" spans="1:25" hidden="1">
      <c r="A793" s="2" t="s">
        <v>1058</v>
      </c>
      <c r="B793" s="2" t="s">
        <v>157</v>
      </c>
      <c r="C793" s="2" t="s">
        <v>693</v>
      </c>
      <c r="D793" s="3">
        <v>46006.791666666657</v>
      </c>
      <c r="E793" s="3">
        <v>46006.8125</v>
      </c>
      <c r="F793" s="2">
        <v>30</v>
      </c>
      <c r="G793" s="2" t="s">
        <v>167</v>
      </c>
      <c r="H793" s="2" t="s">
        <v>168</v>
      </c>
      <c r="I793" s="2">
        <v>5</v>
      </c>
      <c r="J793" s="2">
        <v>6</v>
      </c>
      <c r="K793" s="2" t="s">
        <v>153</v>
      </c>
      <c r="L793" s="2" t="s">
        <v>162</v>
      </c>
      <c r="M793" s="2" t="b">
        <v>1</v>
      </c>
      <c r="N793" s="2" t="b">
        <v>0</v>
      </c>
      <c r="O793" s="2">
        <v>5</v>
      </c>
      <c r="P793" s="2">
        <v>0.83333333333333337</v>
      </c>
      <c r="Q793" s="2" t="s">
        <v>603</v>
      </c>
      <c r="R793" s="2" t="s">
        <v>147</v>
      </c>
      <c r="S793" s="2">
        <v>14.4</v>
      </c>
      <c r="T793" s="2">
        <v>15.6</v>
      </c>
      <c r="U793" s="2" t="b">
        <v>0</v>
      </c>
      <c r="V793" s="2">
        <v>20</v>
      </c>
      <c r="W793" s="2">
        <v>3</v>
      </c>
      <c r="X793" s="2">
        <v>19</v>
      </c>
      <c r="Y793" s="2">
        <v>28.844221105527641</v>
      </c>
    </row>
    <row r="794" spans="1:25" hidden="1">
      <c r="A794" s="2" t="s">
        <v>1059</v>
      </c>
      <c r="B794" s="2" t="s">
        <v>173</v>
      </c>
      <c r="C794" s="2" t="s">
        <v>695</v>
      </c>
      <c r="D794" s="3">
        <v>46007.84375</v>
      </c>
      <c r="E794" s="3">
        <v>46007.864583333343</v>
      </c>
      <c r="F794" s="2">
        <v>30</v>
      </c>
      <c r="G794" s="2" t="s">
        <v>143</v>
      </c>
      <c r="H794" s="2" t="s">
        <v>1021</v>
      </c>
      <c r="I794" s="2">
        <v>3</v>
      </c>
      <c r="J794" s="2">
        <v>4.5</v>
      </c>
      <c r="K794" s="2" t="s">
        <v>143</v>
      </c>
      <c r="L794" s="2" t="s">
        <v>169</v>
      </c>
      <c r="M794" s="2" t="b">
        <v>1</v>
      </c>
      <c r="N794" s="2" t="b">
        <v>0</v>
      </c>
      <c r="O794" s="2">
        <v>6.666666666666667</v>
      </c>
      <c r="P794" s="2">
        <v>0.66666666666666663</v>
      </c>
      <c r="Q794" s="2" t="s">
        <v>603</v>
      </c>
      <c r="R794" s="2" t="s">
        <v>171</v>
      </c>
      <c r="S794" s="2">
        <v>10.8</v>
      </c>
      <c r="T794" s="2">
        <v>19.2</v>
      </c>
      <c r="U794" s="2" t="b">
        <v>0</v>
      </c>
      <c r="V794" s="2">
        <v>6</v>
      </c>
      <c r="W794" s="2">
        <v>2</v>
      </c>
      <c r="X794" s="2">
        <v>20</v>
      </c>
      <c r="Y794" s="2">
        <v>30.286458333333329</v>
      </c>
    </row>
    <row r="795" spans="1:25" hidden="1">
      <c r="A795" s="2" t="s">
        <v>1060</v>
      </c>
      <c r="B795" s="2" t="s">
        <v>142</v>
      </c>
      <c r="C795" s="2" t="s">
        <v>697</v>
      </c>
      <c r="D795" s="3">
        <v>46008.8125</v>
      </c>
      <c r="E795" s="3">
        <v>46008.833333333343</v>
      </c>
      <c r="F795" s="2">
        <v>30</v>
      </c>
      <c r="G795" s="2" t="s">
        <v>151</v>
      </c>
      <c r="H795" s="2" t="s">
        <v>657</v>
      </c>
      <c r="I795" s="2">
        <v>4</v>
      </c>
      <c r="J795" s="2">
        <v>5.5</v>
      </c>
      <c r="K795" s="2" t="s">
        <v>143</v>
      </c>
      <c r="L795" s="2" t="s">
        <v>162</v>
      </c>
      <c r="M795" s="2" t="b">
        <v>1</v>
      </c>
      <c r="N795" s="2" t="b">
        <v>0</v>
      </c>
      <c r="O795" s="2">
        <v>5.4545454545454541</v>
      </c>
      <c r="P795" s="2">
        <v>0.72727272727272729</v>
      </c>
      <c r="Q795" s="2" t="s">
        <v>603</v>
      </c>
      <c r="R795" s="2" t="s">
        <v>147</v>
      </c>
      <c r="S795" s="2">
        <v>13.2</v>
      </c>
      <c r="T795" s="2">
        <v>16.8</v>
      </c>
      <c r="U795" s="2" t="b">
        <v>0</v>
      </c>
      <c r="V795" s="2">
        <v>12</v>
      </c>
      <c r="W795" s="2">
        <v>2</v>
      </c>
      <c r="X795" s="2">
        <v>19</v>
      </c>
      <c r="Y795" s="2">
        <v>30.259433962264151</v>
      </c>
    </row>
    <row r="796" spans="1:25" hidden="1">
      <c r="A796" s="2" t="s">
        <v>1061</v>
      </c>
      <c r="B796" s="2" t="s">
        <v>165</v>
      </c>
      <c r="C796" s="2" t="s">
        <v>188</v>
      </c>
      <c r="D796" s="3">
        <v>46009.864583333343</v>
      </c>
      <c r="E796" s="3">
        <v>46009.885416666657</v>
      </c>
      <c r="F796" s="2">
        <v>30</v>
      </c>
      <c r="G796" s="2" t="s">
        <v>143</v>
      </c>
      <c r="H796" s="2" t="s">
        <v>144</v>
      </c>
      <c r="I796" s="2">
        <v>2</v>
      </c>
      <c r="J796" s="2">
        <v>4</v>
      </c>
      <c r="K796" s="2" t="s">
        <v>161</v>
      </c>
      <c r="L796" s="2" t="s">
        <v>154</v>
      </c>
      <c r="M796" s="2" t="b">
        <v>1</v>
      </c>
      <c r="N796" s="2" t="b">
        <v>0</v>
      </c>
      <c r="O796" s="2">
        <v>7.5</v>
      </c>
      <c r="P796" s="2">
        <v>0.5</v>
      </c>
      <c r="Q796" s="2" t="s">
        <v>603</v>
      </c>
      <c r="R796" s="2" t="s">
        <v>147</v>
      </c>
      <c r="S796" s="2">
        <v>9.6</v>
      </c>
      <c r="T796" s="2">
        <v>20.399999999999999</v>
      </c>
      <c r="U796" s="2" t="b">
        <v>0</v>
      </c>
      <c r="V796" s="2">
        <v>4</v>
      </c>
      <c r="W796" s="2">
        <v>1</v>
      </c>
      <c r="X796" s="2">
        <v>20</v>
      </c>
      <c r="Y796" s="2">
        <v>29.948453608247419</v>
      </c>
    </row>
    <row r="797" spans="1:25" hidden="1">
      <c r="A797" s="2" t="s">
        <v>1062</v>
      </c>
      <c r="B797" s="2" t="s">
        <v>149</v>
      </c>
      <c r="C797" s="2" t="s">
        <v>712</v>
      </c>
      <c r="D797" s="3">
        <v>46010.75</v>
      </c>
      <c r="E797" s="3">
        <v>46010.770833333343</v>
      </c>
      <c r="F797" s="2">
        <v>30</v>
      </c>
      <c r="G797" s="2" t="s">
        <v>143</v>
      </c>
      <c r="H797" s="2" t="s">
        <v>1018</v>
      </c>
      <c r="I797" s="2">
        <v>3</v>
      </c>
      <c r="J797" s="2">
        <v>5</v>
      </c>
      <c r="K797" s="2" t="s">
        <v>143</v>
      </c>
      <c r="L797" s="2" t="s">
        <v>145</v>
      </c>
      <c r="M797" s="2" t="b">
        <v>1</v>
      </c>
      <c r="N797" s="2" t="b">
        <v>0</v>
      </c>
      <c r="O797" s="2">
        <v>6</v>
      </c>
      <c r="P797" s="2">
        <v>0.6</v>
      </c>
      <c r="Q797" s="2" t="s">
        <v>603</v>
      </c>
      <c r="R797" s="2" t="s">
        <v>147</v>
      </c>
      <c r="S797" s="2">
        <v>12</v>
      </c>
      <c r="T797" s="2">
        <v>18</v>
      </c>
      <c r="U797" s="2" t="b">
        <v>0</v>
      </c>
      <c r="V797" s="2">
        <v>6</v>
      </c>
      <c r="W797" s="2">
        <v>2</v>
      </c>
      <c r="X797" s="2">
        <v>18</v>
      </c>
      <c r="Y797" s="2">
        <v>28.186274509803919</v>
      </c>
    </row>
    <row r="798" spans="1:25" hidden="1">
      <c r="A798" s="2" t="s">
        <v>1063</v>
      </c>
      <c r="B798" s="2" t="s">
        <v>157</v>
      </c>
      <c r="C798" s="2" t="s">
        <v>693</v>
      </c>
      <c r="D798" s="3">
        <v>46011.802083333343</v>
      </c>
      <c r="E798" s="3">
        <v>46011.822916666657</v>
      </c>
      <c r="F798" s="2">
        <v>30</v>
      </c>
      <c r="G798" s="2" t="s">
        <v>167</v>
      </c>
      <c r="H798" s="2" t="s">
        <v>168</v>
      </c>
      <c r="I798" s="2">
        <v>5</v>
      </c>
      <c r="J798" s="2">
        <v>6</v>
      </c>
      <c r="K798" s="2" t="s">
        <v>153</v>
      </c>
      <c r="L798" s="2" t="s">
        <v>162</v>
      </c>
      <c r="M798" s="2" t="b">
        <v>1</v>
      </c>
      <c r="N798" s="2" t="b">
        <v>1</v>
      </c>
      <c r="O798" s="2">
        <v>5</v>
      </c>
      <c r="P798" s="2">
        <v>0.83333333333333337</v>
      </c>
      <c r="Q798" s="2" t="s">
        <v>603</v>
      </c>
      <c r="R798" s="2" t="s">
        <v>147</v>
      </c>
      <c r="S798" s="2">
        <v>14.4</v>
      </c>
      <c r="T798" s="2">
        <v>15.6</v>
      </c>
      <c r="U798" s="2" t="b">
        <v>0</v>
      </c>
      <c r="V798" s="2">
        <v>20</v>
      </c>
      <c r="W798" s="2">
        <v>3</v>
      </c>
      <c r="X798" s="2">
        <v>19</v>
      </c>
      <c r="Y798" s="2">
        <v>28.844221105527641</v>
      </c>
    </row>
    <row r="799" spans="1:25" hidden="1">
      <c r="A799" s="2" t="s">
        <v>1064</v>
      </c>
      <c r="B799" s="2" t="s">
        <v>173</v>
      </c>
      <c r="C799" s="2" t="s">
        <v>695</v>
      </c>
      <c r="D799" s="3">
        <v>46012.854166666657</v>
      </c>
      <c r="E799" s="3">
        <v>46012.875</v>
      </c>
      <c r="F799" s="2">
        <v>30</v>
      </c>
      <c r="G799" s="2" t="s">
        <v>143</v>
      </c>
      <c r="H799" s="2" t="s">
        <v>1021</v>
      </c>
      <c r="I799" s="2">
        <v>3</v>
      </c>
      <c r="J799" s="2">
        <v>4.5</v>
      </c>
      <c r="K799" s="2" t="s">
        <v>143</v>
      </c>
      <c r="L799" s="2" t="s">
        <v>169</v>
      </c>
      <c r="M799" s="2" t="b">
        <v>1</v>
      </c>
      <c r="N799" s="2" t="b">
        <v>1</v>
      </c>
      <c r="O799" s="2">
        <v>6.666666666666667</v>
      </c>
      <c r="P799" s="2">
        <v>0.66666666666666663</v>
      </c>
      <c r="Q799" s="2" t="s">
        <v>603</v>
      </c>
      <c r="R799" s="2" t="s">
        <v>171</v>
      </c>
      <c r="S799" s="2">
        <v>10.8</v>
      </c>
      <c r="T799" s="2">
        <v>19.2</v>
      </c>
      <c r="U799" s="2" t="b">
        <v>0</v>
      </c>
      <c r="V799" s="2">
        <v>6</v>
      </c>
      <c r="W799" s="2">
        <v>2</v>
      </c>
      <c r="X799" s="2">
        <v>20</v>
      </c>
      <c r="Y799" s="2">
        <v>30.286458333333329</v>
      </c>
    </row>
    <row r="800" spans="1:25" hidden="1">
      <c r="A800" s="2" t="s">
        <v>1065</v>
      </c>
      <c r="B800" s="2" t="s">
        <v>142</v>
      </c>
      <c r="C800" s="2" t="s">
        <v>697</v>
      </c>
      <c r="D800" s="3">
        <v>46013.791666666657</v>
      </c>
      <c r="E800" s="3">
        <v>46013.8125</v>
      </c>
      <c r="F800" s="2">
        <v>30</v>
      </c>
      <c r="G800" s="2" t="s">
        <v>151</v>
      </c>
      <c r="H800" s="2" t="s">
        <v>657</v>
      </c>
      <c r="I800" s="2">
        <v>4</v>
      </c>
      <c r="J800" s="2">
        <v>5.5</v>
      </c>
      <c r="K800" s="2" t="s">
        <v>143</v>
      </c>
      <c r="L800" s="2" t="s">
        <v>162</v>
      </c>
      <c r="M800" s="2" t="b">
        <v>1</v>
      </c>
      <c r="N800" s="2" t="b">
        <v>0</v>
      </c>
      <c r="O800" s="2">
        <v>5.4545454545454541</v>
      </c>
      <c r="P800" s="2">
        <v>0.72727272727272729</v>
      </c>
      <c r="Q800" s="2" t="s">
        <v>603</v>
      </c>
      <c r="R800" s="2" t="s">
        <v>147</v>
      </c>
      <c r="S800" s="2">
        <v>13.2</v>
      </c>
      <c r="T800" s="2">
        <v>16.8</v>
      </c>
      <c r="U800" s="2" t="b">
        <v>0</v>
      </c>
      <c r="V800" s="2">
        <v>12</v>
      </c>
      <c r="W800" s="2">
        <v>2</v>
      </c>
      <c r="X800" s="2">
        <v>19</v>
      </c>
      <c r="Y800" s="2">
        <v>30.259433962264151</v>
      </c>
    </row>
    <row r="801" spans="1:25" hidden="1">
      <c r="A801" s="2" t="s">
        <v>1066</v>
      </c>
      <c r="B801" s="2" t="s">
        <v>165</v>
      </c>
      <c r="C801" s="2" t="s">
        <v>188</v>
      </c>
      <c r="D801" s="3">
        <v>46014.84375</v>
      </c>
      <c r="E801" s="3">
        <v>46014.864583333343</v>
      </c>
      <c r="F801" s="2">
        <v>30</v>
      </c>
      <c r="G801" s="2" t="s">
        <v>143</v>
      </c>
      <c r="H801" s="2" t="s">
        <v>144</v>
      </c>
      <c r="I801" s="2">
        <v>2</v>
      </c>
      <c r="J801" s="2">
        <v>4</v>
      </c>
      <c r="K801" s="2" t="s">
        <v>161</v>
      </c>
      <c r="L801" s="2" t="s">
        <v>154</v>
      </c>
      <c r="M801" s="2" t="b">
        <v>1</v>
      </c>
      <c r="N801" s="2" t="b">
        <v>0</v>
      </c>
      <c r="O801" s="2">
        <v>7.5</v>
      </c>
      <c r="P801" s="2">
        <v>0.5</v>
      </c>
      <c r="Q801" s="2" t="s">
        <v>603</v>
      </c>
      <c r="R801" s="2" t="s">
        <v>147</v>
      </c>
      <c r="S801" s="2">
        <v>9.6</v>
      </c>
      <c r="T801" s="2">
        <v>20.399999999999999</v>
      </c>
      <c r="U801" s="2" t="b">
        <v>0</v>
      </c>
      <c r="V801" s="2">
        <v>4</v>
      </c>
      <c r="W801" s="2">
        <v>1</v>
      </c>
      <c r="X801" s="2">
        <v>20</v>
      </c>
      <c r="Y801" s="2">
        <v>29.948453608247419</v>
      </c>
    </row>
    <row r="802" spans="1:25" hidden="1">
      <c r="A802" s="2" t="s">
        <v>1067</v>
      </c>
      <c r="B802" s="2" t="s">
        <v>149</v>
      </c>
      <c r="C802" s="2" t="s">
        <v>712</v>
      </c>
      <c r="D802" s="3">
        <v>46015.770833333343</v>
      </c>
      <c r="E802" s="3">
        <v>46015.791666666657</v>
      </c>
      <c r="F802" s="2">
        <v>30</v>
      </c>
      <c r="G802" s="2" t="s">
        <v>143</v>
      </c>
      <c r="H802" s="2" t="s">
        <v>1018</v>
      </c>
      <c r="I802" s="2">
        <v>3</v>
      </c>
      <c r="J802" s="2">
        <v>5</v>
      </c>
      <c r="K802" s="2" t="s">
        <v>143</v>
      </c>
      <c r="L802" s="2" t="s">
        <v>145</v>
      </c>
      <c r="M802" s="2" t="b">
        <v>1</v>
      </c>
      <c r="N802" s="2" t="b">
        <v>0</v>
      </c>
      <c r="O802" s="2">
        <v>6</v>
      </c>
      <c r="P802" s="2">
        <v>0.6</v>
      </c>
      <c r="Q802" s="2" t="s">
        <v>603</v>
      </c>
      <c r="R802" s="2" t="s">
        <v>147</v>
      </c>
      <c r="S802" s="2">
        <v>12</v>
      </c>
      <c r="T802" s="2">
        <v>18</v>
      </c>
      <c r="U802" s="2" t="b">
        <v>0</v>
      </c>
      <c r="V802" s="2">
        <v>6</v>
      </c>
      <c r="W802" s="2">
        <v>2</v>
      </c>
      <c r="X802" s="2">
        <v>18</v>
      </c>
      <c r="Y802" s="2">
        <v>28.186274509803919</v>
      </c>
    </row>
    <row r="803" spans="1:25" hidden="1">
      <c r="A803" s="2" t="s">
        <v>1068</v>
      </c>
      <c r="B803" s="2" t="s">
        <v>157</v>
      </c>
      <c r="C803" s="2" t="s">
        <v>693</v>
      </c>
      <c r="D803" s="3">
        <v>46016.822916666657</v>
      </c>
      <c r="E803" s="3">
        <v>46016.84375</v>
      </c>
      <c r="F803" s="2">
        <v>30</v>
      </c>
      <c r="G803" s="2" t="s">
        <v>167</v>
      </c>
      <c r="H803" s="2" t="s">
        <v>168</v>
      </c>
      <c r="I803" s="2">
        <v>5</v>
      </c>
      <c r="J803" s="2">
        <v>6</v>
      </c>
      <c r="K803" s="2" t="s">
        <v>153</v>
      </c>
      <c r="L803" s="2" t="s">
        <v>162</v>
      </c>
      <c r="M803" s="2" t="b">
        <v>1</v>
      </c>
      <c r="N803" s="2" t="b">
        <v>0</v>
      </c>
      <c r="O803" s="2">
        <v>5</v>
      </c>
      <c r="P803" s="2">
        <v>0.83333333333333337</v>
      </c>
      <c r="Q803" s="2" t="s">
        <v>603</v>
      </c>
      <c r="R803" s="2" t="s">
        <v>147</v>
      </c>
      <c r="S803" s="2">
        <v>14.4</v>
      </c>
      <c r="T803" s="2">
        <v>15.6</v>
      </c>
      <c r="U803" s="2" t="b">
        <v>0</v>
      </c>
      <c r="V803" s="2">
        <v>20</v>
      </c>
      <c r="W803" s="2">
        <v>3</v>
      </c>
      <c r="X803" s="2">
        <v>19</v>
      </c>
      <c r="Y803" s="2">
        <v>28.844221105527641</v>
      </c>
    </row>
    <row r="804" spans="1:25" hidden="1">
      <c r="A804" s="2" t="s">
        <v>1069</v>
      </c>
      <c r="B804" s="2" t="s">
        <v>173</v>
      </c>
      <c r="C804" s="2" t="s">
        <v>695</v>
      </c>
      <c r="D804" s="3">
        <v>46017.833333333343</v>
      </c>
      <c r="E804" s="3">
        <v>46017.854166666657</v>
      </c>
      <c r="F804" s="2">
        <v>30</v>
      </c>
      <c r="G804" s="2" t="s">
        <v>143</v>
      </c>
      <c r="H804" s="2" t="s">
        <v>1021</v>
      </c>
      <c r="I804" s="2">
        <v>3</v>
      </c>
      <c r="J804" s="2">
        <v>4.5</v>
      </c>
      <c r="K804" s="2" t="s">
        <v>143</v>
      </c>
      <c r="L804" s="2" t="s">
        <v>169</v>
      </c>
      <c r="M804" s="2" t="b">
        <v>1</v>
      </c>
      <c r="N804" s="2" t="b">
        <v>0</v>
      </c>
      <c r="O804" s="2">
        <v>6.666666666666667</v>
      </c>
      <c r="P804" s="2">
        <v>0.66666666666666663</v>
      </c>
      <c r="Q804" s="2" t="s">
        <v>603</v>
      </c>
      <c r="R804" s="2" t="s">
        <v>171</v>
      </c>
      <c r="S804" s="2">
        <v>10.8</v>
      </c>
      <c r="T804" s="2">
        <v>19.2</v>
      </c>
      <c r="U804" s="2" t="b">
        <v>0</v>
      </c>
      <c r="V804" s="2">
        <v>6</v>
      </c>
      <c r="W804" s="2">
        <v>2</v>
      </c>
      <c r="X804" s="2">
        <v>20</v>
      </c>
      <c r="Y804" s="2">
        <v>30.286458333333329</v>
      </c>
    </row>
    <row r="805" spans="1:25" hidden="1">
      <c r="A805" s="2" t="s">
        <v>1070</v>
      </c>
      <c r="B805" s="2" t="s">
        <v>142</v>
      </c>
      <c r="C805" s="2" t="s">
        <v>697</v>
      </c>
      <c r="D805" s="3">
        <v>46018.802083333343</v>
      </c>
      <c r="E805" s="3">
        <v>46018.822916666657</v>
      </c>
      <c r="F805" s="2">
        <v>30</v>
      </c>
      <c r="G805" s="2" t="s">
        <v>151</v>
      </c>
      <c r="H805" s="2" t="s">
        <v>657</v>
      </c>
      <c r="I805" s="2">
        <v>4</v>
      </c>
      <c r="J805" s="2">
        <v>5.5</v>
      </c>
      <c r="K805" s="2" t="s">
        <v>143</v>
      </c>
      <c r="L805" s="2" t="s">
        <v>162</v>
      </c>
      <c r="M805" s="2" t="b">
        <v>1</v>
      </c>
      <c r="N805" s="2" t="b">
        <v>1</v>
      </c>
      <c r="O805" s="2">
        <v>5.4545454545454541</v>
      </c>
      <c r="P805" s="2">
        <v>0.72727272727272729</v>
      </c>
      <c r="Q805" s="2" t="s">
        <v>603</v>
      </c>
      <c r="R805" s="2" t="s">
        <v>147</v>
      </c>
      <c r="S805" s="2">
        <v>13.2</v>
      </c>
      <c r="T805" s="2">
        <v>16.8</v>
      </c>
      <c r="U805" s="2" t="b">
        <v>0</v>
      </c>
      <c r="V805" s="2">
        <v>12</v>
      </c>
      <c r="W805" s="2">
        <v>2</v>
      </c>
      <c r="X805" s="2">
        <v>19</v>
      </c>
      <c r="Y805" s="2">
        <v>30.259433962264151</v>
      </c>
    </row>
    <row r="806" spans="1:25" hidden="1">
      <c r="A806" s="2" t="s">
        <v>1071</v>
      </c>
      <c r="B806" s="2" t="s">
        <v>165</v>
      </c>
      <c r="C806" s="2" t="s">
        <v>188</v>
      </c>
      <c r="D806" s="3">
        <v>46019.854166666657</v>
      </c>
      <c r="E806" s="3">
        <v>46019.875</v>
      </c>
      <c r="F806" s="2">
        <v>30</v>
      </c>
      <c r="G806" s="2" t="s">
        <v>143</v>
      </c>
      <c r="H806" s="2" t="s">
        <v>144</v>
      </c>
      <c r="I806" s="2">
        <v>2</v>
      </c>
      <c r="J806" s="2">
        <v>4</v>
      </c>
      <c r="K806" s="2" t="s">
        <v>161</v>
      </c>
      <c r="L806" s="2" t="s">
        <v>154</v>
      </c>
      <c r="M806" s="2" t="b">
        <v>1</v>
      </c>
      <c r="N806" s="2" t="b">
        <v>1</v>
      </c>
      <c r="O806" s="2">
        <v>7.5</v>
      </c>
      <c r="P806" s="2">
        <v>0.5</v>
      </c>
      <c r="Q806" s="2" t="s">
        <v>603</v>
      </c>
      <c r="R806" s="2" t="s">
        <v>147</v>
      </c>
      <c r="S806" s="2">
        <v>9.6</v>
      </c>
      <c r="T806" s="2">
        <v>20.399999999999999</v>
      </c>
      <c r="U806" s="2" t="b">
        <v>0</v>
      </c>
      <c r="V806" s="2">
        <v>4</v>
      </c>
      <c r="W806" s="2">
        <v>1</v>
      </c>
      <c r="X806" s="2">
        <v>20</v>
      </c>
      <c r="Y806" s="2">
        <v>29.948453608247419</v>
      </c>
    </row>
    <row r="807" spans="1:25" hidden="1">
      <c r="A807" s="2" t="s">
        <v>1072</v>
      </c>
      <c r="B807" s="2" t="s">
        <v>149</v>
      </c>
      <c r="C807" s="2" t="s">
        <v>712</v>
      </c>
      <c r="D807" s="3">
        <v>46020.78125</v>
      </c>
      <c r="E807" s="3">
        <v>46020.802083333343</v>
      </c>
      <c r="F807" s="2">
        <v>30</v>
      </c>
      <c r="G807" s="2" t="s">
        <v>143</v>
      </c>
      <c r="H807" s="2" t="s">
        <v>1018</v>
      </c>
      <c r="I807" s="2">
        <v>3</v>
      </c>
      <c r="J807" s="2">
        <v>5</v>
      </c>
      <c r="K807" s="2" t="s">
        <v>143</v>
      </c>
      <c r="L807" s="2" t="s">
        <v>145</v>
      </c>
      <c r="M807" s="2" t="b">
        <v>1</v>
      </c>
      <c r="N807" s="2" t="b">
        <v>0</v>
      </c>
      <c r="O807" s="2">
        <v>6</v>
      </c>
      <c r="P807" s="2">
        <v>0.6</v>
      </c>
      <c r="Q807" s="2" t="s">
        <v>603</v>
      </c>
      <c r="R807" s="2" t="s">
        <v>147</v>
      </c>
      <c r="S807" s="2">
        <v>12</v>
      </c>
      <c r="T807" s="2">
        <v>18</v>
      </c>
      <c r="U807" s="2" t="b">
        <v>0</v>
      </c>
      <c r="V807" s="2">
        <v>6</v>
      </c>
      <c r="W807" s="2">
        <v>2</v>
      </c>
      <c r="X807" s="2">
        <v>18</v>
      </c>
      <c r="Y807" s="2">
        <v>28.186274509803919</v>
      </c>
    </row>
    <row r="808" spans="1:25" hidden="1">
      <c r="A808" s="2" t="s">
        <v>1073</v>
      </c>
      <c r="B808" s="2" t="s">
        <v>157</v>
      </c>
      <c r="C808" s="2" t="s">
        <v>693</v>
      </c>
      <c r="D808" s="3">
        <v>46021.791666666657</v>
      </c>
      <c r="E808" s="3">
        <v>46021.8125</v>
      </c>
      <c r="F808" s="2">
        <v>30</v>
      </c>
      <c r="G808" s="2" t="s">
        <v>167</v>
      </c>
      <c r="H808" s="2" t="s">
        <v>168</v>
      </c>
      <c r="I808" s="2">
        <v>5</v>
      </c>
      <c r="J808" s="2">
        <v>6</v>
      </c>
      <c r="K808" s="2" t="s">
        <v>153</v>
      </c>
      <c r="L808" s="2" t="s">
        <v>162</v>
      </c>
      <c r="M808" s="2" t="b">
        <v>1</v>
      </c>
      <c r="N808" s="2" t="b">
        <v>0</v>
      </c>
      <c r="O808" s="2">
        <v>5</v>
      </c>
      <c r="P808" s="2">
        <v>0.83333333333333337</v>
      </c>
      <c r="Q808" s="2" t="s">
        <v>603</v>
      </c>
      <c r="R808" s="2" t="s">
        <v>147</v>
      </c>
      <c r="S808" s="2">
        <v>14.4</v>
      </c>
      <c r="T808" s="2">
        <v>15.6</v>
      </c>
      <c r="U808" s="2" t="b">
        <v>0</v>
      </c>
      <c r="V808" s="2">
        <v>20</v>
      </c>
      <c r="W808" s="2">
        <v>3</v>
      </c>
      <c r="X808" s="2">
        <v>19</v>
      </c>
      <c r="Y808" s="2">
        <v>28.844221105527641</v>
      </c>
    </row>
    <row r="809" spans="1:25" hidden="1">
      <c r="A809" s="2" t="s">
        <v>1074</v>
      </c>
      <c r="B809" s="2" t="s">
        <v>173</v>
      </c>
      <c r="C809" s="2" t="s">
        <v>695</v>
      </c>
      <c r="D809" s="3">
        <v>46022.84375</v>
      </c>
      <c r="E809" s="3">
        <v>46022.864583333343</v>
      </c>
      <c r="F809" s="2">
        <v>30</v>
      </c>
      <c r="G809" s="2" t="s">
        <v>143</v>
      </c>
      <c r="H809" s="2" t="s">
        <v>1021</v>
      </c>
      <c r="I809" s="2">
        <v>3</v>
      </c>
      <c r="J809" s="2">
        <v>4.5</v>
      </c>
      <c r="K809" s="2" t="s">
        <v>143</v>
      </c>
      <c r="L809" s="2" t="s">
        <v>169</v>
      </c>
      <c r="M809" s="2" t="b">
        <v>1</v>
      </c>
      <c r="N809" s="2" t="b">
        <v>0</v>
      </c>
      <c r="O809" s="2">
        <v>6.666666666666667</v>
      </c>
      <c r="P809" s="2">
        <v>0.66666666666666663</v>
      </c>
      <c r="Q809" s="2" t="s">
        <v>603</v>
      </c>
      <c r="R809" s="2" t="s">
        <v>171</v>
      </c>
      <c r="S809" s="2">
        <v>10.8</v>
      </c>
      <c r="T809" s="2">
        <v>19.2</v>
      </c>
      <c r="U809" s="2" t="b">
        <v>0</v>
      </c>
      <c r="V809" s="2">
        <v>6</v>
      </c>
      <c r="W809" s="2">
        <v>2</v>
      </c>
      <c r="X809" s="2">
        <v>20</v>
      </c>
      <c r="Y809" s="2">
        <v>30.286458333333329</v>
      </c>
    </row>
    <row r="810" spans="1:25" hidden="1">
      <c r="A810" s="2" t="s">
        <v>1075</v>
      </c>
      <c r="B810" s="2" t="s">
        <v>149</v>
      </c>
      <c r="C810" s="2" t="s">
        <v>712</v>
      </c>
      <c r="D810" s="3">
        <v>46015.770833333343</v>
      </c>
      <c r="E810" s="3">
        <v>46015.791666666657</v>
      </c>
      <c r="F810" s="2">
        <v>30</v>
      </c>
      <c r="G810" s="2" t="s">
        <v>143</v>
      </c>
      <c r="H810" s="2" t="s">
        <v>1018</v>
      </c>
      <c r="I810" s="2">
        <v>3</v>
      </c>
      <c r="J810" s="2">
        <v>5</v>
      </c>
      <c r="K810" s="2" t="s">
        <v>143</v>
      </c>
      <c r="L810" s="2" t="s">
        <v>162</v>
      </c>
      <c r="M810" s="2" t="b">
        <v>1</v>
      </c>
      <c r="N810" s="2" t="b">
        <v>0</v>
      </c>
      <c r="O810" s="2">
        <v>6</v>
      </c>
      <c r="P810" s="2">
        <v>0.6</v>
      </c>
      <c r="Q810" s="2" t="s">
        <v>603</v>
      </c>
      <c r="R810" s="2" t="s">
        <v>147</v>
      </c>
      <c r="S810" s="2">
        <v>12</v>
      </c>
      <c r="T810" s="2">
        <v>18</v>
      </c>
      <c r="U810" s="2" t="b">
        <v>0</v>
      </c>
      <c r="V810" s="2">
        <v>6</v>
      </c>
      <c r="W810" s="2">
        <v>2</v>
      </c>
      <c r="X810" s="2">
        <v>18</v>
      </c>
      <c r="Y810" s="2">
        <v>28.186274509803919</v>
      </c>
    </row>
    <row r="811" spans="1:25" hidden="1">
      <c r="A811" s="2" t="s">
        <v>1076</v>
      </c>
      <c r="B811" s="2" t="s">
        <v>157</v>
      </c>
      <c r="C811" s="2" t="s">
        <v>693</v>
      </c>
      <c r="D811" s="3">
        <v>46016.822916666657</v>
      </c>
      <c r="E811" s="3">
        <v>46016.84375</v>
      </c>
      <c r="F811" s="2">
        <v>30</v>
      </c>
      <c r="G811" s="2" t="s">
        <v>167</v>
      </c>
      <c r="H811" s="2" t="s">
        <v>168</v>
      </c>
      <c r="I811" s="2">
        <v>5</v>
      </c>
      <c r="J811" s="2">
        <v>6</v>
      </c>
      <c r="K811" s="2" t="s">
        <v>153</v>
      </c>
      <c r="L811" s="2" t="s">
        <v>145</v>
      </c>
      <c r="M811" s="2" t="b">
        <v>1</v>
      </c>
      <c r="N811" s="2" t="b">
        <v>0</v>
      </c>
      <c r="O811" s="2">
        <v>5</v>
      </c>
      <c r="P811" s="2">
        <v>0.83333333333333337</v>
      </c>
      <c r="Q811" s="2" t="s">
        <v>603</v>
      </c>
      <c r="R811" s="2" t="s">
        <v>147</v>
      </c>
      <c r="S811" s="2">
        <v>14.4</v>
      </c>
      <c r="T811" s="2">
        <v>15.6</v>
      </c>
      <c r="U811" s="2" t="b">
        <v>0</v>
      </c>
      <c r="V811" s="2">
        <v>20</v>
      </c>
      <c r="W811" s="2">
        <v>3</v>
      </c>
      <c r="X811" s="2">
        <v>19</v>
      </c>
      <c r="Y811" s="2">
        <v>28.844221105527641</v>
      </c>
    </row>
    <row r="812" spans="1:25" hidden="1">
      <c r="A812" s="2" t="s">
        <v>1077</v>
      </c>
      <c r="B812" s="2" t="s">
        <v>173</v>
      </c>
      <c r="C812" s="2" t="s">
        <v>695</v>
      </c>
      <c r="D812" s="3">
        <v>46017.833333333343</v>
      </c>
      <c r="E812" s="3">
        <v>46017.854166666657</v>
      </c>
      <c r="F812" s="2">
        <v>30</v>
      </c>
      <c r="G812" s="2" t="s">
        <v>143</v>
      </c>
      <c r="H812" s="2" t="s">
        <v>1021</v>
      </c>
      <c r="I812" s="2">
        <v>3</v>
      </c>
      <c r="J812" s="2">
        <v>4.5</v>
      </c>
      <c r="K812" s="2" t="s">
        <v>143</v>
      </c>
      <c r="L812" s="2" t="s">
        <v>169</v>
      </c>
      <c r="M812" s="2" t="b">
        <v>1</v>
      </c>
      <c r="N812" s="2" t="b">
        <v>0</v>
      </c>
      <c r="O812" s="2">
        <v>6.666666666666667</v>
      </c>
      <c r="P812" s="2">
        <v>0.66666666666666663</v>
      </c>
      <c r="Q812" s="2" t="s">
        <v>603</v>
      </c>
      <c r="R812" s="2" t="s">
        <v>171</v>
      </c>
      <c r="S812" s="2">
        <v>10.8</v>
      </c>
      <c r="T812" s="2">
        <v>19.2</v>
      </c>
      <c r="U812" s="2" t="b">
        <v>0</v>
      </c>
      <c r="V812" s="2">
        <v>6</v>
      </c>
      <c r="W812" s="2">
        <v>2</v>
      </c>
      <c r="X812" s="2">
        <v>20</v>
      </c>
      <c r="Y812" s="2">
        <v>30.286458333333329</v>
      </c>
    </row>
    <row r="813" spans="1:25" hidden="1">
      <c r="A813" s="2" t="s">
        <v>1078</v>
      </c>
      <c r="B813" s="2" t="s">
        <v>142</v>
      </c>
      <c r="C813" s="2" t="s">
        <v>697</v>
      </c>
      <c r="D813" s="3">
        <v>46018.802083333343</v>
      </c>
      <c r="E813" s="3">
        <v>46018.822916666657</v>
      </c>
      <c r="F813" s="2">
        <v>30</v>
      </c>
      <c r="G813" s="2" t="s">
        <v>151</v>
      </c>
      <c r="H813" s="2" t="s">
        <v>657</v>
      </c>
      <c r="I813" s="2">
        <v>4</v>
      </c>
      <c r="J813" s="2">
        <v>5.5</v>
      </c>
      <c r="K813" s="2" t="s">
        <v>143</v>
      </c>
      <c r="L813" s="2" t="s">
        <v>162</v>
      </c>
      <c r="M813" s="2" t="b">
        <v>1</v>
      </c>
      <c r="N813" s="2" t="b">
        <v>1</v>
      </c>
      <c r="O813" s="2">
        <v>5.4545454545454541</v>
      </c>
      <c r="P813" s="2">
        <v>0.72727272727272729</v>
      </c>
      <c r="Q813" s="2" t="s">
        <v>603</v>
      </c>
      <c r="R813" s="2" t="s">
        <v>147</v>
      </c>
      <c r="S813" s="2">
        <v>13.2</v>
      </c>
      <c r="T813" s="2">
        <v>16.8</v>
      </c>
      <c r="U813" s="2" t="b">
        <v>0</v>
      </c>
      <c r="V813" s="2">
        <v>12</v>
      </c>
      <c r="W813" s="2">
        <v>2</v>
      </c>
      <c r="X813" s="2">
        <v>19</v>
      </c>
      <c r="Y813" s="2">
        <v>30.259433962264151</v>
      </c>
    </row>
    <row r="814" spans="1:25" hidden="1">
      <c r="A814" s="2" t="s">
        <v>1079</v>
      </c>
      <c r="B814" s="2" t="s">
        <v>165</v>
      </c>
      <c r="C814" s="2" t="s">
        <v>188</v>
      </c>
      <c r="D814" s="3">
        <v>46019.854166666657</v>
      </c>
      <c r="E814" s="3">
        <v>46019.875</v>
      </c>
      <c r="F814" s="2">
        <v>30</v>
      </c>
      <c r="G814" s="2" t="s">
        <v>143</v>
      </c>
      <c r="H814" s="2" t="s">
        <v>144</v>
      </c>
      <c r="I814" s="2">
        <v>2</v>
      </c>
      <c r="J814" s="2">
        <v>4</v>
      </c>
      <c r="K814" s="2" t="s">
        <v>161</v>
      </c>
      <c r="L814" s="2" t="s">
        <v>154</v>
      </c>
      <c r="M814" s="2" t="b">
        <v>1</v>
      </c>
      <c r="N814" s="2" t="b">
        <v>1</v>
      </c>
      <c r="O814" s="2">
        <v>7.5</v>
      </c>
      <c r="P814" s="2">
        <v>0.5</v>
      </c>
      <c r="Q814" s="2" t="s">
        <v>603</v>
      </c>
      <c r="R814" s="2" t="s">
        <v>147</v>
      </c>
      <c r="S814" s="2">
        <v>9.6</v>
      </c>
      <c r="T814" s="2">
        <v>20.399999999999999</v>
      </c>
      <c r="U814" s="2" t="b">
        <v>0</v>
      </c>
      <c r="V814" s="2">
        <v>4</v>
      </c>
      <c r="W814" s="2">
        <v>1</v>
      </c>
      <c r="X814" s="2">
        <v>20</v>
      </c>
      <c r="Y814" s="2">
        <v>29.948453608247419</v>
      </c>
    </row>
    <row r="815" spans="1:25" hidden="1">
      <c r="A815" s="2" t="s">
        <v>1080</v>
      </c>
      <c r="B815" s="2" t="s">
        <v>149</v>
      </c>
      <c r="C815" s="2" t="s">
        <v>712</v>
      </c>
      <c r="D815" s="3">
        <v>46020.78125</v>
      </c>
      <c r="E815" s="3">
        <v>46020.802083333343</v>
      </c>
      <c r="F815" s="2">
        <v>30</v>
      </c>
      <c r="G815" s="2" t="s">
        <v>143</v>
      </c>
      <c r="H815" s="2" t="s">
        <v>1018</v>
      </c>
      <c r="I815" s="2">
        <v>3</v>
      </c>
      <c r="J815" s="2">
        <v>5</v>
      </c>
      <c r="K815" s="2" t="s">
        <v>143</v>
      </c>
      <c r="L815" s="2" t="s">
        <v>145</v>
      </c>
      <c r="M815" s="2" t="b">
        <v>1</v>
      </c>
      <c r="N815" s="2" t="b">
        <v>0</v>
      </c>
      <c r="O815" s="2">
        <v>6</v>
      </c>
      <c r="P815" s="2">
        <v>0.6</v>
      </c>
      <c r="Q815" s="2" t="s">
        <v>603</v>
      </c>
      <c r="R815" s="2" t="s">
        <v>147</v>
      </c>
      <c r="S815" s="2">
        <v>12</v>
      </c>
      <c r="T815" s="2">
        <v>18</v>
      </c>
      <c r="U815" s="2" t="b">
        <v>0</v>
      </c>
      <c r="V815" s="2">
        <v>6</v>
      </c>
      <c r="W815" s="2">
        <v>2</v>
      </c>
      <c r="X815" s="2">
        <v>18</v>
      </c>
      <c r="Y815" s="2">
        <v>28.186274509803919</v>
      </c>
    </row>
    <row r="816" spans="1:25" hidden="1">
      <c r="A816" s="2" t="s">
        <v>1081</v>
      </c>
      <c r="B816" s="2" t="s">
        <v>157</v>
      </c>
      <c r="C816" s="2" t="s">
        <v>693</v>
      </c>
      <c r="D816" s="3">
        <v>46021.791666666657</v>
      </c>
      <c r="E816" s="3">
        <v>46021.8125</v>
      </c>
      <c r="F816" s="2">
        <v>30</v>
      </c>
      <c r="G816" s="2" t="s">
        <v>167</v>
      </c>
      <c r="H816" s="2" t="s">
        <v>168</v>
      </c>
      <c r="I816" s="2">
        <v>5</v>
      </c>
      <c r="J816" s="2">
        <v>6</v>
      </c>
      <c r="K816" s="2" t="s">
        <v>153</v>
      </c>
      <c r="L816" s="2" t="s">
        <v>162</v>
      </c>
      <c r="M816" s="2" t="b">
        <v>1</v>
      </c>
      <c r="N816" s="2" t="b">
        <v>0</v>
      </c>
      <c r="O816" s="2">
        <v>5</v>
      </c>
      <c r="P816" s="2">
        <v>0.83333333333333337</v>
      </c>
      <c r="Q816" s="2" t="s">
        <v>603</v>
      </c>
      <c r="R816" s="2" t="s">
        <v>147</v>
      </c>
      <c r="S816" s="2">
        <v>14.4</v>
      </c>
      <c r="T816" s="2">
        <v>15.6</v>
      </c>
      <c r="U816" s="2" t="b">
        <v>0</v>
      </c>
      <c r="V816" s="2">
        <v>20</v>
      </c>
      <c r="W816" s="2">
        <v>3</v>
      </c>
      <c r="X816" s="2">
        <v>19</v>
      </c>
      <c r="Y816" s="2">
        <v>28.844221105527641</v>
      </c>
    </row>
    <row r="817" spans="1:25" hidden="1">
      <c r="A817" s="2" t="s">
        <v>1082</v>
      </c>
      <c r="B817" s="2" t="s">
        <v>173</v>
      </c>
      <c r="C817" s="2" t="s">
        <v>695</v>
      </c>
      <c r="D817" s="3">
        <v>46022.84375</v>
      </c>
      <c r="E817" s="3">
        <v>46022.864583333343</v>
      </c>
      <c r="F817" s="2">
        <v>30</v>
      </c>
      <c r="G817" s="2" t="s">
        <v>143</v>
      </c>
      <c r="H817" s="2" t="s">
        <v>1021</v>
      </c>
      <c r="I817" s="2">
        <v>3</v>
      </c>
      <c r="J817" s="2">
        <v>4.5</v>
      </c>
      <c r="K817" s="2" t="s">
        <v>143</v>
      </c>
      <c r="L817" s="2" t="s">
        <v>169</v>
      </c>
      <c r="M817" s="2" t="b">
        <v>1</v>
      </c>
      <c r="N817" s="2" t="b">
        <v>0</v>
      </c>
      <c r="O817" s="2">
        <v>6.666666666666667</v>
      </c>
      <c r="P817" s="2">
        <v>0.66666666666666663</v>
      </c>
      <c r="Q817" s="2" t="s">
        <v>603</v>
      </c>
      <c r="R817" s="2" t="s">
        <v>171</v>
      </c>
      <c r="S817" s="2">
        <v>10.8</v>
      </c>
      <c r="T817" s="2">
        <v>19.2</v>
      </c>
      <c r="U817" s="2" t="b">
        <v>0</v>
      </c>
      <c r="V817" s="2">
        <v>6</v>
      </c>
      <c r="W817" s="2">
        <v>2</v>
      </c>
      <c r="X817" s="2">
        <v>20</v>
      </c>
      <c r="Y817" s="2">
        <v>30.286458333333329</v>
      </c>
    </row>
    <row r="818" spans="1:25" hidden="1">
      <c r="A818" s="2" t="s">
        <v>1083</v>
      </c>
      <c r="B818" s="2" t="s">
        <v>142</v>
      </c>
      <c r="C818" s="2" t="s">
        <v>697</v>
      </c>
      <c r="D818" s="3">
        <v>46023.8125</v>
      </c>
      <c r="E818" s="3">
        <v>46023.833333333343</v>
      </c>
      <c r="F818" s="2">
        <v>30</v>
      </c>
      <c r="G818" s="2" t="s">
        <v>151</v>
      </c>
      <c r="H818" s="2" t="s">
        <v>657</v>
      </c>
      <c r="I818" s="2">
        <v>4</v>
      </c>
      <c r="J818" s="2">
        <v>5.5</v>
      </c>
      <c r="K818" s="2" t="s">
        <v>143</v>
      </c>
      <c r="L818" s="2" t="s">
        <v>162</v>
      </c>
      <c r="M818" s="2" t="b">
        <v>1</v>
      </c>
      <c r="N818" s="2" t="b">
        <v>0</v>
      </c>
      <c r="O818" s="2">
        <v>5.4545454545454541</v>
      </c>
      <c r="P818" s="2">
        <v>0.72727272727272729</v>
      </c>
      <c r="Q818" s="2" t="s">
        <v>146</v>
      </c>
      <c r="R818" s="2" t="s">
        <v>147</v>
      </c>
      <c r="S818" s="2">
        <v>13.2</v>
      </c>
      <c r="T818" s="2">
        <v>16.8</v>
      </c>
      <c r="U818" s="2" t="b">
        <v>0</v>
      </c>
      <c r="V818" s="2">
        <v>12</v>
      </c>
      <c r="W818" s="2">
        <v>2</v>
      </c>
      <c r="X818" s="2">
        <v>19</v>
      </c>
      <c r="Y818" s="2">
        <v>30.259433962264151</v>
      </c>
    </row>
    <row r="819" spans="1:25" hidden="1">
      <c r="A819" s="2" t="s">
        <v>1084</v>
      </c>
      <c r="B819" s="2" t="s">
        <v>165</v>
      </c>
      <c r="C819" s="2" t="s">
        <v>188</v>
      </c>
      <c r="D819" s="3">
        <v>46024.864583333343</v>
      </c>
      <c r="E819" s="3">
        <v>46024.885416666657</v>
      </c>
      <c r="F819" s="2">
        <v>30</v>
      </c>
      <c r="G819" s="2" t="s">
        <v>143</v>
      </c>
      <c r="H819" s="2" t="s">
        <v>144</v>
      </c>
      <c r="I819" s="2">
        <v>2</v>
      </c>
      <c r="J819" s="2">
        <v>4</v>
      </c>
      <c r="K819" s="2" t="s">
        <v>161</v>
      </c>
      <c r="L819" s="2" t="s">
        <v>154</v>
      </c>
      <c r="M819" s="2" t="b">
        <v>1</v>
      </c>
      <c r="N819" s="2" t="b">
        <v>0</v>
      </c>
      <c r="O819" s="2">
        <v>7.5</v>
      </c>
      <c r="P819" s="2">
        <v>0.5</v>
      </c>
      <c r="Q819" s="2" t="s">
        <v>146</v>
      </c>
      <c r="R819" s="2" t="s">
        <v>147</v>
      </c>
      <c r="S819" s="2">
        <v>9.6</v>
      </c>
      <c r="T819" s="2">
        <v>20.399999999999999</v>
      </c>
      <c r="U819" s="2" t="b">
        <v>0</v>
      </c>
      <c r="V819" s="2">
        <v>4</v>
      </c>
      <c r="W819" s="2">
        <v>1</v>
      </c>
      <c r="X819" s="2">
        <v>20</v>
      </c>
      <c r="Y819" s="2">
        <v>29.948453608247419</v>
      </c>
    </row>
    <row r="820" spans="1:25" hidden="1">
      <c r="A820" s="2" t="s">
        <v>1085</v>
      </c>
      <c r="B820" s="2" t="s">
        <v>149</v>
      </c>
      <c r="C820" s="2" t="s">
        <v>712</v>
      </c>
      <c r="D820" s="3">
        <v>46025.75</v>
      </c>
      <c r="E820" s="3">
        <v>46025.770833333343</v>
      </c>
      <c r="F820" s="2">
        <v>30</v>
      </c>
      <c r="G820" s="2" t="s">
        <v>143</v>
      </c>
      <c r="H820" s="2" t="s">
        <v>1018</v>
      </c>
      <c r="I820" s="2">
        <v>3</v>
      </c>
      <c r="J820" s="2">
        <v>5</v>
      </c>
      <c r="K820" s="2" t="s">
        <v>143</v>
      </c>
      <c r="L820" s="2" t="s">
        <v>145</v>
      </c>
      <c r="M820" s="2" t="b">
        <v>1</v>
      </c>
      <c r="N820" s="2" t="b">
        <v>1</v>
      </c>
      <c r="O820" s="2">
        <v>6</v>
      </c>
      <c r="P820" s="2">
        <v>0.6</v>
      </c>
      <c r="Q820" s="2" t="s">
        <v>146</v>
      </c>
      <c r="R820" s="2" t="s">
        <v>147</v>
      </c>
      <c r="S820" s="2">
        <v>12</v>
      </c>
      <c r="T820" s="2">
        <v>18</v>
      </c>
      <c r="U820" s="2" t="b">
        <v>0</v>
      </c>
      <c r="V820" s="2">
        <v>6</v>
      </c>
      <c r="W820" s="2">
        <v>2</v>
      </c>
      <c r="X820" s="2">
        <v>18</v>
      </c>
      <c r="Y820" s="2">
        <v>28.186274509803919</v>
      </c>
    </row>
    <row r="821" spans="1:25" hidden="1">
      <c r="A821" s="2" t="s">
        <v>1086</v>
      </c>
      <c r="B821" s="2" t="s">
        <v>157</v>
      </c>
      <c r="C821" s="2" t="s">
        <v>693</v>
      </c>
      <c r="D821" s="3">
        <v>46026.802083333343</v>
      </c>
      <c r="E821" s="3">
        <v>46026.822916666657</v>
      </c>
      <c r="F821" s="2">
        <v>30</v>
      </c>
      <c r="G821" s="2" t="s">
        <v>167</v>
      </c>
      <c r="H821" s="2" t="s">
        <v>168</v>
      </c>
      <c r="I821" s="2">
        <v>5</v>
      </c>
      <c r="J821" s="2">
        <v>6</v>
      </c>
      <c r="K821" s="2" t="s">
        <v>153</v>
      </c>
      <c r="L821" s="2" t="s">
        <v>162</v>
      </c>
      <c r="M821" s="2" t="b">
        <v>1</v>
      </c>
      <c r="N821" s="2" t="b">
        <v>1</v>
      </c>
      <c r="O821" s="2">
        <v>5</v>
      </c>
      <c r="P821" s="2">
        <v>0.83333333333333337</v>
      </c>
      <c r="Q821" s="2" t="s">
        <v>146</v>
      </c>
      <c r="R821" s="2" t="s">
        <v>147</v>
      </c>
      <c r="S821" s="2">
        <v>14.4</v>
      </c>
      <c r="T821" s="2">
        <v>15.6</v>
      </c>
      <c r="U821" s="2" t="b">
        <v>0</v>
      </c>
      <c r="V821" s="2">
        <v>20</v>
      </c>
      <c r="W821" s="2">
        <v>3</v>
      </c>
      <c r="X821" s="2">
        <v>19</v>
      </c>
      <c r="Y821" s="2">
        <v>28.844221105527641</v>
      </c>
    </row>
    <row r="822" spans="1:25" hidden="1">
      <c r="A822" s="2" t="s">
        <v>1087</v>
      </c>
      <c r="B822" s="2" t="s">
        <v>173</v>
      </c>
      <c r="C822" s="2" t="s">
        <v>695</v>
      </c>
      <c r="D822" s="3">
        <v>46027.854166666657</v>
      </c>
      <c r="E822" s="3">
        <v>46027.875</v>
      </c>
      <c r="F822" s="2">
        <v>30</v>
      </c>
      <c r="G822" s="2" t="s">
        <v>143</v>
      </c>
      <c r="H822" s="2" t="s">
        <v>1021</v>
      </c>
      <c r="I822" s="2">
        <v>3</v>
      </c>
      <c r="J822" s="2">
        <v>4.5</v>
      </c>
      <c r="K822" s="2" t="s">
        <v>143</v>
      </c>
      <c r="L822" s="2" t="s">
        <v>169</v>
      </c>
      <c r="M822" s="2" t="b">
        <v>1</v>
      </c>
      <c r="N822" s="2" t="b">
        <v>0</v>
      </c>
      <c r="O822" s="2">
        <v>6.666666666666667</v>
      </c>
      <c r="P822" s="2">
        <v>0.66666666666666663</v>
      </c>
      <c r="Q822" s="2" t="s">
        <v>146</v>
      </c>
      <c r="R822" s="2" t="s">
        <v>171</v>
      </c>
      <c r="S822" s="2">
        <v>10.8</v>
      </c>
      <c r="T822" s="2">
        <v>19.2</v>
      </c>
      <c r="U822" s="2" t="b">
        <v>0</v>
      </c>
      <c r="V822" s="2">
        <v>6</v>
      </c>
      <c r="W822" s="2">
        <v>2</v>
      </c>
      <c r="X822" s="2">
        <v>20</v>
      </c>
      <c r="Y822" s="2">
        <v>30.286458333333329</v>
      </c>
    </row>
    <row r="823" spans="1:25" hidden="1">
      <c r="A823" s="2" t="s">
        <v>1088</v>
      </c>
      <c r="B823" s="2" t="s">
        <v>142</v>
      </c>
      <c r="C823" s="2" t="s">
        <v>697</v>
      </c>
      <c r="D823" s="3">
        <v>46028.791666666657</v>
      </c>
      <c r="E823" s="3">
        <v>46028.8125</v>
      </c>
      <c r="F823" s="2">
        <v>30</v>
      </c>
      <c r="G823" s="2" t="s">
        <v>151</v>
      </c>
      <c r="H823" s="2" t="s">
        <v>657</v>
      </c>
      <c r="I823" s="2">
        <v>4</v>
      </c>
      <c r="J823" s="2">
        <v>5.5</v>
      </c>
      <c r="K823" s="2" t="s">
        <v>143</v>
      </c>
      <c r="L823" s="2" t="s">
        <v>162</v>
      </c>
      <c r="M823" s="2" t="b">
        <v>1</v>
      </c>
      <c r="N823" s="2" t="b">
        <v>0</v>
      </c>
      <c r="O823" s="2">
        <v>5.4545454545454541</v>
      </c>
      <c r="P823" s="2">
        <v>0.72727272727272729</v>
      </c>
      <c r="Q823" s="2" t="s">
        <v>146</v>
      </c>
      <c r="R823" s="2" t="s">
        <v>147</v>
      </c>
      <c r="S823" s="2">
        <v>13.2</v>
      </c>
      <c r="T823" s="2">
        <v>16.8</v>
      </c>
      <c r="U823" s="2" t="b">
        <v>0</v>
      </c>
      <c r="V823" s="2">
        <v>12</v>
      </c>
      <c r="W823" s="2">
        <v>2</v>
      </c>
      <c r="X823" s="2">
        <v>19</v>
      </c>
      <c r="Y823" s="2">
        <v>30.259433962264151</v>
      </c>
    </row>
    <row r="824" spans="1:25" hidden="1">
      <c r="A824" s="2" t="s">
        <v>1089</v>
      </c>
      <c r="B824" s="2" t="s">
        <v>165</v>
      </c>
      <c r="C824" s="2" t="s">
        <v>188</v>
      </c>
      <c r="D824" s="3">
        <v>46029.84375</v>
      </c>
      <c r="E824" s="3">
        <v>46029.864583333343</v>
      </c>
      <c r="F824" s="2">
        <v>30</v>
      </c>
      <c r="G824" s="2" t="s">
        <v>143</v>
      </c>
      <c r="H824" s="2" t="s">
        <v>144</v>
      </c>
      <c r="I824" s="2">
        <v>2</v>
      </c>
      <c r="J824" s="2">
        <v>4</v>
      </c>
      <c r="K824" s="2" t="s">
        <v>161</v>
      </c>
      <c r="L824" s="2" t="s">
        <v>154</v>
      </c>
      <c r="M824" s="2" t="b">
        <v>1</v>
      </c>
      <c r="N824" s="2" t="b">
        <v>0</v>
      </c>
      <c r="O824" s="2">
        <v>7.5</v>
      </c>
      <c r="P824" s="2">
        <v>0.5</v>
      </c>
      <c r="Q824" s="2" t="s">
        <v>146</v>
      </c>
      <c r="R824" s="2" t="s">
        <v>147</v>
      </c>
      <c r="S824" s="2">
        <v>9.6</v>
      </c>
      <c r="T824" s="2">
        <v>20.399999999999999</v>
      </c>
      <c r="U824" s="2" t="b">
        <v>0</v>
      </c>
      <c r="V824" s="2">
        <v>4</v>
      </c>
      <c r="W824" s="2">
        <v>1</v>
      </c>
      <c r="X824" s="2">
        <v>20</v>
      </c>
      <c r="Y824" s="2">
        <v>29.948453608247419</v>
      </c>
    </row>
    <row r="825" spans="1:25" hidden="1">
      <c r="A825" s="2" t="s">
        <v>1090</v>
      </c>
      <c r="B825" s="2" t="s">
        <v>149</v>
      </c>
      <c r="C825" s="2" t="s">
        <v>712</v>
      </c>
      <c r="D825" s="3">
        <v>46030.770833333343</v>
      </c>
      <c r="E825" s="3">
        <v>46030.791666666657</v>
      </c>
      <c r="F825" s="2">
        <v>30</v>
      </c>
      <c r="G825" s="2" t="s">
        <v>143</v>
      </c>
      <c r="H825" s="2" t="s">
        <v>1018</v>
      </c>
      <c r="I825" s="2">
        <v>3</v>
      </c>
      <c r="J825" s="2">
        <v>5</v>
      </c>
      <c r="K825" s="2" t="s">
        <v>143</v>
      </c>
      <c r="L825" s="2" t="s">
        <v>145</v>
      </c>
      <c r="M825" s="2" t="b">
        <v>1</v>
      </c>
      <c r="N825" s="2" t="b">
        <v>0</v>
      </c>
      <c r="O825" s="2">
        <v>6</v>
      </c>
      <c r="P825" s="2">
        <v>0.6</v>
      </c>
      <c r="Q825" s="2" t="s">
        <v>146</v>
      </c>
      <c r="R825" s="2" t="s">
        <v>147</v>
      </c>
      <c r="S825" s="2">
        <v>12</v>
      </c>
      <c r="T825" s="2">
        <v>18</v>
      </c>
      <c r="U825" s="2" t="b">
        <v>0</v>
      </c>
      <c r="V825" s="2">
        <v>6</v>
      </c>
      <c r="W825" s="2">
        <v>2</v>
      </c>
      <c r="X825" s="2">
        <v>18</v>
      </c>
      <c r="Y825" s="2">
        <v>28.186274509803919</v>
      </c>
    </row>
    <row r="826" spans="1:25" hidden="1">
      <c r="A826" s="2" t="s">
        <v>1091</v>
      </c>
      <c r="B826" s="2" t="s">
        <v>157</v>
      </c>
      <c r="C826" s="2" t="s">
        <v>693</v>
      </c>
      <c r="D826" s="3">
        <v>46031.822916666657</v>
      </c>
      <c r="E826" s="3">
        <v>46031.84375</v>
      </c>
      <c r="F826" s="2">
        <v>30</v>
      </c>
      <c r="G826" s="2" t="s">
        <v>167</v>
      </c>
      <c r="H826" s="2" t="s">
        <v>168</v>
      </c>
      <c r="I826" s="2">
        <v>5</v>
      </c>
      <c r="J826" s="2">
        <v>6</v>
      </c>
      <c r="K826" s="2" t="s">
        <v>153</v>
      </c>
      <c r="L826" s="2" t="s">
        <v>162</v>
      </c>
      <c r="M826" s="2" t="b">
        <v>1</v>
      </c>
      <c r="N826" s="2" t="b">
        <v>0</v>
      </c>
      <c r="O826" s="2">
        <v>5</v>
      </c>
      <c r="P826" s="2">
        <v>0.83333333333333337</v>
      </c>
      <c r="Q826" s="2" t="s">
        <v>146</v>
      </c>
      <c r="R826" s="2" t="s">
        <v>147</v>
      </c>
      <c r="S826" s="2">
        <v>14.4</v>
      </c>
      <c r="T826" s="2">
        <v>15.6</v>
      </c>
      <c r="U826" s="2" t="b">
        <v>0</v>
      </c>
      <c r="V826" s="2">
        <v>20</v>
      </c>
      <c r="W826" s="2">
        <v>3</v>
      </c>
      <c r="X826" s="2">
        <v>19</v>
      </c>
      <c r="Y826" s="2">
        <v>28.844221105527641</v>
      </c>
    </row>
    <row r="827" spans="1:25" hidden="1">
      <c r="A827" s="2" t="s">
        <v>1092</v>
      </c>
      <c r="B827" s="2" t="s">
        <v>173</v>
      </c>
      <c r="C827" s="2" t="s">
        <v>695</v>
      </c>
      <c r="D827" s="3">
        <v>46032.833333333343</v>
      </c>
      <c r="E827" s="3">
        <v>46032.854166666657</v>
      </c>
      <c r="F827" s="2">
        <v>30</v>
      </c>
      <c r="G827" s="2" t="s">
        <v>143</v>
      </c>
      <c r="H827" s="2" t="s">
        <v>1021</v>
      </c>
      <c r="I827" s="2">
        <v>3</v>
      </c>
      <c r="J827" s="2">
        <v>4.5</v>
      </c>
      <c r="K827" s="2" t="s">
        <v>143</v>
      </c>
      <c r="L827" s="2" t="s">
        <v>169</v>
      </c>
      <c r="M827" s="2" t="b">
        <v>1</v>
      </c>
      <c r="N827" s="2" t="b">
        <v>1</v>
      </c>
      <c r="O827" s="2">
        <v>6.666666666666667</v>
      </c>
      <c r="P827" s="2">
        <v>0.66666666666666663</v>
      </c>
      <c r="Q827" s="2" t="s">
        <v>146</v>
      </c>
      <c r="R827" s="2" t="s">
        <v>171</v>
      </c>
      <c r="S827" s="2">
        <v>10.8</v>
      </c>
      <c r="T827" s="2">
        <v>19.2</v>
      </c>
      <c r="U827" s="2" t="b">
        <v>0</v>
      </c>
      <c r="V827" s="2">
        <v>6</v>
      </c>
      <c r="W827" s="2">
        <v>2</v>
      </c>
      <c r="X827" s="2">
        <v>20</v>
      </c>
      <c r="Y827" s="2">
        <v>30.286458333333329</v>
      </c>
    </row>
    <row r="828" spans="1:25" hidden="1">
      <c r="A828" s="2" t="s">
        <v>1093</v>
      </c>
      <c r="B828" s="2" t="s">
        <v>142</v>
      </c>
      <c r="C828" s="2" t="s">
        <v>697</v>
      </c>
      <c r="D828" s="3">
        <v>46033.802083333343</v>
      </c>
      <c r="E828" s="3">
        <v>46033.822916666657</v>
      </c>
      <c r="F828" s="2">
        <v>30</v>
      </c>
      <c r="G828" s="2" t="s">
        <v>151</v>
      </c>
      <c r="H828" s="2" t="s">
        <v>657</v>
      </c>
      <c r="I828" s="2">
        <v>4</v>
      </c>
      <c r="J828" s="2">
        <v>5.5</v>
      </c>
      <c r="K828" s="2" t="s">
        <v>143</v>
      </c>
      <c r="L828" s="2" t="s">
        <v>162</v>
      </c>
      <c r="M828" s="2" t="b">
        <v>1</v>
      </c>
      <c r="N828" s="2" t="b">
        <v>1</v>
      </c>
      <c r="O828" s="2">
        <v>5.4545454545454541</v>
      </c>
      <c r="P828" s="2">
        <v>0.72727272727272729</v>
      </c>
      <c r="Q828" s="2" t="s">
        <v>146</v>
      </c>
      <c r="R828" s="2" t="s">
        <v>147</v>
      </c>
      <c r="S828" s="2">
        <v>13.2</v>
      </c>
      <c r="T828" s="2">
        <v>16.8</v>
      </c>
      <c r="U828" s="2" t="b">
        <v>0</v>
      </c>
      <c r="V828" s="2">
        <v>12</v>
      </c>
      <c r="W828" s="2">
        <v>2</v>
      </c>
      <c r="X828" s="2">
        <v>19</v>
      </c>
      <c r="Y828" s="2">
        <v>30.259433962264151</v>
      </c>
    </row>
    <row r="829" spans="1:25" hidden="1">
      <c r="A829" s="2" t="s">
        <v>1094</v>
      </c>
      <c r="B829" s="2" t="s">
        <v>165</v>
      </c>
      <c r="C829" s="2" t="s">
        <v>188</v>
      </c>
      <c r="D829" s="3">
        <v>46034.854166666657</v>
      </c>
      <c r="E829" s="3">
        <v>46034.875</v>
      </c>
      <c r="F829" s="2">
        <v>30</v>
      </c>
      <c r="G829" s="2" t="s">
        <v>143</v>
      </c>
      <c r="H829" s="2" t="s">
        <v>144</v>
      </c>
      <c r="I829" s="2">
        <v>2</v>
      </c>
      <c r="J829" s="2">
        <v>4</v>
      </c>
      <c r="K829" s="2" t="s">
        <v>161</v>
      </c>
      <c r="L829" s="2" t="s">
        <v>154</v>
      </c>
      <c r="M829" s="2" t="b">
        <v>1</v>
      </c>
      <c r="N829" s="2" t="b">
        <v>0</v>
      </c>
      <c r="O829" s="2">
        <v>7.5</v>
      </c>
      <c r="P829" s="2">
        <v>0.5</v>
      </c>
      <c r="Q829" s="2" t="s">
        <v>146</v>
      </c>
      <c r="R829" s="2" t="s">
        <v>147</v>
      </c>
      <c r="S829" s="2">
        <v>9.6</v>
      </c>
      <c r="T829" s="2">
        <v>20.399999999999999</v>
      </c>
      <c r="U829" s="2" t="b">
        <v>0</v>
      </c>
      <c r="V829" s="2">
        <v>4</v>
      </c>
      <c r="W829" s="2">
        <v>1</v>
      </c>
      <c r="X829" s="2">
        <v>20</v>
      </c>
      <c r="Y829" s="2">
        <v>29.948453608247419</v>
      </c>
    </row>
    <row r="830" spans="1:25" hidden="1">
      <c r="A830" s="2" t="s">
        <v>1095</v>
      </c>
      <c r="B830" s="2" t="s">
        <v>149</v>
      </c>
      <c r="C830" s="2" t="s">
        <v>712</v>
      </c>
      <c r="D830" s="3">
        <v>46035.78125</v>
      </c>
      <c r="E830" s="3">
        <v>46035.802083333343</v>
      </c>
      <c r="F830" s="2">
        <v>30</v>
      </c>
      <c r="G830" s="2" t="s">
        <v>143</v>
      </c>
      <c r="H830" s="2" t="s">
        <v>1018</v>
      </c>
      <c r="I830" s="2">
        <v>3</v>
      </c>
      <c r="J830" s="2">
        <v>5</v>
      </c>
      <c r="K830" s="2" t="s">
        <v>143</v>
      </c>
      <c r="L830" s="2" t="s">
        <v>145</v>
      </c>
      <c r="M830" s="2" t="b">
        <v>1</v>
      </c>
      <c r="N830" s="2" t="b">
        <v>0</v>
      </c>
      <c r="O830" s="2">
        <v>6</v>
      </c>
      <c r="P830" s="2">
        <v>0.6</v>
      </c>
      <c r="Q830" s="2" t="s">
        <v>146</v>
      </c>
      <c r="R830" s="2" t="s">
        <v>147</v>
      </c>
      <c r="S830" s="2">
        <v>12</v>
      </c>
      <c r="T830" s="2">
        <v>18</v>
      </c>
      <c r="U830" s="2" t="b">
        <v>0</v>
      </c>
      <c r="V830" s="2">
        <v>6</v>
      </c>
      <c r="W830" s="2">
        <v>2</v>
      </c>
      <c r="X830" s="2">
        <v>18</v>
      </c>
      <c r="Y830" s="2">
        <v>28.186274509803919</v>
      </c>
    </row>
    <row r="831" spans="1:25" hidden="1">
      <c r="A831" s="2" t="s">
        <v>1096</v>
      </c>
      <c r="B831" s="2" t="s">
        <v>157</v>
      </c>
      <c r="C831" s="2" t="s">
        <v>693</v>
      </c>
      <c r="D831" s="3">
        <v>46036.791666666657</v>
      </c>
      <c r="E831" s="3">
        <v>46036.8125</v>
      </c>
      <c r="F831" s="2">
        <v>30</v>
      </c>
      <c r="G831" s="2" t="s">
        <v>167</v>
      </c>
      <c r="H831" s="2" t="s">
        <v>168</v>
      </c>
      <c r="I831" s="2">
        <v>5</v>
      </c>
      <c r="J831" s="2">
        <v>6</v>
      </c>
      <c r="K831" s="2" t="s">
        <v>153</v>
      </c>
      <c r="L831" s="2" t="s">
        <v>162</v>
      </c>
      <c r="M831" s="2" t="b">
        <v>1</v>
      </c>
      <c r="N831" s="2" t="b">
        <v>0</v>
      </c>
      <c r="O831" s="2">
        <v>5</v>
      </c>
      <c r="P831" s="2">
        <v>0.83333333333333337</v>
      </c>
      <c r="Q831" s="2" t="s">
        <v>146</v>
      </c>
      <c r="R831" s="2" t="s">
        <v>147</v>
      </c>
      <c r="S831" s="2">
        <v>14.4</v>
      </c>
      <c r="T831" s="2">
        <v>15.6</v>
      </c>
      <c r="U831" s="2" t="b">
        <v>0</v>
      </c>
      <c r="V831" s="2">
        <v>20</v>
      </c>
      <c r="W831" s="2">
        <v>3</v>
      </c>
      <c r="X831" s="2">
        <v>19</v>
      </c>
      <c r="Y831" s="2">
        <v>28.844221105527641</v>
      </c>
    </row>
    <row r="832" spans="1:25" hidden="1">
      <c r="A832" s="2" t="s">
        <v>1097</v>
      </c>
      <c r="B832" s="2" t="s">
        <v>173</v>
      </c>
      <c r="C832" s="2" t="s">
        <v>695</v>
      </c>
      <c r="D832" s="3">
        <v>46037.84375</v>
      </c>
      <c r="E832" s="3">
        <v>46037.864583333343</v>
      </c>
      <c r="F832" s="2">
        <v>30</v>
      </c>
      <c r="G832" s="2" t="s">
        <v>143</v>
      </c>
      <c r="H832" s="2" t="s">
        <v>1021</v>
      </c>
      <c r="I832" s="2">
        <v>3</v>
      </c>
      <c r="J832" s="2">
        <v>4.5</v>
      </c>
      <c r="K832" s="2" t="s">
        <v>143</v>
      </c>
      <c r="L832" s="2" t="s">
        <v>169</v>
      </c>
      <c r="M832" s="2" t="b">
        <v>1</v>
      </c>
      <c r="N832" s="2" t="b">
        <v>0</v>
      </c>
      <c r="O832" s="2">
        <v>6.666666666666667</v>
      </c>
      <c r="P832" s="2">
        <v>0.66666666666666663</v>
      </c>
      <c r="Q832" s="2" t="s">
        <v>146</v>
      </c>
      <c r="R832" s="2" t="s">
        <v>171</v>
      </c>
      <c r="S832" s="2">
        <v>10.8</v>
      </c>
      <c r="T832" s="2">
        <v>19.2</v>
      </c>
      <c r="U832" s="2" t="b">
        <v>0</v>
      </c>
      <c r="V832" s="2">
        <v>6</v>
      </c>
      <c r="W832" s="2">
        <v>2</v>
      </c>
      <c r="X832" s="2">
        <v>20</v>
      </c>
      <c r="Y832" s="2">
        <v>30.286458333333329</v>
      </c>
    </row>
    <row r="833" spans="1:25" hidden="1">
      <c r="A833" s="2" t="s">
        <v>1098</v>
      </c>
      <c r="B833" s="2" t="s">
        <v>142</v>
      </c>
      <c r="C833" s="2" t="s">
        <v>697</v>
      </c>
      <c r="D833" s="3">
        <v>46038.8125</v>
      </c>
      <c r="E833" s="3">
        <v>46038.833333333343</v>
      </c>
      <c r="F833" s="2">
        <v>30</v>
      </c>
      <c r="G833" s="2" t="s">
        <v>151</v>
      </c>
      <c r="H833" s="2" t="s">
        <v>657</v>
      </c>
      <c r="I833" s="2">
        <v>4</v>
      </c>
      <c r="J833" s="2">
        <v>5.5</v>
      </c>
      <c r="K833" s="2" t="s">
        <v>143</v>
      </c>
      <c r="L833" s="2" t="s">
        <v>162</v>
      </c>
      <c r="M833" s="2" t="b">
        <v>1</v>
      </c>
      <c r="N833" s="2" t="b">
        <v>0</v>
      </c>
      <c r="O833" s="2">
        <v>5.4545454545454541</v>
      </c>
      <c r="P833" s="2">
        <v>0.72727272727272729</v>
      </c>
      <c r="Q833" s="2" t="s">
        <v>146</v>
      </c>
      <c r="R833" s="2" t="s">
        <v>147</v>
      </c>
      <c r="S833" s="2">
        <v>13.2</v>
      </c>
      <c r="T833" s="2">
        <v>16.8</v>
      </c>
      <c r="U833" s="2" t="b">
        <v>0</v>
      </c>
      <c r="V833" s="2">
        <v>12</v>
      </c>
      <c r="W833" s="2">
        <v>2</v>
      </c>
      <c r="X833" s="2">
        <v>19</v>
      </c>
      <c r="Y833" s="2">
        <v>30.259433962264151</v>
      </c>
    </row>
    <row r="834" spans="1:25" hidden="1">
      <c r="A834" s="2" t="s">
        <v>1099</v>
      </c>
      <c r="B834" s="2" t="s">
        <v>165</v>
      </c>
      <c r="C834" s="2" t="s">
        <v>188</v>
      </c>
      <c r="D834" s="3">
        <v>46039.864583333343</v>
      </c>
      <c r="E834" s="3">
        <v>46039.885416666657</v>
      </c>
      <c r="F834" s="2">
        <v>30</v>
      </c>
      <c r="G834" s="2" t="s">
        <v>143</v>
      </c>
      <c r="H834" s="2" t="s">
        <v>144</v>
      </c>
      <c r="I834" s="2">
        <v>2</v>
      </c>
      <c r="J834" s="2">
        <v>4</v>
      </c>
      <c r="K834" s="2" t="s">
        <v>161</v>
      </c>
      <c r="L834" s="2" t="s">
        <v>154</v>
      </c>
      <c r="M834" s="2" t="b">
        <v>1</v>
      </c>
      <c r="N834" s="2" t="b">
        <v>1</v>
      </c>
      <c r="O834" s="2">
        <v>7.5</v>
      </c>
      <c r="P834" s="2">
        <v>0.5</v>
      </c>
      <c r="Q834" s="2" t="s">
        <v>146</v>
      </c>
      <c r="R834" s="2" t="s">
        <v>147</v>
      </c>
      <c r="S834" s="2">
        <v>9.6</v>
      </c>
      <c r="T834" s="2">
        <v>20.399999999999999</v>
      </c>
      <c r="U834" s="2" t="b">
        <v>0</v>
      </c>
      <c r="V834" s="2">
        <v>4</v>
      </c>
      <c r="W834" s="2">
        <v>1</v>
      </c>
      <c r="X834" s="2">
        <v>20</v>
      </c>
      <c r="Y834" s="2">
        <v>29.948453608247419</v>
      </c>
    </row>
    <row r="835" spans="1:25" hidden="1">
      <c r="A835" s="2" t="s">
        <v>1100</v>
      </c>
      <c r="B835" s="2" t="s">
        <v>149</v>
      </c>
      <c r="C835" s="2" t="s">
        <v>712</v>
      </c>
      <c r="D835" s="3">
        <v>46040.75</v>
      </c>
      <c r="E835" s="3">
        <v>46040.770833333343</v>
      </c>
      <c r="F835" s="2">
        <v>30</v>
      </c>
      <c r="G835" s="2" t="s">
        <v>143</v>
      </c>
      <c r="H835" s="2" t="s">
        <v>1018</v>
      </c>
      <c r="I835" s="2">
        <v>3</v>
      </c>
      <c r="J835" s="2">
        <v>5</v>
      </c>
      <c r="K835" s="2" t="s">
        <v>143</v>
      </c>
      <c r="L835" s="2" t="s">
        <v>145</v>
      </c>
      <c r="M835" s="2" t="b">
        <v>1</v>
      </c>
      <c r="N835" s="2" t="b">
        <v>1</v>
      </c>
      <c r="O835" s="2">
        <v>6</v>
      </c>
      <c r="P835" s="2">
        <v>0.6</v>
      </c>
      <c r="Q835" s="2" t="s">
        <v>146</v>
      </c>
      <c r="R835" s="2" t="s">
        <v>147</v>
      </c>
      <c r="S835" s="2">
        <v>12</v>
      </c>
      <c r="T835" s="2">
        <v>18</v>
      </c>
      <c r="U835" s="2" t="b">
        <v>0</v>
      </c>
      <c r="V835" s="2">
        <v>6</v>
      </c>
      <c r="W835" s="2">
        <v>2</v>
      </c>
      <c r="X835" s="2">
        <v>18</v>
      </c>
      <c r="Y835" s="2">
        <v>28.186274509803919</v>
      </c>
    </row>
    <row r="836" spans="1:25" hidden="1">
      <c r="A836" s="2" t="s">
        <v>1101</v>
      </c>
      <c r="B836" s="2" t="s">
        <v>157</v>
      </c>
      <c r="C836" s="2" t="s">
        <v>693</v>
      </c>
      <c r="D836" s="3">
        <v>46041.802083333343</v>
      </c>
      <c r="E836" s="3">
        <v>46041.822916666657</v>
      </c>
      <c r="F836" s="2">
        <v>30</v>
      </c>
      <c r="G836" s="2" t="s">
        <v>167</v>
      </c>
      <c r="H836" s="2" t="s">
        <v>168</v>
      </c>
      <c r="I836" s="2">
        <v>5</v>
      </c>
      <c r="J836" s="2">
        <v>6</v>
      </c>
      <c r="K836" s="2" t="s">
        <v>153</v>
      </c>
      <c r="L836" s="2" t="s">
        <v>162</v>
      </c>
      <c r="M836" s="2" t="b">
        <v>1</v>
      </c>
      <c r="N836" s="2" t="b">
        <v>0</v>
      </c>
      <c r="O836" s="2">
        <v>5</v>
      </c>
      <c r="P836" s="2">
        <v>0.83333333333333337</v>
      </c>
      <c r="Q836" s="2" t="s">
        <v>146</v>
      </c>
      <c r="R836" s="2" t="s">
        <v>147</v>
      </c>
      <c r="S836" s="2">
        <v>14.4</v>
      </c>
      <c r="T836" s="2">
        <v>15.6</v>
      </c>
      <c r="U836" s="2" t="b">
        <v>0</v>
      </c>
      <c r="V836" s="2">
        <v>20</v>
      </c>
      <c r="W836" s="2">
        <v>3</v>
      </c>
      <c r="X836" s="2">
        <v>19</v>
      </c>
      <c r="Y836" s="2">
        <v>28.844221105527641</v>
      </c>
    </row>
    <row r="837" spans="1:25" hidden="1">
      <c r="A837" s="2" t="s">
        <v>1102</v>
      </c>
      <c r="B837" s="2" t="s">
        <v>173</v>
      </c>
      <c r="C837" s="2" t="s">
        <v>695</v>
      </c>
      <c r="D837" s="3">
        <v>46042.854166666657</v>
      </c>
      <c r="E837" s="3">
        <v>46042.875</v>
      </c>
      <c r="F837" s="2">
        <v>30</v>
      </c>
      <c r="G837" s="2" t="s">
        <v>143</v>
      </c>
      <c r="H837" s="2" t="s">
        <v>1021</v>
      </c>
      <c r="I837" s="2">
        <v>3</v>
      </c>
      <c r="J837" s="2">
        <v>4.5</v>
      </c>
      <c r="K837" s="2" t="s">
        <v>143</v>
      </c>
      <c r="L837" s="2" t="s">
        <v>169</v>
      </c>
      <c r="M837" s="2" t="b">
        <v>1</v>
      </c>
      <c r="N837" s="2" t="b">
        <v>0</v>
      </c>
      <c r="O837" s="2">
        <v>6.666666666666667</v>
      </c>
      <c r="P837" s="2">
        <v>0.66666666666666663</v>
      </c>
      <c r="Q837" s="2" t="s">
        <v>146</v>
      </c>
      <c r="R837" s="2" t="s">
        <v>171</v>
      </c>
      <c r="S837" s="2">
        <v>10.8</v>
      </c>
      <c r="T837" s="2">
        <v>19.2</v>
      </c>
      <c r="U837" s="2" t="b">
        <v>0</v>
      </c>
      <c r="V837" s="2">
        <v>6</v>
      </c>
      <c r="W837" s="2">
        <v>2</v>
      </c>
      <c r="X837" s="2">
        <v>20</v>
      </c>
      <c r="Y837" s="2">
        <v>30.286458333333329</v>
      </c>
    </row>
    <row r="838" spans="1:25" hidden="1">
      <c r="A838" s="2" t="s">
        <v>1103</v>
      </c>
      <c r="B838" s="2" t="s">
        <v>149</v>
      </c>
      <c r="C838" s="2" t="s">
        <v>712</v>
      </c>
      <c r="D838" s="3">
        <v>46043.75</v>
      </c>
      <c r="E838" s="3">
        <v>46043.770833333343</v>
      </c>
      <c r="F838" s="2">
        <v>30</v>
      </c>
      <c r="G838" s="2" t="s">
        <v>143</v>
      </c>
      <c r="H838" s="2" t="s">
        <v>1018</v>
      </c>
      <c r="I838" s="2">
        <v>3</v>
      </c>
      <c r="J838" s="2">
        <v>5</v>
      </c>
      <c r="K838" s="2" t="s">
        <v>143</v>
      </c>
      <c r="L838" s="2" t="s">
        <v>162</v>
      </c>
      <c r="M838" s="2" t="b">
        <v>1</v>
      </c>
      <c r="N838" s="2" t="b">
        <v>0</v>
      </c>
      <c r="O838" s="2">
        <v>6</v>
      </c>
      <c r="P838" s="2">
        <v>0.6</v>
      </c>
      <c r="Q838" s="2" t="s">
        <v>146</v>
      </c>
      <c r="R838" s="2" t="s">
        <v>147</v>
      </c>
      <c r="S838" s="2">
        <v>12</v>
      </c>
      <c r="T838" s="2">
        <v>18</v>
      </c>
      <c r="U838" s="2" t="b">
        <v>0</v>
      </c>
      <c r="V838" s="2">
        <v>6</v>
      </c>
      <c r="W838" s="2">
        <v>2</v>
      </c>
      <c r="X838" s="2">
        <v>18</v>
      </c>
      <c r="Y838" s="2">
        <v>28.186274509803919</v>
      </c>
    </row>
    <row r="839" spans="1:25" hidden="1">
      <c r="A839" s="2" t="s">
        <v>1104</v>
      </c>
      <c r="B839" s="2" t="s">
        <v>157</v>
      </c>
      <c r="C839" s="2" t="s">
        <v>693</v>
      </c>
      <c r="D839" s="3">
        <v>46044.802083333343</v>
      </c>
      <c r="E839" s="3">
        <v>46044.822916666657</v>
      </c>
      <c r="F839" s="2">
        <v>30</v>
      </c>
      <c r="G839" s="2" t="s">
        <v>167</v>
      </c>
      <c r="H839" s="2" t="s">
        <v>168</v>
      </c>
      <c r="I839" s="2">
        <v>5</v>
      </c>
      <c r="J839" s="2">
        <v>6</v>
      </c>
      <c r="K839" s="2" t="s">
        <v>153</v>
      </c>
      <c r="L839" s="2" t="s">
        <v>145</v>
      </c>
      <c r="M839" s="2" t="b">
        <v>1</v>
      </c>
      <c r="N839" s="2" t="b">
        <v>0</v>
      </c>
      <c r="O839" s="2">
        <v>5</v>
      </c>
      <c r="P839" s="2">
        <v>0.83333333333333337</v>
      </c>
      <c r="Q839" s="2" t="s">
        <v>146</v>
      </c>
      <c r="R839" s="2" t="s">
        <v>147</v>
      </c>
      <c r="S839" s="2">
        <v>14.4</v>
      </c>
      <c r="T839" s="2">
        <v>15.6</v>
      </c>
      <c r="U839" s="2" t="b">
        <v>0</v>
      </c>
      <c r="V839" s="2">
        <v>20</v>
      </c>
      <c r="W839" s="2">
        <v>3</v>
      </c>
      <c r="X839" s="2">
        <v>19</v>
      </c>
      <c r="Y839" s="2">
        <v>28.844221105527641</v>
      </c>
    </row>
    <row r="840" spans="1:25" hidden="1">
      <c r="A840" s="2" t="s">
        <v>1105</v>
      </c>
      <c r="B840" s="2" t="s">
        <v>173</v>
      </c>
      <c r="C840" s="2" t="s">
        <v>695</v>
      </c>
      <c r="D840" s="3">
        <v>46045.854166666657</v>
      </c>
      <c r="E840" s="3">
        <v>46045.875</v>
      </c>
      <c r="F840" s="2">
        <v>30</v>
      </c>
      <c r="G840" s="2" t="s">
        <v>143</v>
      </c>
      <c r="H840" s="2" t="s">
        <v>1021</v>
      </c>
      <c r="I840" s="2">
        <v>3</v>
      </c>
      <c r="J840" s="2">
        <v>4.5</v>
      </c>
      <c r="K840" s="2" t="s">
        <v>143</v>
      </c>
      <c r="L840" s="2" t="s">
        <v>169</v>
      </c>
      <c r="M840" s="2" t="b">
        <v>1</v>
      </c>
      <c r="N840" s="2" t="b">
        <v>0</v>
      </c>
      <c r="O840" s="2">
        <v>6.666666666666667</v>
      </c>
      <c r="P840" s="2">
        <v>0.66666666666666663</v>
      </c>
      <c r="Q840" s="2" t="s">
        <v>146</v>
      </c>
      <c r="R840" s="2" t="s">
        <v>171</v>
      </c>
      <c r="S840" s="2">
        <v>10.8</v>
      </c>
      <c r="T840" s="2">
        <v>19.2</v>
      </c>
      <c r="U840" s="2" t="b">
        <v>0</v>
      </c>
      <c r="V840" s="2">
        <v>6</v>
      </c>
      <c r="W840" s="2">
        <v>2</v>
      </c>
      <c r="X840" s="2">
        <v>20</v>
      </c>
      <c r="Y840" s="2">
        <v>30.286458333333329</v>
      </c>
    </row>
    <row r="841" spans="1:25" hidden="1">
      <c r="A841" s="2" t="s">
        <v>1106</v>
      </c>
      <c r="B841" s="2" t="s">
        <v>142</v>
      </c>
      <c r="C841" s="2" t="s">
        <v>697</v>
      </c>
      <c r="D841" s="3">
        <v>46046.791666666657</v>
      </c>
      <c r="E841" s="3">
        <v>46046.8125</v>
      </c>
      <c r="F841" s="2">
        <v>30</v>
      </c>
      <c r="G841" s="2" t="s">
        <v>151</v>
      </c>
      <c r="H841" s="2" t="s">
        <v>657</v>
      </c>
      <c r="I841" s="2">
        <v>4</v>
      </c>
      <c r="J841" s="2">
        <v>5.5</v>
      </c>
      <c r="K841" s="2" t="s">
        <v>143</v>
      </c>
      <c r="L841" s="2" t="s">
        <v>162</v>
      </c>
      <c r="M841" s="2" t="b">
        <v>1</v>
      </c>
      <c r="N841" s="2" t="b">
        <v>1</v>
      </c>
      <c r="O841" s="2">
        <v>5.4545454545454541</v>
      </c>
      <c r="P841" s="2">
        <v>0.72727272727272729</v>
      </c>
      <c r="Q841" s="2" t="s">
        <v>146</v>
      </c>
      <c r="R841" s="2" t="s">
        <v>147</v>
      </c>
      <c r="S841" s="2">
        <v>13.2</v>
      </c>
      <c r="T841" s="2">
        <v>16.8</v>
      </c>
      <c r="U841" s="2" t="b">
        <v>0</v>
      </c>
      <c r="V841" s="2">
        <v>12</v>
      </c>
      <c r="W841" s="2">
        <v>2</v>
      </c>
      <c r="X841" s="2">
        <v>19</v>
      </c>
      <c r="Y841" s="2">
        <v>30.259433962264151</v>
      </c>
    </row>
    <row r="842" spans="1:25" hidden="1">
      <c r="A842" s="2" t="s">
        <v>1107</v>
      </c>
      <c r="B842" s="2" t="s">
        <v>165</v>
      </c>
      <c r="C842" s="2" t="s">
        <v>188</v>
      </c>
      <c r="D842" s="3">
        <v>46047.84375</v>
      </c>
      <c r="E842" s="3">
        <v>46047.864583333343</v>
      </c>
      <c r="F842" s="2">
        <v>30</v>
      </c>
      <c r="G842" s="2" t="s">
        <v>143</v>
      </c>
      <c r="H842" s="2" t="s">
        <v>144</v>
      </c>
      <c r="I842" s="2">
        <v>2</v>
      </c>
      <c r="J842" s="2">
        <v>4</v>
      </c>
      <c r="K842" s="2" t="s">
        <v>161</v>
      </c>
      <c r="L842" s="2" t="s">
        <v>154</v>
      </c>
      <c r="M842" s="2" t="b">
        <v>1</v>
      </c>
      <c r="N842" s="2" t="b">
        <v>1</v>
      </c>
      <c r="O842" s="2">
        <v>7.5</v>
      </c>
      <c r="P842" s="2">
        <v>0.5</v>
      </c>
      <c r="Q842" s="2" t="s">
        <v>146</v>
      </c>
      <c r="R842" s="2" t="s">
        <v>147</v>
      </c>
      <c r="S842" s="2">
        <v>9.6</v>
      </c>
      <c r="T842" s="2">
        <v>20.399999999999999</v>
      </c>
      <c r="U842" s="2" t="b">
        <v>0</v>
      </c>
      <c r="V842" s="2">
        <v>4</v>
      </c>
      <c r="W842" s="2">
        <v>1</v>
      </c>
      <c r="X842" s="2">
        <v>20</v>
      </c>
      <c r="Y842" s="2">
        <v>29.948453608247419</v>
      </c>
    </row>
    <row r="843" spans="1:25" hidden="1">
      <c r="A843" s="2" t="s">
        <v>1108</v>
      </c>
      <c r="B843" s="2" t="s">
        <v>149</v>
      </c>
      <c r="C843" s="2" t="s">
        <v>712</v>
      </c>
      <c r="D843" s="3">
        <v>46048.770833333343</v>
      </c>
      <c r="E843" s="3">
        <v>46048.791666666657</v>
      </c>
      <c r="F843" s="2">
        <v>30</v>
      </c>
      <c r="G843" s="2" t="s">
        <v>143</v>
      </c>
      <c r="H843" s="2" t="s">
        <v>1018</v>
      </c>
      <c r="I843" s="2">
        <v>3</v>
      </c>
      <c r="J843" s="2">
        <v>5</v>
      </c>
      <c r="K843" s="2" t="s">
        <v>143</v>
      </c>
      <c r="L843" s="2" t="s">
        <v>145</v>
      </c>
      <c r="M843" s="2" t="b">
        <v>1</v>
      </c>
      <c r="N843" s="2" t="b">
        <v>0</v>
      </c>
      <c r="O843" s="2">
        <v>6</v>
      </c>
      <c r="P843" s="2">
        <v>0.6</v>
      </c>
      <c r="Q843" s="2" t="s">
        <v>146</v>
      </c>
      <c r="R843" s="2" t="s">
        <v>147</v>
      </c>
      <c r="S843" s="2">
        <v>12</v>
      </c>
      <c r="T843" s="2">
        <v>18</v>
      </c>
      <c r="U843" s="2" t="b">
        <v>0</v>
      </c>
      <c r="V843" s="2">
        <v>6</v>
      </c>
      <c r="W843" s="2">
        <v>2</v>
      </c>
      <c r="X843" s="2">
        <v>18</v>
      </c>
      <c r="Y843" s="2">
        <v>28.186274509803919</v>
      </c>
    </row>
    <row r="844" spans="1:25" hidden="1">
      <c r="A844" s="2" t="s">
        <v>1109</v>
      </c>
      <c r="B844" s="2" t="s">
        <v>157</v>
      </c>
      <c r="C844" s="2" t="s">
        <v>693</v>
      </c>
      <c r="D844" s="3">
        <v>46049.822916666657</v>
      </c>
      <c r="E844" s="3">
        <v>46049.84375</v>
      </c>
      <c r="F844" s="2">
        <v>30</v>
      </c>
      <c r="G844" s="2" t="s">
        <v>167</v>
      </c>
      <c r="H844" s="2" t="s">
        <v>168</v>
      </c>
      <c r="I844" s="2">
        <v>5</v>
      </c>
      <c r="J844" s="2">
        <v>6</v>
      </c>
      <c r="K844" s="2" t="s">
        <v>153</v>
      </c>
      <c r="L844" s="2" t="s">
        <v>162</v>
      </c>
      <c r="M844" s="2" t="b">
        <v>1</v>
      </c>
      <c r="N844" s="2" t="b">
        <v>0</v>
      </c>
      <c r="O844" s="2">
        <v>5</v>
      </c>
      <c r="P844" s="2">
        <v>0.83333333333333337</v>
      </c>
      <c r="Q844" s="2" t="s">
        <v>146</v>
      </c>
      <c r="R844" s="2" t="s">
        <v>147</v>
      </c>
      <c r="S844" s="2">
        <v>14.4</v>
      </c>
      <c r="T844" s="2">
        <v>15.6</v>
      </c>
      <c r="U844" s="2" t="b">
        <v>0</v>
      </c>
      <c r="V844" s="2">
        <v>20</v>
      </c>
      <c r="W844" s="2">
        <v>3</v>
      </c>
      <c r="X844" s="2">
        <v>19</v>
      </c>
      <c r="Y844" s="2">
        <v>28.844221105527641</v>
      </c>
    </row>
    <row r="845" spans="1:25" hidden="1">
      <c r="A845" s="2" t="s">
        <v>1110</v>
      </c>
      <c r="B845" s="2" t="s">
        <v>173</v>
      </c>
      <c r="C845" s="2" t="s">
        <v>695</v>
      </c>
      <c r="D845" s="3">
        <v>46050.833333333343</v>
      </c>
      <c r="E845" s="3">
        <v>46050.854166666657</v>
      </c>
      <c r="F845" s="2">
        <v>30</v>
      </c>
      <c r="G845" s="2" t="s">
        <v>143</v>
      </c>
      <c r="H845" s="2" t="s">
        <v>1021</v>
      </c>
      <c r="I845" s="2">
        <v>3</v>
      </c>
      <c r="J845" s="2">
        <v>4.5</v>
      </c>
      <c r="K845" s="2" t="s">
        <v>143</v>
      </c>
      <c r="L845" s="2" t="s">
        <v>169</v>
      </c>
      <c r="M845" s="2" t="b">
        <v>1</v>
      </c>
      <c r="N845" s="2" t="b">
        <v>0</v>
      </c>
      <c r="O845" s="2">
        <v>6.666666666666667</v>
      </c>
      <c r="P845" s="2">
        <v>0.66666666666666663</v>
      </c>
      <c r="Q845" s="2" t="s">
        <v>146</v>
      </c>
      <c r="R845" s="2" t="s">
        <v>171</v>
      </c>
      <c r="S845" s="2">
        <v>10.8</v>
      </c>
      <c r="T845" s="2">
        <v>19.2</v>
      </c>
      <c r="U845" s="2" t="b">
        <v>0</v>
      </c>
      <c r="V845" s="2">
        <v>6</v>
      </c>
      <c r="W845" s="2">
        <v>2</v>
      </c>
      <c r="X845" s="2">
        <v>20</v>
      </c>
      <c r="Y845" s="2">
        <v>30.286458333333329</v>
      </c>
    </row>
    <row r="846" spans="1:25" hidden="1">
      <c r="A846" s="2" t="s">
        <v>1111</v>
      </c>
      <c r="B846" s="2" t="s">
        <v>142</v>
      </c>
      <c r="C846" s="2" t="s">
        <v>697</v>
      </c>
      <c r="D846" s="3">
        <v>46051.802083333343</v>
      </c>
      <c r="E846" s="3">
        <v>46051.822916666657</v>
      </c>
      <c r="F846" s="2">
        <v>30</v>
      </c>
      <c r="G846" s="2" t="s">
        <v>151</v>
      </c>
      <c r="H846" s="2" t="s">
        <v>657</v>
      </c>
      <c r="I846" s="2">
        <v>4</v>
      </c>
      <c r="J846" s="2">
        <v>5.5</v>
      </c>
      <c r="K846" s="2" t="s">
        <v>143</v>
      </c>
      <c r="L846" s="2" t="s">
        <v>162</v>
      </c>
      <c r="M846" s="2" t="b">
        <v>1</v>
      </c>
      <c r="N846" s="2" t="b">
        <v>0</v>
      </c>
      <c r="O846" s="2">
        <v>5.4545454545454541</v>
      </c>
      <c r="P846" s="2">
        <v>0.72727272727272729</v>
      </c>
      <c r="Q846" s="2" t="s">
        <v>146</v>
      </c>
      <c r="R846" s="2" t="s">
        <v>147</v>
      </c>
      <c r="S846" s="2">
        <v>13.2</v>
      </c>
      <c r="T846" s="2">
        <v>16.8</v>
      </c>
      <c r="U846" s="2" t="b">
        <v>0</v>
      </c>
      <c r="V846" s="2">
        <v>12</v>
      </c>
      <c r="W846" s="2">
        <v>2</v>
      </c>
      <c r="X846" s="2">
        <v>19</v>
      </c>
      <c r="Y846" s="2">
        <v>30.259433962264151</v>
      </c>
    </row>
    <row r="847" spans="1:25" hidden="1">
      <c r="A847" s="2" t="s">
        <v>1112</v>
      </c>
      <c r="B847" s="2" t="s">
        <v>165</v>
      </c>
      <c r="C847" s="2" t="s">
        <v>188</v>
      </c>
      <c r="D847" s="3">
        <v>46052.854166666657</v>
      </c>
      <c r="E847" s="3">
        <v>46052.875</v>
      </c>
      <c r="F847" s="2">
        <v>30</v>
      </c>
      <c r="G847" s="2" t="s">
        <v>143</v>
      </c>
      <c r="H847" s="2" t="s">
        <v>144</v>
      </c>
      <c r="I847" s="2">
        <v>2</v>
      </c>
      <c r="J847" s="2">
        <v>4</v>
      </c>
      <c r="K847" s="2" t="s">
        <v>161</v>
      </c>
      <c r="L847" s="2" t="s">
        <v>154</v>
      </c>
      <c r="M847" s="2" t="b">
        <v>1</v>
      </c>
      <c r="N847" s="2" t="b">
        <v>0</v>
      </c>
      <c r="O847" s="2">
        <v>7.5</v>
      </c>
      <c r="P847" s="2">
        <v>0.5</v>
      </c>
      <c r="Q847" s="2" t="s">
        <v>146</v>
      </c>
      <c r="R847" s="2" t="s">
        <v>147</v>
      </c>
      <c r="S847" s="2">
        <v>9.6</v>
      </c>
      <c r="T847" s="2">
        <v>20.399999999999999</v>
      </c>
      <c r="U847" s="2" t="b">
        <v>0</v>
      </c>
      <c r="V847" s="2">
        <v>4</v>
      </c>
      <c r="W847" s="2">
        <v>1</v>
      </c>
      <c r="X847" s="2">
        <v>20</v>
      </c>
      <c r="Y847" s="2">
        <v>29.948453608247419</v>
      </c>
    </row>
    <row r="848" spans="1:25" hidden="1">
      <c r="A848" s="2" t="s">
        <v>1113</v>
      </c>
      <c r="B848" s="2" t="s">
        <v>149</v>
      </c>
      <c r="C848" s="2" t="s">
        <v>712</v>
      </c>
      <c r="D848" s="3">
        <v>46053.78125</v>
      </c>
      <c r="E848" s="3">
        <v>46053.802083333343</v>
      </c>
      <c r="F848" s="2">
        <v>30</v>
      </c>
      <c r="G848" s="2" t="s">
        <v>143</v>
      </c>
      <c r="H848" s="2" t="s">
        <v>1018</v>
      </c>
      <c r="I848" s="2">
        <v>3</v>
      </c>
      <c r="J848" s="2">
        <v>5</v>
      </c>
      <c r="K848" s="2" t="s">
        <v>143</v>
      </c>
      <c r="L848" s="2" t="s">
        <v>145</v>
      </c>
      <c r="M848" s="2" t="b">
        <v>1</v>
      </c>
      <c r="N848" s="2" t="b">
        <v>1</v>
      </c>
      <c r="O848" s="2">
        <v>6</v>
      </c>
      <c r="P848" s="2">
        <v>0.6</v>
      </c>
      <c r="Q848" s="2" t="s">
        <v>146</v>
      </c>
      <c r="R848" s="2" t="s">
        <v>147</v>
      </c>
      <c r="S848" s="2">
        <v>12</v>
      </c>
      <c r="T848" s="2">
        <v>18</v>
      </c>
      <c r="U848" s="2" t="b">
        <v>0</v>
      </c>
      <c r="V848" s="2">
        <v>6</v>
      </c>
      <c r="W848" s="2">
        <v>2</v>
      </c>
      <c r="X848" s="2">
        <v>18</v>
      </c>
      <c r="Y848" s="2">
        <v>28.186274509803919</v>
      </c>
    </row>
    <row r="849" spans="1:25" hidden="1">
      <c r="A849" s="2" t="s">
        <v>1114</v>
      </c>
      <c r="B849" s="2" t="s">
        <v>157</v>
      </c>
      <c r="C849" s="2" t="s">
        <v>693</v>
      </c>
      <c r="D849" s="3">
        <v>46054.791666666657</v>
      </c>
      <c r="E849" s="3">
        <v>46054.8125</v>
      </c>
      <c r="F849" s="2">
        <v>30</v>
      </c>
      <c r="G849" s="2" t="s">
        <v>167</v>
      </c>
      <c r="H849" s="2" t="s">
        <v>168</v>
      </c>
      <c r="I849" s="2">
        <v>5</v>
      </c>
      <c r="J849" s="2">
        <v>6</v>
      </c>
      <c r="K849" s="2" t="s">
        <v>153</v>
      </c>
      <c r="L849" s="2" t="s">
        <v>162</v>
      </c>
      <c r="M849" s="2" t="b">
        <v>1</v>
      </c>
      <c r="N849" s="2" t="b">
        <v>1</v>
      </c>
      <c r="O849" s="2">
        <v>5</v>
      </c>
      <c r="P849" s="2">
        <v>0.83333333333333337</v>
      </c>
      <c r="Q849" s="2" t="s">
        <v>155</v>
      </c>
      <c r="R849" s="2" t="s">
        <v>147</v>
      </c>
      <c r="S849" s="2">
        <v>14.4</v>
      </c>
      <c r="T849" s="2">
        <v>15.6</v>
      </c>
      <c r="U849" s="2" t="b">
        <v>0</v>
      </c>
      <c r="V849" s="2">
        <v>20</v>
      </c>
      <c r="W849" s="2">
        <v>3</v>
      </c>
      <c r="X849" s="2">
        <v>19</v>
      </c>
      <c r="Y849" s="2">
        <v>28.844221105527641</v>
      </c>
    </row>
    <row r="850" spans="1:25" hidden="1">
      <c r="A850" s="2" t="s">
        <v>1115</v>
      </c>
      <c r="B850" s="2" t="s">
        <v>173</v>
      </c>
      <c r="C850" s="2" t="s">
        <v>695</v>
      </c>
      <c r="D850" s="3">
        <v>46055.84375</v>
      </c>
      <c r="E850" s="3">
        <v>46055.864583333343</v>
      </c>
      <c r="F850" s="2">
        <v>30</v>
      </c>
      <c r="G850" s="2" t="s">
        <v>143</v>
      </c>
      <c r="H850" s="2" t="s">
        <v>1021</v>
      </c>
      <c r="I850" s="2">
        <v>3</v>
      </c>
      <c r="J850" s="2">
        <v>4.5</v>
      </c>
      <c r="K850" s="2" t="s">
        <v>143</v>
      </c>
      <c r="L850" s="2" t="s">
        <v>169</v>
      </c>
      <c r="M850" s="2" t="b">
        <v>1</v>
      </c>
      <c r="N850" s="2" t="b">
        <v>0</v>
      </c>
      <c r="O850" s="2">
        <v>6.666666666666667</v>
      </c>
      <c r="P850" s="2">
        <v>0.66666666666666663</v>
      </c>
      <c r="Q850" s="2" t="s">
        <v>155</v>
      </c>
      <c r="R850" s="2" t="s">
        <v>171</v>
      </c>
      <c r="S850" s="2">
        <v>10.8</v>
      </c>
      <c r="T850" s="2">
        <v>19.2</v>
      </c>
      <c r="U850" s="2" t="b">
        <v>0</v>
      </c>
      <c r="V850" s="2">
        <v>6</v>
      </c>
      <c r="W850" s="2">
        <v>2</v>
      </c>
      <c r="X850" s="2">
        <v>20</v>
      </c>
      <c r="Y850" s="2">
        <v>30.286458333333329</v>
      </c>
    </row>
    <row r="851" spans="1:25" hidden="1">
      <c r="A851" s="2" t="s">
        <v>1116</v>
      </c>
      <c r="B851" s="2" t="s">
        <v>142</v>
      </c>
      <c r="C851" s="2" t="s">
        <v>697</v>
      </c>
      <c r="D851" s="3">
        <v>46056.8125</v>
      </c>
      <c r="E851" s="3">
        <v>46056.833333333343</v>
      </c>
      <c r="F851" s="2">
        <v>30</v>
      </c>
      <c r="G851" s="2" t="s">
        <v>151</v>
      </c>
      <c r="H851" s="2" t="s">
        <v>657</v>
      </c>
      <c r="I851" s="2">
        <v>4</v>
      </c>
      <c r="J851" s="2">
        <v>5.5</v>
      </c>
      <c r="K851" s="2" t="s">
        <v>143</v>
      </c>
      <c r="L851" s="2" t="s">
        <v>162</v>
      </c>
      <c r="M851" s="2" t="b">
        <v>1</v>
      </c>
      <c r="N851" s="2" t="b">
        <v>0</v>
      </c>
      <c r="O851" s="2">
        <v>5.4545454545454541</v>
      </c>
      <c r="P851" s="2">
        <v>0.72727272727272729</v>
      </c>
      <c r="Q851" s="2" t="s">
        <v>155</v>
      </c>
      <c r="R851" s="2" t="s">
        <v>147</v>
      </c>
      <c r="S851" s="2">
        <v>13.2</v>
      </c>
      <c r="T851" s="2">
        <v>16.8</v>
      </c>
      <c r="U851" s="2" t="b">
        <v>0</v>
      </c>
      <c r="V851" s="2">
        <v>12</v>
      </c>
      <c r="W851" s="2">
        <v>2</v>
      </c>
      <c r="X851" s="2">
        <v>19</v>
      </c>
      <c r="Y851" s="2">
        <v>30.259433962264151</v>
      </c>
    </row>
    <row r="852" spans="1:25" hidden="1">
      <c r="A852" s="2" t="s">
        <v>1117</v>
      </c>
      <c r="B852" s="2" t="s">
        <v>165</v>
      </c>
      <c r="C852" s="2" t="s">
        <v>188</v>
      </c>
      <c r="D852" s="3">
        <v>46057.864583333343</v>
      </c>
      <c r="E852" s="3">
        <v>46057.885416666657</v>
      </c>
      <c r="F852" s="2">
        <v>30</v>
      </c>
      <c r="G852" s="2" t="s">
        <v>143</v>
      </c>
      <c r="H852" s="2" t="s">
        <v>144</v>
      </c>
      <c r="I852" s="2">
        <v>2</v>
      </c>
      <c r="J852" s="2">
        <v>4</v>
      </c>
      <c r="K852" s="2" t="s">
        <v>161</v>
      </c>
      <c r="L852" s="2" t="s">
        <v>154</v>
      </c>
      <c r="M852" s="2" t="b">
        <v>1</v>
      </c>
      <c r="N852" s="2" t="b">
        <v>0</v>
      </c>
      <c r="O852" s="2">
        <v>7.5</v>
      </c>
      <c r="P852" s="2">
        <v>0.5</v>
      </c>
      <c r="Q852" s="2" t="s">
        <v>155</v>
      </c>
      <c r="R852" s="2" t="s">
        <v>147</v>
      </c>
      <c r="S852" s="2">
        <v>9.6</v>
      </c>
      <c r="T852" s="2">
        <v>20.399999999999999</v>
      </c>
      <c r="U852" s="2" t="b">
        <v>0</v>
      </c>
      <c r="V852" s="2">
        <v>4</v>
      </c>
      <c r="W852" s="2">
        <v>1</v>
      </c>
      <c r="X852" s="2">
        <v>20</v>
      </c>
      <c r="Y852" s="2">
        <v>29.948453608247419</v>
      </c>
    </row>
    <row r="853" spans="1:25" hidden="1">
      <c r="A853" s="2" t="s">
        <v>1118</v>
      </c>
      <c r="B853" s="2" t="s">
        <v>149</v>
      </c>
      <c r="C853" s="2" t="s">
        <v>712</v>
      </c>
      <c r="D853" s="3">
        <v>46058.75</v>
      </c>
      <c r="E853" s="3">
        <v>46058.770833333343</v>
      </c>
      <c r="F853" s="2">
        <v>30</v>
      </c>
      <c r="G853" s="2" t="s">
        <v>143</v>
      </c>
      <c r="H853" s="2" t="s">
        <v>1018</v>
      </c>
      <c r="I853" s="2">
        <v>3</v>
      </c>
      <c r="J853" s="2">
        <v>5</v>
      </c>
      <c r="K853" s="2" t="s">
        <v>143</v>
      </c>
      <c r="L853" s="2" t="s">
        <v>145</v>
      </c>
      <c r="M853" s="2" t="b">
        <v>1</v>
      </c>
      <c r="N853" s="2" t="b">
        <v>0</v>
      </c>
      <c r="O853" s="2">
        <v>6</v>
      </c>
      <c r="P853" s="2">
        <v>0.6</v>
      </c>
      <c r="Q853" s="2" t="s">
        <v>155</v>
      </c>
      <c r="R853" s="2" t="s">
        <v>147</v>
      </c>
      <c r="S853" s="2">
        <v>12</v>
      </c>
      <c r="T853" s="2">
        <v>18</v>
      </c>
      <c r="U853" s="2" t="b">
        <v>0</v>
      </c>
      <c r="V853" s="2">
        <v>6</v>
      </c>
      <c r="W853" s="2">
        <v>2</v>
      </c>
      <c r="X853" s="2">
        <v>18</v>
      </c>
      <c r="Y853" s="2">
        <v>28.186274509803919</v>
      </c>
    </row>
    <row r="854" spans="1:25" hidden="1">
      <c r="A854" s="2" t="s">
        <v>1119</v>
      </c>
      <c r="B854" s="2" t="s">
        <v>157</v>
      </c>
      <c r="C854" s="2" t="s">
        <v>693</v>
      </c>
      <c r="D854" s="3">
        <v>46059.802083333343</v>
      </c>
      <c r="E854" s="3">
        <v>46059.822916666657</v>
      </c>
      <c r="F854" s="2">
        <v>30</v>
      </c>
      <c r="G854" s="2" t="s">
        <v>167</v>
      </c>
      <c r="H854" s="2" t="s">
        <v>168</v>
      </c>
      <c r="I854" s="2">
        <v>5</v>
      </c>
      <c r="J854" s="2">
        <v>6</v>
      </c>
      <c r="K854" s="2" t="s">
        <v>153</v>
      </c>
      <c r="L854" s="2" t="s">
        <v>162</v>
      </c>
      <c r="M854" s="2" t="b">
        <v>1</v>
      </c>
      <c r="N854" s="2" t="b">
        <v>0</v>
      </c>
      <c r="O854" s="2">
        <v>5</v>
      </c>
      <c r="P854" s="2">
        <v>0.83333333333333337</v>
      </c>
      <c r="Q854" s="2" t="s">
        <v>155</v>
      </c>
      <c r="R854" s="2" t="s">
        <v>147</v>
      </c>
      <c r="S854" s="2">
        <v>14.4</v>
      </c>
      <c r="T854" s="2">
        <v>15.6</v>
      </c>
      <c r="U854" s="2" t="b">
        <v>0</v>
      </c>
      <c r="V854" s="2">
        <v>20</v>
      </c>
      <c r="W854" s="2">
        <v>3</v>
      </c>
      <c r="X854" s="2">
        <v>19</v>
      </c>
      <c r="Y854" s="2">
        <v>28.844221105527641</v>
      </c>
    </row>
    <row r="855" spans="1:25" hidden="1">
      <c r="A855" s="2" t="s">
        <v>1120</v>
      </c>
      <c r="B855" s="2" t="s">
        <v>173</v>
      </c>
      <c r="C855" s="2" t="s">
        <v>695</v>
      </c>
      <c r="D855" s="3">
        <v>46060.854166666657</v>
      </c>
      <c r="E855" s="3">
        <v>46060.875</v>
      </c>
      <c r="F855" s="2">
        <v>30</v>
      </c>
      <c r="G855" s="2" t="s">
        <v>143</v>
      </c>
      <c r="H855" s="2" t="s">
        <v>1021</v>
      </c>
      <c r="I855" s="2">
        <v>3</v>
      </c>
      <c r="J855" s="2">
        <v>4.5</v>
      </c>
      <c r="K855" s="2" t="s">
        <v>143</v>
      </c>
      <c r="L855" s="2" t="s">
        <v>169</v>
      </c>
      <c r="M855" s="2" t="b">
        <v>1</v>
      </c>
      <c r="N855" s="2" t="b">
        <v>1</v>
      </c>
      <c r="O855" s="2">
        <v>6.666666666666667</v>
      </c>
      <c r="P855" s="2">
        <v>0.66666666666666663</v>
      </c>
      <c r="Q855" s="2" t="s">
        <v>155</v>
      </c>
      <c r="R855" s="2" t="s">
        <v>171</v>
      </c>
      <c r="S855" s="2">
        <v>10.8</v>
      </c>
      <c r="T855" s="2">
        <v>19.2</v>
      </c>
      <c r="U855" s="2" t="b">
        <v>0</v>
      </c>
      <c r="V855" s="2">
        <v>6</v>
      </c>
      <c r="W855" s="2">
        <v>2</v>
      </c>
      <c r="X855" s="2">
        <v>20</v>
      </c>
      <c r="Y855" s="2">
        <v>30.286458333333329</v>
      </c>
    </row>
    <row r="856" spans="1:25" hidden="1">
      <c r="A856" s="2" t="s">
        <v>1121</v>
      </c>
      <c r="B856" s="2" t="s">
        <v>142</v>
      </c>
      <c r="C856" s="2" t="s">
        <v>697</v>
      </c>
      <c r="D856" s="3">
        <v>46061.791666666657</v>
      </c>
      <c r="E856" s="3">
        <v>46061.8125</v>
      </c>
      <c r="F856" s="2">
        <v>30</v>
      </c>
      <c r="G856" s="2" t="s">
        <v>151</v>
      </c>
      <c r="H856" s="2" t="s">
        <v>657</v>
      </c>
      <c r="I856" s="2">
        <v>4</v>
      </c>
      <c r="J856" s="2">
        <v>5.5</v>
      </c>
      <c r="K856" s="2" t="s">
        <v>143</v>
      </c>
      <c r="L856" s="2" t="s">
        <v>162</v>
      </c>
      <c r="M856" s="2" t="b">
        <v>1</v>
      </c>
      <c r="N856" s="2" t="b">
        <v>1</v>
      </c>
      <c r="O856" s="2">
        <v>5.4545454545454541</v>
      </c>
      <c r="P856" s="2">
        <v>0.72727272727272729</v>
      </c>
      <c r="Q856" s="2" t="s">
        <v>155</v>
      </c>
      <c r="R856" s="2" t="s">
        <v>147</v>
      </c>
      <c r="S856" s="2">
        <v>13.2</v>
      </c>
      <c r="T856" s="2">
        <v>16.8</v>
      </c>
      <c r="U856" s="2" t="b">
        <v>0</v>
      </c>
      <c r="V856" s="2">
        <v>12</v>
      </c>
      <c r="W856" s="2">
        <v>2</v>
      </c>
      <c r="X856" s="2">
        <v>19</v>
      </c>
      <c r="Y856" s="2">
        <v>30.259433962264151</v>
      </c>
    </row>
    <row r="857" spans="1:25" hidden="1">
      <c r="A857" s="2" t="s">
        <v>1122</v>
      </c>
      <c r="B857" s="2" t="s">
        <v>165</v>
      </c>
      <c r="C857" s="2" t="s">
        <v>188</v>
      </c>
      <c r="D857" s="3">
        <v>46062.84375</v>
      </c>
      <c r="E857" s="3">
        <v>46062.864583333343</v>
      </c>
      <c r="F857" s="2">
        <v>30</v>
      </c>
      <c r="G857" s="2" t="s">
        <v>143</v>
      </c>
      <c r="H857" s="2" t="s">
        <v>144</v>
      </c>
      <c r="I857" s="2">
        <v>2</v>
      </c>
      <c r="J857" s="2">
        <v>4</v>
      </c>
      <c r="K857" s="2" t="s">
        <v>161</v>
      </c>
      <c r="L857" s="2" t="s">
        <v>154</v>
      </c>
      <c r="M857" s="2" t="b">
        <v>1</v>
      </c>
      <c r="N857" s="2" t="b">
        <v>0</v>
      </c>
      <c r="O857" s="2">
        <v>7.5</v>
      </c>
      <c r="P857" s="2">
        <v>0.5</v>
      </c>
      <c r="Q857" s="2" t="s">
        <v>155</v>
      </c>
      <c r="R857" s="2" t="s">
        <v>147</v>
      </c>
      <c r="S857" s="2">
        <v>9.6</v>
      </c>
      <c r="T857" s="2">
        <v>20.399999999999999</v>
      </c>
      <c r="U857" s="2" t="b">
        <v>0</v>
      </c>
      <c r="V857" s="2">
        <v>4</v>
      </c>
      <c r="W857" s="2">
        <v>1</v>
      </c>
      <c r="X857" s="2">
        <v>20</v>
      </c>
      <c r="Y857" s="2">
        <v>29.948453608247419</v>
      </c>
    </row>
    <row r="858" spans="1:25" hidden="1">
      <c r="A858" s="2" t="s">
        <v>1123</v>
      </c>
      <c r="B858" s="2" t="s">
        <v>149</v>
      </c>
      <c r="C858" s="2" t="s">
        <v>712</v>
      </c>
      <c r="D858" s="3">
        <v>46063.770833333343</v>
      </c>
      <c r="E858" s="3">
        <v>46063.791666666657</v>
      </c>
      <c r="F858" s="2">
        <v>30</v>
      </c>
      <c r="G858" s="2" t="s">
        <v>143</v>
      </c>
      <c r="H858" s="2" t="s">
        <v>1018</v>
      </c>
      <c r="I858" s="2">
        <v>3</v>
      </c>
      <c r="J858" s="2">
        <v>5</v>
      </c>
      <c r="K858" s="2" t="s">
        <v>143</v>
      </c>
      <c r="L858" s="2" t="s">
        <v>145</v>
      </c>
      <c r="M858" s="2" t="b">
        <v>1</v>
      </c>
      <c r="N858" s="2" t="b">
        <v>0</v>
      </c>
      <c r="O858" s="2">
        <v>6</v>
      </c>
      <c r="P858" s="2">
        <v>0.6</v>
      </c>
      <c r="Q858" s="2" t="s">
        <v>155</v>
      </c>
      <c r="R858" s="2" t="s">
        <v>147</v>
      </c>
      <c r="S858" s="2">
        <v>12</v>
      </c>
      <c r="T858" s="2">
        <v>18</v>
      </c>
      <c r="U858" s="2" t="b">
        <v>0</v>
      </c>
      <c r="V858" s="2">
        <v>6</v>
      </c>
      <c r="W858" s="2">
        <v>2</v>
      </c>
      <c r="X858" s="2">
        <v>18</v>
      </c>
      <c r="Y858" s="2">
        <v>28.186274509803919</v>
      </c>
    </row>
    <row r="859" spans="1:25" hidden="1">
      <c r="A859" s="2" t="s">
        <v>1124</v>
      </c>
      <c r="B859" s="2" t="s">
        <v>157</v>
      </c>
      <c r="C859" s="2" t="s">
        <v>693</v>
      </c>
      <c r="D859" s="3">
        <v>46064.822916666657</v>
      </c>
      <c r="E859" s="3">
        <v>46064.84375</v>
      </c>
      <c r="F859" s="2">
        <v>30</v>
      </c>
      <c r="G859" s="2" t="s">
        <v>167</v>
      </c>
      <c r="H859" s="2" t="s">
        <v>168</v>
      </c>
      <c r="I859" s="2">
        <v>5</v>
      </c>
      <c r="J859" s="2">
        <v>6</v>
      </c>
      <c r="K859" s="2" t="s">
        <v>153</v>
      </c>
      <c r="L859" s="2" t="s">
        <v>162</v>
      </c>
      <c r="M859" s="2" t="b">
        <v>1</v>
      </c>
      <c r="N859" s="2" t="b">
        <v>0</v>
      </c>
      <c r="O859" s="2">
        <v>5</v>
      </c>
      <c r="P859" s="2">
        <v>0.83333333333333337</v>
      </c>
      <c r="Q859" s="2" t="s">
        <v>155</v>
      </c>
      <c r="R859" s="2" t="s">
        <v>147</v>
      </c>
      <c r="S859" s="2">
        <v>14.4</v>
      </c>
      <c r="T859" s="2">
        <v>15.6</v>
      </c>
      <c r="U859" s="2" t="b">
        <v>0</v>
      </c>
      <c r="V859" s="2">
        <v>20</v>
      </c>
      <c r="W859" s="2">
        <v>3</v>
      </c>
      <c r="X859" s="2">
        <v>19</v>
      </c>
      <c r="Y859" s="2">
        <v>28.844221105527641</v>
      </c>
    </row>
    <row r="860" spans="1:25" hidden="1">
      <c r="A860" s="2" t="s">
        <v>1125</v>
      </c>
      <c r="B860" s="2" t="s">
        <v>173</v>
      </c>
      <c r="C860" s="2" t="s">
        <v>695</v>
      </c>
      <c r="D860" s="3">
        <v>46065.833333333343</v>
      </c>
      <c r="E860" s="3">
        <v>46065.854166666657</v>
      </c>
      <c r="F860" s="2">
        <v>30</v>
      </c>
      <c r="G860" s="2" t="s">
        <v>143</v>
      </c>
      <c r="H860" s="2" t="s">
        <v>1021</v>
      </c>
      <c r="I860" s="2">
        <v>3</v>
      </c>
      <c r="J860" s="2">
        <v>4.5</v>
      </c>
      <c r="K860" s="2" t="s">
        <v>143</v>
      </c>
      <c r="L860" s="2" t="s">
        <v>169</v>
      </c>
      <c r="M860" s="2" t="b">
        <v>1</v>
      </c>
      <c r="N860" s="2" t="b">
        <v>0</v>
      </c>
      <c r="O860" s="2">
        <v>6.666666666666667</v>
      </c>
      <c r="P860" s="2">
        <v>0.66666666666666663</v>
      </c>
      <c r="Q860" s="2" t="s">
        <v>155</v>
      </c>
      <c r="R860" s="2" t="s">
        <v>171</v>
      </c>
      <c r="S860" s="2">
        <v>10.8</v>
      </c>
      <c r="T860" s="2">
        <v>19.2</v>
      </c>
      <c r="U860" s="2" t="b">
        <v>0</v>
      </c>
      <c r="V860" s="2">
        <v>6</v>
      </c>
      <c r="W860" s="2">
        <v>2</v>
      </c>
      <c r="X860" s="2">
        <v>20</v>
      </c>
      <c r="Y860" s="2">
        <v>30.286458333333329</v>
      </c>
    </row>
    <row r="861" spans="1:25" hidden="1">
      <c r="A861" s="2" t="s">
        <v>1126</v>
      </c>
      <c r="B861" s="2" t="s">
        <v>142</v>
      </c>
      <c r="C861" s="2" t="s">
        <v>697</v>
      </c>
      <c r="D861" s="3">
        <v>46066.802083333343</v>
      </c>
      <c r="E861" s="3">
        <v>46066.822916666657</v>
      </c>
      <c r="F861" s="2">
        <v>30</v>
      </c>
      <c r="G861" s="2" t="s">
        <v>151</v>
      </c>
      <c r="H861" s="2" t="s">
        <v>657</v>
      </c>
      <c r="I861" s="2">
        <v>4</v>
      </c>
      <c r="J861" s="2">
        <v>5.5</v>
      </c>
      <c r="K861" s="2" t="s">
        <v>143</v>
      </c>
      <c r="L861" s="2" t="s">
        <v>162</v>
      </c>
      <c r="M861" s="2" t="b">
        <v>1</v>
      </c>
      <c r="N861" s="2" t="b">
        <v>0</v>
      </c>
      <c r="O861" s="2">
        <v>5.4545454545454541</v>
      </c>
      <c r="P861" s="2">
        <v>0.72727272727272729</v>
      </c>
      <c r="Q861" s="2" t="s">
        <v>155</v>
      </c>
      <c r="R861" s="2" t="s">
        <v>147</v>
      </c>
      <c r="S861" s="2">
        <v>13.2</v>
      </c>
      <c r="T861" s="2">
        <v>16.8</v>
      </c>
      <c r="U861" s="2" t="b">
        <v>0</v>
      </c>
      <c r="V861" s="2">
        <v>12</v>
      </c>
      <c r="W861" s="2">
        <v>2</v>
      </c>
      <c r="X861" s="2">
        <v>19</v>
      </c>
      <c r="Y861" s="2">
        <v>30.259433962264151</v>
      </c>
    </row>
    <row r="862" spans="1:25" hidden="1">
      <c r="A862" s="2" t="s">
        <v>1127</v>
      </c>
      <c r="B862" s="2" t="s">
        <v>165</v>
      </c>
      <c r="C862" s="2" t="s">
        <v>188</v>
      </c>
      <c r="D862" s="3">
        <v>46067.854166666657</v>
      </c>
      <c r="E862" s="3">
        <v>46067.875</v>
      </c>
      <c r="F862" s="2">
        <v>30</v>
      </c>
      <c r="G862" s="2" t="s">
        <v>143</v>
      </c>
      <c r="H862" s="2" t="s">
        <v>144</v>
      </c>
      <c r="I862" s="2">
        <v>2</v>
      </c>
      <c r="J862" s="2">
        <v>4</v>
      </c>
      <c r="K862" s="2" t="s">
        <v>161</v>
      </c>
      <c r="L862" s="2" t="s">
        <v>154</v>
      </c>
      <c r="M862" s="2" t="b">
        <v>1</v>
      </c>
      <c r="N862" s="2" t="b">
        <v>1</v>
      </c>
      <c r="O862" s="2">
        <v>7.5</v>
      </c>
      <c r="P862" s="2">
        <v>0.5</v>
      </c>
      <c r="Q862" s="2" t="s">
        <v>155</v>
      </c>
      <c r="R862" s="2" t="s">
        <v>147</v>
      </c>
      <c r="S862" s="2">
        <v>9.6</v>
      </c>
      <c r="T862" s="2">
        <v>20.399999999999999</v>
      </c>
      <c r="U862" s="2" t="b">
        <v>0</v>
      </c>
      <c r="V862" s="2">
        <v>4</v>
      </c>
      <c r="W862" s="2">
        <v>1</v>
      </c>
      <c r="X862" s="2">
        <v>20</v>
      </c>
      <c r="Y862" s="2">
        <v>29.948453608247419</v>
      </c>
    </row>
    <row r="863" spans="1:25" hidden="1">
      <c r="A863" s="2" t="s">
        <v>1128</v>
      </c>
      <c r="B863" s="2" t="s">
        <v>149</v>
      </c>
      <c r="C863" s="2" t="s">
        <v>712</v>
      </c>
      <c r="D863" s="3">
        <v>46068.78125</v>
      </c>
      <c r="E863" s="3">
        <v>46068.802083333343</v>
      </c>
      <c r="F863" s="2">
        <v>30</v>
      </c>
      <c r="G863" s="2" t="s">
        <v>143</v>
      </c>
      <c r="H863" s="2" t="s">
        <v>1018</v>
      </c>
      <c r="I863" s="2">
        <v>3</v>
      </c>
      <c r="J863" s="2">
        <v>5</v>
      </c>
      <c r="K863" s="2" t="s">
        <v>143</v>
      </c>
      <c r="L863" s="2" t="s">
        <v>145</v>
      </c>
      <c r="M863" s="2" t="b">
        <v>1</v>
      </c>
      <c r="N863" s="2" t="b">
        <v>1</v>
      </c>
      <c r="O863" s="2">
        <v>6</v>
      </c>
      <c r="P863" s="2">
        <v>0.6</v>
      </c>
      <c r="Q863" s="2" t="s">
        <v>155</v>
      </c>
      <c r="R863" s="2" t="s">
        <v>147</v>
      </c>
      <c r="S863" s="2">
        <v>12</v>
      </c>
      <c r="T863" s="2">
        <v>18</v>
      </c>
      <c r="U863" s="2" t="b">
        <v>0</v>
      </c>
      <c r="V863" s="2">
        <v>6</v>
      </c>
      <c r="W863" s="2">
        <v>2</v>
      </c>
      <c r="X863" s="2">
        <v>18</v>
      </c>
      <c r="Y863" s="2">
        <v>28.186274509803919</v>
      </c>
    </row>
    <row r="864" spans="1:25" hidden="1">
      <c r="A864" s="2" t="s">
        <v>1129</v>
      </c>
      <c r="B864" s="2" t="s">
        <v>157</v>
      </c>
      <c r="C864" s="2" t="s">
        <v>693</v>
      </c>
      <c r="D864" s="3">
        <v>46069.791666666657</v>
      </c>
      <c r="E864" s="3">
        <v>46069.8125</v>
      </c>
      <c r="F864" s="2">
        <v>30</v>
      </c>
      <c r="G864" s="2" t="s">
        <v>167</v>
      </c>
      <c r="H864" s="2" t="s">
        <v>168</v>
      </c>
      <c r="I864" s="2">
        <v>5</v>
      </c>
      <c r="J864" s="2">
        <v>6</v>
      </c>
      <c r="K864" s="2" t="s">
        <v>153</v>
      </c>
      <c r="L864" s="2" t="s">
        <v>162</v>
      </c>
      <c r="M864" s="2" t="b">
        <v>1</v>
      </c>
      <c r="N864" s="2" t="b">
        <v>0</v>
      </c>
      <c r="O864" s="2">
        <v>5</v>
      </c>
      <c r="P864" s="2">
        <v>0.83333333333333337</v>
      </c>
      <c r="Q864" s="2" t="s">
        <v>155</v>
      </c>
      <c r="R864" s="2" t="s">
        <v>147</v>
      </c>
      <c r="S864" s="2">
        <v>14.4</v>
      </c>
      <c r="T864" s="2">
        <v>15.6</v>
      </c>
      <c r="U864" s="2" t="b">
        <v>0</v>
      </c>
      <c r="V864" s="2">
        <v>20</v>
      </c>
      <c r="W864" s="2">
        <v>3</v>
      </c>
      <c r="X864" s="2">
        <v>19</v>
      </c>
      <c r="Y864" s="2">
        <v>28.844221105527641</v>
      </c>
    </row>
    <row r="865" spans="1:25" hidden="1">
      <c r="A865" s="2" t="s">
        <v>1130</v>
      </c>
      <c r="B865" s="2" t="s">
        <v>173</v>
      </c>
      <c r="C865" s="2" t="s">
        <v>695</v>
      </c>
      <c r="D865" s="3">
        <v>46070.84375</v>
      </c>
      <c r="E865" s="3">
        <v>46070.864583333343</v>
      </c>
      <c r="F865" s="2">
        <v>30</v>
      </c>
      <c r="G865" s="2" t="s">
        <v>143</v>
      </c>
      <c r="H865" s="2" t="s">
        <v>1021</v>
      </c>
      <c r="I865" s="2">
        <v>3</v>
      </c>
      <c r="J865" s="2">
        <v>4.5</v>
      </c>
      <c r="K865" s="2" t="s">
        <v>143</v>
      </c>
      <c r="L865" s="2" t="s">
        <v>169</v>
      </c>
      <c r="M865" s="2" t="b">
        <v>1</v>
      </c>
      <c r="N865" s="2" t="b">
        <v>0</v>
      </c>
      <c r="O865" s="2">
        <v>6.666666666666667</v>
      </c>
      <c r="P865" s="2">
        <v>0.66666666666666663</v>
      </c>
      <c r="Q865" s="2" t="s">
        <v>155</v>
      </c>
      <c r="R865" s="2" t="s">
        <v>171</v>
      </c>
      <c r="S865" s="2">
        <v>10.8</v>
      </c>
      <c r="T865" s="2">
        <v>19.2</v>
      </c>
      <c r="U865" s="2" t="b">
        <v>0</v>
      </c>
      <c r="V865" s="2">
        <v>6</v>
      </c>
      <c r="W865" s="2">
        <v>2</v>
      </c>
      <c r="X865" s="2">
        <v>20</v>
      </c>
      <c r="Y865" s="2">
        <v>30.286458333333329</v>
      </c>
    </row>
    <row r="866" spans="1:25" hidden="1">
      <c r="A866" s="2" t="s">
        <v>1131</v>
      </c>
      <c r="B866" s="2" t="s">
        <v>149</v>
      </c>
      <c r="C866" s="2" t="s">
        <v>712</v>
      </c>
      <c r="D866" s="3">
        <v>46071.770833333343</v>
      </c>
      <c r="E866" s="3">
        <v>46071.791666666657</v>
      </c>
      <c r="F866" s="2">
        <v>30</v>
      </c>
      <c r="G866" s="2" t="s">
        <v>143</v>
      </c>
      <c r="H866" s="2" t="s">
        <v>1018</v>
      </c>
      <c r="I866" s="2">
        <v>3</v>
      </c>
      <c r="J866" s="2">
        <v>5</v>
      </c>
      <c r="K866" s="2" t="s">
        <v>143</v>
      </c>
      <c r="L866" s="2" t="s">
        <v>162</v>
      </c>
      <c r="M866" s="2" t="b">
        <v>1</v>
      </c>
      <c r="N866" s="2" t="b">
        <v>0</v>
      </c>
      <c r="O866" s="2">
        <v>6</v>
      </c>
      <c r="P866" s="2">
        <v>0.6</v>
      </c>
      <c r="Q866" s="2" t="s">
        <v>155</v>
      </c>
      <c r="R866" s="2" t="s">
        <v>147</v>
      </c>
      <c r="S866" s="2">
        <v>12</v>
      </c>
      <c r="T866" s="2">
        <v>18</v>
      </c>
      <c r="U866" s="2" t="b">
        <v>0</v>
      </c>
      <c r="V866" s="2">
        <v>6</v>
      </c>
      <c r="W866" s="2">
        <v>2</v>
      </c>
      <c r="X866" s="2">
        <v>18</v>
      </c>
      <c r="Y866" s="2">
        <v>28.186274509803919</v>
      </c>
    </row>
    <row r="867" spans="1:25" hidden="1">
      <c r="A867" s="2" t="s">
        <v>1132</v>
      </c>
      <c r="B867" s="2" t="s">
        <v>157</v>
      </c>
      <c r="C867" s="2" t="s">
        <v>693</v>
      </c>
      <c r="D867" s="3">
        <v>46072.822916666657</v>
      </c>
      <c r="E867" s="3">
        <v>46072.84375</v>
      </c>
      <c r="F867" s="2">
        <v>30</v>
      </c>
      <c r="G867" s="2" t="s">
        <v>167</v>
      </c>
      <c r="H867" s="2" t="s">
        <v>168</v>
      </c>
      <c r="I867" s="2">
        <v>5</v>
      </c>
      <c r="J867" s="2">
        <v>6</v>
      </c>
      <c r="K867" s="2" t="s">
        <v>153</v>
      </c>
      <c r="L867" s="2" t="s">
        <v>145</v>
      </c>
      <c r="M867" s="2" t="b">
        <v>1</v>
      </c>
      <c r="N867" s="2" t="b">
        <v>0</v>
      </c>
      <c r="O867" s="2">
        <v>5</v>
      </c>
      <c r="P867" s="2">
        <v>0.83333333333333337</v>
      </c>
      <c r="Q867" s="2" t="s">
        <v>155</v>
      </c>
      <c r="R867" s="2" t="s">
        <v>147</v>
      </c>
      <c r="S867" s="2">
        <v>14.4</v>
      </c>
      <c r="T867" s="2">
        <v>15.6</v>
      </c>
      <c r="U867" s="2" t="b">
        <v>0</v>
      </c>
      <c r="V867" s="2">
        <v>20</v>
      </c>
      <c r="W867" s="2">
        <v>3</v>
      </c>
      <c r="X867" s="2">
        <v>19</v>
      </c>
      <c r="Y867" s="2">
        <v>28.844221105527641</v>
      </c>
    </row>
    <row r="868" spans="1:25" hidden="1">
      <c r="A868" s="2" t="s">
        <v>1133</v>
      </c>
      <c r="B868" s="2" t="s">
        <v>173</v>
      </c>
      <c r="C868" s="2" t="s">
        <v>695</v>
      </c>
      <c r="D868" s="3">
        <v>46073.833333333343</v>
      </c>
      <c r="E868" s="3">
        <v>46073.854166666657</v>
      </c>
      <c r="F868" s="2">
        <v>30</v>
      </c>
      <c r="G868" s="2" t="s">
        <v>143</v>
      </c>
      <c r="H868" s="2" t="s">
        <v>1021</v>
      </c>
      <c r="I868" s="2">
        <v>3</v>
      </c>
      <c r="J868" s="2">
        <v>4.5</v>
      </c>
      <c r="K868" s="2" t="s">
        <v>143</v>
      </c>
      <c r="L868" s="2" t="s">
        <v>169</v>
      </c>
      <c r="M868" s="2" t="b">
        <v>1</v>
      </c>
      <c r="N868" s="2" t="b">
        <v>0</v>
      </c>
      <c r="O868" s="2">
        <v>6.666666666666667</v>
      </c>
      <c r="P868" s="2">
        <v>0.66666666666666663</v>
      </c>
      <c r="Q868" s="2" t="s">
        <v>155</v>
      </c>
      <c r="R868" s="2" t="s">
        <v>171</v>
      </c>
      <c r="S868" s="2">
        <v>10.8</v>
      </c>
      <c r="T868" s="2">
        <v>19.2</v>
      </c>
      <c r="U868" s="2" t="b">
        <v>0</v>
      </c>
      <c r="V868" s="2">
        <v>6</v>
      </c>
      <c r="W868" s="2">
        <v>2</v>
      </c>
      <c r="X868" s="2">
        <v>20</v>
      </c>
      <c r="Y868" s="2">
        <v>30.286458333333329</v>
      </c>
    </row>
    <row r="869" spans="1:25" hidden="1">
      <c r="A869" s="2" t="s">
        <v>1134</v>
      </c>
      <c r="B869" s="2" t="s">
        <v>142</v>
      </c>
      <c r="C869" s="2" t="s">
        <v>697</v>
      </c>
      <c r="D869" s="3">
        <v>46074.802083333343</v>
      </c>
      <c r="E869" s="3">
        <v>46074.822916666657</v>
      </c>
      <c r="F869" s="2">
        <v>30</v>
      </c>
      <c r="G869" s="2" t="s">
        <v>151</v>
      </c>
      <c r="H869" s="2" t="s">
        <v>657</v>
      </c>
      <c r="I869" s="2">
        <v>4</v>
      </c>
      <c r="J869" s="2">
        <v>5.5</v>
      </c>
      <c r="K869" s="2" t="s">
        <v>143</v>
      </c>
      <c r="L869" s="2" t="s">
        <v>162</v>
      </c>
      <c r="M869" s="2" t="b">
        <v>1</v>
      </c>
      <c r="N869" s="2" t="b">
        <v>1</v>
      </c>
      <c r="O869" s="2">
        <v>5.4545454545454541</v>
      </c>
      <c r="P869" s="2">
        <v>0.72727272727272729</v>
      </c>
      <c r="Q869" s="2" t="s">
        <v>155</v>
      </c>
      <c r="R869" s="2" t="s">
        <v>147</v>
      </c>
      <c r="S869" s="2">
        <v>13.2</v>
      </c>
      <c r="T869" s="2">
        <v>16.8</v>
      </c>
      <c r="U869" s="2" t="b">
        <v>0</v>
      </c>
      <c r="V869" s="2">
        <v>12</v>
      </c>
      <c r="W869" s="2">
        <v>2</v>
      </c>
      <c r="X869" s="2">
        <v>19</v>
      </c>
      <c r="Y869" s="2">
        <v>30.259433962264151</v>
      </c>
    </row>
    <row r="870" spans="1:25" hidden="1">
      <c r="A870" s="2" t="s">
        <v>1135</v>
      </c>
      <c r="B870" s="2" t="s">
        <v>165</v>
      </c>
      <c r="C870" s="2" t="s">
        <v>188</v>
      </c>
      <c r="D870" s="3">
        <v>46075.854166666657</v>
      </c>
      <c r="E870" s="3">
        <v>46075.875</v>
      </c>
      <c r="F870" s="2">
        <v>30</v>
      </c>
      <c r="G870" s="2" t="s">
        <v>143</v>
      </c>
      <c r="H870" s="2" t="s">
        <v>144</v>
      </c>
      <c r="I870" s="2">
        <v>2</v>
      </c>
      <c r="J870" s="2">
        <v>4</v>
      </c>
      <c r="K870" s="2" t="s">
        <v>161</v>
      </c>
      <c r="L870" s="2" t="s">
        <v>154</v>
      </c>
      <c r="M870" s="2" t="b">
        <v>1</v>
      </c>
      <c r="N870" s="2" t="b">
        <v>1</v>
      </c>
      <c r="O870" s="2">
        <v>7.5</v>
      </c>
      <c r="P870" s="2">
        <v>0.5</v>
      </c>
      <c r="Q870" s="2" t="s">
        <v>155</v>
      </c>
      <c r="R870" s="2" t="s">
        <v>147</v>
      </c>
      <c r="S870" s="2">
        <v>9.6</v>
      </c>
      <c r="T870" s="2">
        <v>20.399999999999999</v>
      </c>
      <c r="U870" s="2" t="b">
        <v>0</v>
      </c>
      <c r="V870" s="2">
        <v>4</v>
      </c>
      <c r="W870" s="2">
        <v>1</v>
      </c>
      <c r="X870" s="2">
        <v>20</v>
      </c>
      <c r="Y870" s="2">
        <v>29.948453608247419</v>
      </c>
    </row>
    <row r="871" spans="1:25" hidden="1">
      <c r="A871" s="2" t="s">
        <v>1136</v>
      </c>
      <c r="B871" s="2" t="s">
        <v>149</v>
      </c>
      <c r="C871" s="2" t="s">
        <v>712</v>
      </c>
      <c r="D871" s="3">
        <v>46076.75</v>
      </c>
      <c r="E871" s="3">
        <v>46076.770833333343</v>
      </c>
      <c r="F871" s="2">
        <v>30</v>
      </c>
      <c r="G871" s="2" t="s">
        <v>143</v>
      </c>
      <c r="H871" s="2" t="s">
        <v>1018</v>
      </c>
      <c r="I871" s="2">
        <v>3</v>
      </c>
      <c r="J871" s="2">
        <v>5</v>
      </c>
      <c r="K871" s="2" t="s">
        <v>143</v>
      </c>
      <c r="L871" s="2" t="s">
        <v>145</v>
      </c>
      <c r="M871" s="2" t="b">
        <v>1</v>
      </c>
      <c r="N871" s="2" t="b">
        <v>0</v>
      </c>
      <c r="O871" s="2">
        <v>6</v>
      </c>
      <c r="P871" s="2">
        <v>0.6</v>
      </c>
      <c r="Q871" s="2" t="s">
        <v>155</v>
      </c>
      <c r="R871" s="2" t="s">
        <v>147</v>
      </c>
      <c r="S871" s="2">
        <v>12</v>
      </c>
      <c r="T871" s="2">
        <v>18</v>
      </c>
      <c r="U871" s="2" t="b">
        <v>0</v>
      </c>
      <c r="V871" s="2">
        <v>6</v>
      </c>
      <c r="W871" s="2">
        <v>2</v>
      </c>
      <c r="X871" s="2">
        <v>18</v>
      </c>
      <c r="Y871" s="2">
        <v>28.186274509803919</v>
      </c>
    </row>
    <row r="872" spans="1:25" hidden="1">
      <c r="A872" s="2" t="s">
        <v>1137</v>
      </c>
      <c r="B872" s="2" t="s">
        <v>157</v>
      </c>
      <c r="C872" s="2" t="s">
        <v>693</v>
      </c>
      <c r="D872" s="3">
        <v>46077.802083333343</v>
      </c>
      <c r="E872" s="3">
        <v>46077.822916666657</v>
      </c>
      <c r="F872" s="2">
        <v>30</v>
      </c>
      <c r="G872" s="2" t="s">
        <v>167</v>
      </c>
      <c r="H872" s="2" t="s">
        <v>168</v>
      </c>
      <c r="I872" s="2">
        <v>5</v>
      </c>
      <c r="J872" s="2">
        <v>6</v>
      </c>
      <c r="K872" s="2" t="s">
        <v>153</v>
      </c>
      <c r="L872" s="2" t="s">
        <v>162</v>
      </c>
      <c r="M872" s="2" t="b">
        <v>1</v>
      </c>
      <c r="N872" s="2" t="b">
        <v>0</v>
      </c>
      <c r="O872" s="2">
        <v>5</v>
      </c>
      <c r="P872" s="2">
        <v>0.83333333333333337</v>
      </c>
      <c r="Q872" s="2" t="s">
        <v>155</v>
      </c>
      <c r="R872" s="2" t="s">
        <v>147</v>
      </c>
      <c r="S872" s="2">
        <v>14.4</v>
      </c>
      <c r="T872" s="2">
        <v>15.6</v>
      </c>
      <c r="U872" s="2" t="b">
        <v>0</v>
      </c>
      <c r="V872" s="2">
        <v>20</v>
      </c>
      <c r="W872" s="2">
        <v>3</v>
      </c>
      <c r="X872" s="2">
        <v>19</v>
      </c>
      <c r="Y872" s="2">
        <v>28.844221105527641</v>
      </c>
    </row>
    <row r="873" spans="1:25" hidden="1">
      <c r="A873" s="2" t="s">
        <v>1138</v>
      </c>
      <c r="B873" s="2" t="s">
        <v>173</v>
      </c>
      <c r="C873" s="2" t="s">
        <v>695</v>
      </c>
      <c r="D873" s="3">
        <v>46078.854166666657</v>
      </c>
      <c r="E873" s="3">
        <v>46078.875</v>
      </c>
      <c r="F873" s="2">
        <v>30</v>
      </c>
      <c r="G873" s="2" t="s">
        <v>143</v>
      </c>
      <c r="H873" s="2" t="s">
        <v>1021</v>
      </c>
      <c r="I873" s="2">
        <v>3</v>
      </c>
      <c r="J873" s="2">
        <v>4.5</v>
      </c>
      <c r="K873" s="2" t="s">
        <v>143</v>
      </c>
      <c r="L873" s="2" t="s">
        <v>169</v>
      </c>
      <c r="M873" s="2" t="b">
        <v>1</v>
      </c>
      <c r="N873" s="2" t="b">
        <v>0</v>
      </c>
      <c r="O873" s="2">
        <v>6.666666666666667</v>
      </c>
      <c r="P873" s="2">
        <v>0.66666666666666663</v>
      </c>
      <c r="Q873" s="2" t="s">
        <v>155</v>
      </c>
      <c r="R873" s="2" t="s">
        <v>171</v>
      </c>
      <c r="S873" s="2">
        <v>10.8</v>
      </c>
      <c r="T873" s="2">
        <v>19.2</v>
      </c>
      <c r="U873" s="2" t="b">
        <v>0</v>
      </c>
      <c r="V873" s="2">
        <v>6</v>
      </c>
      <c r="W873" s="2">
        <v>2</v>
      </c>
      <c r="X873" s="2">
        <v>20</v>
      </c>
      <c r="Y873" s="2">
        <v>30.286458333333329</v>
      </c>
    </row>
    <row r="874" spans="1:25" hidden="1">
      <c r="A874" s="2" t="s">
        <v>1139</v>
      </c>
      <c r="B874" s="2" t="s">
        <v>142</v>
      </c>
      <c r="C874" s="2" t="s">
        <v>697</v>
      </c>
      <c r="D874" s="3">
        <v>46079.791666666657</v>
      </c>
      <c r="E874" s="3">
        <v>46079.8125</v>
      </c>
      <c r="F874" s="2">
        <v>30</v>
      </c>
      <c r="G874" s="2" t="s">
        <v>151</v>
      </c>
      <c r="H874" s="2" t="s">
        <v>657</v>
      </c>
      <c r="I874" s="2">
        <v>4</v>
      </c>
      <c r="J874" s="2">
        <v>5.5</v>
      </c>
      <c r="K874" s="2" t="s">
        <v>143</v>
      </c>
      <c r="L874" s="2" t="s">
        <v>162</v>
      </c>
      <c r="M874" s="2" t="b">
        <v>1</v>
      </c>
      <c r="N874" s="2" t="b">
        <v>0</v>
      </c>
      <c r="O874" s="2">
        <v>5.4545454545454541</v>
      </c>
      <c r="P874" s="2">
        <v>0.72727272727272729</v>
      </c>
      <c r="Q874" s="2" t="s">
        <v>155</v>
      </c>
      <c r="R874" s="2" t="s">
        <v>147</v>
      </c>
      <c r="S874" s="2">
        <v>13.2</v>
      </c>
      <c r="T874" s="2">
        <v>16.8</v>
      </c>
      <c r="U874" s="2" t="b">
        <v>0</v>
      </c>
      <c r="V874" s="2">
        <v>12</v>
      </c>
      <c r="W874" s="2">
        <v>2</v>
      </c>
      <c r="X874" s="2">
        <v>19</v>
      </c>
      <c r="Y874" s="2">
        <v>30.259433962264151</v>
      </c>
    </row>
    <row r="875" spans="1:25" hidden="1">
      <c r="A875" s="2" t="s">
        <v>1140</v>
      </c>
      <c r="B875" s="2" t="s">
        <v>165</v>
      </c>
      <c r="C875" s="2" t="s">
        <v>188</v>
      </c>
      <c r="D875" s="3">
        <v>46080.84375</v>
      </c>
      <c r="E875" s="3">
        <v>46080.864583333343</v>
      </c>
      <c r="F875" s="2">
        <v>30</v>
      </c>
      <c r="G875" s="2" t="s">
        <v>143</v>
      </c>
      <c r="H875" s="2" t="s">
        <v>144</v>
      </c>
      <c r="I875" s="2">
        <v>2</v>
      </c>
      <c r="J875" s="2">
        <v>4</v>
      </c>
      <c r="K875" s="2" t="s">
        <v>161</v>
      </c>
      <c r="L875" s="2" t="s">
        <v>154</v>
      </c>
      <c r="M875" s="2" t="b">
        <v>1</v>
      </c>
      <c r="N875" s="2" t="b">
        <v>0</v>
      </c>
      <c r="O875" s="2">
        <v>7.5</v>
      </c>
      <c r="P875" s="2">
        <v>0.5</v>
      </c>
      <c r="Q875" s="2" t="s">
        <v>155</v>
      </c>
      <c r="R875" s="2" t="s">
        <v>147</v>
      </c>
      <c r="S875" s="2">
        <v>9.6</v>
      </c>
      <c r="T875" s="2">
        <v>20.399999999999999</v>
      </c>
      <c r="U875" s="2" t="b">
        <v>0</v>
      </c>
      <c r="V875" s="2">
        <v>4</v>
      </c>
      <c r="W875" s="2">
        <v>1</v>
      </c>
      <c r="X875" s="2">
        <v>20</v>
      </c>
      <c r="Y875" s="2">
        <v>29.948453608247419</v>
      </c>
    </row>
    <row r="876" spans="1:25" hidden="1">
      <c r="A876" s="2" t="s">
        <v>1141</v>
      </c>
      <c r="B876" s="2" t="s">
        <v>149</v>
      </c>
      <c r="C876" s="2" t="s">
        <v>712</v>
      </c>
      <c r="D876" s="3">
        <v>46081.770833333343</v>
      </c>
      <c r="E876" s="3">
        <v>46081.791666666657</v>
      </c>
      <c r="F876" s="2">
        <v>30</v>
      </c>
      <c r="G876" s="2" t="s">
        <v>143</v>
      </c>
      <c r="H876" s="2" t="s">
        <v>1018</v>
      </c>
      <c r="I876" s="2">
        <v>3</v>
      </c>
      <c r="J876" s="2">
        <v>5</v>
      </c>
      <c r="K876" s="2" t="s">
        <v>143</v>
      </c>
      <c r="L876" s="2" t="s">
        <v>145</v>
      </c>
      <c r="M876" s="2" t="b">
        <v>1</v>
      </c>
      <c r="N876" s="2" t="b">
        <v>1</v>
      </c>
      <c r="O876" s="2">
        <v>6</v>
      </c>
      <c r="P876" s="2">
        <v>0.6</v>
      </c>
      <c r="Q876" s="2" t="s">
        <v>155</v>
      </c>
      <c r="R876" s="2" t="s">
        <v>147</v>
      </c>
      <c r="S876" s="2">
        <v>12</v>
      </c>
      <c r="T876" s="2">
        <v>18</v>
      </c>
      <c r="U876" s="2" t="b">
        <v>0</v>
      </c>
      <c r="V876" s="2">
        <v>6</v>
      </c>
      <c r="W876" s="2">
        <v>2</v>
      </c>
      <c r="X876" s="2">
        <v>18</v>
      </c>
      <c r="Y876" s="2">
        <v>28.186274509803919</v>
      </c>
    </row>
    <row r="877" spans="1:25" hidden="1">
      <c r="A877" s="2" t="s">
        <v>1142</v>
      </c>
      <c r="B877" s="2" t="s">
        <v>157</v>
      </c>
      <c r="C877" s="2" t="s">
        <v>693</v>
      </c>
      <c r="D877" s="3">
        <v>46082.822916666657</v>
      </c>
      <c r="E877" s="3">
        <v>46082.84375</v>
      </c>
      <c r="F877" s="2">
        <v>30</v>
      </c>
      <c r="G877" s="2" t="s">
        <v>167</v>
      </c>
      <c r="H877" s="2" t="s">
        <v>168</v>
      </c>
      <c r="I877" s="2">
        <v>5</v>
      </c>
      <c r="J877" s="2">
        <v>6</v>
      </c>
      <c r="K877" s="2" t="s">
        <v>153</v>
      </c>
      <c r="L877" s="2" t="s">
        <v>162</v>
      </c>
      <c r="M877" s="2" t="b">
        <v>1</v>
      </c>
      <c r="N877" s="2" t="b">
        <v>1</v>
      </c>
      <c r="O877" s="2">
        <v>5</v>
      </c>
      <c r="P877" s="2">
        <v>0.83333333333333337</v>
      </c>
      <c r="Q877" s="2" t="s">
        <v>163</v>
      </c>
      <c r="R877" s="2" t="s">
        <v>147</v>
      </c>
      <c r="S877" s="2">
        <v>14.4</v>
      </c>
      <c r="T877" s="2">
        <v>15.6</v>
      </c>
      <c r="U877" s="2" t="b">
        <v>0</v>
      </c>
      <c r="V877" s="2">
        <v>20</v>
      </c>
      <c r="W877" s="2">
        <v>3</v>
      </c>
      <c r="X877" s="2">
        <v>19</v>
      </c>
      <c r="Y877" s="2">
        <v>28.844221105527641</v>
      </c>
    </row>
    <row r="878" spans="1:25" hidden="1">
      <c r="A878" s="2" t="s">
        <v>1143</v>
      </c>
      <c r="B878" s="2" t="s">
        <v>173</v>
      </c>
      <c r="C878" s="2" t="s">
        <v>695</v>
      </c>
      <c r="D878" s="3">
        <v>46083.833333333343</v>
      </c>
      <c r="E878" s="3">
        <v>46083.854166666657</v>
      </c>
      <c r="F878" s="2">
        <v>30</v>
      </c>
      <c r="G878" s="2" t="s">
        <v>143</v>
      </c>
      <c r="H878" s="2" t="s">
        <v>1021</v>
      </c>
      <c r="I878" s="2">
        <v>3</v>
      </c>
      <c r="J878" s="2">
        <v>4.5</v>
      </c>
      <c r="K878" s="2" t="s">
        <v>143</v>
      </c>
      <c r="L878" s="2" t="s">
        <v>169</v>
      </c>
      <c r="M878" s="2" t="b">
        <v>1</v>
      </c>
      <c r="N878" s="2" t="b">
        <v>0</v>
      </c>
      <c r="O878" s="2">
        <v>6.666666666666667</v>
      </c>
      <c r="P878" s="2">
        <v>0.66666666666666663</v>
      </c>
      <c r="Q878" s="2" t="s">
        <v>163</v>
      </c>
      <c r="R878" s="2" t="s">
        <v>171</v>
      </c>
      <c r="S878" s="2">
        <v>10.8</v>
      </c>
      <c r="T878" s="2">
        <v>19.2</v>
      </c>
      <c r="U878" s="2" t="b">
        <v>0</v>
      </c>
      <c r="V878" s="2">
        <v>6</v>
      </c>
      <c r="W878" s="2">
        <v>2</v>
      </c>
      <c r="X878" s="2">
        <v>20</v>
      </c>
      <c r="Y878" s="2">
        <v>30.286458333333329</v>
      </c>
    </row>
    <row r="879" spans="1:25" hidden="1">
      <c r="A879" s="2" t="s">
        <v>1144</v>
      </c>
      <c r="B879" s="2" t="s">
        <v>142</v>
      </c>
      <c r="C879" s="2" t="s">
        <v>697</v>
      </c>
      <c r="D879" s="3">
        <v>46084.802083333343</v>
      </c>
      <c r="E879" s="3">
        <v>46084.822916666657</v>
      </c>
      <c r="F879" s="2">
        <v>30</v>
      </c>
      <c r="G879" s="2" t="s">
        <v>151</v>
      </c>
      <c r="H879" s="2" t="s">
        <v>657</v>
      </c>
      <c r="I879" s="2">
        <v>4</v>
      </c>
      <c r="J879" s="2">
        <v>5.5</v>
      </c>
      <c r="K879" s="2" t="s">
        <v>143</v>
      </c>
      <c r="L879" s="2" t="s">
        <v>162</v>
      </c>
      <c r="M879" s="2" t="b">
        <v>1</v>
      </c>
      <c r="N879" s="2" t="b">
        <v>0</v>
      </c>
      <c r="O879" s="2">
        <v>5.4545454545454541</v>
      </c>
      <c r="P879" s="2">
        <v>0.72727272727272729</v>
      </c>
      <c r="Q879" s="2" t="s">
        <v>163</v>
      </c>
      <c r="R879" s="2" t="s">
        <v>147</v>
      </c>
      <c r="S879" s="2">
        <v>13.2</v>
      </c>
      <c r="T879" s="2">
        <v>16.8</v>
      </c>
      <c r="U879" s="2" t="b">
        <v>0</v>
      </c>
      <c r="V879" s="2">
        <v>12</v>
      </c>
      <c r="W879" s="2">
        <v>2</v>
      </c>
      <c r="X879" s="2">
        <v>19</v>
      </c>
      <c r="Y879" s="2">
        <v>30.259433962264151</v>
      </c>
    </row>
    <row r="880" spans="1:25" hidden="1">
      <c r="A880" s="2" t="s">
        <v>1145</v>
      </c>
      <c r="B880" s="2" t="s">
        <v>165</v>
      </c>
      <c r="C880" s="2" t="s">
        <v>188</v>
      </c>
      <c r="D880" s="3">
        <v>46085.854166666657</v>
      </c>
      <c r="E880" s="3">
        <v>46085.875</v>
      </c>
      <c r="F880" s="2">
        <v>30</v>
      </c>
      <c r="G880" s="2" t="s">
        <v>143</v>
      </c>
      <c r="H880" s="2" t="s">
        <v>144</v>
      </c>
      <c r="I880" s="2">
        <v>2</v>
      </c>
      <c r="J880" s="2">
        <v>4</v>
      </c>
      <c r="K880" s="2" t="s">
        <v>161</v>
      </c>
      <c r="L880" s="2" t="s">
        <v>154</v>
      </c>
      <c r="M880" s="2" t="b">
        <v>1</v>
      </c>
      <c r="N880" s="2" t="b">
        <v>0</v>
      </c>
      <c r="O880" s="2">
        <v>7.5</v>
      </c>
      <c r="P880" s="2">
        <v>0.5</v>
      </c>
      <c r="Q880" s="2" t="s">
        <v>163</v>
      </c>
      <c r="R880" s="2" t="s">
        <v>147</v>
      </c>
      <c r="S880" s="2">
        <v>9.6</v>
      </c>
      <c r="T880" s="2">
        <v>20.399999999999999</v>
      </c>
      <c r="U880" s="2" t="b">
        <v>0</v>
      </c>
      <c r="V880" s="2">
        <v>4</v>
      </c>
      <c r="W880" s="2">
        <v>1</v>
      </c>
      <c r="X880" s="2">
        <v>20</v>
      </c>
      <c r="Y880" s="2">
        <v>29.948453608247419</v>
      </c>
    </row>
    <row r="881" spans="1:25" hidden="1">
      <c r="A881" s="2" t="s">
        <v>1146</v>
      </c>
      <c r="B881" s="2" t="s">
        <v>149</v>
      </c>
      <c r="C881" s="2" t="s">
        <v>712</v>
      </c>
      <c r="D881" s="3">
        <v>46086.75</v>
      </c>
      <c r="E881" s="3">
        <v>46086.770833333343</v>
      </c>
      <c r="F881" s="2">
        <v>30</v>
      </c>
      <c r="G881" s="2" t="s">
        <v>143</v>
      </c>
      <c r="H881" s="2" t="s">
        <v>1018</v>
      </c>
      <c r="I881" s="2">
        <v>3</v>
      </c>
      <c r="J881" s="2">
        <v>5</v>
      </c>
      <c r="K881" s="2" t="s">
        <v>143</v>
      </c>
      <c r="L881" s="2" t="s">
        <v>145</v>
      </c>
      <c r="M881" s="2" t="b">
        <v>1</v>
      </c>
      <c r="N881" s="2" t="b">
        <v>0</v>
      </c>
      <c r="O881" s="2">
        <v>6</v>
      </c>
      <c r="P881" s="2">
        <v>0.6</v>
      </c>
      <c r="Q881" s="2" t="s">
        <v>163</v>
      </c>
      <c r="R881" s="2" t="s">
        <v>147</v>
      </c>
      <c r="S881" s="2">
        <v>12</v>
      </c>
      <c r="T881" s="2">
        <v>18</v>
      </c>
      <c r="U881" s="2" t="b">
        <v>0</v>
      </c>
      <c r="V881" s="2">
        <v>6</v>
      </c>
      <c r="W881" s="2">
        <v>2</v>
      </c>
      <c r="X881" s="2">
        <v>18</v>
      </c>
      <c r="Y881" s="2">
        <v>28.186274509803919</v>
      </c>
    </row>
    <row r="882" spans="1:25" hidden="1">
      <c r="A882" s="2" t="s">
        <v>1147</v>
      </c>
      <c r="B882" s="2" t="s">
        <v>157</v>
      </c>
      <c r="C882" s="2" t="s">
        <v>693</v>
      </c>
      <c r="D882" s="3">
        <v>46087.802083333343</v>
      </c>
      <c r="E882" s="3">
        <v>46087.822916666657</v>
      </c>
      <c r="F882" s="2">
        <v>30</v>
      </c>
      <c r="G882" s="2" t="s">
        <v>167</v>
      </c>
      <c r="H882" s="2" t="s">
        <v>168</v>
      </c>
      <c r="I882" s="2">
        <v>5</v>
      </c>
      <c r="J882" s="2">
        <v>6</v>
      </c>
      <c r="K882" s="2" t="s">
        <v>153</v>
      </c>
      <c r="L882" s="2" t="s">
        <v>162</v>
      </c>
      <c r="M882" s="2" t="b">
        <v>1</v>
      </c>
      <c r="N882" s="2" t="b">
        <v>0</v>
      </c>
      <c r="O882" s="2">
        <v>5</v>
      </c>
      <c r="P882" s="2">
        <v>0.83333333333333337</v>
      </c>
      <c r="Q882" s="2" t="s">
        <v>163</v>
      </c>
      <c r="R882" s="2" t="s">
        <v>147</v>
      </c>
      <c r="S882" s="2">
        <v>14.4</v>
      </c>
      <c r="T882" s="2">
        <v>15.6</v>
      </c>
      <c r="U882" s="2" t="b">
        <v>0</v>
      </c>
      <c r="V882" s="2">
        <v>20</v>
      </c>
      <c r="W882" s="2">
        <v>3</v>
      </c>
      <c r="X882" s="2">
        <v>19</v>
      </c>
      <c r="Y882" s="2">
        <v>28.844221105527641</v>
      </c>
    </row>
    <row r="883" spans="1:25" hidden="1">
      <c r="A883" s="2" t="s">
        <v>1148</v>
      </c>
      <c r="B883" s="2" t="s">
        <v>173</v>
      </c>
      <c r="C883" s="2" t="s">
        <v>695</v>
      </c>
      <c r="D883" s="3">
        <v>46088.854166666657</v>
      </c>
      <c r="E883" s="3">
        <v>46088.875</v>
      </c>
      <c r="F883" s="2">
        <v>30</v>
      </c>
      <c r="G883" s="2" t="s">
        <v>143</v>
      </c>
      <c r="H883" s="2" t="s">
        <v>1021</v>
      </c>
      <c r="I883" s="2">
        <v>3</v>
      </c>
      <c r="J883" s="2">
        <v>4.5</v>
      </c>
      <c r="K883" s="2" t="s">
        <v>143</v>
      </c>
      <c r="L883" s="2" t="s">
        <v>169</v>
      </c>
      <c r="M883" s="2" t="b">
        <v>1</v>
      </c>
      <c r="N883" s="2" t="b">
        <v>1</v>
      </c>
      <c r="O883" s="2">
        <v>6.666666666666667</v>
      </c>
      <c r="P883" s="2">
        <v>0.66666666666666663</v>
      </c>
      <c r="Q883" s="2" t="s">
        <v>163</v>
      </c>
      <c r="R883" s="2" t="s">
        <v>171</v>
      </c>
      <c r="S883" s="2">
        <v>10.8</v>
      </c>
      <c r="T883" s="2">
        <v>19.2</v>
      </c>
      <c r="U883" s="2" t="b">
        <v>0</v>
      </c>
      <c r="V883" s="2">
        <v>6</v>
      </c>
      <c r="W883" s="2">
        <v>2</v>
      </c>
      <c r="X883" s="2">
        <v>20</v>
      </c>
      <c r="Y883" s="2">
        <v>30.286458333333329</v>
      </c>
    </row>
    <row r="884" spans="1:25" hidden="1">
      <c r="A884" s="2" t="s">
        <v>1149</v>
      </c>
      <c r="B884" s="2" t="s">
        <v>142</v>
      </c>
      <c r="C884" s="2" t="s">
        <v>697</v>
      </c>
      <c r="D884" s="3">
        <v>46089.791666666657</v>
      </c>
      <c r="E884" s="3">
        <v>46089.8125</v>
      </c>
      <c r="F884" s="2">
        <v>30</v>
      </c>
      <c r="G884" s="2" t="s">
        <v>151</v>
      </c>
      <c r="H884" s="2" t="s">
        <v>657</v>
      </c>
      <c r="I884" s="2">
        <v>4</v>
      </c>
      <c r="J884" s="2">
        <v>5.5</v>
      </c>
      <c r="K884" s="2" t="s">
        <v>143</v>
      </c>
      <c r="L884" s="2" t="s">
        <v>162</v>
      </c>
      <c r="M884" s="2" t="b">
        <v>1</v>
      </c>
      <c r="N884" s="2" t="b">
        <v>1</v>
      </c>
      <c r="O884" s="2">
        <v>5.4545454545454541</v>
      </c>
      <c r="P884" s="2">
        <v>0.72727272727272729</v>
      </c>
      <c r="Q884" s="2" t="s">
        <v>163</v>
      </c>
      <c r="R884" s="2" t="s">
        <v>147</v>
      </c>
      <c r="S884" s="2">
        <v>13.2</v>
      </c>
      <c r="T884" s="2">
        <v>16.8</v>
      </c>
      <c r="U884" s="2" t="b">
        <v>0</v>
      </c>
      <c r="V884" s="2">
        <v>12</v>
      </c>
      <c r="W884" s="2">
        <v>2</v>
      </c>
      <c r="X884" s="2">
        <v>19</v>
      </c>
      <c r="Y884" s="2">
        <v>30.259433962264151</v>
      </c>
    </row>
    <row r="885" spans="1:25" hidden="1">
      <c r="A885" s="2" t="s">
        <v>1150</v>
      </c>
      <c r="B885" s="2" t="s">
        <v>165</v>
      </c>
      <c r="C885" s="2" t="s">
        <v>188</v>
      </c>
      <c r="D885" s="3">
        <v>46090.84375</v>
      </c>
      <c r="E885" s="3">
        <v>46090.864583333343</v>
      </c>
      <c r="F885" s="2">
        <v>30</v>
      </c>
      <c r="G885" s="2" t="s">
        <v>143</v>
      </c>
      <c r="H885" s="2" t="s">
        <v>144</v>
      </c>
      <c r="I885" s="2">
        <v>2</v>
      </c>
      <c r="J885" s="2">
        <v>4</v>
      </c>
      <c r="K885" s="2" t="s">
        <v>161</v>
      </c>
      <c r="L885" s="2" t="s">
        <v>154</v>
      </c>
      <c r="M885" s="2" t="b">
        <v>1</v>
      </c>
      <c r="N885" s="2" t="b">
        <v>0</v>
      </c>
      <c r="O885" s="2">
        <v>7.5</v>
      </c>
      <c r="P885" s="2">
        <v>0.5</v>
      </c>
      <c r="Q885" s="2" t="s">
        <v>163</v>
      </c>
      <c r="R885" s="2" t="s">
        <v>147</v>
      </c>
      <c r="S885" s="2">
        <v>9.6</v>
      </c>
      <c r="T885" s="2">
        <v>20.399999999999999</v>
      </c>
      <c r="U885" s="2" t="b">
        <v>0</v>
      </c>
      <c r="V885" s="2">
        <v>4</v>
      </c>
      <c r="W885" s="2">
        <v>1</v>
      </c>
      <c r="X885" s="2">
        <v>20</v>
      </c>
      <c r="Y885" s="2">
        <v>29.948453608247419</v>
      </c>
    </row>
    <row r="886" spans="1:25" hidden="1">
      <c r="A886" s="2" t="s">
        <v>1151</v>
      </c>
      <c r="B886" s="2" t="s">
        <v>149</v>
      </c>
      <c r="C886" s="2" t="s">
        <v>712</v>
      </c>
      <c r="D886" s="3">
        <v>46091.770833333343</v>
      </c>
      <c r="E886" s="3">
        <v>46091.791666666657</v>
      </c>
      <c r="F886" s="2">
        <v>30</v>
      </c>
      <c r="G886" s="2" t="s">
        <v>143</v>
      </c>
      <c r="H886" s="2" t="s">
        <v>1018</v>
      </c>
      <c r="I886" s="2">
        <v>3</v>
      </c>
      <c r="J886" s="2">
        <v>5</v>
      </c>
      <c r="K886" s="2" t="s">
        <v>143</v>
      </c>
      <c r="L886" s="2" t="s">
        <v>145</v>
      </c>
      <c r="M886" s="2" t="b">
        <v>1</v>
      </c>
      <c r="N886" s="2" t="b">
        <v>0</v>
      </c>
      <c r="O886" s="2">
        <v>6</v>
      </c>
      <c r="P886" s="2">
        <v>0.6</v>
      </c>
      <c r="Q886" s="2" t="s">
        <v>163</v>
      </c>
      <c r="R886" s="2" t="s">
        <v>147</v>
      </c>
      <c r="S886" s="2">
        <v>12</v>
      </c>
      <c r="T886" s="2">
        <v>18</v>
      </c>
      <c r="U886" s="2" t="b">
        <v>0</v>
      </c>
      <c r="V886" s="2">
        <v>6</v>
      </c>
      <c r="W886" s="2">
        <v>2</v>
      </c>
      <c r="X886" s="2">
        <v>18</v>
      </c>
      <c r="Y886" s="2">
        <v>28.186274509803919</v>
      </c>
    </row>
    <row r="887" spans="1:25" hidden="1">
      <c r="A887" s="2" t="s">
        <v>1152</v>
      </c>
      <c r="B887" s="2" t="s">
        <v>157</v>
      </c>
      <c r="C887" s="2" t="s">
        <v>693</v>
      </c>
      <c r="D887" s="3">
        <v>46092.822916666657</v>
      </c>
      <c r="E887" s="3">
        <v>46092.84375</v>
      </c>
      <c r="F887" s="2">
        <v>30</v>
      </c>
      <c r="G887" s="2" t="s">
        <v>167</v>
      </c>
      <c r="H887" s="2" t="s">
        <v>168</v>
      </c>
      <c r="I887" s="2">
        <v>5</v>
      </c>
      <c r="J887" s="2">
        <v>6</v>
      </c>
      <c r="K887" s="2" t="s">
        <v>153</v>
      </c>
      <c r="L887" s="2" t="s">
        <v>162</v>
      </c>
      <c r="M887" s="2" t="b">
        <v>1</v>
      </c>
      <c r="N887" s="2" t="b">
        <v>0</v>
      </c>
      <c r="O887" s="2">
        <v>5</v>
      </c>
      <c r="P887" s="2">
        <v>0.83333333333333337</v>
      </c>
      <c r="Q887" s="2" t="s">
        <v>163</v>
      </c>
      <c r="R887" s="2" t="s">
        <v>147</v>
      </c>
      <c r="S887" s="2">
        <v>14.4</v>
      </c>
      <c r="T887" s="2">
        <v>15.6</v>
      </c>
      <c r="U887" s="2" t="b">
        <v>0</v>
      </c>
      <c r="V887" s="2">
        <v>20</v>
      </c>
      <c r="W887" s="2">
        <v>3</v>
      </c>
      <c r="X887" s="2">
        <v>19</v>
      </c>
      <c r="Y887" s="2">
        <v>28.844221105527641</v>
      </c>
    </row>
    <row r="888" spans="1:25" hidden="1">
      <c r="A888" s="2" t="s">
        <v>1153</v>
      </c>
      <c r="B888" s="2" t="s">
        <v>173</v>
      </c>
      <c r="C888" s="2" t="s">
        <v>695</v>
      </c>
      <c r="D888" s="3">
        <v>46093.833333333343</v>
      </c>
      <c r="E888" s="3">
        <v>46093.854166666657</v>
      </c>
      <c r="F888" s="2">
        <v>30</v>
      </c>
      <c r="G888" s="2" t="s">
        <v>143</v>
      </c>
      <c r="H888" s="2" t="s">
        <v>1021</v>
      </c>
      <c r="I888" s="2">
        <v>3</v>
      </c>
      <c r="J888" s="2">
        <v>4.5</v>
      </c>
      <c r="K888" s="2" t="s">
        <v>143</v>
      </c>
      <c r="L888" s="2" t="s">
        <v>169</v>
      </c>
      <c r="M888" s="2" t="b">
        <v>1</v>
      </c>
      <c r="N888" s="2" t="b">
        <v>0</v>
      </c>
      <c r="O888" s="2">
        <v>6.666666666666667</v>
      </c>
      <c r="P888" s="2">
        <v>0.66666666666666663</v>
      </c>
      <c r="Q888" s="2" t="s">
        <v>163</v>
      </c>
      <c r="R888" s="2" t="s">
        <v>171</v>
      </c>
      <c r="S888" s="2">
        <v>10.8</v>
      </c>
      <c r="T888" s="2">
        <v>19.2</v>
      </c>
      <c r="U888" s="2" t="b">
        <v>0</v>
      </c>
      <c r="V888" s="2">
        <v>6</v>
      </c>
      <c r="W888" s="2">
        <v>2</v>
      </c>
      <c r="X888" s="2">
        <v>20</v>
      </c>
      <c r="Y888" s="2">
        <v>30.286458333333329</v>
      </c>
    </row>
    <row r="889" spans="1:25" hidden="1">
      <c r="A889" s="2" t="s">
        <v>1154</v>
      </c>
      <c r="B889" s="2" t="s">
        <v>142</v>
      </c>
      <c r="C889" s="2" t="s">
        <v>697</v>
      </c>
      <c r="D889" s="3">
        <v>46094.802083333343</v>
      </c>
      <c r="E889" s="3">
        <v>46094.822916666657</v>
      </c>
      <c r="F889" s="2">
        <v>30</v>
      </c>
      <c r="G889" s="2" t="s">
        <v>151</v>
      </c>
      <c r="H889" s="2" t="s">
        <v>657</v>
      </c>
      <c r="I889" s="2">
        <v>4</v>
      </c>
      <c r="J889" s="2">
        <v>5.5</v>
      </c>
      <c r="K889" s="2" t="s">
        <v>143</v>
      </c>
      <c r="L889" s="2" t="s">
        <v>162</v>
      </c>
      <c r="M889" s="2" t="b">
        <v>1</v>
      </c>
      <c r="N889" s="2" t="b">
        <v>0</v>
      </c>
      <c r="O889" s="2">
        <v>5.4545454545454541</v>
      </c>
      <c r="P889" s="2">
        <v>0.72727272727272729</v>
      </c>
      <c r="Q889" s="2" t="s">
        <v>163</v>
      </c>
      <c r="R889" s="2" t="s">
        <v>147</v>
      </c>
      <c r="S889" s="2">
        <v>13.2</v>
      </c>
      <c r="T889" s="2">
        <v>16.8</v>
      </c>
      <c r="U889" s="2" t="b">
        <v>0</v>
      </c>
      <c r="V889" s="2">
        <v>12</v>
      </c>
      <c r="W889" s="2">
        <v>2</v>
      </c>
      <c r="X889" s="2">
        <v>19</v>
      </c>
      <c r="Y889" s="2">
        <v>30.259433962264151</v>
      </c>
    </row>
    <row r="890" spans="1:25" hidden="1">
      <c r="A890" s="2" t="s">
        <v>1155</v>
      </c>
      <c r="B890" s="2" t="s">
        <v>165</v>
      </c>
      <c r="C890" s="2" t="s">
        <v>188</v>
      </c>
      <c r="D890" s="3">
        <v>46095.854166666657</v>
      </c>
      <c r="E890" s="3">
        <v>46095.875</v>
      </c>
      <c r="F890" s="2">
        <v>30</v>
      </c>
      <c r="G890" s="2" t="s">
        <v>143</v>
      </c>
      <c r="H890" s="2" t="s">
        <v>144</v>
      </c>
      <c r="I890" s="2">
        <v>2</v>
      </c>
      <c r="J890" s="2">
        <v>4</v>
      </c>
      <c r="K890" s="2" t="s">
        <v>161</v>
      </c>
      <c r="L890" s="2" t="s">
        <v>154</v>
      </c>
      <c r="M890" s="2" t="b">
        <v>1</v>
      </c>
      <c r="N890" s="2" t="b">
        <v>1</v>
      </c>
      <c r="O890" s="2">
        <v>7.5</v>
      </c>
      <c r="P890" s="2">
        <v>0.5</v>
      </c>
      <c r="Q890" s="2" t="s">
        <v>163</v>
      </c>
      <c r="R890" s="2" t="s">
        <v>147</v>
      </c>
      <c r="S890" s="2">
        <v>9.6</v>
      </c>
      <c r="T890" s="2">
        <v>20.399999999999999</v>
      </c>
      <c r="U890" s="2" t="b">
        <v>0</v>
      </c>
      <c r="V890" s="2">
        <v>4</v>
      </c>
      <c r="W890" s="2">
        <v>1</v>
      </c>
      <c r="X890" s="2">
        <v>20</v>
      </c>
      <c r="Y890" s="2">
        <v>29.948453608247419</v>
      </c>
    </row>
    <row r="891" spans="1:25" hidden="1">
      <c r="A891" s="2" t="s">
        <v>1156</v>
      </c>
      <c r="B891" s="2" t="s">
        <v>149</v>
      </c>
      <c r="C891" s="2" t="s">
        <v>712</v>
      </c>
      <c r="D891" s="3">
        <v>46096.75</v>
      </c>
      <c r="E891" s="3">
        <v>46096.770833333343</v>
      </c>
      <c r="F891" s="2">
        <v>30</v>
      </c>
      <c r="G891" s="2" t="s">
        <v>143</v>
      </c>
      <c r="H891" s="2" t="s">
        <v>1018</v>
      </c>
      <c r="I891" s="2">
        <v>3</v>
      </c>
      <c r="J891" s="2">
        <v>5</v>
      </c>
      <c r="K891" s="2" t="s">
        <v>143</v>
      </c>
      <c r="L891" s="2" t="s">
        <v>145</v>
      </c>
      <c r="M891" s="2" t="b">
        <v>1</v>
      </c>
      <c r="N891" s="2" t="b">
        <v>1</v>
      </c>
      <c r="O891" s="2">
        <v>6</v>
      </c>
      <c r="P891" s="2">
        <v>0.6</v>
      </c>
      <c r="Q891" s="2" t="s">
        <v>163</v>
      </c>
      <c r="R891" s="2" t="s">
        <v>147</v>
      </c>
      <c r="S891" s="2">
        <v>12</v>
      </c>
      <c r="T891" s="2">
        <v>18</v>
      </c>
      <c r="U891" s="2" t="b">
        <v>0</v>
      </c>
      <c r="V891" s="2">
        <v>6</v>
      </c>
      <c r="W891" s="2">
        <v>2</v>
      </c>
      <c r="X891" s="2">
        <v>18</v>
      </c>
      <c r="Y891" s="2">
        <v>28.186274509803919</v>
      </c>
    </row>
    <row r="892" spans="1:25" hidden="1">
      <c r="A892" s="2" t="s">
        <v>1157</v>
      </c>
      <c r="B892" s="2" t="s">
        <v>157</v>
      </c>
      <c r="C892" s="2" t="s">
        <v>693</v>
      </c>
      <c r="D892" s="3">
        <v>46097.802083333343</v>
      </c>
      <c r="E892" s="3">
        <v>46097.822916666657</v>
      </c>
      <c r="F892" s="2">
        <v>30</v>
      </c>
      <c r="G892" s="2" t="s">
        <v>167</v>
      </c>
      <c r="H892" s="2" t="s">
        <v>168</v>
      </c>
      <c r="I892" s="2">
        <v>5</v>
      </c>
      <c r="J892" s="2">
        <v>6</v>
      </c>
      <c r="K892" s="2" t="s">
        <v>153</v>
      </c>
      <c r="L892" s="2" t="s">
        <v>162</v>
      </c>
      <c r="M892" s="2" t="b">
        <v>1</v>
      </c>
      <c r="N892" s="2" t="b">
        <v>0</v>
      </c>
      <c r="O892" s="2">
        <v>5</v>
      </c>
      <c r="P892" s="2">
        <v>0.83333333333333337</v>
      </c>
      <c r="Q892" s="2" t="s">
        <v>163</v>
      </c>
      <c r="R892" s="2" t="s">
        <v>147</v>
      </c>
      <c r="S892" s="2">
        <v>14.4</v>
      </c>
      <c r="T892" s="2">
        <v>15.6</v>
      </c>
      <c r="U892" s="2" t="b">
        <v>0</v>
      </c>
      <c r="V892" s="2">
        <v>20</v>
      </c>
      <c r="W892" s="2">
        <v>3</v>
      </c>
      <c r="X892" s="2">
        <v>19</v>
      </c>
      <c r="Y892" s="2">
        <v>28.844221105527641</v>
      </c>
    </row>
    <row r="893" spans="1:25" hidden="1">
      <c r="A893" s="2" t="s">
        <v>1158</v>
      </c>
      <c r="B893" s="2" t="s">
        <v>173</v>
      </c>
      <c r="C893" s="2" t="s">
        <v>695</v>
      </c>
      <c r="D893" s="3">
        <v>46098.854166666657</v>
      </c>
      <c r="E893" s="3">
        <v>46098.875</v>
      </c>
      <c r="F893" s="2">
        <v>30</v>
      </c>
      <c r="G893" s="2" t="s">
        <v>143</v>
      </c>
      <c r="H893" s="2" t="s">
        <v>1021</v>
      </c>
      <c r="I893" s="2">
        <v>3</v>
      </c>
      <c r="J893" s="2">
        <v>4.5</v>
      </c>
      <c r="K893" s="2" t="s">
        <v>143</v>
      </c>
      <c r="L893" s="2" t="s">
        <v>169</v>
      </c>
      <c r="M893" s="2" t="b">
        <v>1</v>
      </c>
      <c r="N893" s="2" t="b">
        <v>0</v>
      </c>
      <c r="O893" s="2">
        <v>6.666666666666667</v>
      </c>
      <c r="P893" s="2">
        <v>0.66666666666666663</v>
      </c>
      <c r="Q893" s="2" t="s">
        <v>163</v>
      </c>
      <c r="R893" s="2" t="s">
        <v>171</v>
      </c>
      <c r="S893" s="2">
        <v>10.8</v>
      </c>
      <c r="T893" s="2">
        <v>19.2</v>
      </c>
      <c r="U893" s="2" t="b">
        <v>0</v>
      </c>
      <c r="V893" s="2">
        <v>6</v>
      </c>
      <c r="W893" s="2">
        <v>2</v>
      </c>
      <c r="X893" s="2">
        <v>20</v>
      </c>
      <c r="Y893" s="2">
        <v>30.286458333333329</v>
      </c>
    </row>
    <row r="894" spans="1:25" hidden="1">
      <c r="A894" s="2" t="s">
        <v>1159</v>
      </c>
      <c r="B894" s="2" t="s">
        <v>149</v>
      </c>
      <c r="C894" s="2" t="s">
        <v>712</v>
      </c>
      <c r="D894" s="3">
        <v>46099.75</v>
      </c>
      <c r="E894" s="3">
        <v>46099.770833333343</v>
      </c>
      <c r="F894" s="2">
        <v>30</v>
      </c>
      <c r="G894" s="2" t="s">
        <v>143</v>
      </c>
      <c r="H894" s="2" t="s">
        <v>1018</v>
      </c>
      <c r="I894" s="2">
        <v>3</v>
      </c>
      <c r="J894" s="2">
        <v>5</v>
      </c>
      <c r="K894" s="2" t="s">
        <v>143</v>
      </c>
      <c r="L894" s="2" t="s">
        <v>162</v>
      </c>
      <c r="M894" s="2" t="b">
        <v>1</v>
      </c>
      <c r="N894" s="2" t="b">
        <v>0</v>
      </c>
      <c r="O894" s="2">
        <v>6</v>
      </c>
      <c r="P894" s="2">
        <v>0.6</v>
      </c>
      <c r="Q894" s="2" t="s">
        <v>163</v>
      </c>
      <c r="R894" s="2" t="s">
        <v>147</v>
      </c>
      <c r="S894" s="2">
        <v>12</v>
      </c>
      <c r="T894" s="2">
        <v>18</v>
      </c>
      <c r="U894" s="2" t="b">
        <v>0</v>
      </c>
      <c r="V894" s="2">
        <v>6</v>
      </c>
      <c r="W894" s="2">
        <v>2</v>
      </c>
      <c r="X894" s="2">
        <v>18</v>
      </c>
      <c r="Y894" s="2">
        <v>28.186274509803919</v>
      </c>
    </row>
    <row r="895" spans="1:25" hidden="1">
      <c r="A895" s="2" t="s">
        <v>1160</v>
      </c>
      <c r="B895" s="2" t="s">
        <v>157</v>
      </c>
      <c r="C895" s="2" t="s">
        <v>693</v>
      </c>
      <c r="D895" s="3">
        <v>46100.802083333343</v>
      </c>
      <c r="E895" s="3">
        <v>46100.822916666657</v>
      </c>
      <c r="F895" s="2">
        <v>30</v>
      </c>
      <c r="G895" s="2" t="s">
        <v>167</v>
      </c>
      <c r="H895" s="2" t="s">
        <v>168</v>
      </c>
      <c r="I895" s="2">
        <v>5</v>
      </c>
      <c r="J895" s="2">
        <v>6</v>
      </c>
      <c r="K895" s="2" t="s">
        <v>153</v>
      </c>
      <c r="L895" s="2" t="s">
        <v>145</v>
      </c>
      <c r="M895" s="2" t="b">
        <v>1</v>
      </c>
      <c r="N895" s="2" t="b">
        <v>0</v>
      </c>
      <c r="O895" s="2">
        <v>5</v>
      </c>
      <c r="P895" s="2">
        <v>0.83333333333333337</v>
      </c>
      <c r="Q895" s="2" t="s">
        <v>163</v>
      </c>
      <c r="R895" s="2" t="s">
        <v>147</v>
      </c>
      <c r="S895" s="2">
        <v>14.4</v>
      </c>
      <c r="T895" s="2">
        <v>15.6</v>
      </c>
      <c r="U895" s="2" t="b">
        <v>0</v>
      </c>
      <c r="V895" s="2">
        <v>20</v>
      </c>
      <c r="W895" s="2">
        <v>3</v>
      </c>
      <c r="X895" s="2">
        <v>19</v>
      </c>
      <c r="Y895" s="2">
        <v>28.844221105527641</v>
      </c>
    </row>
    <row r="896" spans="1:25" hidden="1">
      <c r="A896" s="2" t="s">
        <v>1161</v>
      </c>
      <c r="B896" s="2" t="s">
        <v>173</v>
      </c>
      <c r="C896" s="2" t="s">
        <v>695</v>
      </c>
      <c r="D896" s="3">
        <v>46101.854166666657</v>
      </c>
      <c r="E896" s="3">
        <v>46101.875</v>
      </c>
      <c r="F896" s="2">
        <v>30</v>
      </c>
      <c r="G896" s="2" t="s">
        <v>143</v>
      </c>
      <c r="H896" s="2" t="s">
        <v>1021</v>
      </c>
      <c r="I896" s="2">
        <v>3</v>
      </c>
      <c r="J896" s="2">
        <v>4.5</v>
      </c>
      <c r="K896" s="2" t="s">
        <v>143</v>
      </c>
      <c r="L896" s="2" t="s">
        <v>169</v>
      </c>
      <c r="M896" s="2" t="b">
        <v>1</v>
      </c>
      <c r="N896" s="2" t="b">
        <v>0</v>
      </c>
      <c r="O896" s="2">
        <v>6.666666666666667</v>
      </c>
      <c r="P896" s="2">
        <v>0.66666666666666663</v>
      </c>
      <c r="Q896" s="2" t="s">
        <v>163</v>
      </c>
      <c r="R896" s="2" t="s">
        <v>171</v>
      </c>
      <c r="S896" s="2">
        <v>10.8</v>
      </c>
      <c r="T896" s="2">
        <v>19.2</v>
      </c>
      <c r="U896" s="2" t="b">
        <v>0</v>
      </c>
      <c r="V896" s="2">
        <v>6</v>
      </c>
      <c r="W896" s="2">
        <v>2</v>
      </c>
      <c r="X896" s="2">
        <v>20</v>
      </c>
      <c r="Y896" s="2">
        <v>30.286458333333329</v>
      </c>
    </row>
    <row r="897" spans="1:25" hidden="1">
      <c r="A897" s="2" t="s">
        <v>1162</v>
      </c>
      <c r="B897" s="2" t="s">
        <v>142</v>
      </c>
      <c r="C897" s="2" t="s">
        <v>697</v>
      </c>
      <c r="D897" s="3">
        <v>46102.791666666657</v>
      </c>
      <c r="E897" s="3">
        <v>46102.8125</v>
      </c>
      <c r="F897" s="2">
        <v>30</v>
      </c>
      <c r="G897" s="2" t="s">
        <v>151</v>
      </c>
      <c r="H897" s="2" t="s">
        <v>657</v>
      </c>
      <c r="I897" s="2">
        <v>4</v>
      </c>
      <c r="J897" s="2">
        <v>5.5</v>
      </c>
      <c r="K897" s="2" t="s">
        <v>143</v>
      </c>
      <c r="L897" s="2" t="s">
        <v>162</v>
      </c>
      <c r="M897" s="2" t="b">
        <v>1</v>
      </c>
      <c r="N897" s="2" t="b">
        <v>1</v>
      </c>
      <c r="O897" s="2">
        <v>5.4545454545454541</v>
      </c>
      <c r="P897" s="2">
        <v>0.72727272727272729</v>
      </c>
      <c r="Q897" s="2" t="s">
        <v>163</v>
      </c>
      <c r="R897" s="2" t="s">
        <v>147</v>
      </c>
      <c r="S897" s="2">
        <v>13.2</v>
      </c>
      <c r="T897" s="2">
        <v>16.8</v>
      </c>
      <c r="U897" s="2" t="b">
        <v>0</v>
      </c>
      <c r="V897" s="2">
        <v>12</v>
      </c>
      <c r="W897" s="2">
        <v>2</v>
      </c>
      <c r="X897" s="2">
        <v>19</v>
      </c>
      <c r="Y897" s="2">
        <v>30.259433962264151</v>
      </c>
    </row>
    <row r="898" spans="1:25" hidden="1">
      <c r="A898" s="2" t="s">
        <v>1163</v>
      </c>
      <c r="B898" s="2" t="s">
        <v>165</v>
      </c>
      <c r="C898" s="2" t="s">
        <v>188</v>
      </c>
      <c r="D898" s="3">
        <v>46103.84375</v>
      </c>
      <c r="E898" s="3">
        <v>46103.864583333343</v>
      </c>
      <c r="F898" s="2">
        <v>30</v>
      </c>
      <c r="G898" s="2" t="s">
        <v>143</v>
      </c>
      <c r="H898" s="2" t="s">
        <v>144</v>
      </c>
      <c r="I898" s="2">
        <v>2</v>
      </c>
      <c r="J898" s="2">
        <v>4</v>
      </c>
      <c r="K898" s="2" t="s">
        <v>161</v>
      </c>
      <c r="L898" s="2" t="s">
        <v>154</v>
      </c>
      <c r="M898" s="2" t="b">
        <v>1</v>
      </c>
      <c r="N898" s="2" t="b">
        <v>1</v>
      </c>
      <c r="O898" s="2">
        <v>7.5</v>
      </c>
      <c r="P898" s="2">
        <v>0.5</v>
      </c>
      <c r="Q898" s="2" t="s">
        <v>163</v>
      </c>
      <c r="R898" s="2" t="s">
        <v>147</v>
      </c>
      <c r="S898" s="2">
        <v>9.6</v>
      </c>
      <c r="T898" s="2">
        <v>20.399999999999999</v>
      </c>
      <c r="U898" s="2" t="b">
        <v>0</v>
      </c>
      <c r="V898" s="2">
        <v>4</v>
      </c>
      <c r="W898" s="2">
        <v>1</v>
      </c>
      <c r="X898" s="2">
        <v>20</v>
      </c>
      <c r="Y898" s="2">
        <v>29.948453608247419</v>
      </c>
    </row>
    <row r="899" spans="1:25" hidden="1">
      <c r="A899" s="2" t="s">
        <v>1164</v>
      </c>
      <c r="B899" s="2" t="s">
        <v>149</v>
      </c>
      <c r="C899" s="2" t="s">
        <v>712</v>
      </c>
      <c r="D899" s="3">
        <v>46104.770833333343</v>
      </c>
      <c r="E899" s="3">
        <v>46104.791666666657</v>
      </c>
      <c r="F899" s="2">
        <v>30</v>
      </c>
      <c r="G899" s="2" t="s">
        <v>143</v>
      </c>
      <c r="H899" s="2" t="s">
        <v>1018</v>
      </c>
      <c r="I899" s="2">
        <v>3</v>
      </c>
      <c r="J899" s="2">
        <v>5</v>
      </c>
      <c r="K899" s="2" t="s">
        <v>143</v>
      </c>
      <c r="L899" s="2" t="s">
        <v>145</v>
      </c>
      <c r="M899" s="2" t="b">
        <v>1</v>
      </c>
      <c r="N899" s="2" t="b">
        <v>0</v>
      </c>
      <c r="O899" s="2">
        <v>6</v>
      </c>
      <c r="P899" s="2">
        <v>0.6</v>
      </c>
      <c r="Q899" s="2" t="s">
        <v>163</v>
      </c>
      <c r="R899" s="2" t="s">
        <v>147</v>
      </c>
      <c r="S899" s="2">
        <v>12</v>
      </c>
      <c r="T899" s="2">
        <v>18</v>
      </c>
      <c r="U899" s="2" t="b">
        <v>0</v>
      </c>
      <c r="V899" s="2">
        <v>6</v>
      </c>
      <c r="W899" s="2">
        <v>2</v>
      </c>
      <c r="X899" s="2">
        <v>18</v>
      </c>
      <c r="Y899" s="2">
        <v>28.186274509803919</v>
      </c>
    </row>
    <row r="900" spans="1:25" hidden="1">
      <c r="A900" s="2" t="s">
        <v>1165</v>
      </c>
      <c r="B900" s="2" t="s">
        <v>157</v>
      </c>
      <c r="C900" s="2" t="s">
        <v>693</v>
      </c>
      <c r="D900" s="3">
        <v>46105.822916666657</v>
      </c>
      <c r="E900" s="3">
        <v>46105.84375</v>
      </c>
      <c r="F900" s="2">
        <v>30</v>
      </c>
      <c r="G900" s="2" t="s">
        <v>167</v>
      </c>
      <c r="H900" s="2" t="s">
        <v>168</v>
      </c>
      <c r="I900" s="2">
        <v>5</v>
      </c>
      <c r="J900" s="2">
        <v>6</v>
      </c>
      <c r="K900" s="2" t="s">
        <v>153</v>
      </c>
      <c r="L900" s="2" t="s">
        <v>162</v>
      </c>
      <c r="M900" s="2" t="b">
        <v>1</v>
      </c>
      <c r="N900" s="2" t="b">
        <v>0</v>
      </c>
      <c r="O900" s="2">
        <v>5</v>
      </c>
      <c r="P900" s="2">
        <v>0.83333333333333337</v>
      </c>
      <c r="Q900" s="2" t="s">
        <v>163</v>
      </c>
      <c r="R900" s="2" t="s">
        <v>147</v>
      </c>
      <c r="S900" s="2">
        <v>14.4</v>
      </c>
      <c r="T900" s="2">
        <v>15.6</v>
      </c>
      <c r="U900" s="2" t="b">
        <v>0</v>
      </c>
      <c r="V900" s="2">
        <v>20</v>
      </c>
      <c r="W900" s="2">
        <v>3</v>
      </c>
      <c r="X900" s="2">
        <v>19</v>
      </c>
      <c r="Y900" s="2">
        <v>28.844221105527641</v>
      </c>
    </row>
    <row r="901" spans="1:25" hidden="1">
      <c r="A901" s="2" t="s">
        <v>1166</v>
      </c>
      <c r="B901" s="2" t="s">
        <v>173</v>
      </c>
      <c r="C901" s="2" t="s">
        <v>695</v>
      </c>
      <c r="D901" s="3">
        <v>46106.833333333343</v>
      </c>
      <c r="E901" s="3">
        <v>46106.854166666657</v>
      </c>
      <c r="F901" s="2">
        <v>30</v>
      </c>
      <c r="G901" s="2" t="s">
        <v>143</v>
      </c>
      <c r="H901" s="2" t="s">
        <v>1021</v>
      </c>
      <c r="I901" s="2">
        <v>3</v>
      </c>
      <c r="J901" s="2">
        <v>4.5</v>
      </c>
      <c r="K901" s="2" t="s">
        <v>143</v>
      </c>
      <c r="L901" s="2" t="s">
        <v>169</v>
      </c>
      <c r="M901" s="2" t="b">
        <v>1</v>
      </c>
      <c r="N901" s="2" t="b">
        <v>0</v>
      </c>
      <c r="O901" s="2">
        <v>6.666666666666667</v>
      </c>
      <c r="P901" s="2">
        <v>0.66666666666666663</v>
      </c>
      <c r="Q901" s="2" t="s">
        <v>163</v>
      </c>
      <c r="R901" s="2" t="s">
        <v>171</v>
      </c>
      <c r="S901" s="2">
        <v>10.8</v>
      </c>
      <c r="T901" s="2">
        <v>19.2</v>
      </c>
      <c r="U901" s="2" t="b">
        <v>0</v>
      </c>
      <c r="V901" s="2">
        <v>6</v>
      </c>
      <c r="W901" s="2">
        <v>2</v>
      </c>
      <c r="X901" s="2">
        <v>20</v>
      </c>
      <c r="Y901" s="2">
        <v>30.286458333333329</v>
      </c>
    </row>
    <row r="902" spans="1:25" hidden="1">
      <c r="A902" s="2" t="s">
        <v>1167</v>
      </c>
      <c r="B902" s="2" t="s">
        <v>142</v>
      </c>
      <c r="C902" s="2" t="s">
        <v>697</v>
      </c>
      <c r="D902" s="3">
        <v>46107.802083333343</v>
      </c>
      <c r="E902" s="3">
        <v>46107.822916666657</v>
      </c>
      <c r="F902" s="2">
        <v>30</v>
      </c>
      <c r="G902" s="2" t="s">
        <v>151</v>
      </c>
      <c r="H902" s="2" t="s">
        <v>657</v>
      </c>
      <c r="I902" s="2">
        <v>4</v>
      </c>
      <c r="J902" s="2">
        <v>5.5</v>
      </c>
      <c r="K902" s="2" t="s">
        <v>143</v>
      </c>
      <c r="L902" s="2" t="s">
        <v>162</v>
      </c>
      <c r="M902" s="2" t="b">
        <v>1</v>
      </c>
      <c r="N902" s="2" t="b">
        <v>0</v>
      </c>
      <c r="O902" s="2">
        <v>5.4545454545454541</v>
      </c>
      <c r="P902" s="2">
        <v>0.72727272727272729</v>
      </c>
      <c r="Q902" s="2" t="s">
        <v>163</v>
      </c>
      <c r="R902" s="2" t="s">
        <v>147</v>
      </c>
      <c r="S902" s="2">
        <v>13.2</v>
      </c>
      <c r="T902" s="2">
        <v>16.8</v>
      </c>
      <c r="U902" s="2" t="b">
        <v>0</v>
      </c>
      <c r="V902" s="2">
        <v>12</v>
      </c>
      <c r="W902" s="2">
        <v>2</v>
      </c>
      <c r="X902" s="2">
        <v>19</v>
      </c>
      <c r="Y902" s="2">
        <v>30.259433962264151</v>
      </c>
    </row>
    <row r="903" spans="1:25" hidden="1">
      <c r="A903" s="2" t="s">
        <v>1168</v>
      </c>
      <c r="B903" s="2" t="s">
        <v>165</v>
      </c>
      <c r="C903" s="2" t="s">
        <v>188</v>
      </c>
      <c r="D903" s="3">
        <v>46108.854166666657</v>
      </c>
      <c r="E903" s="3">
        <v>46108.875</v>
      </c>
      <c r="F903" s="2">
        <v>30</v>
      </c>
      <c r="G903" s="2" t="s">
        <v>143</v>
      </c>
      <c r="H903" s="2" t="s">
        <v>144</v>
      </c>
      <c r="I903" s="2">
        <v>2</v>
      </c>
      <c r="J903" s="2">
        <v>4</v>
      </c>
      <c r="K903" s="2" t="s">
        <v>161</v>
      </c>
      <c r="L903" s="2" t="s">
        <v>154</v>
      </c>
      <c r="M903" s="2" t="b">
        <v>1</v>
      </c>
      <c r="N903" s="2" t="b">
        <v>0</v>
      </c>
      <c r="O903" s="2">
        <v>7.5</v>
      </c>
      <c r="P903" s="2">
        <v>0.5</v>
      </c>
      <c r="Q903" s="2" t="s">
        <v>163</v>
      </c>
      <c r="R903" s="2" t="s">
        <v>147</v>
      </c>
      <c r="S903" s="2">
        <v>9.6</v>
      </c>
      <c r="T903" s="2">
        <v>20.399999999999999</v>
      </c>
      <c r="U903" s="2" t="b">
        <v>0</v>
      </c>
      <c r="V903" s="2">
        <v>4</v>
      </c>
      <c r="W903" s="2">
        <v>1</v>
      </c>
      <c r="X903" s="2">
        <v>20</v>
      </c>
      <c r="Y903" s="2">
        <v>29.948453608247419</v>
      </c>
    </row>
    <row r="904" spans="1:25" hidden="1">
      <c r="A904" s="2" t="s">
        <v>1169</v>
      </c>
      <c r="B904" s="2" t="s">
        <v>149</v>
      </c>
      <c r="C904" s="2" t="s">
        <v>712</v>
      </c>
      <c r="D904" s="3">
        <v>46109.75</v>
      </c>
      <c r="E904" s="3">
        <v>46109.770833333343</v>
      </c>
      <c r="F904" s="2">
        <v>30</v>
      </c>
      <c r="G904" s="2" t="s">
        <v>143</v>
      </c>
      <c r="H904" s="2" t="s">
        <v>1018</v>
      </c>
      <c r="I904" s="2">
        <v>3</v>
      </c>
      <c r="J904" s="2">
        <v>5</v>
      </c>
      <c r="K904" s="2" t="s">
        <v>143</v>
      </c>
      <c r="L904" s="2" t="s">
        <v>145</v>
      </c>
      <c r="M904" s="2" t="b">
        <v>1</v>
      </c>
      <c r="N904" s="2" t="b">
        <v>1</v>
      </c>
      <c r="O904" s="2">
        <v>6</v>
      </c>
      <c r="P904" s="2">
        <v>0.6</v>
      </c>
      <c r="Q904" s="2" t="s">
        <v>163</v>
      </c>
      <c r="R904" s="2" t="s">
        <v>147</v>
      </c>
      <c r="S904" s="2">
        <v>12</v>
      </c>
      <c r="T904" s="2">
        <v>18</v>
      </c>
      <c r="U904" s="2" t="b">
        <v>0</v>
      </c>
      <c r="V904" s="2">
        <v>6</v>
      </c>
      <c r="W904" s="2">
        <v>2</v>
      </c>
      <c r="X904" s="2">
        <v>18</v>
      </c>
      <c r="Y904" s="2">
        <v>28.186274509803919</v>
      </c>
    </row>
    <row r="905" spans="1:25" hidden="1">
      <c r="A905" s="2" t="s">
        <v>1170</v>
      </c>
      <c r="B905" s="2" t="s">
        <v>157</v>
      </c>
      <c r="C905" s="2" t="s">
        <v>693</v>
      </c>
      <c r="D905" s="3">
        <v>46110.802083333343</v>
      </c>
      <c r="E905" s="3">
        <v>46110.822916666657</v>
      </c>
      <c r="F905" s="2">
        <v>30</v>
      </c>
      <c r="G905" s="2" t="s">
        <v>167</v>
      </c>
      <c r="H905" s="2" t="s">
        <v>168</v>
      </c>
      <c r="I905" s="2">
        <v>5</v>
      </c>
      <c r="J905" s="2">
        <v>6</v>
      </c>
      <c r="K905" s="2" t="s">
        <v>153</v>
      </c>
      <c r="L905" s="2" t="s">
        <v>162</v>
      </c>
      <c r="M905" s="2" t="b">
        <v>1</v>
      </c>
      <c r="N905" s="2" t="b">
        <v>1</v>
      </c>
      <c r="O905" s="2">
        <v>5</v>
      </c>
      <c r="P905" s="2">
        <v>0.83333333333333337</v>
      </c>
      <c r="Q905" s="2" t="s">
        <v>163</v>
      </c>
      <c r="R905" s="2" t="s">
        <v>147</v>
      </c>
      <c r="S905" s="2">
        <v>14.4</v>
      </c>
      <c r="T905" s="2">
        <v>15.6</v>
      </c>
      <c r="U905" s="2" t="b">
        <v>0</v>
      </c>
      <c r="V905" s="2">
        <v>20</v>
      </c>
      <c r="W905" s="2">
        <v>3</v>
      </c>
      <c r="X905" s="2">
        <v>19</v>
      </c>
      <c r="Y905" s="2">
        <v>28.844221105527641</v>
      </c>
    </row>
    <row r="906" spans="1:25" hidden="1">
      <c r="A906" s="2" t="s">
        <v>1171</v>
      </c>
      <c r="B906" s="2" t="s">
        <v>173</v>
      </c>
      <c r="C906" s="2" t="s">
        <v>695</v>
      </c>
      <c r="D906" s="3">
        <v>46111.854166666657</v>
      </c>
      <c r="E906" s="3">
        <v>46111.875</v>
      </c>
      <c r="F906" s="2">
        <v>30</v>
      </c>
      <c r="G906" s="2" t="s">
        <v>143</v>
      </c>
      <c r="H906" s="2" t="s">
        <v>1021</v>
      </c>
      <c r="I906" s="2">
        <v>3</v>
      </c>
      <c r="J906" s="2">
        <v>4.5</v>
      </c>
      <c r="K906" s="2" t="s">
        <v>143</v>
      </c>
      <c r="L906" s="2" t="s">
        <v>169</v>
      </c>
      <c r="M906" s="2" t="b">
        <v>1</v>
      </c>
      <c r="N906" s="2" t="b">
        <v>0</v>
      </c>
      <c r="O906" s="2">
        <v>6.666666666666667</v>
      </c>
      <c r="P906" s="2">
        <v>0.66666666666666663</v>
      </c>
      <c r="Q906" s="2" t="s">
        <v>163</v>
      </c>
      <c r="R906" s="2" t="s">
        <v>171</v>
      </c>
      <c r="S906" s="2">
        <v>10.8</v>
      </c>
      <c r="T906" s="2">
        <v>19.2</v>
      </c>
      <c r="U906" s="2" t="b">
        <v>0</v>
      </c>
      <c r="V906" s="2">
        <v>6</v>
      </c>
      <c r="W906" s="2">
        <v>2</v>
      </c>
      <c r="X906" s="2">
        <v>20</v>
      </c>
      <c r="Y906" s="2">
        <v>30.286458333333329</v>
      </c>
    </row>
    <row r="907" spans="1:25" hidden="1">
      <c r="A907" s="2" t="s">
        <v>1172</v>
      </c>
      <c r="B907" s="2" t="s">
        <v>142</v>
      </c>
      <c r="C907" s="2" t="s">
        <v>697</v>
      </c>
      <c r="D907" s="3">
        <v>46112.791666666657</v>
      </c>
      <c r="E907" s="3">
        <v>46112.8125</v>
      </c>
      <c r="F907" s="2">
        <v>30</v>
      </c>
      <c r="G907" s="2" t="s">
        <v>151</v>
      </c>
      <c r="H907" s="2" t="s">
        <v>657</v>
      </c>
      <c r="I907" s="2">
        <v>4</v>
      </c>
      <c r="J907" s="2">
        <v>5.5</v>
      </c>
      <c r="K907" s="2" t="s">
        <v>143</v>
      </c>
      <c r="L907" s="2" t="s">
        <v>162</v>
      </c>
      <c r="M907" s="2" t="b">
        <v>1</v>
      </c>
      <c r="N907" s="2" t="b">
        <v>0</v>
      </c>
      <c r="O907" s="2">
        <v>5.4545454545454541</v>
      </c>
      <c r="P907" s="2">
        <v>0.72727272727272729</v>
      </c>
      <c r="Q907" s="2" t="s">
        <v>163</v>
      </c>
      <c r="R907" s="2" t="s">
        <v>147</v>
      </c>
      <c r="S907" s="2">
        <v>13.2</v>
      </c>
      <c r="T907" s="2">
        <v>16.8</v>
      </c>
      <c r="U907" s="2" t="b">
        <v>0</v>
      </c>
      <c r="V907" s="2">
        <v>12</v>
      </c>
      <c r="W907" s="2">
        <v>2</v>
      </c>
      <c r="X907" s="2">
        <v>19</v>
      </c>
      <c r="Y907" s="2">
        <v>30.259433962264151</v>
      </c>
    </row>
    <row r="908" spans="1:25" hidden="1">
      <c r="A908" s="2" t="s">
        <v>1173</v>
      </c>
      <c r="B908" s="2" t="s">
        <v>165</v>
      </c>
      <c r="C908" s="2" t="s">
        <v>188</v>
      </c>
      <c r="D908" s="3">
        <v>46113.84375</v>
      </c>
      <c r="E908" s="3">
        <v>46113.864583333343</v>
      </c>
      <c r="F908" s="2">
        <v>30</v>
      </c>
      <c r="G908" s="2" t="s">
        <v>143</v>
      </c>
      <c r="H908" s="2" t="s">
        <v>144</v>
      </c>
      <c r="I908" s="2">
        <v>2</v>
      </c>
      <c r="J908" s="2">
        <v>4</v>
      </c>
      <c r="K908" s="2" t="s">
        <v>161</v>
      </c>
      <c r="L908" s="2" t="s">
        <v>154</v>
      </c>
      <c r="M908" s="2" t="b">
        <v>1</v>
      </c>
      <c r="N908" s="2" t="b">
        <v>0</v>
      </c>
      <c r="O908" s="2">
        <v>7.5</v>
      </c>
      <c r="P908" s="2">
        <v>0.5</v>
      </c>
      <c r="Q908" s="2" t="s">
        <v>170</v>
      </c>
      <c r="R908" s="2" t="s">
        <v>147</v>
      </c>
      <c r="S908" s="2">
        <v>9.6</v>
      </c>
      <c r="T908" s="2">
        <v>20.399999999999999</v>
      </c>
      <c r="U908" s="2" t="b">
        <v>0</v>
      </c>
      <c r="V908" s="2">
        <v>4</v>
      </c>
      <c r="W908" s="2">
        <v>1</v>
      </c>
      <c r="X908" s="2">
        <v>20</v>
      </c>
      <c r="Y908" s="2">
        <v>29.948453608247419</v>
      </c>
    </row>
    <row r="909" spans="1:25" hidden="1">
      <c r="A909" s="2" t="s">
        <v>1174</v>
      </c>
      <c r="B909" s="2" t="s">
        <v>149</v>
      </c>
      <c r="C909" s="2" t="s">
        <v>712</v>
      </c>
      <c r="D909" s="3">
        <v>46114.770833333343</v>
      </c>
      <c r="E909" s="3">
        <v>46114.791666666657</v>
      </c>
      <c r="F909" s="2">
        <v>30</v>
      </c>
      <c r="G909" s="2" t="s">
        <v>143</v>
      </c>
      <c r="H909" s="2" t="s">
        <v>1018</v>
      </c>
      <c r="I909" s="2">
        <v>3</v>
      </c>
      <c r="J909" s="2">
        <v>5</v>
      </c>
      <c r="K909" s="2" t="s">
        <v>143</v>
      </c>
      <c r="L909" s="2" t="s">
        <v>145</v>
      </c>
      <c r="M909" s="2" t="b">
        <v>1</v>
      </c>
      <c r="N909" s="2" t="b">
        <v>0</v>
      </c>
      <c r="O909" s="2">
        <v>6</v>
      </c>
      <c r="P909" s="2">
        <v>0.6</v>
      </c>
      <c r="Q909" s="2" t="s">
        <v>170</v>
      </c>
      <c r="R909" s="2" t="s">
        <v>147</v>
      </c>
      <c r="S909" s="2">
        <v>12</v>
      </c>
      <c r="T909" s="2">
        <v>18</v>
      </c>
      <c r="U909" s="2" t="b">
        <v>0</v>
      </c>
      <c r="V909" s="2">
        <v>6</v>
      </c>
      <c r="W909" s="2">
        <v>2</v>
      </c>
      <c r="X909" s="2">
        <v>18</v>
      </c>
      <c r="Y909" s="2">
        <v>28.186274509803919</v>
      </c>
    </row>
    <row r="910" spans="1:25" hidden="1">
      <c r="A910" s="2" t="s">
        <v>1175</v>
      </c>
      <c r="B910" s="2" t="s">
        <v>157</v>
      </c>
      <c r="C910" s="2" t="s">
        <v>693</v>
      </c>
      <c r="D910" s="3">
        <v>46115.822916666657</v>
      </c>
      <c r="E910" s="3">
        <v>46115.84375</v>
      </c>
      <c r="F910" s="2">
        <v>30</v>
      </c>
      <c r="G910" s="2" t="s">
        <v>167</v>
      </c>
      <c r="H910" s="2" t="s">
        <v>168</v>
      </c>
      <c r="I910" s="2">
        <v>5</v>
      </c>
      <c r="J910" s="2">
        <v>6</v>
      </c>
      <c r="K910" s="2" t="s">
        <v>153</v>
      </c>
      <c r="L910" s="2" t="s">
        <v>162</v>
      </c>
      <c r="M910" s="2" t="b">
        <v>1</v>
      </c>
      <c r="N910" s="2" t="b">
        <v>0</v>
      </c>
      <c r="O910" s="2">
        <v>5</v>
      </c>
      <c r="P910" s="2">
        <v>0.83333333333333337</v>
      </c>
      <c r="Q910" s="2" t="s">
        <v>170</v>
      </c>
      <c r="R910" s="2" t="s">
        <v>147</v>
      </c>
      <c r="S910" s="2">
        <v>14.4</v>
      </c>
      <c r="T910" s="2">
        <v>15.6</v>
      </c>
      <c r="U910" s="2" t="b">
        <v>0</v>
      </c>
      <c r="V910" s="2">
        <v>20</v>
      </c>
      <c r="W910" s="2">
        <v>3</v>
      </c>
      <c r="X910" s="2">
        <v>19</v>
      </c>
      <c r="Y910" s="2">
        <v>28.844221105527641</v>
      </c>
    </row>
    <row r="911" spans="1:25" hidden="1">
      <c r="A911" s="2" t="s">
        <v>1176</v>
      </c>
      <c r="B911" s="2" t="s">
        <v>173</v>
      </c>
      <c r="C911" s="2" t="s">
        <v>695</v>
      </c>
      <c r="D911" s="3">
        <v>46116.833333333343</v>
      </c>
      <c r="E911" s="3">
        <v>46116.854166666657</v>
      </c>
      <c r="F911" s="2">
        <v>30</v>
      </c>
      <c r="G911" s="2" t="s">
        <v>143</v>
      </c>
      <c r="H911" s="2" t="s">
        <v>1021</v>
      </c>
      <c r="I911" s="2">
        <v>3</v>
      </c>
      <c r="J911" s="2">
        <v>4.5</v>
      </c>
      <c r="K911" s="2" t="s">
        <v>143</v>
      </c>
      <c r="L911" s="2" t="s">
        <v>169</v>
      </c>
      <c r="M911" s="2" t="b">
        <v>1</v>
      </c>
      <c r="N911" s="2" t="b">
        <v>1</v>
      </c>
      <c r="O911" s="2">
        <v>6.666666666666667</v>
      </c>
      <c r="P911" s="2">
        <v>0.66666666666666663</v>
      </c>
      <c r="Q911" s="2" t="s">
        <v>170</v>
      </c>
      <c r="R911" s="2" t="s">
        <v>171</v>
      </c>
      <c r="S911" s="2">
        <v>10.8</v>
      </c>
      <c r="T911" s="2">
        <v>19.2</v>
      </c>
      <c r="U911" s="2" t="b">
        <v>0</v>
      </c>
      <c r="V911" s="2">
        <v>6</v>
      </c>
      <c r="W911" s="2">
        <v>2</v>
      </c>
      <c r="X911" s="2">
        <v>20</v>
      </c>
      <c r="Y911" s="2">
        <v>30.286458333333329</v>
      </c>
    </row>
    <row r="912" spans="1:25" hidden="1">
      <c r="A912" s="2" t="s">
        <v>1177</v>
      </c>
      <c r="B912" s="2" t="s">
        <v>142</v>
      </c>
      <c r="C912" s="2" t="s">
        <v>697</v>
      </c>
      <c r="D912" s="3">
        <v>46117.802083333343</v>
      </c>
      <c r="E912" s="3">
        <v>46117.822916666657</v>
      </c>
      <c r="F912" s="2">
        <v>30</v>
      </c>
      <c r="G912" s="2" t="s">
        <v>151</v>
      </c>
      <c r="H912" s="2" t="s">
        <v>657</v>
      </c>
      <c r="I912" s="2">
        <v>4</v>
      </c>
      <c r="J912" s="2">
        <v>5.5</v>
      </c>
      <c r="K912" s="2" t="s">
        <v>143</v>
      </c>
      <c r="L912" s="2" t="s">
        <v>162</v>
      </c>
      <c r="M912" s="2" t="b">
        <v>1</v>
      </c>
      <c r="N912" s="2" t="b">
        <v>1</v>
      </c>
      <c r="O912" s="2">
        <v>5.4545454545454541</v>
      </c>
      <c r="P912" s="2">
        <v>0.72727272727272729</v>
      </c>
      <c r="Q912" s="2" t="s">
        <v>170</v>
      </c>
      <c r="R912" s="2" t="s">
        <v>147</v>
      </c>
      <c r="S912" s="2">
        <v>13.2</v>
      </c>
      <c r="T912" s="2">
        <v>16.8</v>
      </c>
      <c r="U912" s="2" t="b">
        <v>0</v>
      </c>
      <c r="V912" s="2">
        <v>12</v>
      </c>
      <c r="W912" s="2">
        <v>2</v>
      </c>
      <c r="X912" s="2">
        <v>19</v>
      </c>
      <c r="Y912" s="2">
        <v>30.259433962264151</v>
      </c>
    </row>
    <row r="913" spans="1:25" hidden="1">
      <c r="A913" s="2" t="s">
        <v>1178</v>
      </c>
      <c r="B913" s="2" t="s">
        <v>165</v>
      </c>
      <c r="C913" s="2" t="s">
        <v>188</v>
      </c>
      <c r="D913" s="3">
        <v>46118.854166666657</v>
      </c>
      <c r="E913" s="3">
        <v>46118.875</v>
      </c>
      <c r="F913" s="2">
        <v>30</v>
      </c>
      <c r="G913" s="2" t="s">
        <v>143</v>
      </c>
      <c r="H913" s="2" t="s">
        <v>144</v>
      </c>
      <c r="I913" s="2">
        <v>2</v>
      </c>
      <c r="J913" s="2">
        <v>4</v>
      </c>
      <c r="K913" s="2" t="s">
        <v>161</v>
      </c>
      <c r="L913" s="2" t="s">
        <v>154</v>
      </c>
      <c r="M913" s="2" t="b">
        <v>1</v>
      </c>
      <c r="N913" s="2" t="b">
        <v>0</v>
      </c>
      <c r="O913" s="2">
        <v>7.5</v>
      </c>
      <c r="P913" s="2">
        <v>0.5</v>
      </c>
      <c r="Q913" s="2" t="s">
        <v>170</v>
      </c>
      <c r="R913" s="2" t="s">
        <v>147</v>
      </c>
      <c r="S913" s="2">
        <v>9.6</v>
      </c>
      <c r="T913" s="2">
        <v>20.399999999999999</v>
      </c>
      <c r="U913" s="2" t="b">
        <v>0</v>
      </c>
      <c r="V913" s="2">
        <v>4</v>
      </c>
      <c r="W913" s="2">
        <v>1</v>
      </c>
      <c r="X913" s="2">
        <v>20</v>
      </c>
      <c r="Y913" s="2">
        <v>29.948453608247419</v>
      </c>
    </row>
    <row r="914" spans="1:25" hidden="1">
      <c r="A914" s="2" t="s">
        <v>1179</v>
      </c>
      <c r="B914" s="2" t="s">
        <v>149</v>
      </c>
      <c r="C914" s="2" t="s">
        <v>712</v>
      </c>
      <c r="D914" s="3">
        <v>46119.75</v>
      </c>
      <c r="E914" s="3">
        <v>46119.770833333343</v>
      </c>
      <c r="F914" s="2">
        <v>30</v>
      </c>
      <c r="G914" s="2" t="s">
        <v>143</v>
      </c>
      <c r="H914" s="2" t="s">
        <v>1018</v>
      </c>
      <c r="I914" s="2">
        <v>3</v>
      </c>
      <c r="J914" s="2">
        <v>5</v>
      </c>
      <c r="K914" s="2" t="s">
        <v>143</v>
      </c>
      <c r="L914" s="2" t="s">
        <v>145</v>
      </c>
      <c r="M914" s="2" t="b">
        <v>1</v>
      </c>
      <c r="N914" s="2" t="b">
        <v>0</v>
      </c>
      <c r="O914" s="2">
        <v>6</v>
      </c>
      <c r="P914" s="2">
        <v>0.6</v>
      </c>
      <c r="Q914" s="2" t="s">
        <v>170</v>
      </c>
      <c r="R914" s="2" t="s">
        <v>147</v>
      </c>
      <c r="S914" s="2">
        <v>12</v>
      </c>
      <c r="T914" s="2">
        <v>18</v>
      </c>
      <c r="U914" s="2" t="b">
        <v>0</v>
      </c>
      <c r="V914" s="2">
        <v>6</v>
      </c>
      <c r="W914" s="2">
        <v>2</v>
      </c>
      <c r="X914" s="2">
        <v>18</v>
      </c>
      <c r="Y914" s="2">
        <v>28.186274509803919</v>
      </c>
    </row>
    <row r="915" spans="1:25" hidden="1">
      <c r="A915" s="2" t="s">
        <v>1180</v>
      </c>
      <c r="B915" s="2" t="s">
        <v>157</v>
      </c>
      <c r="C915" s="2" t="s">
        <v>693</v>
      </c>
      <c r="D915" s="3">
        <v>46120.802083333343</v>
      </c>
      <c r="E915" s="3">
        <v>46120.822916666657</v>
      </c>
      <c r="F915" s="2">
        <v>30</v>
      </c>
      <c r="G915" s="2" t="s">
        <v>167</v>
      </c>
      <c r="H915" s="2" t="s">
        <v>168</v>
      </c>
      <c r="I915" s="2">
        <v>5</v>
      </c>
      <c r="J915" s="2">
        <v>6</v>
      </c>
      <c r="K915" s="2" t="s">
        <v>153</v>
      </c>
      <c r="L915" s="2" t="s">
        <v>162</v>
      </c>
      <c r="M915" s="2" t="b">
        <v>1</v>
      </c>
      <c r="N915" s="2" t="b">
        <v>0</v>
      </c>
      <c r="O915" s="2">
        <v>5</v>
      </c>
      <c r="P915" s="2">
        <v>0.83333333333333337</v>
      </c>
      <c r="Q915" s="2" t="s">
        <v>170</v>
      </c>
      <c r="R915" s="2" t="s">
        <v>147</v>
      </c>
      <c r="S915" s="2">
        <v>14.4</v>
      </c>
      <c r="T915" s="2">
        <v>15.6</v>
      </c>
      <c r="U915" s="2" t="b">
        <v>0</v>
      </c>
      <c r="V915" s="2">
        <v>20</v>
      </c>
      <c r="W915" s="2">
        <v>3</v>
      </c>
      <c r="X915" s="2">
        <v>19</v>
      </c>
      <c r="Y915" s="2">
        <v>28.844221105527641</v>
      </c>
    </row>
    <row r="916" spans="1:25" hidden="1">
      <c r="A916" s="2" t="s">
        <v>1181</v>
      </c>
      <c r="B916" s="2" t="s">
        <v>173</v>
      </c>
      <c r="C916" s="2" t="s">
        <v>695</v>
      </c>
      <c r="D916" s="3">
        <v>46121.854166666657</v>
      </c>
      <c r="E916" s="3">
        <v>46121.875</v>
      </c>
      <c r="F916" s="2">
        <v>30</v>
      </c>
      <c r="G916" s="2" t="s">
        <v>143</v>
      </c>
      <c r="H916" s="2" t="s">
        <v>1021</v>
      </c>
      <c r="I916" s="2">
        <v>3</v>
      </c>
      <c r="J916" s="2">
        <v>4.5</v>
      </c>
      <c r="K916" s="2" t="s">
        <v>143</v>
      </c>
      <c r="L916" s="2" t="s">
        <v>169</v>
      </c>
      <c r="M916" s="2" t="b">
        <v>1</v>
      </c>
      <c r="N916" s="2" t="b">
        <v>0</v>
      </c>
      <c r="O916" s="2">
        <v>6.666666666666667</v>
      </c>
      <c r="P916" s="2">
        <v>0.66666666666666663</v>
      </c>
      <c r="Q916" s="2" t="s">
        <v>170</v>
      </c>
      <c r="R916" s="2" t="s">
        <v>171</v>
      </c>
      <c r="S916" s="2">
        <v>10.8</v>
      </c>
      <c r="T916" s="2">
        <v>19.2</v>
      </c>
      <c r="U916" s="2" t="b">
        <v>0</v>
      </c>
      <c r="V916" s="2">
        <v>6</v>
      </c>
      <c r="W916" s="2">
        <v>2</v>
      </c>
      <c r="X916" s="2">
        <v>20</v>
      </c>
      <c r="Y916" s="2">
        <v>30.286458333333329</v>
      </c>
    </row>
    <row r="917" spans="1:25" hidden="1">
      <c r="A917" s="2" t="s">
        <v>1182</v>
      </c>
      <c r="B917" s="2" t="s">
        <v>142</v>
      </c>
      <c r="C917" s="2" t="s">
        <v>697</v>
      </c>
      <c r="D917" s="3">
        <v>46122.791666666657</v>
      </c>
      <c r="E917" s="3">
        <v>46122.8125</v>
      </c>
      <c r="F917" s="2">
        <v>30</v>
      </c>
      <c r="G917" s="2" t="s">
        <v>151</v>
      </c>
      <c r="H917" s="2" t="s">
        <v>657</v>
      </c>
      <c r="I917" s="2">
        <v>4</v>
      </c>
      <c r="J917" s="2">
        <v>5.5</v>
      </c>
      <c r="K917" s="2" t="s">
        <v>143</v>
      </c>
      <c r="L917" s="2" t="s">
        <v>162</v>
      </c>
      <c r="M917" s="2" t="b">
        <v>1</v>
      </c>
      <c r="N917" s="2" t="b">
        <v>0</v>
      </c>
      <c r="O917" s="2">
        <v>5.4545454545454541</v>
      </c>
      <c r="P917" s="2">
        <v>0.72727272727272729</v>
      </c>
      <c r="Q917" s="2" t="s">
        <v>170</v>
      </c>
      <c r="R917" s="2" t="s">
        <v>147</v>
      </c>
      <c r="S917" s="2">
        <v>13.2</v>
      </c>
      <c r="T917" s="2">
        <v>16.8</v>
      </c>
      <c r="U917" s="2" t="b">
        <v>0</v>
      </c>
      <c r="V917" s="2">
        <v>12</v>
      </c>
      <c r="W917" s="2">
        <v>2</v>
      </c>
      <c r="X917" s="2">
        <v>19</v>
      </c>
      <c r="Y917" s="2">
        <v>30.259433962264151</v>
      </c>
    </row>
    <row r="918" spans="1:25" hidden="1">
      <c r="A918" s="2" t="s">
        <v>1183</v>
      </c>
      <c r="B918" s="2" t="s">
        <v>165</v>
      </c>
      <c r="C918" s="2" t="s">
        <v>188</v>
      </c>
      <c r="D918" s="3">
        <v>46123.84375</v>
      </c>
      <c r="E918" s="3">
        <v>46123.864583333343</v>
      </c>
      <c r="F918" s="2">
        <v>30</v>
      </c>
      <c r="G918" s="2" t="s">
        <v>143</v>
      </c>
      <c r="H918" s="2" t="s">
        <v>144</v>
      </c>
      <c r="I918" s="2">
        <v>2</v>
      </c>
      <c r="J918" s="2">
        <v>4</v>
      </c>
      <c r="K918" s="2" t="s">
        <v>161</v>
      </c>
      <c r="L918" s="2" t="s">
        <v>154</v>
      </c>
      <c r="M918" s="2" t="b">
        <v>1</v>
      </c>
      <c r="N918" s="2" t="b">
        <v>1</v>
      </c>
      <c r="O918" s="2">
        <v>7.5</v>
      </c>
      <c r="P918" s="2">
        <v>0.5</v>
      </c>
      <c r="Q918" s="2" t="s">
        <v>170</v>
      </c>
      <c r="R918" s="2" t="s">
        <v>147</v>
      </c>
      <c r="S918" s="2">
        <v>9.6</v>
      </c>
      <c r="T918" s="2">
        <v>20.399999999999999</v>
      </c>
      <c r="U918" s="2" t="b">
        <v>0</v>
      </c>
      <c r="V918" s="2">
        <v>4</v>
      </c>
      <c r="W918" s="2">
        <v>1</v>
      </c>
      <c r="X918" s="2">
        <v>20</v>
      </c>
      <c r="Y918" s="2">
        <v>29.948453608247419</v>
      </c>
    </row>
    <row r="919" spans="1:25" hidden="1">
      <c r="A919" s="2" t="s">
        <v>1184</v>
      </c>
      <c r="B919" s="2" t="s">
        <v>149</v>
      </c>
      <c r="C919" s="2" t="s">
        <v>712</v>
      </c>
      <c r="D919" s="3">
        <v>46124.770833333343</v>
      </c>
      <c r="E919" s="3">
        <v>46124.791666666657</v>
      </c>
      <c r="F919" s="2">
        <v>30</v>
      </c>
      <c r="G919" s="2" t="s">
        <v>143</v>
      </c>
      <c r="H919" s="2" t="s">
        <v>1018</v>
      </c>
      <c r="I919" s="2">
        <v>3</v>
      </c>
      <c r="J919" s="2">
        <v>5</v>
      </c>
      <c r="K919" s="2" t="s">
        <v>143</v>
      </c>
      <c r="L919" s="2" t="s">
        <v>145</v>
      </c>
      <c r="M919" s="2" t="b">
        <v>1</v>
      </c>
      <c r="N919" s="2" t="b">
        <v>1</v>
      </c>
      <c r="O919" s="2">
        <v>6</v>
      </c>
      <c r="P919" s="2">
        <v>0.6</v>
      </c>
      <c r="Q919" s="2" t="s">
        <v>170</v>
      </c>
      <c r="R919" s="2" t="s">
        <v>147</v>
      </c>
      <c r="S919" s="2">
        <v>12</v>
      </c>
      <c r="T919" s="2">
        <v>18</v>
      </c>
      <c r="U919" s="2" t="b">
        <v>0</v>
      </c>
      <c r="V919" s="2">
        <v>6</v>
      </c>
      <c r="W919" s="2">
        <v>2</v>
      </c>
      <c r="X919" s="2">
        <v>18</v>
      </c>
      <c r="Y919" s="2">
        <v>28.186274509803919</v>
      </c>
    </row>
    <row r="920" spans="1:25" hidden="1">
      <c r="A920" s="2" t="s">
        <v>1185</v>
      </c>
      <c r="B920" s="2" t="s">
        <v>157</v>
      </c>
      <c r="C920" s="2" t="s">
        <v>693</v>
      </c>
      <c r="D920" s="3">
        <v>46125.822916666657</v>
      </c>
      <c r="E920" s="3">
        <v>46125.84375</v>
      </c>
      <c r="F920" s="2">
        <v>30</v>
      </c>
      <c r="G920" s="2" t="s">
        <v>167</v>
      </c>
      <c r="H920" s="2" t="s">
        <v>168</v>
      </c>
      <c r="I920" s="2">
        <v>5</v>
      </c>
      <c r="J920" s="2">
        <v>6</v>
      </c>
      <c r="K920" s="2" t="s">
        <v>153</v>
      </c>
      <c r="L920" s="2" t="s">
        <v>162</v>
      </c>
      <c r="M920" s="2" t="b">
        <v>1</v>
      </c>
      <c r="N920" s="2" t="b">
        <v>0</v>
      </c>
      <c r="O920" s="2">
        <v>5</v>
      </c>
      <c r="P920" s="2">
        <v>0.83333333333333337</v>
      </c>
      <c r="Q920" s="2" t="s">
        <v>170</v>
      </c>
      <c r="R920" s="2" t="s">
        <v>147</v>
      </c>
      <c r="S920" s="2">
        <v>14.4</v>
      </c>
      <c r="T920" s="2">
        <v>15.6</v>
      </c>
      <c r="U920" s="2" t="b">
        <v>0</v>
      </c>
      <c r="V920" s="2">
        <v>20</v>
      </c>
      <c r="W920" s="2">
        <v>3</v>
      </c>
      <c r="X920" s="2">
        <v>19</v>
      </c>
      <c r="Y920" s="2">
        <v>28.844221105527641</v>
      </c>
    </row>
    <row r="921" spans="1:25" hidden="1">
      <c r="A921" s="2" t="s">
        <v>1186</v>
      </c>
      <c r="B921" s="2" t="s">
        <v>173</v>
      </c>
      <c r="C921" s="2" t="s">
        <v>695</v>
      </c>
      <c r="D921" s="3">
        <v>46126.833333333343</v>
      </c>
      <c r="E921" s="3">
        <v>46126.854166666657</v>
      </c>
      <c r="F921" s="2">
        <v>30</v>
      </c>
      <c r="G921" s="2" t="s">
        <v>143</v>
      </c>
      <c r="H921" s="2" t="s">
        <v>1021</v>
      </c>
      <c r="I921" s="2">
        <v>3</v>
      </c>
      <c r="J921" s="2">
        <v>4.5</v>
      </c>
      <c r="K921" s="2" t="s">
        <v>143</v>
      </c>
      <c r="L921" s="2" t="s">
        <v>169</v>
      </c>
      <c r="M921" s="2" t="b">
        <v>1</v>
      </c>
      <c r="N921" s="2" t="b">
        <v>0</v>
      </c>
      <c r="O921" s="2">
        <v>6.666666666666667</v>
      </c>
      <c r="P921" s="2">
        <v>0.66666666666666663</v>
      </c>
      <c r="Q921" s="2" t="s">
        <v>170</v>
      </c>
      <c r="R921" s="2" t="s">
        <v>171</v>
      </c>
      <c r="S921" s="2">
        <v>10.8</v>
      </c>
      <c r="T921" s="2">
        <v>19.2</v>
      </c>
      <c r="U921" s="2" t="b">
        <v>0</v>
      </c>
      <c r="V921" s="2">
        <v>6</v>
      </c>
      <c r="W921" s="2">
        <v>2</v>
      </c>
      <c r="X921" s="2">
        <v>20</v>
      </c>
      <c r="Y921" s="2">
        <v>30.286458333333329</v>
      </c>
    </row>
    <row r="922" spans="1:25" hidden="1">
      <c r="A922" s="2" t="s">
        <v>1187</v>
      </c>
      <c r="B922" s="2" t="s">
        <v>149</v>
      </c>
      <c r="C922" s="2" t="s">
        <v>712</v>
      </c>
      <c r="D922" s="3">
        <v>46127.75</v>
      </c>
      <c r="E922" s="3">
        <v>46127.770833333343</v>
      </c>
      <c r="F922" s="2">
        <v>30</v>
      </c>
      <c r="G922" s="2" t="s">
        <v>143</v>
      </c>
      <c r="H922" s="2" t="s">
        <v>1018</v>
      </c>
      <c r="I922" s="2">
        <v>3</v>
      </c>
      <c r="J922" s="2">
        <v>5</v>
      </c>
      <c r="K922" s="2" t="s">
        <v>143</v>
      </c>
      <c r="L922" s="2" t="s">
        <v>162</v>
      </c>
      <c r="M922" s="2" t="b">
        <v>1</v>
      </c>
      <c r="N922" s="2" t="b">
        <v>0</v>
      </c>
      <c r="O922" s="2">
        <v>6</v>
      </c>
      <c r="P922" s="2">
        <v>0.6</v>
      </c>
      <c r="Q922" s="2" t="s">
        <v>170</v>
      </c>
      <c r="R922" s="2" t="s">
        <v>147</v>
      </c>
      <c r="S922" s="2">
        <v>12</v>
      </c>
      <c r="T922" s="2">
        <v>18</v>
      </c>
      <c r="U922" s="2" t="b">
        <v>0</v>
      </c>
      <c r="V922" s="2">
        <v>6</v>
      </c>
      <c r="W922" s="2">
        <v>2</v>
      </c>
      <c r="X922" s="2">
        <v>18</v>
      </c>
      <c r="Y922" s="2">
        <v>28.186274509803919</v>
      </c>
    </row>
    <row r="923" spans="1:25" hidden="1">
      <c r="A923" s="2" t="s">
        <v>1188</v>
      </c>
      <c r="B923" s="2" t="s">
        <v>157</v>
      </c>
      <c r="C923" s="2" t="s">
        <v>693</v>
      </c>
      <c r="D923" s="3">
        <v>46128.802083333343</v>
      </c>
      <c r="E923" s="3">
        <v>46128.822916666657</v>
      </c>
      <c r="F923" s="2">
        <v>30</v>
      </c>
      <c r="G923" s="2" t="s">
        <v>167</v>
      </c>
      <c r="H923" s="2" t="s">
        <v>168</v>
      </c>
      <c r="I923" s="2">
        <v>5</v>
      </c>
      <c r="J923" s="2">
        <v>6</v>
      </c>
      <c r="K923" s="2" t="s">
        <v>153</v>
      </c>
      <c r="L923" s="2" t="s">
        <v>145</v>
      </c>
      <c r="M923" s="2" t="b">
        <v>1</v>
      </c>
      <c r="N923" s="2" t="b">
        <v>0</v>
      </c>
      <c r="O923" s="2">
        <v>5</v>
      </c>
      <c r="P923" s="2">
        <v>0.83333333333333337</v>
      </c>
      <c r="Q923" s="2" t="s">
        <v>170</v>
      </c>
      <c r="R923" s="2" t="s">
        <v>147</v>
      </c>
      <c r="S923" s="2">
        <v>14.4</v>
      </c>
      <c r="T923" s="2">
        <v>15.6</v>
      </c>
      <c r="U923" s="2" t="b">
        <v>0</v>
      </c>
      <c r="V923" s="2">
        <v>20</v>
      </c>
      <c r="W923" s="2">
        <v>3</v>
      </c>
      <c r="X923" s="2">
        <v>19</v>
      </c>
      <c r="Y923" s="2">
        <v>28.844221105527641</v>
      </c>
    </row>
    <row r="924" spans="1:25" hidden="1">
      <c r="A924" s="2" t="s">
        <v>1189</v>
      </c>
      <c r="B924" s="2" t="s">
        <v>173</v>
      </c>
      <c r="C924" s="2" t="s">
        <v>695</v>
      </c>
      <c r="D924" s="3">
        <v>46129.854166666657</v>
      </c>
      <c r="E924" s="3">
        <v>46129.875</v>
      </c>
      <c r="F924" s="2">
        <v>30</v>
      </c>
      <c r="G924" s="2" t="s">
        <v>143</v>
      </c>
      <c r="H924" s="2" t="s">
        <v>1021</v>
      </c>
      <c r="I924" s="2">
        <v>3</v>
      </c>
      <c r="J924" s="2">
        <v>4.5</v>
      </c>
      <c r="K924" s="2" t="s">
        <v>143</v>
      </c>
      <c r="L924" s="2" t="s">
        <v>169</v>
      </c>
      <c r="M924" s="2" t="b">
        <v>1</v>
      </c>
      <c r="N924" s="2" t="b">
        <v>0</v>
      </c>
      <c r="O924" s="2">
        <v>6.666666666666667</v>
      </c>
      <c r="P924" s="2">
        <v>0.66666666666666663</v>
      </c>
      <c r="Q924" s="2" t="s">
        <v>170</v>
      </c>
      <c r="R924" s="2" t="s">
        <v>171</v>
      </c>
      <c r="S924" s="2">
        <v>10.8</v>
      </c>
      <c r="T924" s="2">
        <v>19.2</v>
      </c>
      <c r="U924" s="2" t="b">
        <v>0</v>
      </c>
      <c r="V924" s="2">
        <v>6</v>
      </c>
      <c r="W924" s="2">
        <v>2</v>
      </c>
      <c r="X924" s="2">
        <v>20</v>
      </c>
      <c r="Y924" s="2">
        <v>30.286458333333329</v>
      </c>
    </row>
    <row r="925" spans="1:25" hidden="1">
      <c r="A925" s="2" t="s">
        <v>1190</v>
      </c>
      <c r="B925" s="2" t="s">
        <v>142</v>
      </c>
      <c r="C925" s="2" t="s">
        <v>697</v>
      </c>
      <c r="D925" s="3">
        <v>46130.791666666657</v>
      </c>
      <c r="E925" s="3">
        <v>46130.8125</v>
      </c>
      <c r="F925" s="2">
        <v>30</v>
      </c>
      <c r="G925" s="2" t="s">
        <v>151</v>
      </c>
      <c r="H925" s="2" t="s">
        <v>657</v>
      </c>
      <c r="I925" s="2">
        <v>4</v>
      </c>
      <c r="J925" s="2">
        <v>5.5</v>
      </c>
      <c r="K925" s="2" t="s">
        <v>143</v>
      </c>
      <c r="L925" s="2" t="s">
        <v>162</v>
      </c>
      <c r="M925" s="2" t="b">
        <v>1</v>
      </c>
      <c r="N925" s="2" t="b">
        <v>1</v>
      </c>
      <c r="O925" s="2">
        <v>5.4545454545454541</v>
      </c>
      <c r="P925" s="2">
        <v>0.72727272727272729</v>
      </c>
      <c r="Q925" s="2" t="s">
        <v>170</v>
      </c>
      <c r="R925" s="2" t="s">
        <v>147</v>
      </c>
      <c r="S925" s="2">
        <v>13.2</v>
      </c>
      <c r="T925" s="2">
        <v>16.8</v>
      </c>
      <c r="U925" s="2" t="b">
        <v>0</v>
      </c>
      <c r="V925" s="2">
        <v>12</v>
      </c>
      <c r="W925" s="2">
        <v>2</v>
      </c>
      <c r="X925" s="2">
        <v>19</v>
      </c>
      <c r="Y925" s="2">
        <v>30.259433962264151</v>
      </c>
    </row>
    <row r="926" spans="1:25" hidden="1">
      <c r="A926" s="2" t="s">
        <v>1191</v>
      </c>
      <c r="B926" s="2" t="s">
        <v>165</v>
      </c>
      <c r="C926" s="2" t="s">
        <v>188</v>
      </c>
      <c r="D926" s="3">
        <v>46131.84375</v>
      </c>
      <c r="E926" s="3">
        <v>46131.864583333343</v>
      </c>
      <c r="F926" s="2">
        <v>30</v>
      </c>
      <c r="G926" s="2" t="s">
        <v>143</v>
      </c>
      <c r="H926" s="2" t="s">
        <v>144</v>
      </c>
      <c r="I926" s="2">
        <v>2</v>
      </c>
      <c r="J926" s="2">
        <v>4</v>
      </c>
      <c r="K926" s="2" t="s">
        <v>161</v>
      </c>
      <c r="L926" s="2" t="s">
        <v>154</v>
      </c>
      <c r="M926" s="2" t="b">
        <v>1</v>
      </c>
      <c r="N926" s="2" t="b">
        <v>1</v>
      </c>
      <c r="O926" s="2">
        <v>7.5</v>
      </c>
      <c r="P926" s="2">
        <v>0.5</v>
      </c>
      <c r="Q926" s="2" t="s">
        <v>170</v>
      </c>
      <c r="R926" s="2" t="s">
        <v>147</v>
      </c>
      <c r="S926" s="2">
        <v>9.6</v>
      </c>
      <c r="T926" s="2">
        <v>20.399999999999999</v>
      </c>
      <c r="U926" s="2" t="b">
        <v>0</v>
      </c>
      <c r="V926" s="2">
        <v>4</v>
      </c>
      <c r="W926" s="2">
        <v>1</v>
      </c>
      <c r="X926" s="2">
        <v>20</v>
      </c>
      <c r="Y926" s="2">
        <v>29.948453608247419</v>
      </c>
    </row>
    <row r="927" spans="1:25" hidden="1">
      <c r="A927" s="2" t="s">
        <v>1192</v>
      </c>
      <c r="B927" s="2" t="s">
        <v>149</v>
      </c>
      <c r="C927" s="2" t="s">
        <v>712</v>
      </c>
      <c r="D927" s="3">
        <v>46132.770833333343</v>
      </c>
      <c r="E927" s="3">
        <v>46132.791666666657</v>
      </c>
      <c r="F927" s="2">
        <v>30</v>
      </c>
      <c r="G927" s="2" t="s">
        <v>143</v>
      </c>
      <c r="H927" s="2" t="s">
        <v>1018</v>
      </c>
      <c r="I927" s="2">
        <v>3</v>
      </c>
      <c r="J927" s="2">
        <v>5</v>
      </c>
      <c r="K927" s="2" t="s">
        <v>143</v>
      </c>
      <c r="L927" s="2" t="s">
        <v>145</v>
      </c>
      <c r="M927" s="2" t="b">
        <v>1</v>
      </c>
      <c r="N927" s="2" t="b">
        <v>0</v>
      </c>
      <c r="O927" s="2">
        <v>6</v>
      </c>
      <c r="P927" s="2">
        <v>0.6</v>
      </c>
      <c r="Q927" s="2" t="s">
        <v>170</v>
      </c>
      <c r="R927" s="2" t="s">
        <v>147</v>
      </c>
      <c r="S927" s="2">
        <v>12</v>
      </c>
      <c r="T927" s="2">
        <v>18</v>
      </c>
      <c r="U927" s="2" t="b">
        <v>0</v>
      </c>
      <c r="V927" s="2">
        <v>6</v>
      </c>
      <c r="W927" s="2">
        <v>2</v>
      </c>
      <c r="X927" s="2">
        <v>18</v>
      </c>
      <c r="Y927" s="2">
        <v>28.186274509803919</v>
      </c>
    </row>
    <row r="928" spans="1:25" hidden="1">
      <c r="A928" s="2" t="s">
        <v>1193</v>
      </c>
      <c r="B928" s="2" t="s">
        <v>157</v>
      </c>
      <c r="C928" s="2" t="s">
        <v>693</v>
      </c>
      <c r="D928" s="3">
        <v>46133.822916666657</v>
      </c>
      <c r="E928" s="3">
        <v>46133.84375</v>
      </c>
      <c r="F928" s="2">
        <v>30</v>
      </c>
      <c r="G928" s="2" t="s">
        <v>167</v>
      </c>
      <c r="H928" s="2" t="s">
        <v>168</v>
      </c>
      <c r="I928" s="2">
        <v>5</v>
      </c>
      <c r="J928" s="2">
        <v>6</v>
      </c>
      <c r="K928" s="2" t="s">
        <v>153</v>
      </c>
      <c r="L928" s="2" t="s">
        <v>162</v>
      </c>
      <c r="M928" s="2" t="b">
        <v>1</v>
      </c>
      <c r="N928" s="2" t="b">
        <v>0</v>
      </c>
      <c r="O928" s="2">
        <v>5</v>
      </c>
      <c r="P928" s="2">
        <v>0.83333333333333337</v>
      </c>
      <c r="Q928" s="2" t="s">
        <v>170</v>
      </c>
      <c r="R928" s="2" t="s">
        <v>147</v>
      </c>
      <c r="S928" s="2">
        <v>14.4</v>
      </c>
      <c r="T928" s="2">
        <v>15.6</v>
      </c>
      <c r="U928" s="2" t="b">
        <v>0</v>
      </c>
      <c r="V928" s="2">
        <v>20</v>
      </c>
      <c r="W928" s="2">
        <v>3</v>
      </c>
      <c r="X928" s="2">
        <v>19</v>
      </c>
      <c r="Y928" s="2">
        <v>28.844221105527641</v>
      </c>
    </row>
    <row r="929" spans="1:25" hidden="1">
      <c r="A929" s="2" t="s">
        <v>1194</v>
      </c>
      <c r="B929" s="2" t="s">
        <v>173</v>
      </c>
      <c r="C929" s="2" t="s">
        <v>695</v>
      </c>
      <c r="D929" s="3">
        <v>46134.833333333343</v>
      </c>
      <c r="E929" s="3">
        <v>46134.854166666657</v>
      </c>
      <c r="F929" s="2">
        <v>30</v>
      </c>
      <c r="G929" s="2" t="s">
        <v>143</v>
      </c>
      <c r="H929" s="2" t="s">
        <v>1021</v>
      </c>
      <c r="I929" s="2">
        <v>3</v>
      </c>
      <c r="J929" s="2">
        <v>4.5</v>
      </c>
      <c r="K929" s="2" t="s">
        <v>143</v>
      </c>
      <c r="L929" s="2" t="s">
        <v>169</v>
      </c>
      <c r="M929" s="2" t="b">
        <v>1</v>
      </c>
      <c r="N929" s="2" t="b">
        <v>0</v>
      </c>
      <c r="O929" s="2">
        <v>6.666666666666667</v>
      </c>
      <c r="P929" s="2">
        <v>0.66666666666666663</v>
      </c>
      <c r="Q929" s="2" t="s">
        <v>170</v>
      </c>
      <c r="R929" s="2" t="s">
        <v>171</v>
      </c>
      <c r="S929" s="2">
        <v>10.8</v>
      </c>
      <c r="T929" s="2">
        <v>19.2</v>
      </c>
      <c r="U929" s="2" t="b">
        <v>0</v>
      </c>
      <c r="V929" s="2">
        <v>6</v>
      </c>
      <c r="W929" s="2">
        <v>2</v>
      </c>
      <c r="X929" s="2">
        <v>20</v>
      </c>
      <c r="Y929" s="2">
        <v>30.286458333333329</v>
      </c>
    </row>
    <row r="930" spans="1:25" hidden="1">
      <c r="A930" s="2" t="s">
        <v>1195</v>
      </c>
      <c r="B930" s="2" t="s">
        <v>142</v>
      </c>
      <c r="C930" s="2" t="s">
        <v>697</v>
      </c>
      <c r="D930" s="3">
        <v>46135.802083333343</v>
      </c>
      <c r="E930" s="3">
        <v>46135.822916666657</v>
      </c>
      <c r="F930" s="2">
        <v>30</v>
      </c>
      <c r="G930" s="2" t="s">
        <v>151</v>
      </c>
      <c r="H930" s="2" t="s">
        <v>657</v>
      </c>
      <c r="I930" s="2">
        <v>4</v>
      </c>
      <c r="J930" s="2">
        <v>5.5</v>
      </c>
      <c r="K930" s="2" t="s">
        <v>143</v>
      </c>
      <c r="L930" s="2" t="s">
        <v>162</v>
      </c>
      <c r="M930" s="2" t="b">
        <v>1</v>
      </c>
      <c r="N930" s="2" t="b">
        <v>0</v>
      </c>
      <c r="O930" s="2">
        <v>5.4545454545454541</v>
      </c>
      <c r="P930" s="2">
        <v>0.72727272727272729</v>
      </c>
      <c r="Q930" s="2" t="s">
        <v>170</v>
      </c>
      <c r="R930" s="2" t="s">
        <v>147</v>
      </c>
      <c r="S930" s="2">
        <v>13.2</v>
      </c>
      <c r="T930" s="2">
        <v>16.8</v>
      </c>
      <c r="U930" s="2" t="b">
        <v>0</v>
      </c>
      <c r="V930" s="2">
        <v>12</v>
      </c>
      <c r="W930" s="2">
        <v>2</v>
      </c>
      <c r="X930" s="2">
        <v>19</v>
      </c>
      <c r="Y930" s="2">
        <v>30.259433962264151</v>
      </c>
    </row>
    <row r="931" spans="1:25" hidden="1">
      <c r="A931" s="2" t="s">
        <v>1196</v>
      </c>
      <c r="B931" s="2" t="s">
        <v>165</v>
      </c>
      <c r="C931" s="2" t="s">
        <v>188</v>
      </c>
      <c r="D931" s="3">
        <v>46136.854166666657</v>
      </c>
      <c r="E931" s="3">
        <v>46136.875</v>
      </c>
      <c r="F931" s="2">
        <v>30</v>
      </c>
      <c r="G931" s="2" t="s">
        <v>143</v>
      </c>
      <c r="H931" s="2" t="s">
        <v>144</v>
      </c>
      <c r="I931" s="2">
        <v>2</v>
      </c>
      <c r="J931" s="2">
        <v>4</v>
      </c>
      <c r="K931" s="2" t="s">
        <v>161</v>
      </c>
      <c r="L931" s="2" t="s">
        <v>154</v>
      </c>
      <c r="M931" s="2" t="b">
        <v>1</v>
      </c>
      <c r="N931" s="2" t="b">
        <v>0</v>
      </c>
      <c r="O931" s="2">
        <v>7.5</v>
      </c>
      <c r="P931" s="2">
        <v>0.5</v>
      </c>
      <c r="Q931" s="2" t="s">
        <v>170</v>
      </c>
      <c r="R931" s="2" t="s">
        <v>147</v>
      </c>
      <c r="S931" s="2">
        <v>9.6</v>
      </c>
      <c r="T931" s="2">
        <v>20.399999999999999</v>
      </c>
      <c r="U931" s="2" t="b">
        <v>0</v>
      </c>
      <c r="V931" s="2">
        <v>4</v>
      </c>
      <c r="W931" s="2">
        <v>1</v>
      </c>
      <c r="X931" s="2">
        <v>20</v>
      </c>
      <c r="Y931" s="2">
        <v>29.948453608247419</v>
      </c>
    </row>
    <row r="932" spans="1:25" hidden="1">
      <c r="A932" s="2" t="s">
        <v>1197</v>
      </c>
      <c r="B932" s="2" t="s">
        <v>149</v>
      </c>
      <c r="C932" s="2" t="s">
        <v>712</v>
      </c>
      <c r="D932" s="3">
        <v>46137.75</v>
      </c>
      <c r="E932" s="3">
        <v>46137.770833333343</v>
      </c>
      <c r="F932" s="2">
        <v>30</v>
      </c>
      <c r="G932" s="2" t="s">
        <v>143</v>
      </c>
      <c r="H932" s="2" t="s">
        <v>1018</v>
      </c>
      <c r="I932" s="2">
        <v>3</v>
      </c>
      <c r="J932" s="2">
        <v>5</v>
      </c>
      <c r="K932" s="2" t="s">
        <v>143</v>
      </c>
      <c r="L932" s="2" t="s">
        <v>145</v>
      </c>
      <c r="M932" s="2" t="b">
        <v>1</v>
      </c>
      <c r="N932" s="2" t="b">
        <v>1</v>
      </c>
      <c r="O932" s="2">
        <v>6</v>
      </c>
      <c r="P932" s="2">
        <v>0.6</v>
      </c>
      <c r="Q932" s="2" t="s">
        <v>170</v>
      </c>
      <c r="R932" s="2" t="s">
        <v>147</v>
      </c>
      <c r="S932" s="2">
        <v>12</v>
      </c>
      <c r="T932" s="2">
        <v>18</v>
      </c>
      <c r="U932" s="2" t="b">
        <v>0</v>
      </c>
      <c r="V932" s="2">
        <v>6</v>
      </c>
      <c r="W932" s="2">
        <v>2</v>
      </c>
      <c r="X932" s="2">
        <v>18</v>
      </c>
      <c r="Y932" s="2">
        <v>28.186274509803919</v>
      </c>
    </row>
    <row r="933" spans="1:25" hidden="1">
      <c r="A933" s="2" t="s">
        <v>1198</v>
      </c>
      <c r="B933" s="2" t="s">
        <v>157</v>
      </c>
      <c r="C933" s="2" t="s">
        <v>693</v>
      </c>
      <c r="D933" s="3">
        <v>46138.802083333343</v>
      </c>
      <c r="E933" s="3">
        <v>46138.822916666657</v>
      </c>
      <c r="F933" s="2">
        <v>30</v>
      </c>
      <c r="G933" s="2" t="s">
        <v>167</v>
      </c>
      <c r="H933" s="2" t="s">
        <v>168</v>
      </c>
      <c r="I933" s="2">
        <v>5</v>
      </c>
      <c r="J933" s="2">
        <v>6</v>
      </c>
      <c r="K933" s="2" t="s">
        <v>153</v>
      </c>
      <c r="L933" s="2" t="s">
        <v>162</v>
      </c>
      <c r="M933" s="2" t="b">
        <v>1</v>
      </c>
      <c r="N933" s="2" t="b">
        <v>1</v>
      </c>
      <c r="O933" s="2">
        <v>5</v>
      </c>
      <c r="P933" s="2">
        <v>0.83333333333333337</v>
      </c>
      <c r="Q933" s="2" t="s">
        <v>170</v>
      </c>
      <c r="R933" s="2" t="s">
        <v>147</v>
      </c>
      <c r="S933" s="2">
        <v>14.4</v>
      </c>
      <c r="T933" s="2">
        <v>15.6</v>
      </c>
      <c r="U933" s="2" t="b">
        <v>0</v>
      </c>
      <c r="V933" s="2">
        <v>20</v>
      </c>
      <c r="W933" s="2">
        <v>3</v>
      </c>
      <c r="X933" s="2">
        <v>19</v>
      </c>
      <c r="Y933" s="2">
        <v>28.844221105527641</v>
      </c>
    </row>
    <row r="934" spans="1:25" hidden="1">
      <c r="A934" s="2" t="s">
        <v>1199</v>
      </c>
      <c r="B934" s="2" t="s">
        <v>173</v>
      </c>
      <c r="C934" s="2" t="s">
        <v>695</v>
      </c>
      <c r="D934" s="3">
        <v>46139.854166666657</v>
      </c>
      <c r="E934" s="3">
        <v>46139.875</v>
      </c>
      <c r="F934" s="2">
        <v>30</v>
      </c>
      <c r="G934" s="2" t="s">
        <v>143</v>
      </c>
      <c r="H934" s="2" t="s">
        <v>1021</v>
      </c>
      <c r="I934" s="2">
        <v>3</v>
      </c>
      <c r="J934" s="2">
        <v>4.5</v>
      </c>
      <c r="K934" s="2" t="s">
        <v>143</v>
      </c>
      <c r="L934" s="2" t="s">
        <v>169</v>
      </c>
      <c r="M934" s="2" t="b">
        <v>1</v>
      </c>
      <c r="N934" s="2" t="b">
        <v>0</v>
      </c>
      <c r="O934" s="2">
        <v>6.666666666666667</v>
      </c>
      <c r="P934" s="2">
        <v>0.66666666666666663</v>
      </c>
      <c r="Q934" s="2" t="s">
        <v>170</v>
      </c>
      <c r="R934" s="2" t="s">
        <v>171</v>
      </c>
      <c r="S934" s="2">
        <v>10.8</v>
      </c>
      <c r="T934" s="2">
        <v>19.2</v>
      </c>
      <c r="U934" s="2" t="b">
        <v>0</v>
      </c>
      <c r="V934" s="2">
        <v>6</v>
      </c>
      <c r="W934" s="2">
        <v>2</v>
      </c>
      <c r="X934" s="2">
        <v>20</v>
      </c>
      <c r="Y934" s="2">
        <v>30.286458333333329</v>
      </c>
    </row>
    <row r="935" spans="1:25" hidden="1">
      <c r="A935" s="2" t="s">
        <v>1200</v>
      </c>
      <c r="B935" s="2" t="s">
        <v>142</v>
      </c>
      <c r="C935" s="2" t="s">
        <v>697</v>
      </c>
      <c r="D935" s="3">
        <v>46140.791666666657</v>
      </c>
      <c r="E935" s="3">
        <v>46140.8125</v>
      </c>
      <c r="F935" s="2">
        <v>30</v>
      </c>
      <c r="G935" s="2" t="s">
        <v>151</v>
      </c>
      <c r="H935" s="2" t="s">
        <v>657</v>
      </c>
      <c r="I935" s="2">
        <v>4</v>
      </c>
      <c r="J935" s="2">
        <v>5.5</v>
      </c>
      <c r="K935" s="2" t="s">
        <v>143</v>
      </c>
      <c r="L935" s="2" t="s">
        <v>162</v>
      </c>
      <c r="M935" s="2" t="b">
        <v>1</v>
      </c>
      <c r="N935" s="2" t="b">
        <v>0</v>
      </c>
      <c r="O935" s="2">
        <v>5.4545454545454541</v>
      </c>
      <c r="P935" s="2">
        <v>0.72727272727272729</v>
      </c>
      <c r="Q935" s="2" t="s">
        <v>170</v>
      </c>
      <c r="R935" s="2" t="s">
        <v>147</v>
      </c>
      <c r="S935" s="2">
        <v>13.2</v>
      </c>
      <c r="T935" s="2">
        <v>16.8</v>
      </c>
      <c r="U935" s="2" t="b">
        <v>0</v>
      </c>
      <c r="V935" s="2">
        <v>12</v>
      </c>
      <c r="W935" s="2">
        <v>2</v>
      </c>
      <c r="X935" s="2">
        <v>19</v>
      </c>
      <c r="Y935" s="2">
        <v>30.259433962264151</v>
      </c>
    </row>
    <row r="936" spans="1:25" hidden="1">
      <c r="A936" s="2" t="s">
        <v>1201</v>
      </c>
      <c r="B936" s="2" t="s">
        <v>165</v>
      </c>
      <c r="C936" s="2" t="s">
        <v>188</v>
      </c>
      <c r="D936" s="3">
        <v>46141.84375</v>
      </c>
      <c r="E936" s="3">
        <v>46141.864583333343</v>
      </c>
      <c r="F936" s="2">
        <v>30</v>
      </c>
      <c r="G936" s="2" t="s">
        <v>143</v>
      </c>
      <c r="H936" s="2" t="s">
        <v>144</v>
      </c>
      <c r="I936" s="2">
        <v>2</v>
      </c>
      <c r="J936" s="2">
        <v>4</v>
      </c>
      <c r="K936" s="2" t="s">
        <v>161</v>
      </c>
      <c r="L936" s="2" t="s">
        <v>154</v>
      </c>
      <c r="M936" s="2" t="b">
        <v>1</v>
      </c>
      <c r="N936" s="2" t="b">
        <v>0</v>
      </c>
      <c r="O936" s="2">
        <v>7.5</v>
      </c>
      <c r="P936" s="2">
        <v>0.5</v>
      </c>
      <c r="Q936" s="2" t="s">
        <v>170</v>
      </c>
      <c r="R936" s="2" t="s">
        <v>147</v>
      </c>
      <c r="S936" s="2">
        <v>9.6</v>
      </c>
      <c r="T936" s="2">
        <v>20.399999999999999</v>
      </c>
      <c r="U936" s="2" t="b">
        <v>0</v>
      </c>
      <c r="V936" s="2">
        <v>4</v>
      </c>
      <c r="W936" s="2">
        <v>1</v>
      </c>
      <c r="X936" s="2">
        <v>20</v>
      </c>
      <c r="Y936" s="2">
        <v>29.948453608247419</v>
      </c>
    </row>
    <row r="937" spans="1:25" hidden="1">
      <c r="A937" s="2" t="s">
        <v>1202</v>
      </c>
      <c r="B937" s="2" t="s">
        <v>149</v>
      </c>
      <c r="C937" s="2" t="s">
        <v>712</v>
      </c>
      <c r="D937" s="3">
        <v>46142.770833333343</v>
      </c>
      <c r="E937" s="3">
        <v>46142.791666666657</v>
      </c>
      <c r="F937" s="2">
        <v>30</v>
      </c>
      <c r="G937" s="2" t="s">
        <v>143</v>
      </c>
      <c r="H937" s="2" t="s">
        <v>1018</v>
      </c>
      <c r="I937" s="2">
        <v>3</v>
      </c>
      <c r="J937" s="2">
        <v>5</v>
      </c>
      <c r="K937" s="2" t="s">
        <v>143</v>
      </c>
      <c r="L937" s="2" t="s">
        <v>145</v>
      </c>
      <c r="M937" s="2" t="b">
        <v>1</v>
      </c>
      <c r="N937" s="2" t="b">
        <v>0</v>
      </c>
      <c r="O937" s="2">
        <v>6</v>
      </c>
      <c r="P937" s="2">
        <v>0.6</v>
      </c>
      <c r="Q937" s="2" t="s">
        <v>170</v>
      </c>
      <c r="R937" s="2" t="s">
        <v>147</v>
      </c>
      <c r="S937" s="2">
        <v>12</v>
      </c>
      <c r="T937" s="2">
        <v>18</v>
      </c>
      <c r="U937" s="2" t="b">
        <v>0</v>
      </c>
      <c r="V937" s="2">
        <v>6</v>
      </c>
      <c r="W937" s="2">
        <v>2</v>
      </c>
      <c r="X937" s="2">
        <v>18</v>
      </c>
      <c r="Y937" s="2">
        <v>28.186274509803919</v>
      </c>
    </row>
    <row r="938" spans="1:25" hidden="1">
      <c r="A938" s="2" t="s">
        <v>1203</v>
      </c>
      <c r="B938" s="2" t="s">
        <v>157</v>
      </c>
      <c r="C938" s="2" t="s">
        <v>693</v>
      </c>
      <c r="D938" s="3">
        <v>46143.822916666657</v>
      </c>
      <c r="E938" s="3">
        <v>46143.84375</v>
      </c>
      <c r="F938" s="2">
        <v>30</v>
      </c>
      <c r="G938" s="2" t="s">
        <v>167</v>
      </c>
      <c r="H938" s="2" t="s">
        <v>168</v>
      </c>
      <c r="I938" s="2">
        <v>5</v>
      </c>
      <c r="J938" s="2">
        <v>6</v>
      </c>
      <c r="K938" s="2" t="s">
        <v>153</v>
      </c>
      <c r="L938" s="2" t="s">
        <v>162</v>
      </c>
      <c r="M938" s="2" t="b">
        <v>1</v>
      </c>
      <c r="N938" s="2" t="b">
        <v>0</v>
      </c>
      <c r="O938" s="2">
        <v>5</v>
      </c>
      <c r="P938" s="2">
        <v>0.83333333333333337</v>
      </c>
      <c r="Q938" s="2" t="s">
        <v>175</v>
      </c>
      <c r="R938" s="2" t="s">
        <v>147</v>
      </c>
      <c r="S938" s="2">
        <v>14.4</v>
      </c>
      <c r="T938" s="2">
        <v>15.6</v>
      </c>
      <c r="U938" s="2" t="b">
        <v>0</v>
      </c>
      <c r="V938" s="2">
        <v>20</v>
      </c>
      <c r="W938" s="2">
        <v>3</v>
      </c>
      <c r="X938" s="2">
        <v>19</v>
      </c>
      <c r="Y938" s="2">
        <v>28.844221105527641</v>
      </c>
    </row>
    <row r="939" spans="1:25" hidden="1">
      <c r="A939" s="2" t="s">
        <v>1204</v>
      </c>
      <c r="B939" s="2" t="s">
        <v>173</v>
      </c>
      <c r="C939" s="2" t="s">
        <v>695</v>
      </c>
      <c r="D939" s="3">
        <v>46144.833333333343</v>
      </c>
      <c r="E939" s="3">
        <v>46144.854166666657</v>
      </c>
      <c r="F939" s="2">
        <v>30</v>
      </c>
      <c r="G939" s="2" t="s">
        <v>143</v>
      </c>
      <c r="H939" s="2" t="s">
        <v>1021</v>
      </c>
      <c r="I939" s="2">
        <v>3</v>
      </c>
      <c r="J939" s="2">
        <v>4.5</v>
      </c>
      <c r="K939" s="2" t="s">
        <v>143</v>
      </c>
      <c r="L939" s="2" t="s">
        <v>169</v>
      </c>
      <c r="M939" s="2" t="b">
        <v>1</v>
      </c>
      <c r="N939" s="2" t="b">
        <v>1</v>
      </c>
      <c r="O939" s="2">
        <v>6.666666666666667</v>
      </c>
      <c r="P939" s="2">
        <v>0.66666666666666663</v>
      </c>
      <c r="Q939" s="2" t="s">
        <v>175</v>
      </c>
      <c r="R939" s="2" t="s">
        <v>171</v>
      </c>
      <c r="S939" s="2">
        <v>10.8</v>
      </c>
      <c r="T939" s="2">
        <v>19.2</v>
      </c>
      <c r="U939" s="2" t="b">
        <v>0</v>
      </c>
      <c r="V939" s="2">
        <v>6</v>
      </c>
      <c r="W939" s="2">
        <v>2</v>
      </c>
      <c r="X939" s="2">
        <v>20</v>
      </c>
      <c r="Y939" s="2">
        <v>30.286458333333329</v>
      </c>
    </row>
    <row r="940" spans="1:25" hidden="1">
      <c r="A940" s="2" t="s">
        <v>1205</v>
      </c>
      <c r="B940" s="2" t="s">
        <v>142</v>
      </c>
      <c r="C940" s="2" t="s">
        <v>697</v>
      </c>
      <c r="D940" s="3">
        <v>46145.802083333343</v>
      </c>
      <c r="E940" s="3">
        <v>46145.822916666657</v>
      </c>
      <c r="F940" s="2">
        <v>30</v>
      </c>
      <c r="G940" s="2" t="s">
        <v>151</v>
      </c>
      <c r="H940" s="2" t="s">
        <v>657</v>
      </c>
      <c r="I940" s="2">
        <v>4</v>
      </c>
      <c r="J940" s="2">
        <v>5.5</v>
      </c>
      <c r="K940" s="2" t="s">
        <v>143</v>
      </c>
      <c r="L940" s="2" t="s">
        <v>162</v>
      </c>
      <c r="M940" s="2" t="b">
        <v>1</v>
      </c>
      <c r="N940" s="2" t="b">
        <v>1</v>
      </c>
      <c r="O940" s="2">
        <v>5.4545454545454541</v>
      </c>
      <c r="P940" s="2">
        <v>0.72727272727272729</v>
      </c>
      <c r="Q940" s="2" t="s">
        <v>175</v>
      </c>
      <c r="R940" s="2" t="s">
        <v>147</v>
      </c>
      <c r="S940" s="2">
        <v>13.2</v>
      </c>
      <c r="T940" s="2">
        <v>16.8</v>
      </c>
      <c r="U940" s="2" t="b">
        <v>0</v>
      </c>
      <c r="V940" s="2">
        <v>12</v>
      </c>
      <c r="W940" s="2">
        <v>2</v>
      </c>
      <c r="X940" s="2">
        <v>19</v>
      </c>
      <c r="Y940" s="2">
        <v>30.259433962264151</v>
      </c>
    </row>
    <row r="941" spans="1:25" hidden="1">
      <c r="A941" s="2" t="s">
        <v>1206</v>
      </c>
      <c r="B941" s="2" t="s">
        <v>165</v>
      </c>
      <c r="C941" s="2" t="s">
        <v>188</v>
      </c>
      <c r="D941" s="3">
        <v>46146.854166666657</v>
      </c>
      <c r="E941" s="3">
        <v>46146.875</v>
      </c>
      <c r="F941" s="2">
        <v>30</v>
      </c>
      <c r="G941" s="2" t="s">
        <v>143</v>
      </c>
      <c r="H941" s="2" t="s">
        <v>144</v>
      </c>
      <c r="I941" s="2">
        <v>2</v>
      </c>
      <c r="J941" s="2">
        <v>4</v>
      </c>
      <c r="K941" s="2" t="s">
        <v>161</v>
      </c>
      <c r="L941" s="2" t="s">
        <v>154</v>
      </c>
      <c r="M941" s="2" t="b">
        <v>1</v>
      </c>
      <c r="N941" s="2" t="b">
        <v>0</v>
      </c>
      <c r="O941" s="2">
        <v>7.5</v>
      </c>
      <c r="P941" s="2">
        <v>0.5</v>
      </c>
      <c r="Q941" s="2" t="s">
        <v>175</v>
      </c>
      <c r="R941" s="2" t="s">
        <v>147</v>
      </c>
      <c r="S941" s="2">
        <v>9.6</v>
      </c>
      <c r="T941" s="2">
        <v>20.399999999999999</v>
      </c>
      <c r="U941" s="2" t="b">
        <v>0</v>
      </c>
      <c r="V941" s="2">
        <v>4</v>
      </c>
      <c r="W941" s="2">
        <v>1</v>
      </c>
      <c r="X941" s="2">
        <v>20</v>
      </c>
      <c r="Y941" s="2">
        <v>29.948453608247419</v>
      </c>
    </row>
    <row r="942" spans="1:25" hidden="1">
      <c r="A942" s="2" t="s">
        <v>1207</v>
      </c>
      <c r="B942" s="2" t="s">
        <v>149</v>
      </c>
      <c r="C942" s="2" t="s">
        <v>712</v>
      </c>
      <c r="D942" s="3">
        <v>46147.75</v>
      </c>
      <c r="E942" s="3">
        <v>46147.770833333343</v>
      </c>
      <c r="F942" s="2">
        <v>30</v>
      </c>
      <c r="G942" s="2" t="s">
        <v>143</v>
      </c>
      <c r="H942" s="2" t="s">
        <v>1018</v>
      </c>
      <c r="I942" s="2">
        <v>3</v>
      </c>
      <c r="J942" s="2">
        <v>5</v>
      </c>
      <c r="K942" s="2" t="s">
        <v>143</v>
      </c>
      <c r="L942" s="2" t="s">
        <v>145</v>
      </c>
      <c r="M942" s="2" t="b">
        <v>1</v>
      </c>
      <c r="N942" s="2" t="b">
        <v>0</v>
      </c>
      <c r="O942" s="2">
        <v>6</v>
      </c>
      <c r="P942" s="2">
        <v>0.6</v>
      </c>
      <c r="Q942" s="2" t="s">
        <v>175</v>
      </c>
      <c r="R942" s="2" t="s">
        <v>147</v>
      </c>
      <c r="S942" s="2">
        <v>12</v>
      </c>
      <c r="T942" s="2">
        <v>18</v>
      </c>
      <c r="U942" s="2" t="b">
        <v>0</v>
      </c>
      <c r="V942" s="2">
        <v>6</v>
      </c>
      <c r="W942" s="2">
        <v>2</v>
      </c>
      <c r="X942" s="2">
        <v>18</v>
      </c>
      <c r="Y942" s="2">
        <v>28.186274509803919</v>
      </c>
    </row>
    <row r="943" spans="1:25" hidden="1">
      <c r="A943" s="2" t="s">
        <v>1208</v>
      </c>
      <c r="B943" s="2" t="s">
        <v>157</v>
      </c>
      <c r="C943" s="2" t="s">
        <v>693</v>
      </c>
      <c r="D943" s="3">
        <v>46148.802083333343</v>
      </c>
      <c r="E943" s="3">
        <v>46148.822916666657</v>
      </c>
      <c r="F943" s="2">
        <v>30</v>
      </c>
      <c r="G943" s="2" t="s">
        <v>167</v>
      </c>
      <c r="H943" s="2" t="s">
        <v>168</v>
      </c>
      <c r="I943" s="2">
        <v>5</v>
      </c>
      <c r="J943" s="2">
        <v>6</v>
      </c>
      <c r="K943" s="2" t="s">
        <v>153</v>
      </c>
      <c r="L943" s="2" t="s">
        <v>162</v>
      </c>
      <c r="M943" s="2" t="b">
        <v>1</v>
      </c>
      <c r="N943" s="2" t="b">
        <v>0</v>
      </c>
      <c r="O943" s="2">
        <v>5</v>
      </c>
      <c r="P943" s="2">
        <v>0.83333333333333337</v>
      </c>
      <c r="Q943" s="2" t="s">
        <v>175</v>
      </c>
      <c r="R943" s="2" t="s">
        <v>147</v>
      </c>
      <c r="S943" s="2">
        <v>14.4</v>
      </c>
      <c r="T943" s="2">
        <v>15.6</v>
      </c>
      <c r="U943" s="2" t="b">
        <v>0</v>
      </c>
      <c r="V943" s="2">
        <v>20</v>
      </c>
      <c r="W943" s="2">
        <v>3</v>
      </c>
      <c r="X943" s="2">
        <v>19</v>
      </c>
      <c r="Y943" s="2">
        <v>28.844221105527641</v>
      </c>
    </row>
    <row r="944" spans="1:25" hidden="1">
      <c r="A944" s="2" t="s">
        <v>1209</v>
      </c>
      <c r="B944" s="2" t="s">
        <v>173</v>
      </c>
      <c r="C944" s="2" t="s">
        <v>695</v>
      </c>
      <c r="D944" s="3">
        <v>46149.854166666657</v>
      </c>
      <c r="E944" s="3">
        <v>46149.875</v>
      </c>
      <c r="F944" s="2">
        <v>30</v>
      </c>
      <c r="G944" s="2" t="s">
        <v>143</v>
      </c>
      <c r="H944" s="2" t="s">
        <v>1021</v>
      </c>
      <c r="I944" s="2">
        <v>3</v>
      </c>
      <c r="J944" s="2">
        <v>4.5</v>
      </c>
      <c r="K944" s="2" t="s">
        <v>143</v>
      </c>
      <c r="L944" s="2" t="s">
        <v>169</v>
      </c>
      <c r="M944" s="2" t="b">
        <v>1</v>
      </c>
      <c r="N944" s="2" t="b">
        <v>0</v>
      </c>
      <c r="O944" s="2">
        <v>6.666666666666667</v>
      </c>
      <c r="P944" s="2">
        <v>0.66666666666666663</v>
      </c>
      <c r="Q944" s="2" t="s">
        <v>175</v>
      </c>
      <c r="R944" s="2" t="s">
        <v>171</v>
      </c>
      <c r="S944" s="2">
        <v>10.8</v>
      </c>
      <c r="T944" s="2">
        <v>19.2</v>
      </c>
      <c r="U944" s="2" t="b">
        <v>0</v>
      </c>
      <c r="V944" s="2">
        <v>6</v>
      </c>
      <c r="W944" s="2">
        <v>2</v>
      </c>
      <c r="X944" s="2">
        <v>20</v>
      </c>
      <c r="Y944" s="2">
        <v>30.286458333333329</v>
      </c>
    </row>
    <row r="945" spans="1:25" hidden="1">
      <c r="A945" s="2" t="s">
        <v>1210</v>
      </c>
      <c r="B945" s="2" t="s">
        <v>142</v>
      </c>
      <c r="C945" s="2" t="s">
        <v>697</v>
      </c>
      <c r="D945" s="3">
        <v>46150.791666666657</v>
      </c>
      <c r="E945" s="3">
        <v>46150.8125</v>
      </c>
      <c r="F945" s="2">
        <v>30</v>
      </c>
      <c r="G945" s="2" t="s">
        <v>151</v>
      </c>
      <c r="H945" s="2" t="s">
        <v>657</v>
      </c>
      <c r="I945" s="2">
        <v>4</v>
      </c>
      <c r="J945" s="2">
        <v>5.5</v>
      </c>
      <c r="K945" s="2" t="s">
        <v>143</v>
      </c>
      <c r="L945" s="2" t="s">
        <v>162</v>
      </c>
      <c r="M945" s="2" t="b">
        <v>1</v>
      </c>
      <c r="N945" s="2" t="b">
        <v>0</v>
      </c>
      <c r="O945" s="2">
        <v>5.4545454545454541</v>
      </c>
      <c r="P945" s="2">
        <v>0.72727272727272729</v>
      </c>
      <c r="Q945" s="2" t="s">
        <v>175</v>
      </c>
      <c r="R945" s="2" t="s">
        <v>147</v>
      </c>
      <c r="S945" s="2">
        <v>13.2</v>
      </c>
      <c r="T945" s="2">
        <v>16.8</v>
      </c>
      <c r="U945" s="2" t="b">
        <v>0</v>
      </c>
      <c r="V945" s="2">
        <v>12</v>
      </c>
      <c r="W945" s="2">
        <v>2</v>
      </c>
      <c r="X945" s="2">
        <v>19</v>
      </c>
      <c r="Y945" s="2">
        <v>30.259433962264151</v>
      </c>
    </row>
    <row r="946" spans="1:25" hidden="1">
      <c r="A946" s="2" t="s">
        <v>1211</v>
      </c>
      <c r="B946" s="2" t="s">
        <v>165</v>
      </c>
      <c r="C946" s="2" t="s">
        <v>188</v>
      </c>
      <c r="D946" s="3">
        <v>46151.84375</v>
      </c>
      <c r="E946" s="3">
        <v>46151.864583333343</v>
      </c>
      <c r="F946" s="2">
        <v>30</v>
      </c>
      <c r="G946" s="2" t="s">
        <v>143</v>
      </c>
      <c r="H946" s="2" t="s">
        <v>144</v>
      </c>
      <c r="I946" s="2">
        <v>2</v>
      </c>
      <c r="J946" s="2">
        <v>4</v>
      </c>
      <c r="K946" s="2" t="s">
        <v>161</v>
      </c>
      <c r="L946" s="2" t="s">
        <v>154</v>
      </c>
      <c r="M946" s="2" t="b">
        <v>1</v>
      </c>
      <c r="N946" s="2" t="b">
        <v>1</v>
      </c>
      <c r="O946" s="2">
        <v>7.5</v>
      </c>
      <c r="P946" s="2">
        <v>0.5</v>
      </c>
      <c r="Q946" s="2" t="s">
        <v>175</v>
      </c>
      <c r="R946" s="2" t="s">
        <v>147</v>
      </c>
      <c r="S946" s="2">
        <v>9.6</v>
      </c>
      <c r="T946" s="2">
        <v>20.399999999999999</v>
      </c>
      <c r="U946" s="2" t="b">
        <v>0</v>
      </c>
      <c r="V946" s="2">
        <v>4</v>
      </c>
      <c r="W946" s="2">
        <v>1</v>
      </c>
      <c r="X946" s="2">
        <v>20</v>
      </c>
      <c r="Y946" s="2">
        <v>29.948453608247419</v>
      </c>
    </row>
    <row r="947" spans="1:25" hidden="1">
      <c r="A947" s="2" t="s">
        <v>1212</v>
      </c>
      <c r="B947" s="2" t="s">
        <v>149</v>
      </c>
      <c r="C947" s="2" t="s">
        <v>712</v>
      </c>
      <c r="D947" s="3">
        <v>46152.770833333343</v>
      </c>
      <c r="E947" s="3">
        <v>46152.791666666657</v>
      </c>
      <c r="F947" s="2">
        <v>30</v>
      </c>
      <c r="G947" s="2" t="s">
        <v>143</v>
      </c>
      <c r="H947" s="2" t="s">
        <v>1018</v>
      </c>
      <c r="I947" s="2">
        <v>3</v>
      </c>
      <c r="J947" s="2">
        <v>5</v>
      </c>
      <c r="K947" s="2" t="s">
        <v>143</v>
      </c>
      <c r="L947" s="2" t="s">
        <v>145</v>
      </c>
      <c r="M947" s="2" t="b">
        <v>1</v>
      </c>
      <c r="N947" s="2" t="b">
        <v>1</v>
      </c>
      <c r="O947" s="2">
        <v>6</v>
      </c>
      <c r="P947" s="2">
        <v>0.6</v>
      </c>
      <c r="Q947" s="2" t="s">
        <v>175</v>
      </c>
      <c r="R947" s="2" t="s">
        <v>147</v>
      </c>
      <c r="S947" s="2">
        <v>12</v>
      </c>
      <c r="T947" s="2">
        <v>18</v>
      </c>
      <c r="U947" s="2" t="b">
        <v>0</v>
      </c>
      <c r="V947" s="2">
        <v>6</v>
      </c>
      <c r="W947" s="2">
        <v>2</v>
      </c>
      <c r="X947" s="2">
        <v>18</v>
      </c>
      <c r="Y947" s="2">
        <v>28.186274509803919</v>
      </c>
    </row>
    <row r="948" spans="1:25" hidden="1">
      <c r="A948" s="2" t="s">
        <v>1213</v>
      </c>
      <c r="B948" s="2" t="s">
        <v>157</v>
      </c>
      <c r="C948" s="2" t="s">
        <v>693</v>
      </c>
      <c r="D948" s="3">
        <v>46153.822916666657</v>
      </c>
      <c r="E948" s="3">
        <v>46153.84375</v>
      </c>
      <c r="F948" s="2">
        <v>30</v>
      </c>
      <c r="G948" s="2" t="s">
        <v>167</v>
      </c>
      <c r="H948" s="2" t="s">
        <v>168</v>
      </c>
      <c r="I948" s="2">
        <v>5</v>
      </c>
      <c r="J948" s="2">
        <v>6</v>
      </c>
      <c r="K948" s="2" t="s">
        <v>153</v>
      </c>
      <c r="L948" s="2" t="s">
        <v>162</v>
      </c>
      <c r="M948" s="2" t="b">
        <v>1</v>
      </c>
      <c r="N948" s="2" t="b">
        <v>0</v>
      </c>
      <c r="O948" s="2">
        <v>5</v>
      </c>
      <c r="P948" s="2">
        <v>0.83333333333333337</v>
      </c>
      <c r="Q948" s="2" t="s">
        <v>175</v>
      </c>
      <c r="R948" s="2" t="s">
        <v>147</v>
      </c>
      <c r="S948" s="2">
        <v>14.4</v>
      </c>
      <c r="T948" s="2">
        <v>15.6</v>
      </c>
      <c r="U948" s="2" t="b">
        <v>0</v>
      </c>
      <c r="V948" s="2">
        <v>20</v>
      </c>
      <c r="W948" s="2">
        <v>3</v>
      </c>
      <c r="X948" s="2">
        <v>19</v>
      </c>
      <c r="Y948" s="2">
        <v>28.844221105527641</v>
      </c>
    </row>
    <row r="949" spans="1:25" hidden="1">
      <c r="A949" s="2" t="s">
        <v>1214</v>
      </c>
      <c r="B949" s="2" t="s">
        <v>173</v>
      </c>
      <c r="C949" s="2" t="s">
        <v>695</v>
      </c>
      <c r="D949" s="3">
        <v>46154.833333333343</v>
      </c>
      <c r="E949" s="3">
        <v>46154.854166666657</v>
      </c>
      <c r="F949" s="2">
        <v>30</v>
      </c>
      <c r="G949" s="2" t="s">
        <v>143</v>
      </c>
      <c r="H949" s="2" t="s">
        <v>1021</v>
      </c>
      <c r="I949" s="2">
        <v>3</v>
      </c>
      <c r="J949" s="2">
        <v>4.5</v>
      </c>
      <c r="K949" s="2" t="s">
        <v>143</v>
      </c>
      <c r="L949" s="2" t="s">
        <v>169</v>
      </c>
      <c r="M949" s="2" t="b">
        <v>1</v>
      </c>
      <c r="N949" s="2" t="b">
        <v>0</v>
      </c>
      <c r="O949" s="2">
        <v>6.666666666666667</v>
      </c>
      <c r="P949" s="2">
        <v>0.66666666666666663</v>
      </c>
      <c r="Q949" s="2" t="s">
        <v>175</v>
      </c>
      <c r="R949" s="2" t="s">
        <v>171</v>
      </c>
      <c r="S949" s="2">
        <v>10.8</v>
      </c>
      <c r="T949" s="2">
        <v>19.2</v>
      </c>
      <c r="U949" s="2" t="b">
        <v>0</v>
      </c>
      <c r="V949" s="2">
        <v>6</v>
      </c>
      <c r="W949" s="2">
        <v>2</v>
      </c>
      <c r="X949" s="2">
        <v>20</v>
      </c>
      <c r="Y949" s="2">
        <v>30.286458333333329</v>
      </c>
    </row>
    <row r="950" spans="1:25" hidden="1">
      <c r="A950" s="2" t="s">
        <v>1215</v>
      </c>
      <c r="B950" s="2" t="s">
        <v>149</v>
      </c>
      <c r="C950" s="2" t="s">
        <v>712</v>
      </c>
      <c r="D950" s="3">
        <v>46155.75</v>
      </c>
      <c r="E950" s="3">
        <v>46155.770833333343</v>
      </c>
      <c r="F950" s="2">
        <v>30</v>
      </c>
      <c r="G950" s="2" t="s">
        <v>143</v>
      </c>
      <c r="H950" s="2" t="s">
        <v>1018</v>
      </c>
      <c r="I950" s="2">
        <v>3</v>
      </c>
      <c r="J950" s="2">
        <v>5</v>
      </c>
      <c r="K950" s="2" t="s">
        <v>143</v>
      </c>
      <c r="L950" s="2" t="s">
        <v>162</v>
      </c>
      <c r="M950" s="2" t="b">
        <v>1</v>
      </c>
      <c r="N950" s="2" t="b">
        <v>0</v>
      </c>
      <c r="O950" s="2">
        <v>6</v>
      </c>
      <c r="P950" s="2">
        <v>0.6</v>
      </c>
      <c r="Q950" s="2" t="s">
        <v>175</v>
      </c>
      <c r="R950" s="2" t="s">
        <v>147</v>
      </c>
      <c r="S950" s="2">
        <v>12</v>
      </c>
      <c r="T950" s="2">
        <v>18</v>
      </c>
      <c r="U950" s="2" t="b">
        <v>0</v>
      </c>
      <c r="V950" s="2">
        <v>6</v>
      </c>
      <c r="W950" s="2">
        <v>2</v>
      </c>
      <c r="X950" s="2">
        <v>18</v>
      </c>
      <c r="Y950" s="2">
        <v>28.186274509803919</v>
      </c>
    </row>
    <row r="951" spans="1:25" hidden="1">
      <c r="A951" s="2" t="s">
        <v>1216</v>
      </c>
      <c r="B951" s="2" t="s">
        <v>157</v>
      </c>
      <c r="C951" s="2" t="s">
        <v>693</v>
      </c>
      <c r="D951" s="3">
        <v>46156.802083333343</v>
      </c>
      <c r="E951" s="3">
        <v>46156.822916666657</v>
      </c>
      <c r="F951" s="2">
        <v>30</v>
      </c>
      <c r="G951" s="2" t="s">
        <v>167</v>
      </c>
      <c r="H951" s="2" t="s">
        <v>168</v>
      </c>
      <c r="I951" s="2">
        <v>5</v>
      </c>
      <c r="J951" s="2">
        <v>6</v>
      </c>
      <c r="K951" s="2" t="s">
        <v>153</v>
      </c>
      <c r="L951" s="2" t="s">
        <v>145</v>
      </c>
      <c r="M951" s="2" t="b">
        <v>1</v>
      </c>
      <c r="N951" s="2" t="b">
        <v>0</v>
      </c>
      <c r="O951" s="2">
        <v>5</v>
      </c>
      <c r="P951" s="2">
        <v>0.83333333333333337</v>
      </c>
      <c r="Q951" s="2" t="s">
        <v>175</v>
      </c>
      <c r="R951" s="2" t="s">
        <v>147</v>
      </c>
      <c r="S951" s="2">
        <v>14.4</v>
      </c>
      <c r="T951" s="2">
        <v>15.6</v>
      </c>
      <c r="U951" s="2" t="b">
        <v>0</v>
      </c>
      <c r="V951" s="2">
        <v>20</v>
      </c>
      <c r="W951" s="2">
        <v>3</v>
      </c>
      <c r="X951" s="2">
        <v>19</v>
      </c>
      <c r="Y951" s="2">
        <v>28.844221105527641</v>
      </c>
    </row>
    <row r="952" spans="1:25" hidden="1">
      <c r="A952" s="2" t="s">
        <v>1217</v>
      </c>
      <c r="B952" s="2" t="s">
        <v>173</v>
      </c>
      <c r="C952" s="2" t="s">
        <v>695</v>
      </c>
      <c r="D952" s="3">
        <v>46157.854166666657</v>
      </c>
      <c r="E952" s="3">
        <v>46157.875</v>
      </c>
      <c r="F952" s="2">
        <v>30</v>
      </c>
      <c r="G952" s="2" t="s">
        <v>143</v>
      </c>
      <c r="H952" s="2" t="s">
        <v>1021</v>
      </c>
      <c r="I952" s="2">
        <v>3</v>
      </c>
      <c r="J952" s="2">
        <v>4.5</v>
      </c>
      <c r="K952" s="2" t="s">
        <v>143</v>
      </c>
      <c r="L952" s="2" t="s">
        <v>169</v>
      </c>
      <c r="M952" s="2" t="b">
        <v>1</v>
      </c>
      <c r="N952" s="2" t="b">
        <v>0</v>
      </c>
      <c r="O952" s="2">
        <v>6.666666666666667</v>
      </c>
      <c r="P952" s="2">
        <v>0.66666666666666663</v>
      </c>
      <c r="Q952" s="2" t="s">
        <v>175</v>
      </c>
      <c r="R952" s="2" t="s">
        <v>171</v>
      </c>
      <c r="S952" s="2">
        <v>10.8</v>
      </c>
      <c r="T952" s="2">
        <v>19.2</v>
      </c>
      <c r="U952" s="2" t="b">
        <v>0</v>
      </c>
      <c r="V952" s="2">
        <v>6</v>
      </c>
      <c r="W952" s="2">
        <v>2</v>
      </c>
      <c r="X952" s="2">
        <v>20</v>
      </c>
      <c r="Y952" s="2">
        <v>30.286458333333329</v>
      </c>
    </row>
    <row r="953" spans="1:25" hidden="1">
      <c r="A953" s="2" t="s">
        <v>1218</v>
      </c>
      <c r="B953" s="2" t="s">
        <v>142</v>
      </c>
      <c r="C953" s="2" t="s">
        <v>697</v>
      </c>
      <c r="D953" s="3">
        <v>46158.791666666657</v>
      </c>
      <c r="E953" s="3">
        <v>46158.8125</v>
      </c>
      <c r="F953" s="2">
        <v>30</v>
      </c>
      <c r="G953" s="2" t="s">
        <v>151</v>
      </c>
      <c r="H953" s="2" t="s">
        <v>657</v>
      </c>
      <c r="I953" s="2">
        <v>4</v>
      </c>
      <c r="J953" s="2">
        <v>5.5</v>
      </c>
      <c r="K953" s="2" t="s">
        <v>143</v>
      </c>
      <c r="L953" s="2" t="s">
        <v>162</v>
      </c>
      <c r="M953" s="2" t="b">
        <v>1</v>
      </c>
      <c r="N953" s="2" t="b">
        <v>1</v>
      </c>
      <c r="O953" s="2">
        <v>5.4545454545454541</v>
      </c>
      <c r="P953" s="2">
        <v>0.72727272727272729</v>
      </c>
      <c r="Q953" s="2" t="s">
        <v>175</v>
      </c>
      <c r="R953" s="2" t="s">
        <v>147</v>
      </c>
      <c r="S953" s="2">
        <v>13.2</v>
      </c>
      <c r="T953" s="2">
        <v>16.8</v>
      </c>
      <c r="U953" s="2" t="b">
        <v>0</v>
      </c>
      <c r="V953" s="2">
        <v>12</v>
      </c>
      <c r="W953" s="2">
        <v>2</v>
      </c>
      <c r="X953" s="2">
        <v>19</v>
      </c>
      <c r="Y953" s="2">
        <v>30.259433962264151</v>
      </c>
    </row>
    <row r="954" spans="1:25" hidden="1">
      <c r="A954" s="2" t="s">
        <v>1219</v>
      </c>
      <c r="B954" s="2" t="s">
        <v>165</v>
      </c>
      <c r="C954" s="2" t="s">
        <v>188</v>
      </c>
      <c r="D954" s="3">
        <v>46159.84375</v>
      </c>
      <c r="E954" s="3">
        <v>46159.864583333343</v>
      </c>
      <c r="F954" s="2">
        <v>30</v>
      </c>
      <c r="G954" s="2" t="s">
        <v>143</v>
      </c>
      <c r="H954" s="2" t="s">
        <v>144</v>
      </c>
      <c r="I954" s="2">
        <v>2</v>
      </c>
      <c r="J954" s="2">
        <v>4</v>
      </c>
      <c r="K954" s="2" t="s">
        <v>161</v>
      </c>
      <c r="L954" s="2" t="s">
        <v>154</v>
      </c>
      <c r="M954" s="2" t="b">
        <v>1</v>
      </c>
      <c r="N954" s="2" t="b">
        <v>1</v>
      </c>
      <c r="O954" s="2">
        <v>7.5</v>
      </c>
      <c r="P954" s="2">
        <v>0.5</v>
      </c>
      <c r="Q954" s="2" t="s">
        <v>175</v>
      </c>
      <c r="R954" s="2" t="s">
        <v>147</v>
      </c>
      <c r="S954" s="2">
        <v>9.6</v>
      </c>
      <c r="T954" s="2">
        <v>20.399999999999999</v>
      </c>
      <c r="U954" s="2" t="b">
        <v>0</v>
      </c>
      <c r="V954" s="2">
        <v>4</v>
      </c>
      <c r="W954" s="2">
        <v>1</v>
      </c>
      <c r="X954" s="2">
        <v>20</v>
      </c>
      <c r="Y954" s="2">
        <v>29.948453608247419</v>
      </c>
    </row>
    <row r="955" spans="1:25" hidden="1">
      <c r="A955" s="2" t="s">
        <v>1220</v>
      </c>
      <c r="B955" s="2" t="s">
        <v>149</v>
      </c>
      <c r="C955" s="2" t="s">
        <v>712</v>
      </c>
      <c r="D955" s="3">
        <v>46160.770833333343</v>
      </c>
      <c r="E955" s="3">
        <v>46160.791666666657</v>
      </c>
      <c r="F955" s="2">
        <v>30</v>
      </c>
      <c r="G955" s="2" t="s">
        <v>143</v>
      </c>
      <c r="H955" s="2" t="s">
        <v>1018</v>
      </c>
      <c r="I955" s="2">
        <v>3</v>
      </c>
      <c r="J955" s="2">
        <v>5</v>
      </c>
      <c r="K955" s="2" t="s">
        <v>143</v>
      </c>
      <c r="L955" s="2" t="s">
        <v>145</v>
      </c>
      <c r="M955" s="2" t="b">
        <v>1</v>
      </c>
      <c r="N955" s="2" t="b">
        <v>0</v>
      </c>
      <c r="O955" s="2">
        <v>6</v>
      </c>
      <c r="P955" s="2">
        <v>0.6</v>
      </c>
      <c r="Q955" s="2" t="s">
        <v>175</v>
      </c>
      <c r="R955" s="2" t="s">
        <v>147</v>
      </c>
      <c r="S955" s="2">
        <v>12</v>
      </c>
      <c r="T955" s="2">
        <v>18</v>
      </c>
      <c r="U955" s="2" t="b">
        <v>0</v>
      </c>
      <c r="V955" s="2">
        <v>6</v>
      </c>
      <c r="W955" s="2">
        <v>2</v>
      </c>
      <c r="X955" s="2">
        <v>18</v>
      </c>
      <c r="Y955" s="2">
        <v>28.186274509803919</v>
      </c>
    </row>
    <row r="956" spans="1:25" hidden="1">
      <c r="A956" s="2" t="s">
        <v>1221</v>
      </c>
      <c r="B956" s="2" t="s">
        <v>157</v>
      </c>
      <c r="C956" s="2" t="s">
        <v>693</v>
      </c>
      <c r="D956" s="3">
        <v>46161.822916666657</v>
      </c>
      <c r="E956" s="3">
        <v>46161.84375</v>
      </c>
      <c r="F956" s="2">
        <v>30</v>
      </c>
      <c r="G956" s="2" t="s">
        <v>167</v>
      </c>
      <c r="H956" s="2" t="s">
        <v>168</v>
      </c>
      <c r="I956" s="2">
        <v>5</v>
      </c>
      <c r="J956" s="2">
        <v>6</v>
      </c>
      <c r="K956" s="2" t="s">
        <v>153</v>
      </c>
      <c r="L956" s="2" t="s">
        <v>162</v>
      </c>
      <c r="M956" s="2" t="b">
        <v>1</v>
      </c>
      <c r="N956" s="2" t="b">
        <v>0</v>
      </c>
      <c r="O956" s="2">
        <v>5</v>
      </c>
      <c r="P956" s="2">
        <v>0.83333333333333337</v>
      </c>
      <c r="Q956" s="2" t="s">
        <v>175</v>
      </c>
      <c r="R956" s="2" t="s">
        <v>147</v>
      </c>
      <c r="S956" s="2">
        <v>14.4</v>
      </c>
      <c r="T956" s="2">
        <v>15.6</v>
      </c>
      <c r="U956" s="2" t="b">
        <v>0</v>
      </c>
      <c r="V956" s="2">
        <v>20</v>
      </c>
      <c r="W956" s="2">
        <v>3</v>
      </c>
      <c r="X956" s="2">
        <v>19</v>
      </c>
      <c r="Y956" s="2">
        <v>28.844221105527641</v>
      </c>
    </row>
    <row r="957" spans="1:25" hidden="1">
      <c r="A957" s="2" t="s">
        <v>1222</v>
      </c>
      <c r="B957" s="2" t="s">
        <v>173</v>
      </c>
      <c r="C957" s="2" t="s">
        <v>695</v>
      </c>
      <c r="D957" s="3">
        <v>46162.833333333343</v>
      </c>
      <c r="E957" s="3">
        <v>46162.854166666657</v>
      </c>
      <c r="F957" s="2">
        <v>30</v>
      </c>
      <c r="G957" s="2" t="s">
        <v>143</v>
      </c>
      <c r="H957" s="2" t="s">
        <v>1021</v>
      </c>
      <c r="I957" s="2">
        <v>3</v>
      </c>
      <c r="J957" s="2">
        <v>4.5</v>
      </c>
      <c r="K957" s="2" t="s">
        <v>143</v>
      </c>
      <c r="L957" s="2" t="s">
        <v>169</v>
      </c>
      <c r="M957" s="2" t="b">
        <v>1</v>
      </c>
      <c r="N957" s="2" t="b">
        <v>0</v>
      </c>
      <c r="O957" s="2">
        <v>6.666666666666667</v>
      </c>
      <c r="P957" s="2">
        <v>0.66666666666666663</v>
      </c>
      <c r="Q957" s="2" t="s">
        <v>175</v>
      </c>
      <c r="R957" s="2" t="s">
        <v>171</v>
      </c>
      <c r="S957" s="2">
        <v>10.8</v>
      </c>
      <c r="T957" s="2">
        <v>19.2</v>
      </c>
      <c r="U957" s="2" t="b">
        <v>0</v>
      </c>
      <c r="V957" s="2">
        <v>6</v>
      </c>
      <c r="W957" s="2">
        <v>2</v>
      </c>
      <c r="X957" s="2">
        <v>20</v>
      </c>
      <c r="Y957" s="2">
        <v>30.286458333333329</v>
      </c>
    </row>
    <row r="958" spans="1:25" hidden="1">
      <c r="A958" s="2" t="s">
        <v>1223</v>
      </c>
      <c r="B958" s="2" t="s">
        <v>142</v>
      </c>
      <c r="C958" s="2" t="s">
        <v>697</v>
      </c>
      <c r="D958" s="3">
        <v>46163.802083333343</v>
      </c>
      <c r="E958" s="3">
        <v>46163.822916666657</v>
      </c>
      <c r="F958" s="2">
        <v>30</v>
      </c>
      <c r="G958" s="2" t="s">
        <v>151</v>
      </c>
      <c r="H958" s="2" t="s">
        <v>657</v>
      </c>
      <c r="I958" s="2">
        <v>4</v>
      </c>
      <c r="J958" s="2">
        <v>5.5</v>
      </c>
      <c r="K958" s="2" t="s">
        <v>143</v>
      </c>
      <c r="L958" s="2" t="s">
        <v>162</v>
      </c>
      <c r="M958" s="2" t="b">
        <v>1</v>
      </c>
      <c r="N958" s="2" t="b">
        <v>0</v>
      </c>
      <c r="O958" s="2">
        <v>5.4545454545454541</v>
      </c>
      <c r="P958" s="2">
        <v>0.72727272727272729</v>
      </c>
      <c r="Q958" s="2" t="s">
        <v>175</v>
      </c>
      <c r="R958" s="2" t="s">
        <v>147</v>
      </c>
      <c r="S958" s="2">
        <v>13.2</v>
      </c>
      <c r="T958" s="2">
        <v>16.8</v>
      </c>
      <c r="U958" s="2" t="b">
        <v>0</v>
      </c>
      <c r="V958" s="2">
        <v>12</v>
      </c>
      <c r="W958" s="2">
        <v>2</v>
      </c>
      <c r="X958" s="2">
        <v>19</v>
      </c>
      <c r="Y958" s="2">
        <v>30.259433962264151</v>
      </c>
    </row>
    <row r="959" spans="1:25" hidden="1">
      <c r="A959" s="2" t="s">
        <v>1224</v>
      </c>
      <c r="B959" s="2" t="s">
        <v>165</v>
      </c>
      <c r="C959" s="2" t="s">
        <v>188</v>
      </c>
      <c r="D959" s="3">
        <v>46164.854166666657</v>
      </c>
      <c r="E959" s="3">
        <v>46164.875</v>
      </c>
      <c r="F959" s="2">
        <v>30</v>
      </c>
      <c r="G959" s="2" t="s">
        <v>143</v>
      </c>
      <c r="H959" s="2" t="s">
        <v>144</v>
      </c>
      <c r="I959" s="2">
        <v>2</v>
      </c>
      <c r="J959" s="2">
        <v>4</v>
      </c>
      <c r="K959" s="2" t="s">
        <v>161</v>
      </c>
      <c r="L959" s="2" t="s">
        <v>154</v>
      </c>
      <c r="M959" s="2" t="b">
        <v>1</v>
      </c>
      <c r="N959" s="2" t="b">
        <v>0</v>
      </c>
      <c r="O959" s="2">
        <v>7.5</v>
      </c>
      <c r="P959" s="2">
        <v>0.5</v>
      </c>
      <c r="Q959" s="2" t="s">
        <v>175</v>
      </c>
      <c r="R959" s="2" t="s">
        <v>147</v>
      </c>
      <c r="S959" s="2">
        <v>9.6</v>
      </c>
      <c r="T959" s="2">
        <v>20.399999999999999</v>
      </c>
      <c r="U959" s="2" t="b">
        <v>0</v>
      </c>
      <c r="V959" s="2">
        <v>4</v>
      </c>
      <c r="W959" s="2">
        <v>1</v>
      </c>
      <c r="X959" s="2">
        <v>20</v>
      </c>
      <c r="Y959" s="2">
        <v>29.948453608247419</v>
      </c>
    </row>
    <row r="960" spans="1:25" hidden="1">
      <c r="A960" s="2" t="s">
        <v>1225</v>
      </c>
      <c r="B960" s="2" t="s">
        <v>149</v>
      </c>
      <c r="C960" s="2" t="s">
        <v>712</v>
      </c>
      <c r="D960" s="3">
        <v>46165.75</v>
      </c>
      <c r="E960" s="3">
        <v>46165.770833333343</v>
      </c>
      <c r="F960" s="2">
        <v>30</v>
      </c>
      <c r="G960" s="2" t="s">
        <v>143</v>
      </c>
      <c r="H960" s="2" t="s">
        <v>1018</v>
      </c>
      <c r="I960" s="2">
        <v>3</v>
      </c>
      <c r="J960" s="2">
        <v>5</v>
      </c>
      <c r="K960" s="2" t="s">
        <v>143</v>
      </c>
      <c r="L960" s="2" t="s">
        <v>162</v>
      </c>
      <c r="M960" s="2" t="b">
        <v>1</v>
      </c>
      <c r="N960" s="2" t="b">
        <v>1</v>
      </c>
      <c r="O960" s="2">
        <v>6</v>
      </c>
      <c r="P960" s="2">
        <v>0.6</v>
      </c>
      <c r="Q960" s="2" t="s">
        <v>175</v>
      </c>
      <c r="R960" s="2" t="s">
        <v>147</v>
      </c>
      <c r="S960" s="2">
        <v>12</v>
      </c>
      <c r="T960" s="2">
        <v>18</v>
      </c>
      <c r="U960" s="2" t="b">
        <v>0</v>
      </c>
      <c r="V960" s="2">
        <v>6</v>
      </c>
      <c r="W960" s="2">
        <v>2</v>
      </c>
      <c r="X960" s="2">
        <v>18</v>
      </c>
      <c r="Y960" s="2">
        <v>28.186274509803919</v>
      </c>
    </row>
    <row r="961" spans="1:25" hidden="1">
      <c r="A961" s="2" t="s">
        <v>1226</v>
      </c>
      <c r="B961" s="2" t="s">
        <v>157</v>
      </c>
      <c r="C961" s="2" t="s">
        <v>693</v>
      </c>
      <c r="D961" s="3">
        <v>46166.802083333343</v>
      </c>
      <c r="E961" s="3">
        <v>46166.822916666657</v>
      </c>
      <c r="F961" s="2">
        <v>30</v>
      </c>
      <c r="G961" s="2" t="s">
        <v>167</v>
      </c>
      <c r="H961" s="2" t="s">
        <v>168</v>
      </c>
      <c r="I961" s="2">
        <v>5</v>
      </c>
      <c r="J961" s="2">
        <v>6</v>
      </c>
      <c r="K961" s="2" t="s">
        <v>153</v>
      </c>
      <c r="L961" s="2" t="s">
        <v>145</v>
      </c>
      <c r="M961" s="2" t="b">
        <v>1</v>
      </c>
      <c r="N961" s="2" t="b">
        <v>1</v>
      </c>
      <c r="O961" s="2">
        <v>5</v>
      </c>
      <c r="P961" s="2">
        <v>0.83333333333333337</v>
      </c>
      <c r="Q961" s="2" t="s">
        <v>175</v>
      </c>
      <c r="R961" s="2" t="s">
        <v>147</v>
      </c>
      <c r="S961" s="2">
        <v>14.4</v>
      </c>
      <c r="T961" s="2">
        <v>15.6</v>
      </c>
      <c r="U961" s="2" t="b">
        <v>0</v>
      </c>
      <c r="V961" s="2">
        <v>20</v>
      </c>
      <c r="W961" s="2">
        <v>3</v>
      </c>
      <c r="X961" s="2">
        <v>19</v>
      </c>
      <c r="Y961" s="2">
        <v>28.844221105527641</v>
      </c>
    </row>
    <row r="962" spans="1:25" hidden="1">
      <c r="A962" s="2" t="s">
        <v>1227</v>
      </c>
      <c r="B962" s="2" t="s">
        <v>173</v>
      </c>
      <c r="C962" s="2" t="s">
        <v>695</v>
      </c>
      <c r="D962" s="3">
        <v>46167.854166666657</v>
      </c>
      <c r="E962" s="3">
        <v>46167.875</v>
      </c>
      <c r="F962" s="2">
        <v>30</v>
      </c>
      <c r="G962" s="2" t="s">
        <v>143</v>
      </c>
      <c r="H962" s="2" t="s">
        <v>1021</v>
      </c>
      <c r="I962" s="2">
        <v>3</v>
      </c>
      <c r="J962" s="2">
        <v>4.5</v>
      </c>
      <c r="K962" s="2" t="s">
        <v>143</v>
      </c>
      <c r="L962" s="2" t="s">
        <v>169</v>
      </c>
      <c r="M962" s="2" t="b">
        <v>1</v>
      </c>
      <c r="N962" s="2" t="b">
        <v>0</v>
      </c>
      <c r="O962" s="2">
        <v>6.666666666666667</v>
      </c>
      <c r="P962" s="2">
        <v>0.66666666666666663</v>
      </c>
      <c r="Q962" s="2" t="s">
        <v>175</v>
      </c>
      <c r="R962" s="2" t="s">
        <v>171</v>
      </c>
      <c r="S962" s="2">
        <v>10.8</v>
      </c>
      <c r="T962" s="2">
        <v>19.2</v>
      </c>
      <c r="U962" s="2" t="b">
        <v>0</v>
      </c>
      <c r="V962" s="2">
        <v>6</v>
      </c>
      <c r="W962" s="2">
        <v>2</v>
      </c>
      <c r="X962" s="2">
        <v>20</v>
      </c>
      <c r="Y962" s="2">
        <v>30.286458333333329</v>
      </c>
    </row>
    <row r="963" spans="1:25" hidden="1">
      <c r="A963" s="2" t="s">
        <v>1228</v>
      </c>
      <c r="B963" s="2" t="s">
        <v>142</v>
      </c>
      <c r="C963" s="2" t="s">
        <v>697</v>
      </c>
      <c r="D963" s="3">
        <v>46168.791666666657</v>
      </c>
      <c r="E963" s="3">
        <v>46168.8125</v>
      </c>
      <c r="F963" s="2">
        <v>30</v>
      </c>
      <c r="G963" s="2" t="s">
        <v>151</v>
      </c>
      <c r="H963" s="2" t="s">
        <v>657</v>
      </c>
      <c r="I963" s="2">
        <v>4</v>
      </c>
      <c r="J963" s="2">
        <v>5.5</v>
      </c>
      <c r="K963" s="2" t="s">
        <v>143</v>
      </c>
      <c r="L963" s="2" t="s">
        <v>162</v>
      </c>
      <c r="M963" s="2" t="b">
        <v>1</v>
      </c>
      <c r="N963" s="2" t="b">
        <v>0</v>
      </c>
      <c r="O963" s="2">
        <v>5.4545454545454541</v>
      </c>
      <c r="P963" s="2">
        <v>0.72727272727272729</v>
      </c>
      <c r="Q963" s="2" t="s">
        <v>175</v>
      </c>
      <c r="R963" s="2" t="s">
        <v>147</v>
      </c>
      <c r="S963" s="2">
        <v>13.2</v>
      </c>
      <c r="T963" s="2">
        <v>16.8</v>
      </c>
      <c r="U963" s="2" t="b">
        <v>0</v>
      </c>
      <c r="V963" s="2">
        <v>12</v>
      </c>
      <c r="W963" s="2">
        <v>2</v>
      </c>
      <c r="X963" s="2">
        <v>19</v>
      </c>
      <c r="Y963" s="2">
        <v>30.259433962264151</v>
      </c>
    </row>
    <row r="964" spans="1:25" hidden="1">
      <c r="A964" s="2" t="s">
        <v>1229</v>
      </c>
      <c r="B964" s="2" t="s">
        <v>165</v>
      </c>
      <c r="C964" s="2" t="s">
        <v>188</v>
      </c>
      <c r="D964" s="3">
        <v>46169.84375</v>
      </c>
      <c r="E964" s="3">
        <v>46169.864583333343</v>
      </c>
      <c r="F964" s="2">
        <v>30</v>
      </c>
      <c r="G964" s="2" t="s">
        <v>143</v>
      </c>
      <c r="H964" s="2" t="s">
        <v>144</v>
      </c>
      <c r="I964" s="2">
        <v>2</v>
      </c>
      <c r="J964" s="2">
        <v>4</v>
      </c>
      <c r="K964" s="2" t="s">
        <v>161</v>
      </c>
      <c r="L964" s="2" t="s">
        <v>154</v>
      </c>
      <c r="M964" s="2" t="b">
        <v>1</v>
      </c>
      <c r="N964" s="2" t="b">
        <v>0</v>
      </c>
      <c r="O964" s="2">
        <v>7.5</v>
      </c>
      <c r="P964" s="2">
        <v>0.5</v>
      </c>
      <c r="Q964" s="2" t="s">
        <v>175</v>
      </c>
      <c r="R964" s="2" t="s">
        <v>147</v>
      </c>
      <c r="S964" s="2">
        <v>9.6</v>
      </c>
      <c r="T964" s="2">
        <v>20.399999999999999</v>
      </c>
      <c r="U964" s="2" t="b">
        <v>0</v>
      </c>
      <c r="V964" s="2">
        <v>4</v>
      </c>
      <c r="W964" s="2">
        <v>1</v>
      </c>
      <c r="X964" s="2">
        <v>20</v>
      </c>
      <c r="Y964" s="2">
        <v>29.948453608247419</v>
      </c>
    </row>
    <row r="965" spans="1:25" hidden="1">
      <c r="A965" s="2" t="s">
        <v>1230</v>
      </c>
      <c r="B965" s="2" t="s">
        <v>149</v>
      </c>
      <c r="C965" s="2" t="s">
        <v>712</v>
      </c>
      <c r="D965" s="3">
        <v>46170.770833333343</v>
      </c>
      <c r="E965" s="3">
        <v>46170.791666666657</v>
      </c>
      <c r="F965" s="2">
        <v>30</v>
      </c>
      <c r="G965" s="2" t="s">
        <v>143</v>
      </c>
      <c r="H965" s="2" t="s">
        <v>1018</v>
      </c>
      <c r="I965" s="2">
        <v>3</v>
      </c>
      <c r="J965" s="2">
        <v>5</v>
      </c>
      <c r="K965" s="2" t="s">
        <v>143</v>
      </c>
      <c r="L965" s="2" t="s">
        <v>145</v>
      </c>
      <c r="M965" s="2" t="b">
        <v>1</v>
      </c>
      <c r="N965" s="2" t="b">
        <v>0</v>
      </c>
      <c r="O965" s="2">
        <v>6</v>
      </c>
      <c r="P965" s="2">
        <v>0.6</v>
      </c>
      <c r="Q965" s="2" t="s">
        <v>175</v>
      </c>
      <c r="R965" s="2" t="s">
        <v>147</v>
      </c>
      <c r="S965" s="2">
        <v>12</v>
      </c>
      <c r="T965" s="2">
        <v>18</v>
      </c>
      <c r="U965" s="2" t="b">
        <v>0</v>
      </c>
      <c r="V965" s="2">
        <v>6</v>
      </c>
      <c r="W965" s="2">
        <v>2</v>
      </c>
      <c r="X965" s="2">
        <v>18</v>
      </c>
      <c r="Y965" s="2">
        <v>28.186274509803919</v>
      </c>
    </row>
    <row r="966" spans="1:25" hidden="1">
      <c r="A966" s="2" t="s">
        <v>1231</v>
      </c>
      <c r="B966" s="2" t="s">
        <v>157</v>
      </c>
      <c r="C966" s="2" t="s">
        <v>693</v>
      </c>
      <c r="D966" s="3">
        <v>46171.822916666657</v>
      </c>
      <c r="E966" s="3">
        <v>46171.84375</v>
      </c>
      <c r="F966" s="2">
        <v>30</v>
      </c>
      <c r="G966" s="2" t="s">
        <v>167</v>
      </c>
      <c r="H966" s="2" t="s">
        <v>168</v>
      </c>
      <c r="I966" s="2">
        <v>5</v>
      </c>
      <c r="J966" s="2">
        <v>6</v>
      </c>
      <c r="K966" s="2" t="s">
        <v>153</v>
      </c>
      <c r="L966" s="2" t="s">
        <v>162</v>
      </c>
      <c r="M966" s="2" t="b">
        <v>1</v>
      </c>
      <c r="N966" s="2" t="b">
        <v>0</v>
      </c>
      <c r="O966" s="2">
        <v>5</v>
      </c>
      <c r="P966" s="2">
        <v>0.83333333333333337</v>
      </c>
      <c r="Q966" s="2" t="s">
        <v>175</v>
      </c>
      <c r="R966" s="2" t="s">
        <v>147</v>
      </c>
      <c r="S966" s="2">
        <v>14.4</v>
      </c>
      <c r="T966" s="2">
        <v>15.6</v>
      </c>
      <c r="U966" s="2" t="b">
        <v>0</v>
      </c>
      <c r="V966" s="2">
        <v>20</v>
      </c>
      <c r="W966" s="2">
        <v>3</v>
      </c>
      <c r="X966" s="2">
        <v>19</v>
      </c>
      <c r="Y966" s="2">
        <v>28.844221105527641</v>
      </c>
    </row>
    <row r="967" spans="1:25" hidden="1">
      <c r="A967" s="2" t="s">
        <v>1232</v>
      </c>
      <c r="B967" s="2" t="s">
        <v>173</v>
      </c>
      <c r="C967" s="2" t="s">
        <v>695</v>
      </c>
      <c r="D967" s="3">
        <v>46172.833333333343</v>
      </c>
      <c r="E967" s="3">
        <v>46172.854166666657</v>
      </c>
      <c r="F967" s="2">
        <v>30</v>
      </c>
      <c r="G967" s="2" t="s">
        <v>143</v>
      </c>
      <c r="H967" s="2" t="s">
        <v>1021</v>
      </c>
      <c r="I967" s="2">
        <v>3</v>
      </c>
      <c r="J967" s="2">
        <v>4.5</v>
      </c>
      <c r="K967" s="2" t="s">
        <v>143</v>
      </c>
      <c r="L967" s="2" t="s">
        <v>169</v>
      </c>
      <c r="M967" s="2" t="b">
        <v>1</v>
      </c>
      <c r="N967" s="2" t="b">
        <v>1</v>
      </c>
      <c r="O967" s="2">
        <v>6.666666666666667</v>
      </c>
      <c r="P967" s="2">
        <v>0.66666666666666663</v>
      </c>
      <c r="Q967" s="2" t="s">
        <v>175</v>
      </c>
      <c r="R967" s="2" t="s">
        <v>171</v>
      </c>
      <c r="S967" s="2">
        <v>10.8</v>
      </c>
      <c r="T967" s="2">
        <v>19.2</v>
      </c>
      <c r="U967" s="2" t="b">
        <v>0</v>
      </c>
      <c r="V967" s="2">
        <v>6</v>
      </c>
      <c r="W967" s="2">
        <v>2</v>
      </c>
      <c r="X967" s="2">
        <v>20</v>
      </c>
      <c r="Y967" s="2">
        <v>30.286458333333329</v>
      </c>
    </row>
    <row r="968" spans="1:25" hidden="1">
      <c r="A968" s="2" t="s">
        <v>1233</v>
      </c>
      <c r="B968" s="2" t="s">
        <v>142</v>
      </c>
      <c r="C968" s="2" t="s">
        <v>697</v>
      </c>
      <c r="D968" s="3">
        <v>46173.802083333343</v>
      </c>
      <c r="E968" s="3">
        <v>46173.822916666657</v>
      </c>
      <c r="F968" s="2">
        <v>30</v>
      </c>
      <c r="G968" s="2" t="s">
        <v>151</v>
      </c>
      <c r="H968" s="2" t="s">
        <v>657</v>
      </c>
      <c r="I968" s="2">
        <v>4</v>
      </c>
      <c r="J968" s="2">
        <v>5.5</v>
      </c>
      <c r="K968" s="2" t="s">
        <v>143</v>
      </c>
      <c r="L968" s="2" t="s">
        <v>162</v>
      </c>
      <c r="M968" s="2" t="b">
        <v>1</v>
      </c>
      <c r="N968" s="2" t="b">
        <v>1</v>
      </c>
      <c r="O968" s="2">
        <v>5.4545454545454541</v>
      </c>
      <c r="P968" s="2">
        <v>0.72727272727272729</v>
      </c>
      <c r="Q968" s="2" t="s">
        <v>175</v>
      </c>
      <c r="R968" s="2" t="s">
        <v>147</v>
      </c>
      <c r="S968" s="2">
        <v>13.2</v>
      </c>
      <c r="T968" s="2">
        <v>16.8</v>
      </c>
      <c r="U968" s="2" t="b">
        <v>0</v>
      </c>
      <c r="V968" s="2">
        <v>12</v>
      </c>
      <c r="W968" s="2">
        <v>2</v>
      </c>
      <c r="X968" s="2">
        <v>19</v>
      </c>
      <c r="Y968" s="2">
        <v>30.259433962264151</v>
      </c>
    </row>
    <row r="969" spans="1:25" hidden="1">
      <c r="A969" s="2" t="s">
        <v>1234</v>
      </c>
      <c r="B969" s="2" t="s">
        <v>165</v>
      </c>
      <c r="C969" s="2" t="s">
        <v>188</v>
      </c>
      <c r="D969" s="3">
        <v>46174.854166666657</v>
      </c>
      <c r="E969" s="3">
        <v>46174.875</v>
      </c>
      <c r="F969" s="2">
        <v>30</v>
      </c>
      <c r="G969" s="2" t="s">
        <v>143</v>
      </c>
      <c r="H969" s="2" t="s">
        <v>144</v>
      </c>
      <c r="I969" s="2">
        <v>2</v>
      </c>
      <c r="J969" s="2">
        <v>4</v>
      </c>
      <c r="K969" s="2" t="s">
        <v>161</v>
      </c>
      <c r="L969" s="2" t="s">
        <v>154</v>
      </c>
      <c r="M969" s="2" t="b">
        <v>1</v>
      </c>
      <c r="N969" s="2" t="b">
        <v>0</v>
      </c>
      <c r="O969" s="2">
        <v>7.5</v>
      </c>
      <c r="P969" s="2">
        <v>0.5</v>
      </c>
      <c r="Q969" s="2" t="s">
        <v>367</v>
      </c>
      <c r="R969" s="2" t="s">
        <v>147</v>
      </c>
      <c r="S969" s="2">
        <v>9.6</v>
      </c>
      <c r="T969" s="2">
        <v>20.399999999999999</v>
      </c>
      <c r="U969" s="2" t="b">
        <v>0</v>
      </c>
      <c r="V969" s="2">
        <v>4</v>
      </c>
      <c r="W969" s="2">
        <v>1</v>
      </c>
      <c r="X969" s="2">
        <v>20</v>
      </c>
      <c r="Y969" s="2">
        <v>29.948453608247419</v>
      </c>
    </row>
    <row r="970" spans="1:25" hidden="1">
      <c r="A970" s="2" t="s">
        <v>1235</v>
      </c>
      <c r="B970" s="2" t="s">
        <v>149</v>
      </c>
      <c r="C970" s="2" t="s">
        <v>712</v>
      </c>
      <c r="D970" s="3">
        <v>46175.75</v>
      </c>
      <c r="E970" s="3">
        <v>46175.770833333343</v>
      </c>
      <c r="F970" s="2">
        <v>30</v>
      </c>
      <c r="G970" s="2" t="s">
        <v>143</v>
      </c>
      <c r="H970" s="2" t="s">
        <v>1018</v>
      </c>
      <c r="I970" s="2">
        <v>3</v>
      </c>
      <c r="J970" s="2">
        <v>5</v>
      </c>
      <c r="K970" s="2" t="s">
        <v>143</v>
      </c>
      <c r="L970" s="2" t="s">
        <v>162</v>
      </c>
      <c r="M970" s="2" t="b">
        <v>1</v>
      </c>
      <c r="N970" s="2" t="b">
        <v>0</v>
      </c>
      <c r="O970" s="2">
        <v>6</v>
      </c>
      <c r="P970" s="2">
        <v>0.6</v>
      </c>
      <c r="Q970" s="2" t="s">
        <v>367</v>
      </c>
      <c r="R970" s="2" t="s">
        <v>147</v>
      </c>
      <c r="S970" s="2">
        <v>12</v>
      </c>
      <c r="T970" s="2">
        <v>18</v>
      </c>
      <c r="U970" s="2" t="b">
        <v>0</v>
      </c>
      <c r="V970" s="2">
        <v>6</v>
      </c>
      <c r="W970" s="2">
        <v>2</v>
      </c>
      <c r="X970" s="2">
        <v>18</v>
      </c>
      <c r="Y970" s="2">
        <v>28.186274509803919</v>
      </c>
    </row>
    <row r="971" spans="1:25" hidden="1">
      <c r="A971" s="2" t="s">
        <v>1236</v>
      </c>
      <c r="B971" s="2" t="s">
        <v>157</v>
      </c>
      <c r="C971" s="2" t="s">
        <v>693</v>
      </c>
      <c r="D971" s="3">
        <v>46176.802083333343</v>
      </c>
      <c r="E971" s="3">
        <v>46176.822916666657</v>
      </c>
      <c r="F971" s="2">
        <v>30</v>
      </c>
      <c r="G971" s="2" t="s">
        <v>167</v>
      </c>
      <c r="H971" s="2" t="s">
        <v>168</v>
      </c>
      <c r="I971" s="2">
        <v>5</v>
      </c>
      <c r="J971" s="2">
        <v>6</v>
      </c>
      <c r="K971" s="2" t="s">
        <v>153</v>
      </c>
      <c r="L971" s="2" t="s">
        <v>145</v>
      </c>
      <c r="M971" s="2" t="b">
        <v>1</v>
      </c>
      <c r="N971" s="2" t="b">
        <v>0</v>
      </c>
      <c r="O971" s="2">
        <v>5</v>
      </c>
      <c r="P971" s="2">
        <v>0.83333333333333337</v>
      </c>
      <c r="Q971" s="2" t="s">
        <v>367</v>
      </c>
      <c r="R971" s="2" t="s">
        <v>147</v>
      </c>
      <c r="S971" s="2">
        <v>14.4</v>
      </c>
      <c r="T971" s="2">
        <v>15.6</v>
      </c>
      <c r="U971" s="2" t="b">
        <v>0</v>
      </c>
      <c r="V971" s="2">
        <v>20</v>
      </c>
      <c r="W971" s="2">
        <v>3</v>
      </c>
      <c r="X971" s="2">
        <v>19</v>
      </c>
      <c r="Y971" s="2">
        <v>28.844221105527641</v>
      </c>
    </row>
    <row r="972" spans="1:25" hidden="1">
      <c r="A972" s="2" t="s">
        <v>1237</v>
      </c>
      <c r="B972" s="2" t="s">
        <v>173</v>
      </c>
      <c r="C972" s="2" t="s">
        <v>695</v>
      </c>
      <c r="D972" s="3">
        <v>46177.854166666657</v>
      </c>
      <c r="E972" s="3">
        <v>46177.875</v>
      </c>
      <c r="F972" s="2">
        <v>30</v>
      </c>
      <c r="G972" s="2" t="s">
        <v>143</v>
      </c>
      <c r="H972" s="2" t="s">
        <v>1021</v>
      </c>
      <c r="I972" s="2">
        <v>3</v>
      </c>
      <c r="J972" s="2">
        <v>4.5</v>
      </c>
      <c r="K972" s="2" t="s">
        <v>143</v>
      </c>
      <c r="L972" s="2" t="s">
        <v>169</v>
      </c>
      <c r="M972" s="2" t="b">
        <v>1</v>
      </c>
      <c r="N972" s="2" t="b">
        <v>0</v>
      </c>
      <c r="O972" s="2">
        <v>6.666666666666667</v>
      </c>
      <c r="P972" s="2">
        <v>0.66666666666666663</v>
      </c>
      <c r="Q972" s="2" t="s">
        <v>367</v>
      </c>
      <c r="R972" s="2" t="s">
        <v>171</v>
      </c>
      <c r="S972" s="2">
        <v>10.8</v>
      </c>
      <c r="T972" s="2">
        <v>19.2</v>
      </c>
      <c r="U972" s="2" t="b">
        <v>0</v>
      </c>
      <c r="V972" s="2">
        <v>6</v>
      </c>
      <c r="W972" s="2">
        <v>2</v>
      </c>
      <c r="X972" s="2">
        <v>20</v>
      </c>
      <c r="Y972" s="2">
        <v>30.286458333333329</v>
      </c>
    </row>
    <row r="973" spans="1:25" hidden="1">
      <c r="A973" s="2" t="s">
        <v>1238</v>
      </c>
      <c r="B973" s="2" t="s">
        <v>142</v>
      </c>
      <c r="C973" s="2" t="s">
        <v>697</v>
      </c>
      <c r="D973" s="3">
        <v>46178.791666666657</v>
      </c>
      <c r="E973" s="3">
        <v>46178.8125</v>
      </c>
      <c r="F973" s="2">
        <v>30</v>
      </c>
      <c r="G973" s="2" t="s">
        <v>151</v>
      </c>
      <c r="H973" s="2" t="s">
        <v>657</v>
      </c>
      <c r="I973" s="2">
        <v>4</v>
      </c>
      <c r="J973" s="2">
        <v>5.5</v>
      </c>
      <c r="K973" s="2" t="s">
        <v>143</v>
      </c>
      <c r="L973" s="2" t="s">
        <v>162</v>
      </c>
      <c r="M973" s="2" t="b">
        <v>1</v>
      </c>
      <c r="N973" s="2" t="b">
        <v>0</v>
      </c>
      <c r="O973" s="2">
        <v>5.4545454545454541</v>
      </c>
      <c r="P973" s="2">
        <v>0.72727272727272729</v>
      </c>
      <c r="Q973" s="2" t="s">
        <v>367</v>
      </c>
      <c r="R973" s="2" t="s">
        <v>147</v>
      </c>
      <c r="S973" s="2">
        <v>13.2</v>
      </c>
      <c r="T973" s="2">
        <v>16.8</v>
      </c>
      <c r="U973" s="2" t="b">
        <v>0</v>
      </c>
      <c r="V973" s="2">
        <v>12</v>
      </c>
      <c r="W973" s="2">
        <v>2</v>
      </c>
      <c r="X973" s="2">
        <v>19</v>
      </c>
      <c r="Y973" s="2">
        <v>30.259433962264151</v>
      </c>
    </row>
    <row r="974" spans="1:25" hidden="1">
      <c r="A974" s="2" t="s">
        <v>1239</v>
      </c>
      <c r="B974" s="2" t="s">
        <v>165</v>
      </c>
      <c r="C974" s="2" t="s">
        <v>188</v>
      </c>
      <c r="D974" s="3">
        <v>46179.84375</v>
      </c>
      <c r="E974" s="3">
        <v>46179.864583333343</v>
      </c>
      <c r="F974" s="2">
        <v>30</v>
      </c>
      <c r="G974" s="2" t="s">
        <v>143</v>
      </c>
      <c r="H974" s="2" t="s">
        <v>144</v>
      </c>
      <c r="I974" s="2">
        <v>2</v>
      </c>
      <c r="J974" s="2">
        <v>4</v>
      </c>
      <c r="K974" s="2" t="s">
        <v>161</v>
      </c>
      <c r="L974" s="2" t="s">
        <v>154</v>
      </c>
      <c r="M974" s="2" t="b">
        <v>1</v>
      </c>
      <c r="N974" s="2" t="b">
        <v>1</v>
      </c>
      <c r="O974" s="2">
        <v>7.5</v>
      </c>
      <c r="P974" s="2">
        <v>0.5</v>
      </c>
      <c r="Q974" s="2" t="s">
        <v>367</v>
      </c>
      <c r="R974" s="2" t="s">
        <v>147</v>
      </c>
      <c r="S974" s="2">
        <v>9.6</v>
      </c>
      <c r="T974" s="2">
        <v>20.399999999999999</v>
      </c>
      <c r="U974" s="2" t="b">
        <v>0</v>
      </c>
      <c r="V974" s="2">
        <v>4</v>
      </c>
      <c r="W974" s="2">
        <v>1</v>
      </c>
      <c r="X974" s="2">
        <v>20</v>
      </c>
      <c r="Y974" s="2">
        <v>29.948453608247419</v>
      </c>
    </row>
    <row r="975" spans="1:25" hidden="1">
      <c r="A975" s="2" t="s">
        <v>1240</v>
      </c>
      <c r="B975" s="2" t="s">
        <v>149</v>
      </c>
      <c r="C975" s="2" t="s">
        <v>712</v>
      </c>
      <c r="D975" s="3">
        <v>46180.770833333343</v>
      </c>
      <c r="E975" s="3">
        <v>46180.791666666657</v>
      </c>
      <c r="F975" s="2">
        <v>30</v>
      </c>
      <c r="G975" s="2" t="s">
        <v>143</v>
      </c>
      <c r="H975" s="2" t="s">
        <v>1018</v>
      </c>
      <c r="I975" s="2">
        <v>3</v>
      </c>
      <c r="J975" s="2">
        <v>5</v>
      </c>
      <c r="K975" s="2" t="s">
        <v>143</v>
      </c>
      <c r="L975" s="2" t="s">
        <v>145</v>
      </c>
      <c r="M975" s="2" t="b">
        <v>1</v>
      </c>
      <c r="N975" s="2" t="b">
        <v>1</v>
      </c>
      <c r="O975" s="2">
        <v>6</v>
      </c>
      <c r="P975" s="2">
        <v>0.6</v>
      </c>
      <c r="Q975" s="2" t="s">
        <v>367</v>
      </c>
      <c r="R975" s="2" t="s">
        <v>147</v>
      </c>
      <c r="S975" s="2">
        <v>12</v>
      </c>
      <c r="T975" s="2">
        <v>18</v>
      </c>
      <c r="U975" s="2" t="b">
        <v>0</v>
      </c>
      <c r="V975" s="2">
        <v>6</v>
      </c>
      <c r="W975" s="2">
        <v>2</v>
      </c>
      <c r="X975" s="2">
        <v>18</v>
      </c>
      <c r="Y975" s="2">
        <v>28.186274509803919</v>
      </c>
    </row>
    <row r="976" spans="1:25" hidden="1">
      <c r="A976" s="2" t="s">
        <v>1241</v>
      </c>
      <c r="B976" s="2" t="s">
        <v>157</v>
      </c>
      <c r="C976" s="2" t="s">
        <v>693</v>
      </c>
      <c r="D976" s="3">
        <v>46181.822916666657</v>
      </c>
      <c r="E976" s="3">
        <v>46181.84375</v>
      </c>
      <c r="F976" s="2">
        <v>30</v>
      </c>
      <c r="G976" s="2" t="s">
        <v>167</v>
      </c>
      <c r="H976" s="2" t="s">
        <v>168</v>
      </c>
      <c r="I976" s="2">
        <v>5</v>
      </c>
      <c r="J976" s="2">
        <v>6</v>
      </c>
      <c r="K976" s="2" t="s">
        <v>153</v>
      </c>
      <c r="L976" s="2" t="s">
        <v>162</v>
      </c>
      <c r="M976" s="2" t="b">
        <v>1</v>
      </c>
      <c r="N976" s="2" t="b">
        <v>0</v>
      </c>
      <c r="O976" s="2">
        <v>5</v>
      </c>
      <c r="P976" s="2">
        <v>0.83333333333333337</v>
      </c>
      <c r="Q976" s="2" t="s">
        <v>367</v>
      </c>
      <c r="R976" s="2" t="s">
        <v>147</v>
      </c>
      <c r="S976" s="2">
        <v>14.4</v>
      </c>
      <c r="T976" s="2">
        <v>15.6</v>
      </c>
      <c r="U976" s="2" t="b">
        <v>0</v>
      </c>
      <c r="V976" s="2">
        <v>20</v>
      </c>
      <c r="W976" s="2">
        <v>3</v>
      </c>
      <c r="X976" s="2">
        <v>19</v>
      </c>
      <c r="Y976" s="2">
        <v>28.844221105527641</v>
      </c>
    </row>
    <row r="977" spans="1:25" hidden="1">
      <c r="A977" s="2" t="s">
        <v>1242</v>
      </c>
      <c r="B977" s="2" t="s">
        <v>173</v>
      </c>
      <c r="C977" s="2" t="s">
        <v>695</v>
      </c>
      <c r="D977" s="3">
        <v>46182.833333333343</v>
      </c>
      <c r="E977" s="3">
        <v>46182.854166666657</v>
      </c>
      <c r="F977" s="2">
        <v>30</v>
      </c>
      <c r="G977" s="2" t="s">
        <v>143</v>
      </c>
      <c r="H977" s="2" t="s">
        <v>1021</v>
      </c>
      <c r="I977" s="2">
        <v>3</v>
      </c>
      <c r="J977" s="2">
        <v>4.5</v>
      </c>
      <c r="K977" s="2" t="s">
        <v>143</v>
      </c>
      <c r="L977" s="2" t="s">
        <v>169</v>
      </c>
      <c r="M977" s="2" t="b">
        <v>1</v>
      </c>
      <c r="N977" s="2" t="b">
        <v>0</v>
      </c>
      <c r="O977" s="2">
        <v>6.666666666666667</v>
      </c>
      <c r="P977" s="2">
        <v>0.66666666666666663</v>
      </c>
      <c r="Q977" s="2" t="s">
        <v>367</v>
      </c>
      <c r="R977" s="2" t="s">
        <v>171</v>
      </c>
      <c r="S977" s="2">
        <v>10.8</v>
      </c>
      <c r="T977" s="2">
        <v>19.2</v>
      </c>
      <c r="U977" s="2" t="b">
        <v>0</v>
      </c>
      <c r="V977" s="2">
        <v>6</v>
      </c>
      <c r="W977" s="2">
        <v>2</v>
      </c>
      <c r="X977" s="2">
        <v>20</v>
      </c>
      <c r="Y977" s="2">
        <v>30.286458333333329</v>
      </c>
    </row>
    <row r="978" spans="1:25" hidden="1">
      <c r="A978" s="2" t="s">
        <v>1243</v>
      </c>
      <c r="B978" s="2" t="s">
        <v>149</v>
      </c>
      <c r="C978" s="2" t="s">
        <v>712</v>
      </c>
      <c r="D978" s="3">
        <v>46183.75</v>
      </c>
      <c r="E978" s="3">
        <v>46183.770833333343</v>
      </c>
      <c r="F978" s="2">
        <v>30</v>
      </c>
      <c r="G978" s="2" t="s">
        <v>143</v>
      </c>
      <c r="H978" s="2" t="s">
        <v>1018</v>
      </c>
      <c r="I978" s="2">
        <v>3</v>
      </c>
      <c r="J978" s="2">
        <v>5</v>
      </c>
      <c r="K978" s="2" t="s">
        <v>143</v>
      </c>
      <c r="L978" s="2" t="s">
        <v>162</v>
      </c>
      <c r="M978" s="2" t="b">
        <v>1</v>
      </c>
      <c r="N978" s="2" t="b">
        <v>0</v>
      </c>
      <c r="O978" s="2">
        <v>6</v>
      </c>
      <c r="P978" s="2">
        <v>0.6</v>
      </c>
      <c r="Q978" s="2" t="s">
        <v>367</v>
      </c>
      <c r="R978" s="2" t="s">
        <v>147</v>
      </c>
      <c r="S978" s="2">
        <v>12</v>
      </c>
      <c r="T978" s="2">
        <v>18</v>
      </c>
      <c r="U978" s="2" t="b">
        <v>0</v>
      </c>
      <c r="V978" s="2">
        <v>6</v>
      </c>
      <c r="W978" s="2">
        <v>2</v>
      </c>
      <c r="X978" s="2">
        <v>18</v>
      </c>
      <c r="Y978" s="2">
        <v>28.186274509803919</v>
      </c>
    </row>
    <row r="979" spans="1:25" hidden="1">
      <c r="A979" s="2" t="s">
        <v>1244</v>
      </c>
      <c r="B979" s="2" t="s">
        <v>157</v>
      </c>
      <c r="C979" s="2" t="s">
        <v>693</v>
      </c>
      <c r="D979" s="3">
        <v>46184.802083333343</v>
      </c>
      <c r="E979" s="3">
        <v>46184.822916666657</v>
      </c>
      <c r="F979" s="2">
        <v>30</v>
      </c>
      <c r="G979" s="2" t="s">
        <v>167</v>
      </c>
      <c r="H979" s="2" t="s">
        <v>168</v>
      </c>
      <c r="I979" s="2">
        <v>5</v>
      </c>
      <c r="J979" s="2">
        <v>6</v>
      </c>
      <c r="K979" s="2" t="s">
        <v>153</v>
      </c>
      <c r="L979" s="2" t="s">
        <v>145</v>
      </c>
      <c r="M979" s="2" t="b">
        <v>1</v>
      </c>
      <c r="N979" s="2" t="b">
        <v>0</v>
      </c>
      <c r="O979" s="2">
        <v>5</v>
      </c>
      <c r="P979" s="2">
        <v>0.83333333333333337</v>
      </c>
      <c r="Q979" s="2" t="s">
        <v>367</v>
      </c>
      <c r="R979" s="2" t="s">
        <v>147</v>
      </c>
      <c r="S979" s="2">
        <v>14.4</v>
      </c>
      <c r="T979" s="2">
        <v>15.6</v>
      </c>
      <c r="U979" s="2" t="b">
        <v>0</v>
      </c>
      <c r="V979" s="2">
        <v>20</v>
      </c>
      <c r="W979" s="2">
        <v>3</v>
      </c>
      <c r="X979" s="2">
        <v>19</v>
      </c>
      <c r="Y979" s="2">
        <v>28.844221105527641</v>
      </c>
    </row>
    <row r="980" spans="1:25" hidden="1">
      <c r="A980" s="2" t="s">
        <v>1245</v>
      </c>
      <c r="B980" s="2" t="s">
        <v>173</v>
      </c>
      <c r="C980" s="2" t="s">
        <v>695</v>
      </c>
      <c r="D980" s="3">
        <v>46185.854166666657</v>
      </c>
      <c r="E980" s="3">
        <v>46185.875</v>
      </c>
      <c r="F980" s="2">
        <v>30</v>
      </c>
      <c r="G980" s="2" t="s">
        <v>143</v>
      </c>
      <c r="H980" s="2" t="s">
        <v>1021</v>
      </c>
      <c r="I980" s="2">
        <v>3</v>
      </c>
      <c r="J980" s="2">
        <v>4.5</v>
      </c>
      <c r="K980" s="2" t="s">
        <v>143</v>
      </c>
      <c r="L980" s="2" t="s">
        <v>169</v>
      </c>
      <c r="M980" s="2" t="b">
        <v>1</v>
      </c>
      <c r="N980" s="2" t="b">
        <v>0</v>
      </c>
      <c r="O980" s="2">
        <v>6.666666666666667</v>
      </c>
      <c r="P980" s="2">
        <v>0.66666666666666663</v>
      </c>
      <c r="Q980" s="2" t="s">
        <v>367</v>
      </c>
      <c r="R980" s="2" t="s">
        <v>171</v>
      </c>
      <c r="S980" s="2">
        <v>10.8</v>
      </c>
      <c r="T980" s="2">
        <v>19.2</v>
      </c>
      <c r="U980" s="2" t="b">
        <v>0</v>
      </c>
      <c r="V980" s="2">
        <v>6</v>
      </c>
      <c r="W980" s="2">
        <v>2</v>
      </c>
      <c r="X980" s="2">
        <v>20</v>
      </c>
      <c r="Y980" s="2">
        <v>30.286458333333329</v>
      </c>
    </row>
    <row r="981" spans="1:25" hidden="1">
      <c r="A981" s="2" t="s">
        <v>1246</v>
      </c>
      <c r="B981" s="2" t="s">
        <v>142</v>
      </c>
      <c r="C981" s="2" t="s">
        <v>697</v>
      </c>
      <c r="D981" s="3">
        <v>46186.791666666657</v>
      </c>
      <c r="E981" s="3">
        <v>46186.8125</v>
      </c>
      <c r="F981" s="2">
        <v>30</v>
      </c>
      <c r="G981" s="2" t="s">
        <v>151</v>
      </c>
      <c r="H981" s="2" t="s">
        <v>657</v>
      </c>
      <c r="I981" s="2">
        <v>4</v>
      </c>
      <c r="J981" s="2">
        <v>5.5</v>
      </c>
      <c r="K981" s="2" t="s">
        <v>143</v>
      </c>
      <c r="L981" s="2" t="s">
        <v>162</v>
      </c>
      <c r="M981" s="2" t="b">
        <v>1</v>
      </c>
      <c r="N981" s="2" t="b">
        <v>1</v>
      </c>
      <c r="O981" s="2">
        <v>5.4545454545454541</v>
      </c>
      <c r="P981" s="2">
        <v>0.72727272727272729</v>
      </c>
      <c r="Q981" s="2" t="s">
        <v>367</v>
      </c>
      <c r="R981" s="2" t="s">
        <v>147</v>
      </c>
      <c r="S981" s="2">
        <v>13.2</v>
      </c>
      <c r="T981" s="2">
        <v>16.8</v>
      </c>
      <c r="U981" s="2" t="b">
        <v>0</v>
      </c>
      <c r="V981" s="2">
        <v>12</v>
      </c>
      <c r="W981" s="2">
        <v>2</v>
      </c>
      <c r="X981" s="2">
        <v>19</v>
      </c>
      <c r="Y981" s="2">
        <v>30.259433962264151</v>
      </c>
    </row>
    <row r="982" spans="1:25" hidden="1">
      <c r="A982" s="2" t="s">
        <v>1247</v>
      </c>
      <c r="B982" s="2" t="s">
        <v>165</v>
      </c>
      <c r="C982" s="2" t="s">
        <v>188</v>
      </c>
      <c r="D982" s="3">
        <v>46187.84375</v>
      </c>
      <c r="E982" s="3">
        <v>46187.864583333343</v>
      </c>
      <c r="F982" s="2">
        <v>30</v>
      </c>
      <c r="G982" s="2" t="s">
        <v>143</v>
      </c>
      <c r="H982" s="2" t="s">
        <v>144</v>
      </c>
      <c r="I982" s="2">
        <v>2</v>
      </c>
      <c r="J982" s="2">
        <v>4</v>
      </c>
      <c r="K982" s="2" t="s">
        <v>161</v>
      </c>
      <c r="L982" s="2" t="s">
        <v>154</v>
      </c>
      <c r="M982" s="2" t="b">
        <v>1</v>
      </c>
      <c r="N982" s="2" t="b">
        <v>1</v>
      </c>
      <c r="O982" s="2">
        <v>7.5</v>
      </c>
      <c r="P982" s="2">
        <v>0.5</v>
      </c>
      <c r="Q982" s="2" t="s">
        <v>367</v>
      </c>
      <c r="R982" s="2" t="s">
        <v>147</v>
      </c>
      <c r="S982" s="2">
        <v>9.6</v>
      </c>
      <c r="T982" s="2">
        <v>20.399999999999999</v>
      </c>
      <c r="U982" s="2" t="b">
        <v>0</v>
      </c>
      <c r="V982" s="2">
        <v>4</v>
      </c>
      <c r="W982" s="2">
        <v>1</v>
      </c>
      <c r="X982" s="2">
        <v>20</v>
      </c>
      <c r="Y982" s="2">
        <v>29.948453608247419</v>
      </c>
    </row>
    <row r="983" spans="1:25" hidden="1">
      <c r="A983" s="2" t="s">
        <v>1248</v>
      </c>
      <c r="B983" s="2" t="s">
        <v>149</v>
      </c>
      <c r="C983" s="2" t="s">
        <v>712</v>
      </c>
      <c r="D983" s="3">
        <v>46188.770833333343</v>
      </c>
      <c r="E983" s="3">
        <v>46188.791666666657</v>
      </c>
      <c r="F983" s="2">
        <v>30</v>
      </c>
      <c r="G983" s="2" t="s">
        <v>143</v>
      </c>
      <c r="H983" s="2" t="s">
        <v>1018</v>
      </c>
      <c r="I983" s="2">
        <v>3</v>
      </c>
      <c r="J983" s="2">
        <v>5</v>
      </c>
      <c r="K983" s="2" t="s">
        <v>143</v>
      </c>
      <c r="L983" s="2" t="s">
        <v>145</v>
      </c>
      <c r="M983" s="2" t="b">
        <v>1</v>
      </c>
      <c r="N983" s="2" t="b">
        <v>0</v>
      </c>
      <c r="O983" s="2">
        <v>6</v>
      </c>
      <c r="P983" s="2">
        <v>0.6</v>
      </c>
      <c r="Q983" s="2" t="s">
        <v>367</v>
      </c>
      <c r="R983" s="2" t="s">
        <v>147</v>
      </c>
      <c r="S983" s="2">
        <v>12</v>
      </c>
      <c r="T983" s="2">
        <v>18</v>
      </c>
      <c r="U983" s="2" t="b">
        <v>0</v>
      </c>
      <c r="V983" s="2">
        <v>6</v>
      </c>
      <c r="W983" s="2">
        <v>2</v>
      </c>
      <c r="X983" s="2">
        <v>18</v>
      </c>
      <c r="Y983" s="2">
        <v>28.186274509803919</v>
      </c>
    </row>
    <row r="984" spans="1:25" hidden="1">
      <c r="A984" s="2" t="s">
        <v>1249</v>
      </c>
      <c r="B984" s="2" t="s">
        <v>157</v>
      </c>
      <c r="C984" s="2" t="s">
        <v>693</v>
      </c>
      <c r="D984" s="3">
        <v>46189.822916666657</v>
      </c>
      <c r="E984" s="3">
        <v>46189.84375</v>
      </c>
      <c r="F984" s="2">
        <v>30</v>
      </c>
      <c r="G984" s="2" t="s">
        <v>167</v>
      </c>
      <c r="H984" s="2" t="s">
        <v>168</v>
      </c>
      <c r="I984" s="2">
        <v>5</v>
      </c>
      <c r="J984" s="2">
        <v>6</v>
      </c>
      <c r="K984" s="2" t="s">
        <v>153</v>
      </c>
      <c r="L984" s="2" t="s">
        <v>162</v>
      </c>
      <c r="M984" s="2" t="b">
        <v>1</v>
      </c>
      <c r="N984" s="2" t="b">
        <v>0</v>
      </c>
      <c r="O984" s="2">
        <v>5</v>
      </c>
      <c r="P984" s="2">
        <v>0.83333333333333337</v>
      </c>
      <c r="Q984" s="2" t="s">
        <v>367</v>
      </c>
      <c r="R984" s="2" t="s">
        <v>147</v>
      </c>
      <c r="S984" s="2">
        <v>14.4</v>
      </c>
      <c r="T984" s="2">
        <v>15.6</v>
      </c>
      <c r="U984" s="2" t="b">
        <v>0</v>
      </c>
      <c r="V984" s="2">
        <v>20</v>
      </c>
      <c r="W984" s="2">
        <v>3</v>
      </c>
      <c r="X984" s="2">
        <v>19</v>
      </c>
      <c r="Y984" s="2">
        <v>28.844221105527641</v>
      </c>
    </row>
    <row r="985" spans="1:25" hidden="1">
      <c r="A985" s="2" t="s">
        <v>1250</v>
      </c>
      <c r="B985" s="2" t="s">
        <v>173</v>
      </c>
      <c r="C985" s="2" t="s">
        <v>695</v>
      </c>
      <c r="D985" s="3">
        <v>46190.833333333343</v>
      </c>
      <c r="E985" s="3">
        <v>46190.854166666657</v>
      </c>
      <c r="F985" s="2">
        <v>30</v>
      </c>
      <c r="G985" s="2" t="s">
        <v>143</v>
      </c>
      <c r="H985" s="2" t="s">
        <v>1021</v>
      </c>
      <c r="I985" s="2">
        <v>3</v>
      </c>
      <c r="J985" s="2">
        <v>4.5</v>
      </c>
      <c r="K985" s="2" t="s">
        <v>143</v>
      </c>
      <c r="L985" s="2" t="s">
        <v>169</v>
      </c>
      <c r="M985" s="2" t="b">
        <v>1</v>
      </c>
      <c r="N985" s="2" t="b">
        <v>0</v>
      </c>
      <c r="O985" s="2">
        <v>6.666666666666667</v>
      </c>
      <c r="P985" s="2">
        <v>0.66666666666666663</v>
      </c>
      <c r="Q985" s="2" t="s">
        <v>367</v>
      </c>
      <c r="R985" s="2" t="s">
        <v>171</v>
      </c>
      <c r="S985" s="2">
        <v>10.8</v>
      </c>
      <c r="T985" s="2">
        <v>19.2</v>
      </c>
      <c r="U985" s="2" t="b">
        <v>0</v>
      </c>
      <c r="V985" s="2">
        <v>6</v>
      </c>
      <c r="W985" s="2">
        <v>2</v>
      </c>
      <c r="X985" s="2">
        <v>20</v>
      </c>
      <c r="Y985" s="2">
        <v>30.286458333333329</v>
      </c>
    </row>
    <row r="986" spans="1:25" hidden="1">
      <c r="A986" s="2" t="s">
        <v>1251</v>
      </c>
      <c r="B986" s="2" t="s">
        <v>142</v>
      </c>
      <c r="C986" s="2" t="s">
        <v>697</v>
      </c>
      <c r="D986" s="3">
        <v>46191.802083333343</v>
      </c>
      <c r="E986" s="3">
        <v>46191.822916666657</v>
      </c>
      <c r="F986" s="2">
        <v>30</v>
      </c>
      <c r="G986" s="2" t="s">
        <v>151</v>
      </c>
      <c r="H986" s="2" t="s">
        <v>657</v>
      </c>
      <c r="I986" s="2">
        <v>4</v>
      </c>
      <c r="J986" s="2">
        <v>5.5</v>
      </c>
      <c r="K986" s="2" t="s">
        <v>143</v>
      </c>
      <c r="L986" s="2" t="s">
        <v>162</v>
      </c>
      <c r="M986" s="2" t="b">
        <v>1</v>
      </c>
      <c r="N986" s="2" t="b">
        <v>0</v>
      </c>
      <c r="O986" s="2">
        <v>5.4545454545454541</v>
      </c>
      <c r="P986" s="2">
        <v>0.72727272727272729</v>
      </c>
      <c r="Q986" s="2" t="s">
        <v>367</v>
      </c>
      <c r="R986" s="2" t="s">
        <v>147</v>
      </c>
      <c r="S986" s="2">
        <v>13.2</v>
      </c>
      <c r="T986" s="2">
        <v>16.8</v>
      </c>
      <c r="U986" s="2" t="b">
        <v>0</v>
      </c>
      <c r="V986" s="2">
        <v>12</v>
      </c>
      <c r="W986" s="2">
        <v>2</v>
      </c>
      <c r="X986" s="2">
        <v>19</v>
      </c>
      <c r="Y986" s="2">
        <v>30.259433962264151</v>
      </c>
    </row>
    <row r="987" spans="1:25" hidden="1">
      <c r="A987" s="2" t="s">
        <v>1252</v>
      </c>
      <c r="B987" s="2" t="s">
        <v>165</v>
      </c>
      <c r="C987" s="2" t="s">
        <v>188</v>
      </c>
      <c r="D987" s="3">
        <v>46192.854166666657</v>
      </c>
      <c r="E987" s="3">
        <v>46192.875</v>
      </c>
      <c r="F987" s="2">
        <v>30</v>
      </c>
      <c r="G987" s="2" t="s">
        <v>143</v>
      </c>
      <c r="H987" s="2" t="s">
        <v>144</v>
      </c>
      <c r="I987" s="2">
        <v>2</v>
      </c>
      <c r="J987" s="2">
        <v>4</v>
      </c>
      <c r="K987" s="2" t="s">
        <v>161</v>
      </c>
      <c r="L987" s="2" t="s">
        <v>154</v>
      </c>
      <c r="M987" s="2" t="b">
        <v>1</v>
      </c>
      <c r="N987" s="2" t="b">
        <v>0</v>
      </c>
      <c r="O987" s="2">
        <v>7.5</v>
      </c>
      <c r="P987" s="2">
        <v>0.5</v>
      </c>
      <c r="Q987" s="2" t="s">
        <v>367</v>
      </c>
      <c r="R987" s="2" t="s">
        <v>147</v>
      </c>
      <c r="S987" s="2">
        <v>9.6</v>
      </c>
      <c r="T987" s="2">
        <v>20.399999999999999</v>
      </c>
      <c r="U987" s="2" t="b">
        <v>0</v>
      </c>
      <c r="V987" s="2">
        <v>4</v>
      </c>
      <c r="W987" s="2">
        <v>1</v>
      </c>
      <c r="X987" s="2">
        <v>20</v>
      </c>
      <c r="Y987" s="2">
        <v>29.948453608247419</v>
      </c>
    </row>
    <row r="988" spans="1:25" hidden="1">
      <c r="A988" s="2" t="s">
        <v>1253</v>
      </c>
      <c r="B988" s="2" t="s">
        <v>149</v>
      </c>
      <c r="C988" s="2" t="s">
        <v>712</v>
      </c>
      <c r="D988" s="3">
        <v>46193.75</v>
      </c>
      <c r="E988" s="3">
        <v>46193.770833333343</v>
      </c>
      <c r="F988" s="2">
        <v>30</v>
      </c>
      <c r="G988" s="2" t="s">
        <v>143</v>
      </c>
      <c r="H988" s="2" t="s">
        <v>1018</v>
      </c>
      <c r="I988" s="2">
        <v>3</v>
      </c>
      <c r="J988" s="2">
        <v>5</v>
      </c>
      <c r="K988" s="2" t="s">
        <v>143</v>
      </c>
      <c r="L988" s="2" t="s">
        <v>162</v>
      </c>
      <c r="M988" s="2" t="b">
        <v>1</v>
      </c>
      <c r="N988" s="2" t="b">
        <v>1</v>
      </c>
      <c r="O988" s="2">
        <v>6</v>
      </c>
      <c r="P988" s="2">
        <v>0.6</v>
      </c>
      <c r="Q988" s="2" t="s">
        <v>367</v>
      </c>
      <c r="R988" s="2" t="s">
        <v>147</v>
      </c>
      <c r="S988" s="2">
        <v>12</v>
      </c>
      <c r="T988" s="2">
        <v>18</v>
      </c>
      <c r="U988" s="2" t="b">
        <v>0</v>
      </c>
      <c r="V988" s="2">
        <v>6</v>
      </c>
      <c r="W988" s="2">
        <v>2</v>
      </c>
      <c r="X988" s="2">
        <v>18</v>
      </c>
      <c r="Y988" s="2">
        <v>28.186274509803919</v>
      </c>
    </row>
    <row r="989" spans="1:25" hidden="1">
      <c r="A989" s="2" t="s">
        <v>1254</v>
      </c>
      <c r="B989" s="2" t="s">
        <v>157</v>
      </c>
      <c r="C989" s="2" t="s">
        <v>693</v>
      </c>
      <c r="D989" s="3">
        <v>46194.802083333343</v>
      </c>
      <c r="E989" s="3">
        <v>46194.822916666657</v>
      </c>
      <c r="F989" s="2">
        <v>30</v>
      </c>
      <c r="G989" s="2" t="s">
        <v>167</v>
      </c>
      <c r="H989" s="2" t="s">
        <v>168</v>
      </c>
      <c r="I989" s="2">
        <v>5</v>
      </c>
      <c r="J989" s="2">
        <v>6</v>
      </c>
      <c r="K989" s="2" t="s">
        <v>153</v>
      </c>
      <c r="L989" s="2" t="s">
        <v>145</v>
      </c>
      <c r="M989" s="2" t="b">
        <v>1</v>
      </c>
      <c r="N989" s="2" t="b">
        <v>1</v>
      </c>
      <c r="O989" s="2">
        <v>5</v>
      </c>
      <c r="P989" s="2">
        <v>0.83333333333333337</v>
      </c>
      <c r="Q989" s="2" t="s">
        <v>367</v>
      </c>
      <c r="R989" s="2" t="s">
        <v>147</v>
      </c>
      <c r="S989" s="2">
        <v>14.4</v>
      </c>
      <c r="T989" s="2">
        <v>15.6</v>
      </c>
      <c r="U989" s="2" t="b">
        <v>0</v>
      </c>
      <c r="V989" s="2">
        <v>20</v>
      </c>
      <c r="W989" s="2">
        <v>3</v>
      </c>
      <c r="X989" s="2">
        <v>19</v>
      </c>
      <c r="Y989" s="2">
        <v>28.844221105527641</v>
      </c>
    </row>
    <row r="990" spans="1:25" hidden="1">
      <c r="A990" s="2" t="s">
        <v>1255</v>
      </c>
      <c r="B990" s="2" t="s">
        <v>173</v>
      </c>
      <c r="C990" s="2" t="s">
        <v>695</v>
      </c>
      <c r="D990" s="3">
        <v>46195.854166666657</v>
      </c>
      <c r="E990" s="3">
        <v>46195.875</v>
      </c>
      <c r="F990" s="2">
        <v>30</v>
      </c>
      <c r="G990" s="2" t="s">
        <v>143</v>
      </c>
      <c r="H990" s="2" t="s">
        <v>1021</v>
      </c>
      <c r="I990" s="2">
        <v>3</v>
      </c>
      <c r="J990" s="2">
        <v>4.5</v>
      </c>
      <c r="K990" s="2" t="s">
        <v>143</v>
      </c>
      <c r="L990" s="2" t="s">
        <v>169</v>
      </c>
      <c r="M990" s="2" t="b">
        <v>1</v>
      </c>
      <c r="N990" s="2" t="b">
        <v>0</v>
      </c>
      <c r="O990" s="2">
        <v>6.666666666666667</v>
      </c>
      <c r="P990" s="2">
        <v>0.66666666666666663</v>
      </c>
      <c r="Q990" s="2" t="s">
        <v>367</v>
      </c>
      <c r="R990" s="2" t="s">
        <v>171</v>
      </c>
      <c r="S990" s="2">
        <v>10.8</v>
      </c>
      <c r="T990" s="2">
        <v>19.2</v>
      </c>
      <c r="U990" s="2" t="b">
        <v>0</v>
      </c>
      <c r="V990" s="2">
        <v>6</v>
      </c>
      <c r="W990" s="2">
        <v>2</v>
      </c>
      <c r="X990" s="2">
        <v>20</v>
      </c>
      <c r="Y990" s="2">
        <v>30.286458333333329</v>
      </c>
    </row>
    <row r="991" spans="1:25" hidden="1">
      <c r="A991" s="2" t="s">
        <v>1256</v>
      </c>
      <c r="B991" s="2" t="s">
        <v>142</v>
      </c>
      <c r="C991" s="2" t="s">
        <v>697</v>
      </c>
      <c r="D991" s="3">
        <v>46196.791666666657</v>
      </c>
      <c r="E991" s="3">
        <v>46196.8125</v>
      </c>
      <c r="F991" s="2">
        <v>30</v>
      </c>
      <c r="G991" s="2" t="s">
        <v>151</v>
      </c>
      <c r="H991" s="2" t="s">
        <v>657</v>
      </c>
      <c r="I991" s="2">
        <v>4</v>
      </c>
      <c r="J991" s="2">
        <v>5.5</v>
      </c>
      <c r="K991" s="2" t="s">
        <v>143</v>
      </c>
      <c r="L991" s="2" t="s">
        <v>162</v>
      </c>
      <c r="M991" s="2" t="b">
        <v>1</v>
      </c>
      <c r="N991" s="2" t="b">
        <v>0</v>
      </c>
      <c r="O991" s="2">
        <v>5.4545454545454541</v>
      </c>
      <c r="P991" s="2">
        <v>0.72727272727272729</v>
      </c>
      <c r="Q991" s="2" t="s">
        <v>367</v>
      </c>
      <c r="R991" s="2" t="s">
        <v>147</v>
      </c>
      <c r="S991" s="2">
        <v>13.2</v>
      </c>
      <c r="T991" s="2">
        <v>16.8</v>
      </c>
      <c r="U991" s="2" t="b">
        <v>0</v>
      </c>
      <c r="V991" s="2">
        <v>12</v>
      </c>
      <c r="W991" s="2">
        <v>2</v>
      </c>
      <c r="X991" s="2">
        <v>19</v>
      </c>
      <c r="Y991" s="2">
        <v>30.259433962264151</v>
      </c>
    </row>
    <row r="992" spans="1:25" hidden="1">
      <c r="A992" s="2" t="s">
        <v>1257</v>
      </c>
      <c r="B992" s="2" t="s">
        <v>165</v>
      </c>
      <c r="C992" s="2" t="s">
        <v>188</v>
      </c>
      <c r="D992" s="3">
        <v>46197.84375</v>
      </c>
      <c r="E992" s="3">
        <v>46197.864583333343</v>
      </c>
      <c r="F992" s="2">
        <v>30</v>
      </c>
      <c r="G992" s="2" t="s">
        <v>143</v>
      </c>
      <c r="H992" s="2" t="s">
        <v>144</v>
      </c>
      <c r="I992" s="2">
        <v>2</v>
      </c>
      <c r="J992" s="2">
        <v>4</v>
      </c>
      <c r="K992" s="2" t="s">
        <v>161</v>
      </c>
      <c r="L992" s="2" t="s">
        <v>154</v>
      </c>
      <c r="M992" s="2" t="b">
        <v>1</v>
      </c>
      <c r="N992" s="2" t="b">
        <v>0</v>
      </c>
      <c r="O992" s="2">
        <v>7.5</v>
      </c>
      <c r="P992" s="2">
        <v>0.5</v>
      </c>
      <c r="Q992" s="2" t="s">
        <v>367</v>
      </c>
      <c r="R992" s="2" t="s">
        <v>147</v>
      </c>
      <c r="S992" s="2">
        <v>9.6</v>
      </c>
      <c r="T992" s="2">
        <v>20.399999999999999</v>
      </c>
      <c r="U992" s="2" t="b">
        <v>0</v>
      </c>
      <c r="V992" s="2">
        <v>4</v>
      </c>
      <c r="W992" s="2">
        <v>1</v>
      </c>
      <c r="X992" s="2">
        <v>20</v>
      </c>
      <c r="Y992" s="2">
        <v>29.948453608247419</v>
      </c>
    </row>
    <row r="993" spans="1:25" hidden="1">
      <c r="A993" s="2" t="s">
        <v>1258</v>
      </c>
      <c r="B993" s="2" t="s">
        <v>149</v>
      </c>
      <c r="C993" s="2" t="s">
        <v>712</v>
      </c>
      <c r="D993" s="3">
        <v>46198.770833333343</v>
      </c>
      <c r="E993" s="3">
        <v>46198.791666666657</v>
      </c>
      <c r="F993" s="2">
        <v>30</v>
      </c>
      <c r="G993" s="2" t="s">
        <v>143</v>
      </c>
      <c r="H993" s="2" t="s">
        <v>1018</v>
      </c>
      <c r="I993" s="2">
        <v>3</v>
      </c>
      <c r="J993" s="2">
        <v>5</v>
      </c>
      <c r="K993" s="2" t="s">
        <v>143</v>
      </c>
      <c r="L993" s="2" t="s">
        <v>145</v>
      </c>
      <c r="M993" s="2" t="b">
        <v>1</v>
      </c>
      <c r="N993" s="2" t="b">
        <v>0</v>
      </c>
      <c r="O993" s="2">
        <v>6</v>
      </c>
      <c r="P993" s="2">
        <v>0.6</v>
      </c>
      <c r="Q993" s="2" t="s">
        <v>367</v>
      </c>
      <c r="R993" s="2" t="s">
        <v>147</v>
      </c>
      <c r="S993" s="2">
        <v>12</v>
      </c>
      <c r="T993" s="2">
        <v>18</v>
      </c>
      <c r="U993" s="2" t="b">
        <v>0</v>
      </c>
      <c r="V993" s="2">
        <v>6</v>
      </c>
      <c r="W993" s="2">
        <v>2</v>
      </c>
      <c r="X993" s="2">
        <v>18</v>
      </c>
      <c r="Y993" s="2">
        <v>28.186274509803919</v>
      </c>
    </row>
    <row r="994" spans="1:25" hidden="1">
      <c r="A994" s="2" t="s">
        <v>1259</v>
      </c>
      <c r="B994" s="2" t="s">
        <v>157</v>
      </c>
      <c r="C994" s="2" t="s">
        <v>693</v>
      </c>
      <c r="D994" s="3">
        <v>46199.822916666657</v>
      </c>
      <c r="E994" s="3">
        <v>46199.84375</v>
      </c>
      <c r="F994" s="2">
        <v>30</v>
      </c>
      <c r="G994" s="2" t="s">
        <v>167</v>
      </c>
      <c r="H994" s="2" t="s">
        <v>168</v>
      </c>
      <c r="I994" s="2">
        <v>5</v>
      </c>
      <c r="J994" s="2">
        <v>6</v>
      </c>
      <c r="K994" s="2" t="s">
        <v>153</v>
      </c>
      <c r="L994" s="2" t="s">
        <v>162</v>
      </c>
      <c r="M994" s="2" t="b">
        <v>1</v>
      </c>
      <c r="N994" s="2" t="b">
        <v>0</v>
      </c>
      <c r="O994" s="2">
        <v>5</v>
      </c>
      <c r="P994" s="2">
        <v>0.83333333333333337</v>
      </c>
      <c r="Q994" s="2" t="s">
        <v>367</v>
      </c>
      <c r="R994" s="2" t="s">
        <v>147</v>
      </c>
      <c r="S994" s="2">
        <v>14.4</v>
      </c>
      <c r="T994" s="2">
        <v>15.6</v>
      </c>
      <c r="U994" s="2" t="b">
        <v>0</v>
      </c>
      <c r="V994" s="2">
        <v>20</v>
      </c>
      <c r="W994" s="2">
        <v>3</v>
      </c>
      <c r="X994" s="2">
        <v>19</v>
      </c>
      <c r="Y994" s="2">
        <v>28.844221105527641</v>
      </c>
    </row>
    <row r="995" spans="1:25" hidden="1">
      <c r="A995" s="2" t="s">
        <v>1260</v>
      </c>
      <c r="B995" s="2" t="s">
        <v>173</v>
      </c>
      <c r="C995" s="2" t="s">
        <v>695</v>
      </c>
      <c r="D995" s="3">
        <v>46200.833333333343</v>
      </c>
      <c r="E995" s="3">
        <v>46200.854166666657</v>
      </c>
      <c r="F995" s="2">
        <v>30</v>
      </c>
      <c r="G995" s="2" t="s">
        <v>143</v>
      </c>
      <c r="H995" s="2" t="s">
        <v>1021</v>
      </c>
      <c r="I995" s="2">
        <v>3</v>
      </c>
      <c r="J995" s="2">
        <v>4.5</v>
      </c>
      <c r="K995" s="2" t="s">
        <v>143</v>
      </c>
      <c r="L995" s="2" t="s">
        <v>169</v>
      </c>
      <c r="M995" s="2" t="b">
        <v>1</v>
      </c>
      <c r="N995" s="2" t="b">
        <v>1</v>
      </c>
      <c r="O995" s="2">
        <v>6.666666666666667</v>
      </c>
      <c r="P995" s="2">
        <v>0.66666666666666663</v>
      </c>
      <c r="Q995" s="2" t="s">
        <v>367</v>
      </c>
      <c r="R995" s="2" t="s">
        <v>171</v>
      </c>
      <c r="S995" s="2">
        <v>10.8</v>
      </c>
      <c r="T995" s="2">
        <v>19.2</v>
      </c>
      <c r="U995" s="2" t="b">
        <v>0</v>
      </c>
      <c r="V995" s="2">
        <v>6</v>
      </c>
      <c r="W995" s="2">
        <v>2</v>
      </c>
      <c r="X995" s="2">
        <v>20</v>
      </c>
      <c r="Y995" s="2">
        <v>30.286458333333329</v>
      </c>
    </row>
    <row r="996" spans="1:25" hidden="1">
      <c r="A996" s="2" t="s">
        <v>1261</v>
      </c>
      <c r="B996" s="2" t="s">
        <v>142</v>
      </c>
      <c r="C996" s="2" t="s">
        <v>697</v>
      </c>
      <c r="D996" s="3">
        <v>46201.802083333343</v>
      </c>
      <c r="E996" s="3">
        <v>46201.822916666657</v>
      </c>
      <c r="F996" s="2">
        <v>30</v>
      </c>
      <c r="G996" s="2" t="s">
        <v>151</v>
      </c>
      <c r="H996" s="2" t="s">
        <v>657</v>
      </c>
      <c r="I996" s="2">
        <v>4</v>
      </c>
      <c r="J996" s="2">
        <v>5.5</v>
      </c>
      <c r="K996" s="2" t="s">
        <v>143</v>
      </c>
      <c r="L996" s="2" t="s">
        <v>162</v>
      </c>
      <c r="M996" s="2" t="b">
        <v>1</v>
      </c>
      <c r="N996" s="2" t="b">
        <v>1</v>
      </c>
      <c r="O996" s="2">
        <v>5.4545454545454541</v>
      </c>
      <c r="P996" s="2">
        <v>0.72727272727272729</v>
      </c>
      <c r="Q996" s="2" t="s">
        <v>367</v>
      </c>
      <c r="R996" s="2" t="s">
        <v>147</v>
      </c>
      <c r="S996" s="2">
        <v>13.2</v>
      </c>
      <c r="T996" s="2">
        <v>16.8</v>
      </c>
      <c r="U996" s="2" t="b">
        <v>0</v>
      </c>
      <c r="V996" s="2">
        <v>12</v>
      </c>
      <c r="W996" s="2">
        <v>2</v>
      </c>
      <c r="X996" s="2">
        <v>19</v>
      </c>
      <c r="Y996" s="2">
        <v>30.259433962264151</v>
      </c>
    </row>
    <row r="997" spans="1:25" hidden="1">
      <c r="A997" s="2" t="s">
        <v>1262</v>
      </c>
      <c r="B997" s="2" t="s">
        <v>165</v>
      </c>
      <c r="C997" s="2" t="s">
        <v>188</v>
      </c>
      <c r="D997" s="3">
        <v>46202.854166666657</v>
      </c>
      <c r="E997" s="3">
        <v>46202.875</v>
      </c>
      <c r="F997" s="2">
        <v>30</v>
      </c>
      <c r="G997" s="2" t="s">
        <v>143</v>
      </c>
      <c r="H997" s="2" t="s">
        <v>144</v>
      </c>
      <c r="I997" s="2">
        <v>2</v>
      </c>
      <c r="J997" s="2">
        <v>4</v>
      </c>
      <c r="K997" s="2" t="s">
        <v>161</v>
      </c>
      <c r="L997" s="2" t="s">
        <v>154</v>
      </c>
      <c r="M997" s="2" t="b">
        <v>1</v>
      </c>
      <c r="N997" s="2" t="b">
        <v>0</v>
      </c>
      <c r="O997" s="2">
        <v>7.5</v>
      </c>
      <c r="P997" s="2">
        <v>0.5</v>
      </c>
      <c r="Q997" s="2" t="s">
        <v>367</v>
      </c>
      <c r="R997" s="2" t="s">
        <v>147</v>
      </c>
      <c r="S997" s="2">
        <v>9.6</v>
      </c>
      <c r="T997" s="2">
        <v>20.399999999999999</v>
      </c>
      <c r="U997" s="2" t="b">
        <v>0</v>
      </c>
      <c r="V997" s="2">
        <v>4</v>
      </c>
      <c r="W997" s="2">
        <v>1</v>
      </c>
      <c r="X997" s="2">
        <v>20</v>
      </c>
      <c r="Y997" s="2">
        <v>29.948453608247419</v>
      </c>
    </row>
    <row r="998" spans="1:25" hidden="1">
      <c r="A998" s="2" t="s">
        <v>1263</v>
      </c>
      <c r="B998" s="2" t="s">
        <v>149</v>
      </c>
      <c r="C998" s="2" t="s">
        <v>712</v>
      </c>
      <c r="D998" s="3">
        <v>46203.75</v>
      </c>
      <c r="E998" s="3">
        <v>46203.770833333343</v>
      </c>
      <c r="F998" s="2">
        <v>30</v>
      </c>
      <c r="G998" s="2" t="s">
        <v>143</v>
      </c>
      <c r="H998" s="2" t="s">
        <v>1018</v>
      </c>
      <c r="I998" s="2">
        <v>3</v>
      </c>
      <c r="J998" s="2">
        <v>5</v>
      </c>
      <c r="K998" s="2" t="s">
        <v>143</v>
      </c>
      <c r="L998" s="2" t="s">
        <v>162</v>
      </c>
      <c r="M998" s="2" t="b">
        <v>1</v>
      </c>
      <c r="N998" s="2" t="b">
        <v>0</v>
      </c>
      <c r="O998" s="2">
        <v>6</v>
      </c>
      <c r="P998" s="2">
        <v>0.6</v>
      </c>
      <c r="Q998" s="2" t="s">
        <v>367</v>
      </c>
      <c r="R998" s="2" t="s">
        <v>147</v>
      </c>
      <c r="S998" s="2">
        <v>12</v>
      </c>
      <c r="T998" s="2">
        <v>18</v>
      </c>
      <c r="U998" s="2" t="b">
        <v>0</v>
      </c>
      <c r="V998" s="2">
        <v>6</v>
      </c>
      <c r="W998" s="2">
        <v>2</v>
      </c>
      <c r="X998" s="2">
        <v>18</v>
      </c>
      <c r="Y998" s="2">
        <v>28.186274509803919</v>
      </c>
    </row>
    <row r="999" spans="1:25" hidden="1">
      <c r="A999" s="2" t="s">
        <v>1264</v>
      </c>
      <c r="B999" s="2" t="s">
        <v>157</v>
      </c>
      <c r="C999" s="2" t="s">
        <v>693</v>
      </c>
      <c r="D999" s="3">
        <v>46204.802083333343</v>
      </c>
      <c r="E999" s="3">
        <v>46204.822916666657</v>
      </c>
      <c r="F999" s="2">
        <v>30</v>
      </c>
      <c r="G999" s="2" t="s">
        <v>167</v>
      </c>
      <c r="H999" s="2" t="s">
        <v>168</v>
      </c>
      <c r="I999" s="2">
        <v>5</v>
      </c>
      <c r="J999" s="2">
        <v>6</v>
      </c>
      <c r="K999" s="2" t="s">
        <v>153</v>
      </c>
      <c r="L999" s="2" t="s">
        <v>145</v>
      </c>
      <c r="M999" s="2" t="b">
        <v>1</v>
      </c>
      <c r="N999" s="2" t="b">
        <v>0</v>
      </c>
      <c r="O999" s="2">
        <v>5</v>
      </c>
      <c r="P999" s="2">
        <v>0.83333333333333337</v>
      </c>
      <c r="Q999" s="2" t="s">
        <v>379</v>
      </c>
      <c r="R999" s="2" t="s">
        <v>147</v>
      </c>
      <c r="S999" s="2">
        <v>14.4</v>
      </c>
      <c r="T999" s="2">
        <v>15.6</v>
      </c>
      <c r="U999" s="2" t="b">
        <v>0</v>
      </c>
      <c r="V999" s="2">
        <v>20</v>
      </c>
      <c r="W999" s="2">
        <v>3</v>
      </c>
      <c r="X999" s="2">
        <v>19</v>
      </c>
      <c r="Y999" s="2">
        <v>28.844221105527641</v>
      </c>
    </row>
    <row r="1000" spans="1:25" hidden="1">
      <c r="A1000" s="2" t="s">
        <v>1265</v>
      </c>
      <c r="B1000" s="2" t="s">
        <v>173</v>
      </c>
      <c r="C1000" s="2" t="s">
        <v>695</v>
      </c>
      <c r="D1000" s="3">
        <v>46205.854166666657</v>
      </c>
      <c r="E1000" s="3">
        <v>46205.875</v>
      </c>
      <c r="F1000" s="2">
        <v>30</v>
      </c>
      <c r="G1000" s="2" t="s">
        <v>143</v>
      </c>
      <c r="H1000" s="2" t="s">
        <v>1021</v>
      </c>
      <c r="I1000" s="2">
        <v>3</v>
      </c>
      <c r="J1000" s="2">
        <v>4.5</v>
      </c>
      <c r="K1000" s="2" t="s">
        <v>143</v>
      </c>
      <c r="L1000" s="2" t="s">
        <v>169</v>
      </c>
      <c r="M1000" s="2" t="b">
        <v>1</v>
      </c>
      <c r="N1000" s="2" t="b">
        <v>0</v>
      </c>
      <c r="O1000" s="2">
        <v>6.666666666666667</v>
      </c>
      <c r="P1000" s="2">
        <v>0.66666666666666663</v>
      </c>
      <c r="Q1000" s="2" t="s">
        <v>379</v>
      </c>
      <c r="R1000" s="2" t="s">
        <v>171</v>
      </c>
      <c r="S1000" s="2">
        <v>10.8</v>
      </c>
      <c r="T1000" s="2">
        <v>19.2</v>
      </c>
      <c r="U1000" s="2" t="b">
        <v>0</v>
      </c>
      <c r="V1000" s="2">
        <v>6</v>
      </c>
      <c r="W1000" s="2">
        <v>2</v>
      </c>
      <c r="X1000" s="2">
        <v>20</v>
      </c>
      <c r="Y1000" s="2">
        <v>30.286458333333329</v>
      </c>
    </row>
    <row r="1001" spans="1:25" hidden="1">
      <c r="A1001" s="2" t="s">
        <v>1266</v>
      </c>
      <c r="B1001" s="2" t="s">
        <v>142</v>
      </c>
      <c r="C1001" s="2" t="s">
        <v>697</v>
      </c>
      <c r="D1001" s="3">
        <v>46206.791666666657</v>
      </c>
      <c r="E1001" s="3">
        <v>46206.8125</v>
      </c>
      <c r="F1001" s="2">
        <v>30</v>
      </c>
      <c r="G1001" s="2" t="s">
        <v>151</v>
      </c>
      <c r="H1001" s="2" t="s">
        <v>657</v>
      </c>
      <c r="I1001" s="2">
        <v>4</v>
      </c>
      <c r="J1001" s="2">
        <v>5.5</v>
      </c>
      <c r="K1001" s="2" t="s">
        <v>143</v>
      </c>
      <c r="L1001" s="2" t="s">
        <v>162</v>
      </c>
      <c r="M1001" s="2" t="b">
        <v>1</v>
      </c>
      <c r="N1001" s="2" t="b">
        <v>0</v>
      </c>
      <c r="O1001" s="2">
        <v>5.4545454545454541</v>
      </c>
      <c r="P1001" s="2">
        <v>0.72727272727272729</v>
      </c>
      <c r="Q1001" s="2" t="s">
        <v>379</v>
      </c>
      <c r="R1001" s="2" t="s">
        <v>147</v>
      </c>
      <c r="S1001" s="2">
        <v>13.2</v>
      </c>
      <c r="T1001" s="2">
        <v>16.8</v>
      </c>
      <c r="U1001" s="2" t="b">
        <v>0</v>
      </c>
      <c r="V1001" s="2">
        <v>12</v>
      </c>
      <c r="W1001" s="2">
        <v>2</v>
      </c>
      <c r="X1001" s="2">
        <v>19</v>
      </c>
      <c r="Y1001" s="2">
        <v>30.259433962264151</v>
      </c>
    </row>
    <row r="1002" spans="1:25" hidden="1">
      <c r="A1002" s="2" t="s">
        <v>1267</v>
      </c>
      <c r="B1002" s="2" t="s">
        <v>165</v>
      </c>
      <c r="C1002" s="2" t="s">
        <v>188</v>
      </c>
      <c r="D1002" s="3">
        <v>46207.84375</v>
      </c>
      <c r="E1002" s="3">
        <v>46207.864583333343</v>
      </c>
      <c r="F1002" s="2">
        <v>30</v>
      </c>
      <c r="G1002" s="2" t="s">
        <v>143</v>
      </c>
      <c r="H1002" s="2" t="s">
        <v>144</v>
      </c>
      <c r="I1002" s="2">
        <v>2</v>
      </c>
      <c r="J1002" s="2">
        <v>4</v>
      </c>
      <c r="K1002" s="2" t="s">
        <v>161</v>
      </c>
      <c r="L1002" s="2" t="s">
        <v>154</v>
      </c>
      <c r="M1002" s="2" t="b">
        <v>1</v>
      </c>
      <c r="N1002" s="2" t="b">
        <v>1</v>
      </c>
      <c r="O1002" s="2">
        <v>7.5</v>
      </c>
      <c r="P1002" s="2">
        <v>0.5</v>
      </c>
      <c r="Q1002" s="2" t="s">
        <v>379</v>
      </c>
      <c r="R1002" s="2" t="s">
        <v>147</v>
      </c>
      <c r="S1002" s="2">
        <v>9.6</v>
      </c>
      <c r="T1002" s="2">
        <v>20.399999999999999</v>
      </c>
      <c r="U1002" s="2" t="b">
        <v>0</v>
      </c>
      <c r="V1002" s="2">
        <v>4</v>
      </c>
      <c r="W1002" s="2">
        <v>1</v>
      </c>
      <c r="X1002" s="2">
        <v>20</v>
      </c>
      <c r="Y1002" s="2">
        <v>29.948453608247419</v>
      </c>
    </row>
    <row r="1003" spans="1:25" hidden="1">
      <c r="A1003" s="2" t="s">
        <v>1268</v>
      </c>
      <c r="B1003" s="2" t="s">
        <v>149</v>
      </c>
      <c r="C1003" s="2" t="s">
        <v>712</v>
      </c>
      <c r="D1003" s="3">
        <v>46208.770833333343</v>
      </c>
      <c r="E1003" s="3">
        <v>46208.791666666657</v>
      </c>
      <c r="F1003" s="2">
        <v>30</v>
      </c>
      <c r="G1003" s="2" t="s">
        <v>143</v>
      </c>
      <c r="H1003" s="2" t="s">
        <v>1018</v>
      </c>
      <c r="I1003" s="2">
        <v>3</v>
      </c>
      <c r="J1003" s="2">
        <v>5</v>
      </c>
      <c r="K1003" s="2" t="s">
        <v>143</v>
      </c>
      <c r="L1003" s="2" t="s">
        <v>145</v>
      </c>
      <c r="M1003" s="2" t="b">
        <v>1</v>
      </c>
      <c r="N1003" s="2" t="b">
        <v>1</v>
      </c>
      <c r="O1003" s="2">
        <v>6</v>
      </c>
      <c r="P1003" s="2">
        <v>0.6</v>
      </c>
      <c r="Q1003" s="2" t="s">
        <v>379</v>
      </c>
      <c r="R1003" s="2" t="s">
        <v>147</v>
      </c>
      <c r="S1003" s="2">
        <v>12</v>
      </c>
      <c r="T1003" s="2">
        <v>18</v>
      </c>
      <c r="U1003" s="2" t="b">
        <v>0</v>
      </c>
      <c r="V1003" s="2">
        <v>6</v>
      </c>
      <c r="W1003" s="2">
        <v>2</v>
      </c>
      <c r="X1003" s="2">
        <v>18</v>
      </c>
      <c r="Y1003" s="2">
        <v>28.186274509803919</v>
      </c>
    </row>
    <row r="1004" spans="1:25" hidden="1">
      <c r="A1004" s="2" t="s">
        <v>1269</v>
      </c>
      <c r="B1004" s="2" t="s">
        <v>157</v>
      </c>
      <c r="C1004" s="2" t="s">
        <v>693</v>
      </c>
      <c r="D1004" s="3">
        <v>46209.822916666657</v>
      </c>
      <c r="E1004" s="3">
        <v>46209.84375</v>
      </c>
      <c r="F1004" s="2">
        <v>30</v>
      </c>
      <c r="G1004" s="2" t="s">
        <v>167</v>
      </c>
      <c r="H1004" s="2" t="s">
        <v>168</v>
      </c>
      <c r="I1004" s="2">
        <v>5</v>
      </c>
      <c r="J1004" s="2">
        <v>6</v>
      </c>
      <c r="K1004" s="2" t="s">
        <v>153</v>
      </c>
      <c r="L1004" s="2" t="s">
        <v>162</v>
      </c>
      <c r="M1004" s="2" t="b">
        <v>1</v>
      </c>
      <c r="N1004" s="2" t="b">
        <v>0</v>
      </c>
      <c r="O1004" s="2">
        <v>5</v>
      </c>
      <c r="P1004" s="2">
        <v>0.83333333333333337</v>
      </c>
      <c r="Q1004" s="2" t="s">
        <v>379</v>
      </c>
      <c r="R1004" s="2" t="s">
        <v>147</v>
      </c>
      <c r="S1004" s="2">
        <v>14.4</v>
      </c>
      <c r="T1004" s="2">
        <v>15.6</v>
      </c>
      <c r="U1004" s="2" t="b">
        <v>0</v>
      </c>
      <c r="V1004" s="2">
        <v>20</v>
      </c>
      <c r="W1004" s="2">
        <v>3</v>
      </c>
      <c r="X1004" s="2">
        <v>19</v>
      </c>
      <c r="Y1004" s="2">
        <v>28.844221105527641</v>
      </c>
    </row>
    <row r="1005" spans="1:25" hidden="1">
      <c r="A1005" s="2" t="s">
        <v>1270</v>
      </c>
      <c r="B1005" s="2" t="s">
        <v>173</v>
      </c>
      <c r="C1005" s="2" t="s">
        <v>695</v>
      </c>
      <c r="D1005" s="3">
        <v>46210.833333333343</v>
      </c>
      <c r="E1005" s="3">
        <v>46210.854166666657</v>
      </c>
      <c r="F1005" s="2">
        <v>30</v>
      </c>
      <c r="G1005" s="2" t="s">
        <v>143</v>
      </c>
      <c r="H1005" s="2" t="s">
        <v>1021</v>
      </c>
      <c r="I1005" s="2">
        <v>3</v>
      </c>
      <c r="J1005" s="2">
        <v>4.5</v>
      </c>
      <c r="K1005" s="2" t="s">
        <v>143</v>
      </c>
      <c r="L1005" s="2" t="s">
        <v>162</v>
      </c>
      <c r="M1005" s="2" t="b">
        <v>1</v>
      </c>
      <c r="N1005" s="2" t="b">
        <v>0</v>
      </c>
      <c r="O1005" s="2">
        <v>6.666666666666667</v>
      </c>
      <c r="P1005" s="2">
        <v>0.66666666666666663</v>
      </c>
      <c r="Q1005" s="2" t="s">
        <v>379</v>
      </c>
      <c r="R1005" s="2" t="s">
        <v>147</v>
      </c>
      <c r="S1005" s="2">
        <v>10.8</v>
      </c>
      <c r="T1005" s="2">
        <v>19.2</v>
      </c>
      <c r="U1005" s="2" t="b">
        <v>0</v>
      </c>
      <c r="V1005" s="2">
        <v>6</v>
      </c>
      <c r="W1005" s="2">
        <v>2</v>
      </c>
      <c r="X1005" s="2">
        <v>20</v>
      </c>
      <c r="Y1005" s="2">
        <v>30.286458333333329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222229-7D3B-4B5E-B4D2-F8BD23DECA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Pizza Delivery Project</vt:lpstr>
      <vt:lpstr>Data Dictionary</vt:lpstr>
      <vt:lpstr>Pizza Delivery Table</vt:lpstr>
      <vt:lpstr>Descriptive Statistics and EDA </vt:lpstr>
      <vt:lpstr>Pivot Table_EDA</vt:lpstr>
      <vt:lpstr>Corelation</vt:lpstr>
      <vt:lpstr>Correlation Heatmap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Woratai Lerdmunkongdate</dc:creator>
  <cp:keywords/>
  <dc:description/>
  <cp:lastModifiedBy>Aunwika Ketworakul</cp:lastModifiedBy>
  <cp:revision/>
  <dcterms:created xsi:type="dcterms:W3CDTF">2025-11-09T16:04:00Z</dcterms:created>
  <dcterms:modified xsi:type="dcterms:W3CDTF">2025-12-12T08:42:26Z</dcterms:modified>
  <cp:category/>
  <cp:contentStatus/>
</cp:coreProperties>
</file>